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628"/>
  <workbookPr defaultThemeVersion="124226"/>
  <mc:AlternateContent xmlns:mc="http://schemas.openxmlformats.org/markup-compatibility/2006">
    <mc:Choice Requires="x15">
      <x15ac:absPath xmlns:x15ac="http://schemas.microsoft.com/office/spreadsheetml/2010/11/ac" url="C:\Users\admin\Desktop\burgeon complted april 22\4BURGEON-PUNE-STP-APRIL 22\"/>
    </mc:Choice>
  </mc:AlternateContent>
  <xr:revisionPtr revIDLastSave="0" documentId="13_ncr:1_{87DA2321-F83D-4D44-BF48-E58A952DE58D}" xr6:coauthVersionLast="46" xr6:coauthVersionMax="46" xr10:uidLastSave="{00000000-0000-0000-0000-000000000000}"/>
  <bookViews>
    <workbookView xWindow="-120" yWindow="-120" windowWidth="15600" windowHeight="11160" tabRatio="732" firstSheet="1" activeTab="5" xr2:uid="{00000000-000D-0000-FFFF-FFFF00000000}"/>
  </bookViews>
  <sheets>
    <sheet name="PUNE STP APRIL 22 W M Reg" sheetId="28" r:id="rId1"/>
    <sheet name="4-22Master" sheetId="1" r:id="rId2"/>
    <sheet name="Eql rem" sheetId="13" r:id="rId3"/>
    <sheet name="04-22MH_Must-JULY" sheetId="29" r:id="rId4"/>
    <sheet name="04-22 F- M LEAV Reg" sheetId="27" r:id="rId5"/>
    <sheet name="MH_Regf W" sheetId="30" r:id="rId6"/>
    <sheet name="EmP Cards" sheetId="10" r:id="rId7"/>
    <sheet name="wage sllips" sheetId="4" r:id="rId8"/>
    <sheet name="4-22Bonus" sheetId="12" r:id="rId9"/>
    <sheet name="Deductions" sheetId="5" r:id="rId10"/>
    <sheet name="Fines" sheetId="7" r:id="rId11"/>
    <sheet name="Advances" sheetId="6" r:id="rId12"/>
    <sheet name="Overtime" sheetId="8" r:id="rId13"/>
    <sheet name="Accident" sheetId="9" r:id="rId14"/>
    <sheet name="FORM A" sheetId="34" r:id="rId15"/>
    <sheet name="FORM B" sheetId="33" r:id="rId16"/>
    <sheet name="FORM C" sheetId="32" r:id="rId17"/>
    <sheet name="FORM D" sheetId="31" r:id="rId18"/>
    <sheet name="ESI cards Reg" sheetId="16" r:id="rId19"/>
    <sheet name="Form-I" sheetId="19" r:id="rId20"/>
    <sheet name="Form-2" sheetId="20" r:id="rId21"/>
    <sheet name="Form 11" sheetId="17" r:id="rId22"/>
    <sheet name="Form-F" sheetId="18" r:id="rId23"/>
    <sheet name="Serive Certificate" sheetId="21" r:id="rId24"/>
  </sheets>
  <externalReferences>
    <externalReference r:id="rId25"/>
  </externalReferences>
  <calcPr calcId="191029"/>
</workbook>
</file>

<file path=xl/calcChain.xml><?xml version="1.0" encoding="utf-8"?>
<calcChain xmlns="http://schemas.openxmlformats.org/spreadsheetml/2006/main">
  <c r="H22" i="13" l="1"/>
  <c r="G22" i="13"/>
  <c r="F22" i="13"/>
  <c r="E22" i="13"/>
  <c r="E14" i="4" l="1"/>
  <c r="F19" i="27"/>
  <c r="F20" i="27" s="1"/>
  <c r="F21" i="27" s="1"/>
  <c r="AA8" i="30" l="1"/>
  <c r="AC8" i="30"/>
  <c r="AB8" i="30"/>
  <c r="C8" i="29"/>
  <c r="D8" i="29"/>
  <c r="E8" i="29"/>
  <c r="F8" i="29"/>
  <c r="G8" i="29"/>
  <c r="H8" i="29"/>
  <c r="C22" i="13"/>
  <c r="AQ8" i="29"/>
  <c r="O10" i="12" l="1"/>
  <c r="P10" i="12"/>
  <c r="Q10" i="12"/>
  <c r="C10" i="12"/>
  <c r="E10" i="12"/>
  <c r="D8" i="30"/>
  <c r="E8" i="30"/>
  <c r="T8" i="30"/>
  <c r="AS18" i="1"/>
  <c r="H25" i="4" s="1"/>
  <c r="AP18" i="1"/>
  <c r="AQ18" i="1"/>
  <c r="S8" i="30" l="1"/>
  <c r="D25" i="4"/>
  <c r="R8" i="30"/>
  <c r="F25" i="4"/>
  <c r="Q8" i="30"/>
  <c r="P8" i="30"/>
  <c r="G25" i="4"/>
  <c r="I8" i="30"/>
  <c r="H10" i="12"/>
  <c r="F8" i="30"/>
  <c r="M10" i="12" l="1"/>
  <c r="N10" i="12"/>
  <c r="K8" i="30"/>
  <c r="H8" i="30"/>
  <c r="G8" i="30"/>
  <c r="J8" i="30" l="1"/>
  <c r="F10" i="12" l="1"/>
  <c r="G8" i="4" l="1"/>
  <c r="Q8" i="4" s="1"/>
  <c r="G20" i="13" l="1"/>
  <c r="AD18" i="1"/>
  <c r="AI18" i="1" l="1"/>
  <c r="AN18" i="1" s="1"/>
  <c r="F20" i="13"/>
  <c r="A20" i="13"/>
  <c r="M8" i="30" l="1"/>
  <c r="G10" i="12"/>
  <c r="O8" i="30"/>
  <c r="G7" i="27"/>
  <c r="N10" i="30"/>
  <c r="B53" i="27"/>
  <c r="B52" i="27"/>
  <c r="B6" i="27"/>
  <c r="B5" i="27"/>
  <c r="G5" i="27"/>
  <c r="C55" i="27"/>
  <c r="C8" i="27"/>
  <c r="E8" i="4"/>
  <c r="G22" i="31" l="1"/>
  <c r="G17" i="32"/>
  <c r="G22" i="33"/>
  <c r="G34" i="34"/>
  <c r="D22" i="13"/>
  <c r="AT18" i="1"/>
  <c r="U8" i="30" s="1"/>
  <c r="V18" i="1"/>
  <c r="B10" i="12" s="1"/>
  <c r="F25" i="31" l="1"/>
  <c r="E4" i="31"/>
  <c r="D4" i="31"/>
  <c r="F20" i="32"/>
  <c r="E4" i="32"/>
  <c r="D4" i="32"/>
  <c r="F25" i="33"/>
  <c r="E3" i="33"/>
  <c r="D3" i="33"/>
  <c r="F36" i="34"/>
  <c r="E4" i="34"/>
  <c r="D4" i="34"/>
  <c r="B35" i="13" l="1"/>
  <c r="K490" i="4" l="1"/>
  <c r="K489" i="4"/>
  <c r="K445" i="4"/>
  <c r="K444" i="4"/>
  <c r="K400" i="4"/>
  <c r="K399" i="4"/>
  <c r="K355" i="4"/>
  <c r="K354" i="4"/>
  <c r="K310" i="4"/>
  <c r="K309" i="4"/>
  <c r="K265" i="4"/>
  <c r="K264" i="4"/>
  <c r="K221" i="4"/>
  <c r="K220" i="4"/>
  <c r="K177" i="4"/>
  <c r="K176" i="4"/>
  <c r="K133" i="4"/>
  <c r="K132" i="4"/>
  <c r="K89" i="4"/>
  <c r="K88" i="4"/>
  <c r="K45" i="4"/>
  <c r="K44" i="4"/>
  <c r="K2" i="4"/>
  <c r="K1" i="4"/>
  <c r="A35" i="13" l="1"/>
  <c r="H16" i="7" l="1"/>
  <c r="F16" i="6"/>
  <c r="F16" i="8"/>
  <c r="F16" i="9"/>
  <c r="C14" i="13" l="1"/>
  <c r="C16" i="13"/>
  <c r="H16" i="5"/>
  <c r="Q10" i="30" l="1"/>
  <c r="T10" i="30"/>
  <c r="S10" i="30"/>
  <c r="R10" i="30"/>
  <c r="P10" i="30"/>
  <c r="K10" i="30"/>
  <c r="I10" i="30"/>
  <c r="I12" i="30" s="1"/>
  <c r="H10" i="30"/>
  <c r="F10" i="30"/>
  <c r="G10" i="30" l="1"/>
  <c r="L4" i="12" l="1"/>
  <c r="U10" i="30" l="1"/>
  <c r="H156" i="4" l="1"/>
  <c r="F156" i="4"/>
  <c r="E156" i="4"/>
  <c r="D156" i="4"/>
  <c r="E145" i="4"/>
  <c r="E143" i="4"/>
  <c r="E141" i="4"/>
  <c r="E139" i="4"/>
  <c r="B137" i="4"/>
  <c r="B136" i="4"/>
  <c r="D135" i="4"/>
  <c r="H112" i="4"/>
  <c r="G112" i="4"/>
  <c r="F112" i="4"/>
  <c r="E112" i="4"/>
  <c r="D112" i="4"/>
  <c r="E101" i="4"/>
  <c r="E99" i="4"/>
  <c r="E97" i="4"/>
  <c r="E95" i="4"/>
  <c r="B93" i="4"/>
  <c r="B92" i="4"/>
  <c r="D91" i="4"/>
  <c r="E68" i="4"/>
  <c r="G68" i="4"/>
  <c r="H68" i="4"/>
  <c r="F68" i="4"/>
  <c r="D68" i="4"/>
  <c r="E66" i="4"/>
  <c r="E57" i="4"/>
  <c r="E55" i="4"/>
  <c r="E53" i="4"/>
  <c r="E51" i="4"/>
  <c r="B49" i="4"/>
  <c r="B48" i="4"/>
  <c r="D47" i="4"/>
  <c r="E10" i="4"/>
  <c r="E12" i="4"/>
  <c r="B6" i="4"/>
  <c r="B5" i="4"/>
  <c r="D4" i="4"/>
  <c r="E110" i="4"/>
  <c r="I25" i="4" l="1"/>
  <c r="S25" i="4" s="1"/>
  <c r="I112" i="4"/>
  <c r="S112" i="4" s="1"/>
  <c r="G156" i="4"/>
  <c r="I156" i="4" s="1"/>
  <c r="I68" i="4"/>
  <c r="E70" i="4" s="1"/>
  <c r="O70" i="4" s="1"/>
  <c r="A6" i="12"/>
  <c r="I513" i="4"/>
  <c r="S513" i="4" s="1"/>
  <c r="H513" i="4"/>
  <c r="R513" i="4" s="1"/>
  <c r="G513" i="4"/>
  <c r="Q513" i="4" s="1"/>
  <c r="F513" i="4"/>
  <c r="P513" i="4" s="1"/>
  <c r="E513" i="4"/>
  <c r="O513" i="4" s="1"/>
  <c r="D513" i="4"/>
  <c r="N513" i="4" s="1"/>
  <c r="E511" i="4"/>
  <c r="O511" i="4" s="1"/>
  <c r="O507" i="4"/>
  <c r="E502" i="4"/>
  <c r="O502" i="4" s="1"/>
  <c r="E500" i="4"/>
  <c r="O500" i="4" s="1"/>
  <c r="E498" i="4"/>
  <c r="O498" i="4" s="1"/>
  <c r="E496" i="4"/>
  <c r="O496" i="4" s="1"/>
  <c r="B494" i="4"/>
  <c r="L494" i="4" s="1"/>
  <c r="B493" i="4"/>
  <c r="L493" i="4" s="1"/>
  <c r="D492" i="4"/>
  <c r="N492" i="4" s="1"/>
  <c r="I468" i="4"/>
  <c r="S468" i="4" s="1"/>
  <c r="H468" i="4"/>
  <c r="R468" i="4" s="1"/>
  <c r="G468" i="4"/>
  <c r="Q468" i="4" s="1"/>
  <c r="F468" i="4"/>
  <c r="P468" i="4" s="1"/>
  <c r="E468" i="4"/>
  <c r="O468" i="4" s="1"/>
  <c r="D468" i="4"/>
  <c r="N468" i="4" s="1"/>
  <c r="E466" i="4"/>
  <c r="O466" i="4" s="1"/>
  <c r="O462" i="4"/>
  <c r="E457" i="4"/>
  <c r="O457" i="4" s="1"/>
  <c r="E455" i="4"/>
  <c r="O455" i="4" s="1"/>
  <c r="E453" i="4"/>
  <c r="O453" i="4" s="1"/>
  <c r="E451" i="4"/>
  <c r="O451" i="4" s="1"/>
  <c r="B449" i="4"/>
  <c r="L449" i="4" s="1"/>
  <c r="B448" i="4"/>
  <c r="L448" i="4" s="1"/>
  <c r="D447" i="4"/>
  <c r="N447" i="4" s="1"/>
  <c r="I423" i="4"/>
  <c r="S423" i="4" s="1"/>
  <c r="H423" i="4"/>
  <c r="R423" i="4" s="1"/>
  <c r="G423" i="4"/>
  <c r="Q423" i="4" s="1"/>
  <c r="F423" i="4"/>
  <c r="P423" i="4" s="1"/>
  <c r="E423" i="4"/>
  <c r="O423" i="4" s="1"/>
  <c r="D423" i="4"/>
  <c r="N423" i="4" s="1"/>
  <c r="E421" i="4"/>
  <c r="O417" i="4"/>
  <c r="E412" i="4"/>
  <c r="O412" i="4" s="1"/>
  <c r="E410" i="4"/>
  <c r="O410" i="4" s="1"/>
  <c r="E408" i="4"/>
  <c r="O408" i="4" s="1"/>
  <c r="E406" i="4"/>
  <c r="O406" i="4" s="1"/>
  <c r="B404" i="4"/>
  <c r="L404" i="4" s="1"/>
  <c r="B403" i="4"/>
  <c r="L403" i="4" s="1"/>
  <c r="D402" i="4"/>
  <c r="N402" i="4" s="1"/>
  <c r="I378" i="4"/>
  <c r="S378" i="4" s="1"/>
  <c r="H378" i="4"/>
  <c r="R378" i="4" s="1"/>
  <c r="G378" i="4"/>
  <c r="Q378" i="4" s="1"/>
  <c r="F378" i="4"/>
  <c r="P378" i="4" s="1"/>
  <c r="E378" i="4"/>
  <c r="O378" i="4" s="1"/>
  <c r="D378" i="4"/>
  <c r="N378" i="4" s="1"/>
  <c r="E376" i="4"/>
  <c r="O372" i="4"/>
  <c r="E367" i="4"/>
  <c r="O367" i="4" s="1"/>
  <c r="E365" i="4"/>
  <c r="O365" i="4" s="1"/>
  <c r="E363" i="4"/>
  <c r="O363" i="4" s="1"/>
  <c r="E361" i="4"/>
  <c r="O361" i="4" s="1"/>
  <c r="B359" i="4"/>
  <c r="L359" i="4" s="1"/>
  <c r="B358" i="4"/>
  <c r="L358" i="4" s="1"/>
  <c r="D357" i="4"/>
  <c r="N357" i="4" s="1"/>
  <c r="I333" i="4"/>
  <c r="S333" i="4" s="1"/>
  <c r="H333" i="4"/>
  <c r="R333" i="4" s="1"/>
  <c r="G333" i="4"/>
  <c r="Q333" i="4" s="1"/>
  <c r="F333" i="4"/>
  <c r="P333" i="4" s="1"/>
  <c r="E333" i="4"/>
  <c r="O333" i="4" s="1"/>
  <c r="D333" i="4"/>
  <c r="N333" i="4" s="1"/>
  <c r="E331" i="4"/>
  <c r="O327" i="4"/>
  <c r="E322" i="4"/>
  <c r="O322" i="4" s="1"/>
  <c r="E320" i="4"/>
  <c r="O320" i="4" s="1"/>
  <c r="E318" i="4"/>
  <c r="O318" i="4" s="1"/>
  <c r="E316" i="4"/>
  <c r="O316" i="4" s="1"/>
  <c r="B314" i="4"/>
  <c r="L314" i="4" s="1"/>
  <c r="B313" i="4"/>
  <c r="L313" i="4" s="1"/>
  <c r="D312" i="4"/>
  <c r="N312" i="4" s="1"/>
  <c r="I288" i="4"/>
  <c r="S288" i="4" s="1"/>
  <c r="H288" i="4"/>
  <c r="R288" i="4" s="1"/>
  <c r="G288" i="4"/>
  <c r="Q288" i="4" s="1"/>
  <c r="F288" i="4"/>
  <c r="P288" i="4" s="1"/>
  <c r="E288" i="4"/>
  <c r="O288" i="4" s="1"/>
  <c r="D288" i="4"/>
  <c r="N288" i="4" s="1"/>
  <c r="E286" i="4"/>
  <c r="O282" i="4"/>
  <c r="E277" i="4"/>
  <c r="O277" i="4" s="1"/>
  <c r="E275" i="4"/>
  <c r="O275" i="4" s="1"/>
  <c r="E273" i="4"/>
  <c r="O273" i="4" s="1"/>
  <c r="E271" i="4"/>
  <c r="O271" i="4" s="1"/>
  <c r="B269" i="4"/>
  <c r="L269" i="4" s="1"/>
  <c r="B268" i="4"/>
  <c r="L268" i="4" s="1"/>
  <c r="D267" i="4"/>
  <c r="N267" i="4" s="1"/>
  <c r="I244" i="4"/>
  <c r="S244" i="4" s="1"/>
  <c r="H244" i="4"/>
  <c r="R244" i="4" s="1"/>
  <c r="G244" i="4"/>
  <c r="Q244" i="4" s="1"/>
  <c r="F244" i="4"/>
  <c r="P244" i="4" s="1"/>
  <c r="E244" i="4"/>
  <c r="O244" i="4" s="1"/>
  <c r="D244" i="4"/>
  <c r="N244" i="4" s="1"/>
  <c r="E242" i="4"/>
  <c r="O238" i="4"/>
  <c r="E233" i="4"/>
  <c r="O233" i="4" s="1"/>
  <c r="E231" i="4"/>
  <c r="O231" i="4" s="1"/>
  <c r="E229" i="4"/>
  <c r="O229" i="4" s="1"/>
  <c r="E227" i="4"/>
  <c r="O227" i="4" s="1"/>
  <c r="B225" i="4"/>
  <c r="L225" i="4" s="1"/>
  <c r="B224" i="4"/>
  <c r="L224" i="4" s="1"/>
  <c r="D223" i="4"/>
  <c r="N223" i="4" s="1"/>
  <c r="I200" i="4"/>
  <c r="S200" i="4" s="1"/>
  <c r="H200" i="4"/>
  <c r="R200" i="4" s="1"/>
  <c r="G200" i="4"/>
  <c r="Q200" i="4" s="1"/>
  <c r="F200" i="4"/>
  <c r="P200" i="4" s="1"/>
  <c r="E200" i="4"/>
  <c r="O200" i="4" s="1"/>
  <c r="D200" i="4"/>
  <c r="N200" i="4" s="1"/>
  <c r="E198" i="4"/>
  <c r="O194" i="4"/>
  <c r="E189" i="4"/>
  <c r="O189" i="4" s="1"/>
  <c r="E187" i="4"/>
  <c r="O187" i="4" s="1"/>
  <c r="E185" i="4"/>
  <c r="O185" i="4" s="1"/>
  <c r="E183" i="4"/>
  <c r="O183" i="4" s="1"/>
  <c r="B181" i="4"/>
  <c r="L181" i="4" s="1"/>
  <c r="B180" i="4"/>
  <c r="L180" i="4" s="1"/>
  <c r="D179" i="4"/>
  <c r="N179" i="4" s="1"/>
  <c r="R156" i="4"/>
  <c r="P156" i="4"/>
  <c r="O156" i="4"/>
  <c r="N156" i="4"/>
  <c r="O150" i="4"/>
  <c r="O145" i="4"/>
  <c r="O143" i="4"/>
  <c r="O141" i="4"/>
  <c r="O139" i="4"/>
  <c r="L137" i="4"/>
  <c r="L136" i="4"/>
  <c r="N135" i="4"/>
  <c r="R112" i="4"/>
  <c r="Q112" i="4"/>
  <c r="P112" i="4"/>
  <c r="O112" i="4"/>
  <c r="N112" i="4"/>
  <c r="O110" i="4"/>
  <c r="O106" i="4"/>
  <c r="O101" i="4"/>
  <c r="O99" i="4"/>
  <c r="O97" i="4"/>
  <c r="O95" i="4"/>
  <c r="L93" i="4"/>
  <c r="L92" i="4"/>
  <c r="N91" i="4"/>
  <c r="S68" i="4"/>
  <c r="R68" i="4"/>
  <c r="Q68" i="4"/>
  <c r="P68" i="4"/>
  <c r="O68" i="4"/>
  <c r="N68" i="4"/>
  <c r="O62" i="4"/>
  <c r="O57" i="4"/>
  <c r="O55" i="4"/>
  <c r="O53" i="4"/>
  <c r="O51" i="4"/>
  <c r="L49" i="4"/>
  <c r="L48" i="4"/>
  <c r="N47" i="4"/>
  <c r="R25" i="4"/>
  <c r="Q25" i="4"/>
  <c r="P25" i="4"/>
  <c r="O25" i="4"/>
  <c r="N25" i="4"/>
  <c r="O19" i="4"/>
  <c r="O14" i="4"/>
  <c r="O12" i="4"/>
  <c r="O10" i="4"/>
  <c r="O8" i="4"/>
  <c r="L6" i="4"/>
  <c r="L5" i="4"/>
  <c r="N4" i="4"/>
  <c r="E202" i="4" l="1"/>
  <c r="O202" i="4" s="1"/>
  <c r="E290" i="4"/>
  <c r="O290" i="4" s="1"/>
  <c r="E246" i="4"/>
  <c r="O246" i="4" s="1"/>
  <c r="E425" i="4"/>
  <c r="O425" i="4" s="1"/>
  <c r="S156" i="4"/>
  <c r="Q156" i="4"/>
  <c r="E114" i="4"/>
  <c r="O114" i="4" s="1"/>
  <c r="O198" i="4"/>
  <c r="O242" i="4"/>
  <c r="O286" i="4"/>
  <c r="E470" i="4"/>
  <c r="O470" i="4" s="1"/>
  <c r="E335" i="4"/>
  <c r="O335" i="4" s="1"/>
  <c r="E380" i="4"/>
  <c r="O380" i="4" s="1"/>
  <c r="E515" i="4"/>
  <c r="O515" i="4" s="1"/>
  <c r="O421" i="4"/>
  <c r="O376" i="4"/>
  <c r="O331" i="4"/>
  <c r="O66" i="4"/>
  <c r="B6" i="9" l="1"/>
  <c r="B6" i="8"/>
  <c r="B6" i="6"/>
  <c r="B6" i="7"/>
  <c r="B6" i="5"/>
  <c r="B5" i="5"/>
  <c r="AQ7" i="1"/>
  <c r="AQ6" i="1"/>
  <c r="AQ5" i="1"/>
  <c r="G21" i="21" l="1"/>
  <c r="G19" i="21"/>
  <c r="B21" i="21"/>
  <c r="A617" i="18"/>
  <c r="B603" i="18"/>
  <c r="B587" i="18"/>
  <c r="B604" i="18" s="1"/>
  <c r="B607" i="18" s="1"/>
  <c r="C585" i="18"/>
  <c r="C584" i="18"/>
  <c r="C583" i="18"/>
  <c r="C581" i="18"/>
  <c r="C580" i="18"/>
  <c r="C579" i="18"/>
  <c r="C576" i="18"/>
  <c r="C575" i="18"/>
  <c r="A569" i="18"/>
  <c r="C552" i="18"/>
  <c r="A550" i="18"/>
  <c r="A549" i="18"/>
  <c r="C535" i="18"/>
  <c r="C534" i="18"/>
  <c r="B535" i="18"/>
  <c r="B519" i="18"/>
  <c r="B536" i="18" s="1"/>
  <c r="B539" i="18" s="1"/>
  <c r="C517" i="18"/>
  <c r="C516" i="18"/>
  <c r="C515" i="18"/>
  <c r="C513" i="18"/>
  <c r="C512" i="18"/>
  <c r="C511" i="18"/>
  <c r="C508" i="18"/>
  <c r="C507" i="18"/>
  <c r="A501" i="18"/>
  <c r="C484" i="18"/>
  <c r="A482" i="18"/>
  <c r="A481" i="18"/>
  <c r="C467" i="18"/>
  <c r="C466" i="18"/>
  <c r="B467" i="18"/>
  <c r="B451" i="18"/>
  <c r="B468" i="18" s="1"/>
  <c r="B471" i="18" s="1"/>
  <c r="C449" i="18"/>
  <c r="C448" i="18"/>
  <c r="C447" i="18"/>
  <c r="C445" i="18"/>
  <c r="C444" i="18"/>
  <c r="C443" i="18"/>
  <c r="C440" i="18"/>
  <c r="C439" i="18"/>
  <c r="A433" i="18"/>
  <c r="C416" i="18"/>
  <c r="A414" i="18"/>
  <c r="A413" i="18"/>
  <c r="C399" i="18"/>
  <c r="C398" i="18"/>
  <c r="B399" i="18"/>
  <c r="B383" i="18"/>
  <c r="B400" i="18" s="1"/>
  <c r="B403" i="18" s="1"/>
  <c r="C381" i="18"/>
  <c r="C380" i="18"/>
  <c r="C379" i="18"/>
  <c r="C377" i="18"/>
  <c r="C376" i="18"/>
  <c r="C375" i="18"/>
  <c r="C372" i="18"/>
  <c r="C371" i="18"/>
  <c r="A365" i="18"/>
  <c r="C348" i="18"/>
  <c r="A346" i="18"/>
  <c r="A345" i="18"/>
  <c r="C331" i="18"/>
  <c r="C330" i="18"/>
  <c r="B331" i="18"/>
  <c r="B315" i="18"/>
  <c r="B332" i="18" s="1"/>
  <c r="B335" i="18" s="1"/>
  <c r="C313" i="18"/>
  <c r="C312" i="18"/>
  <c r="C311" i="18"/>
  <c r="C309" i="18"/>
  <c r="C308" i="18"/>
  <c r="C307" i="18"/>
  <c r="C304" i="18"/>
  <c r="C303" i="18"/>
  <c r="A297" i="18"/>
  <c r="C280" i="18"/>
  <c r="A278" i="18"/>
  <c r="A277" i="18"/>
  <c r="C263" i="18"/>
  <c r="C262" i="18"/>
  <c r="B263" i="18"/>
  <c r="B247" i="18"/>
  <c r="B264" i="18" s="1"/>
  <c r="B267" i="18" s="1"/>
  <c r="C245" i="18"/>
  <c r="C244" i="18"/>
  <c r="C243" i="18"/>
  <c r="C241" i="18"/>
  <c r="C240" i="18"/>
  <c r="C239" i="18"/>
  <c r="C236" i="18"/>
  <c r="C235" i="18"/>
  <c r="A229" i="18"/>
  <c r="C212" i="18"/>
  <c r="A210" i="18"/>
  <c r="A209" i="18"/>
  <c r="C195" i="18"/>
  <c r="C194" i="18"/>
  <c r="B195" i="18"/>
  <c r="B179" i="18"/>
  <c r="B196" i="18" s="1"/>
  <c r="B199" i="18" s="1"/>
  <c r="C177" i="18"/>
  <c r="C176" i="18"/>
  <c r="C175" i="18"/>
  <c r="C173" i="18"/>
  <c r="C172" i="18"/>
  <c r="C171" i="18"/>
  <c r="C168" i="18"/>
  <c r="A161" i="18"/>
  <c r="C167" i="18"/>
  <c r="C144" i="18"/>
  <c r="A142" i="18"/>
  <c r="A141" i="18"/>
  <c r="C127" i="18"/>
  <c r="C126" i="18"/>
  <c r="B127" i="18"/>
  <c r="B111" i="18"/>
  <c r="B128" i="18" s="1"/>
  <c r="B131" i="18" s="1"/>
  <c r="C109" i="18"/>
  <c r="C108" i="18"/>
  <c r="C107" i="18"/>
  <c r="C105" i="18"/>
  <c r="C104" i="18"/>
  <c r="C103" i="18"/>
  <c r="C100" i="18"/>
  <c r="C99" i="18"/>
  <c r="A93" i="18"/>
  <c r="C76" i="18"/>
  <c r="A74" i="18"/>
  <c r="A73" i="18"/>
  <c r="B59" i="18"/>
  <c r="B43" i="18"/>
  <c r="B60" i="18" s="1"/>
  <c r="B63" i="18" s="1"/>
  <c r="C41" i="18"/>
  <c r="C40" i="18"/>
  <c r="C39" i="18"/>
  <c r="C37" i="18"/>
  <c r="C36" i="18"/>
  <c r="C35" i="18"/>
  <c r="C32" i="18"/>
  <c r="C31" i="18"/>
  <c r="A25" i="18"/>
  <c r="C503" i="17"/>
  <c r="B489" i="17"/>
  <c r="J488" i="17"/>
  <c r="E488" i="17"/>
  <c r="D485" i="17"/>
  <c r="H460" i="17"/>
  <c r="H459" i="17"/>
  <c r="H457" i="17"/>
  <c r="H456" i="17"/>
  <c r="I455" i="17"/>
  <c r="J454" i="17"/>
  <c r="K453" i="17"/>
  <c r="C449" i="17"/>
  <c r="B435" i="17"/>
  <c r="J434" i="17"/>
  <c r="E434" i="17"/>
  <c r="D431" i="17"/>
  <c r="H406" i="17"/>
  <c r="H405" i="17"/>
  <c r="H403" i="17"/>
  <c r="H402" i="17"/>
  <c r="I400" i="17"/>
  <c r="J399" i="17"/>
  <c r="K398" i="17"/>
  <c r="C393" i="17"/>
  <c r="B379" i="17"/>
  <c r="J378" i="17"/>
  <c r="E378" i="17"/>
  <c r="D375" i="17"/>
  <c r="H514" i="17"/>
  <c r="H513" i="17"/>
  <c r="H350" i="17"/>
  <c r="H349" i="17"/>
  <c r="H347" i="17"/>
  <c r="H346" i="17"/>
  <c r="I344" i="17"/>
  <c r="J343" i="17"/>
  <c r="K342" i="17"/>
  <c r="C338" i="17"/>
  <c r="B324" i="17"/>
  <c r="J323" i="17"/>
  <c r="E323" i="17"/>
  <c r="D319" i="17"/>
  <c r="H294" i="17"/>
  <c r="H293" i="17"/>
  <c r="H291" i="17"/>
  <c r="H290" i="17"/>
  <c r="I288" i="17"/>
  <c r="J287" i="17"/>
  <c r="K286" i="17"/>
  <c r="C282" i="17"/>
  <c r="B268" i="17"/>
  <c r="J267" i="17"/>
  <c r="E267" i="17"/>
  <c r="D263" i="17"/>
  <c r="H238" i="17"/>
  <c r="H237" i="17"/>
  <c r="H235" i="17"/>
  <c r="H234" i="17"/>
  <c r="I232" i="17"/>
  <c r="J231" i="17"/>
  <c r="K230" i="17"/>
  <c r="B212" i="17"/>
  <c r="J211" i="17"/>
  <c r="E211" i="17"/>
  <c r="D207" i="17"/>
  <c r="C226" i="17" s="1"/>
  <c r="H182" i="17"/>
  <c r="H181" i="17"/>
  <c r="H179" i="17"/>
  <c r="H178" i="17"/>
  <c r="I176" i="17"/>
  <c r="J175" i="17"/>
  <c r="K174" i="17"/>
  <c r="B156" i="17"/>
  <c r="J155" i="17"/>
  <c r="E155" i="17"/>
  <c r="D151" i="17"/>
  <c r="C170" i="17" s="1"/>
  <c r="H126" i="17"/>
  <c r="H125" i="17"/>
  <c r="H123" i="17"/>
  <c r="H122" i="17"/>
  <c r="I120" i="17"/>
  <c r="J119" i="17"/>
  <c r="K118" i="17"/>
  <c r="B99" i="17"/>
  <c r="J98" i="17"/>
  <c r="E98" i="17"/>
  <c r="D94" i="17"/>
  <c r="C113" i="17" s="1"/>
  <c r="H69" i="17"/>
  <c r="H68" i="17"/>
  <c r="H66" i="17"/>
  <c r="H65" i="17"/>
  <c r="I63" i="17"/>
  <c r="J62" i="17"/>
  <c r="K61" i="17"/>
  <c r="K3" i="17"/>
  <c r="D37" i="17"/>
  <c r="C56" i="17" s="1"/>
  <c r="H12" i="17"/>
  <c r="H9" i="17"/>
  <c r="H11" i="17"/>
  <c r="H8" i="17"/>
  <c r="H490" i="20"/>
  <c r="F485" i="20"/>
  <c r="F484" i="20"/>
  <c r="B485" i="20"/>
  <c r="K481" i="20"/>
  <c r="C479" i="20"/>
  <c r="B452" i="20"/>
  <c r="H446" i="20"/>
  <c r="H445" i="20"/>
  <c r="H444" i="20"/>
  <c r="H441" i="20"/>
  <c r="H440" i="20"/>
  <c r="H439" i="20"/>
  <c r="H438" i="20"/>
  <c r="F432" i="20"/>
  <c r="F431" i="20"/>
  <c r="B432" i="20"/>
  <c r="K427" i="20"/>
  <c r="C425" i="20"/>
  <c r="B398" i="20"/>
  <c r="H392" i="20"/>
  <c r="H391" i="20"/>
  <c r="H390" i="20"/>
  <c r="H387" i="20"/>
  <c r="H386" i="20"/>
  <c r="H385" i="20"/>
  <c r="H384" i="20"/>
  <c r="F378" i="20"/>
  <c r="F377" i="20"/>
  <c r="B378" i="20"/>
  <c r="K373" i="20"/>
  <c r="C371" i="20"/>
  <c r="B344" i="20"/>
  <c r="H338" i="20"/>
  <c r="H337" i="20"/>
  <c r="H336" i="20"/>
  <c r="H333" i="20"/>
  <c r="H332" i="20"/>
  <c r="H331" i="20"/>
  <c r="H330" i="20"/>
  <c r="F323" i="20"/>
  <c r="F322" i="20"/>
  <c r="B323" i="20"/>
  <c r="K318" i="20"/>
  <c r="C316" i="20"/>
  <c r="B289" i="20"/>
  <c r="H283" i="20"/>
  <c r="H282" i="20"/>
  <c r="H281" i="20"/>
  <c r="H278" i="20"/>
  <c r="H277" i="20"/>
  <c r="H276" i="20"/>
  <c r="H275" i="20"/>
  <c r="F270" i="20"/>
  <c r="F269" i="20"/>
  <c r="B270" i="20"/>
  <c r="K265" i="20"/>
  <c r="C263" i="20"/>
  <c r="B236" i="20"/>
  <c r="H230" i="20"/>
  <c r="H229" i="20"/>
  <c r="H228" i="20"/>
  <c r="H225" i="20"/>
  <c r="H224" i="20"/>
  <c r="H223" i="20"/>
  <c r="H222" i="20"/>
  <c r="F216" i="20"/>
  <c r="F215" i="20"/>
  <c r="B216" i="20"/>
  <c r="K211" i="20"/>
  <c r="C209" i="20"/>
  <c r="B182" i="20"/>
  <c r="H176" i="20"/>
  <c r="H175" i="20"/>
  <c r="H174" i="20"/>
  <c r="H171" i="20"/>
  <c r="H170" i="20"/>
  <c r="H169" i="20"/>
  <c r="H168" i="20"/>
  <c r="F162" i="20"/>
  <c r="F161" i="20"/>
  <c r="B162" i="20"/>
  <c r="C155" i="20"/>
  <c r="B128" i="20"/>
  <c r="H121" i="20"/>
  <c r="H122" i="20"/>
  <c r="H120" i="20"/>
  <c r="H117" i="20"/>
  <c r="H116" i="20"/>
  <c r="H115" i="20"/>
  <c r="H114" i="20"/>
  <c r="K103" i="20"/>
  <c r="C101" i="20"/>
  <c r="F108" i="20"/>
  <c r="F107" i="20"/>
  <c r="B108" i="20"/>
  <c r="B74" i="20"/>
  <c r="H68" i="20"/>
  <c r="H67" i="20"/>
  <c r="H66" i="20"/>
  <c r="H63" i="20"/>
  <c r="H62" i="20"/>
  <c r="H61" i="20"/>
  <c r="H60" i="20"/>
  <c r="B54" i="20"/>
  <c r="K49" i="20"/>
  <c r="C47" i="20"/>
  <c r="B20" i="20"/>
  <c r="B597" i="17"/>
  <c r="J596" i="17"/>
  <c r="E596" i="17"/>
  <c r="I563" i="17"/>
  <c r="J562" i="17"/>
  <c r="B543" i="17"/>
  <c r="J542" i="17"/>
  <c r="E542" i="17"/>
  <c r="I509" i="17"/>
  <c r="J508" i="17"/>
  <c r="F587" i="20"/>
  <c r="F586" i="20"/>
  <c r="H549" i="20"/>
  <c r="H548" i="20"/>
  <c r="H547" i="20"/>
  <c r="H544" i="20"/>
  <c r="H543" i="20"/>
  <c r="H542" i="20"/>
  <c r="H541" i="20"/>
  <c r="F536" i="20"/>
  <c r="F535" i="20"/>
  <c r="H498" i="20"/>
  <c r="H497" i="20"/>
  <c r="H496" i="20"/>
  <c r="H493" i="20"/>
  <c r="H492" i="20"/>
  <c r="H491" i="20"/>
  <c r="C739" i="18"/>
  <c r="C738" i="18"/>
  <c r="C688" i="18"/>
  <c r="A686" i="18"/>
  <c r="A685" i="18"/>
  <c r="C671" i="18"/>
  <c r="C670" i="18"/>
  <c r="C620" i="18"/>
  <c r="A618" i="18"/>
  <c r="C603" i="18"/>
  <c r="C602" i="18"/>
  <c r="F474" i="19"/>
  <c r="F473" i="19"/>
  <c r="B474" i="19"/>
  <c r="K468" i="19"/>
  <c r="B458" i="19"/>
  <c r="H453" i="19"/>
  <c r="H452" i="19"/>
  <c r="H451" i="19"/>
  <c r="H450" i="19"/>
  <c r="H449" i="19"/>
  <c r="H448" i="19"/>
  <c r="H445" i="19"/>
  <c r="H444" i="19"/>
  <c r="H443" i="19"/>
  <c r="H442" i="19"/>
  <c r="H440" i="19"/>
  <c r="H438" i="19"/>
  <c r="H432" i="19"/>
  <c r="B439" i="19"/>
  <c r="B432" i="19"/>
  <c r="B430" i="19"/>
  <c r="F421" i="19"/>
  <c r="F420" i="19"/>
  <c r="B421" i="19"/>
  <c r="K415" i="19"/>
  <c r="B406" i="19"/>
  <c r="H401" i="19"/>
  <c r="H400" i="19"/>
  <c r="H399" i="19"/>
  <c r="H398" i="19"/>
  <c r="H397" i="19"/>
  <c r="H396" i="19"/>
  <c r="H393" i="19"/>
  <c r="H392" i="19"/>
  <c r="H391" i="19"/>
  <c r="H390" i="19"/>
  <c r="H388" i="19"/>
  <c r="H386" i="19"/>
  <c r="H380" i="19"/>
  <c r="B387" i="19"/>
  <c r="B380" i="19"/>
  <c r="B378" i="19"/>
  <c r="F369" i="19"/>
  <c r="F368" i="19"/>
  <c r="B369" i="19"/>
  <c r="K363" i="19"/>
  <c r="B353" i="19"/>
  <c r="H348" i="19"/>
  <c r="H347" i="19"/>
  <c r="H346" i="19"/>
  <c r="H345" i="19"/>
  <c r="H344" i="19"/>
  <c r="H343" i="19"/>
  <c r="H340" i="19"/>
  <c r="H339" i="19"/>
  <c r="H338" i="19"/>
  <c r="H337" i="19"/>
  <c r="H335" i="19"/>
  <c r="H333" i="19"/>
  <c r="H327" i="19"/>
  <c r="B334" i="19"/>
  <c r="B327" i="19"/>
  <c r="B325" i="19"/>
  <c r="F316" i="19"/>
  <c r="F315" i="19"/>
  <c r="B316" i="19"/>
  <c r="K310" i="19"/>
  <c r="B300" i="19"/>
  <c r="H295" i="19"/>
  <c r="H294" i="19"/>
  <c r="H293" i="19"/>
  <c r="H292" i="19"/>
  <c r="H291" i="19"/>
  <c r="H290" i="19"/>
  <c r="H287" i="19"/>
  <c r="H286" i="19"/>
  <c r="H285" i="19"/>
  <c r="H284" i="19"/>
  <c r="H282" i="19"/>
  <c r="H280" i="19"/>
  <c r="H274" i="19"/>
  <c r="B281" i="19"/>
  <c r="B274" i="19"/>
  <c r="B272" i="19"/>
  <c r="F263" i="19"/>
  <c r="F262" i="19"/>
  <c r="B263" i="19"/>
  <c r="K257" i="19"/>
  <c r="B247" i="19"/>
  <c r="H242" i="19"/>
  <c r="H241" i="19"/>
  <c r="H240" i="19"/>
  <c r="H239" i="19"/>
  <c r="H238" i="19"/>
  <c r="H237" i="19"/>
  <c r="H234" i="19"/>
  <c r="H233" i="19"/>
  <c r="H232" i="19"/>
  <c r="H231" i="19"/>
  <c r="H229" i="19"/>
  <c r="H227" i="19"/>
  <c r="H221" i="19"/>
  <c r="B228" i="19"/>
  <c r="B221" i="19"/>
  <c r="B219" i="19"/>
  <c r="F210" i="19"/>
  <c r="F209" i="19"/>
  <c r="B210" i="19"/>
  <c r="K204" i="19"/>
  <c r="B194" i="19"/>
  <c r="H189" i="19"/>
  <c r="H188" i="19"/>
  <c r="H187" i="19"/>
  <c r="H186" i="19"/>
  <c r="H185" i="19"/>
  <c r="H184" i="19"/>
  <c r="H181" i="19"/>
  <c r="H180" i="19"/>
  <c r="H179" i="19"/>
  <c r="H178" i="19"/>
  <c r="H176" i="19"/>
  <c r="H174" i="19"/>
  <c r="H168" i="19"/>
  <c r="B175" i="19"/>
  <c r="B168" i="19"/>
  <c r="B166" i="19"/>
  <c r="F157" i="19"/>
  <c r="F156" i="19"/>
  <c r="B157" i="19"/>
  <c r="K151" i="19"/>
  <c r="B141" i="19"/>
  <c r="H136" i="19"/>
  <c r="H135" i="19"/>
  <c r="H134" i="19"/>
  <c r="H133" i="19"/>
  <c r="H132" i="19"/>
  <c r="H131" i="19"/>
  <c r="H128" i="19"/>
  <c r="H127" i="19"/>
  <c r="H126" i="19"/>
  <c r="H125" i="19"/>
  <c r="H123" i="19"/>
  <c r="H121" i="19"/>
  <c r="H115" i="19"/>
  <c r="B122" i="19"/>
  <c r="B115" i="19"/>
  <c r="B113" i="19"/>
  <c r="F103" i="19"/>
  <c r="F102" i="19"/>
  <c r="B103" i="19"/>
  <c r="K97" i="19"/>
  <c r="B87" i="19"/>
  <c r="H82" i="19"/>
  <c r="H81" i="19"/>
  <c r="H80" i="19"/>
  <c r="H79" i="19"/>
  <c r="H78" i="19"/>
  <c r="H77" i="19"/>
  <c r="H74" i="19"/>
  <c r="H73" i="19"/>
  <c r="H72" i="19"/>
  <c r="H71" i="19"/>
  <c r="H69" i="19"/>
  <c r="H67" i="19"/>
  <c r="H61" i="19"/>
  <c r="B68" i="19"/>
  <c r="B61" i="19"/>
  <c r="B59" i="19"/>
  <c r="F525" i="19"/>
  <c r="B525" i="19"/>
  <c r="F524" i="19"/>
  <c r="K521" i="19"/>
  <c r="B512" i="19"/>
  <c r="H507" i="19"/>
  <c r="H506" i="19"/>
  <c r="H505" i="19"/>
  <c r="H504" i="19"/>
  <c r="H503" i="19"/>
  <c r="H502" i="19"/>
  <c r="H499" i="19"/>
  <c r="H498" i="19"/>
  <c r="H497" i="19"/>
  <c r="H496" i="19"/>
  <c r="H494" i="19"/>
  <c r="B493" i="19"/>
  <c r="H492" i="19"/>
  <c r="H486" i="19"/>
  <c r="B486" i="19"/>
  <c r="H484" i="19"/>
  <c r="B484" i="19"/>
  <c r="F576" i="19"/>
  <c r="B576" i="19"/>
  <c r="F575" i="19"/>
  <c r="K570" i="19"/>
  <c r="B561" i="19"/>
  <c r="H556" i="19"/>
  <c r="H555" i="19"/>
  <c r="H554" i="19"/>
  <c r="H553" i="19"/>
  <c r="H552" i="19"/>
  <c r="H551" i="19"/>
  <c r="H548" i="19"/>
  <c r="H547" i="19"/>
  <c r="H546" i="19"/>
  <c r="H545" i="19"/>
  <c r="H543" i="19"/>
  <c r="B542" i="19"/>
  <c r="H541" i="19"/>
  <c r="H535" i="19"/>
  <c r="B535" i="19"/>
  <c r="H533" i="19"/>
  <c r="B533" i="19"/>
  <c r="K45" i="19"/>
  <c r="B35" i="19"/>
  <c r="B51" i="19"/>
  <c r="G13" i="21"/>
  <c r="B13" i="21"/>
  <c r="B11" i="21"/>
  <c r="F54" i="20"/>
  <c r="F53" i="20"/>
  <c r="H14" i="20"/>
  <c r="H13" i="20"/>
  <c r="H12" i="20"/>
  <c r="H9" i="20"/>
  <c r="H8" i="20"/>
  <c r="H7" i="20"/>
  <c r="H6" i="20"/>
  <c r="F51" i="19"/>
  <c r="H30" i="19"/>
  <c r="H29" i="19"/>
  <c r="H28" i="19"/>
  <c r="H27" i="19"/>
  <c r="H26" i="19"/>
  <c r="H25" i="19"/>
  <c r="H22" i="19"/>
  <c r="H21" i="19"/>
  <c r="H20" i="19"/>
  <c r="H19" i="19"/>
  <c r="C59" i="18"/>
  <c r="C58" i="18"/>
  <c r="C8" i="18"/>
  <c r="A6" i="18"/>
  <c r="A5" i="18"/>
  <c r="I5" i="17" l="1"/>
  <c r="J4" i="17"/>
  <c r="E41" i="17"/>
  <c r="B42" i="17"/>
  <c r="J41" i="17"/>
  <c r="L33" i="10" l="1"/>
  <c r="K33" i="10"/>
  <c r="I33" i="10"/>
  <c r="G33" i="10"/>
  <c r="E33" i="10"/>
  <c r="J28" i="10"/>
  <c r="H26" i="10"/>
  <c r="H25" i="10"/>
  <c r="J24" i="10"/>
  <c r="J23" i="10"/>
  <c r="H22" i="10"/>
  <c r="H21" i="10"/>
  <c r="H20" i="10"/>
  <c r="H19" i="10"/>
  <c r="H17" i="10"/>
  <c r="H15" i="10"/>
  <c r="B16" i="10"/>
  <c r="B9" i="10"/>
  <c r="H9" i="10" s="1"/>
  <c r="B7" i="10"/>
  <c r="C1" i="16" l="1"/>
  <c r="D19" i="16"/>
  <c r="D18" i="16"/>
  <c r="D17" i="16"/>
  <c r="D16" i="16"/>
  <c r="D15" i="16"/>
  <c r="D14" i="16"/>
  <c r="D13" i="16"/>
  <c r="D12" i="16"/>
  <c r="D11" i="16"/>
  <c r="D10" i="16"/>
  <c r="D9" i="16"/>
  <c r="D8" i="16"/>
  <c r="D7" i="16"/>
  <c r="D6" i="16"/>
  <c r="D5" i="16"/>
  <c r="D4" i="16"/>
  <c r="D3" i="16"/>
  <c r="C19" i="16"/>
  <c r="C18" i="16"/>
  <c r="C17" i="16"/>
  <c r="C16" i="16"/>
  <c r="C15" i="16"/>
  <c r="C14" i="16"/>
  <c r="C13" i="16"/>
  <c r="C12" i="16"/>
  <c r="C11" i="16"/>
  <c r="C10" i="16"/>
  <c r="C9" i="16"/>
  <c r="C8" i="16"/>
  <c r="C7" i="16"/>
  <c r="C6" i="16"/>
  <c r="C5" i="16"/>
  <c r="C3" i="16"/>
  <c r="F13" i="13"/>
  <c r="F12" i="13"/>
  <c r="F10" i="13"/>
  <c r="F8" i="13"/>
  <c r="D6" i="13"/>
  <c r="C4" i="16" l="1"/>
  <c r="H430" i="19"/>
  <c r="H378" i="19"/>
  <c r="H325" i="19"/>
  <c r="H272" i="19"/>
  <c r="H219" i="19"/>
  <c r="H166" i="19"/>
  <c r="H113" i="19"/>
  <c r="H59" i="19"/>
  <c r="G11" i="21"/>
  <c r="F50" i="19"/>
  <c r="H7" i="10"/>
  <c r="F11" i="13"/>
  <c r="D5" i="12"/>
  <c r="L357" i="10" l="1"/>
  <c r="K357" i="10"/>
  <c r="I357" i="10"/>
  <c r="G357" i="10"/>
  <c r="E357" i="10"/>
  <c r="J356" i="10"/>
  <c r="J352" i="10"/>
  <c r="H350" i="10"/>
  <c r="J348" i="10"/>
  <c r="J347" i="10"/>
  <c r="H346" i="10"/>
  <c r="H345" i="10"/>
  <c r="H344" i="10"/>
  <c r="H343" i="10"/>
  <c r="H341" i="10"/>
  <c r="B340" i="10"/>
  <c r="H339" i="10"/>
  <c r="H333" i="10"/>
  <c r="B333" i="10"/>
  <c r="H331" i="10"/>
  <c r="B331" i="10"/>
  <c r="L318" i="10"/>
  <c r="K318" i="10"/>
  <c r="I318" i="10"/>
  <c r="G318" i="10"/>
  <c r="E318" i="10"/>
  <c r="J317" i="10"/>
  <c r="J313" i="10"/>
  <c r="H311" i="10"/>
  <c r="J309" i="10"/>
  <c r="J308" i="10"/>
  <c r="H307" i="10"/>
  <c r="H306" i="10"/>
  <c r="H305" i="10"/>
  <c r="H304" i="10"/>
  <c r="H302" i="10"/>
  <c r="B301" i="10"/>
  <c r="H300" i="10"/>
  <c r="H294" i="10"/>
  <c r="B294" i="10"/>
  <c r="H292" i="10"/>
  <c r="B292" i="10"/>
  <c r="L279" i="10"/>
  <c r="K279" i="10"/>
  <c r="I279" i="10"/>
  <c r="G279" i="10"/>
  <c r="E279" i="10"/>
  <c r="J278" i="10"/>
  <c r="J274" i="10"/>
  <c r="H272" i="10"/>
  <c r="J270" i="10"/>
  <c r="J269" i="10"/>
  <c r="H268" i="10"/>
  <c r="H267" i="10"/>
  <c r="H266" i="10"/>
  <c r="H265" i="10"/>
  <c r="H263" i="10"/>
  <c r="B262" i="10"/>
  <c r="H261" i="10"/>
  <c r="H255" i="10"/>
  <c r="B255" i="10"/>
  <c r="H253" i="10"/>
  <c r="B253" i="10"/>
  <c r="L240" i="10"/>
  <c r="K240" i="10"/>
  <c r="I240" i="10"/>
  <c r="G240" i="10"/>
  <c r="E240" i="10"/>
  <c r="J239" i="10"/>
  <c r="J235" i="10"/>
  <c r="H233" i="10"/>
  <c r="J231" i="10"/>
  <c r="J230" i="10"/>
  <c r="H229" i="10"/>
  <c r="H228" i="10"/>
  <c r="H227" i="10"/>
  <c r="H226" i="10"/>
  <c r="H224" i="10"/>
  <c r="B223" i="10"/>
  <c r="H222" i="10"/>
  <c r="H216" i="10"/>
  <c r="B216" i="10"/>
  <c r="H214" i="10"/>
  <c r="B214" i="10"/>
  <c r="L202" i="10"/>
  <c r="K202" i="10"/>
  <c r="I202" i="10"/>
  <c r="G202" i="10"/>
  <c r="E202" i="10"/>
  <c r="J201" i="10"/>
  <c r="J197" i="10"/>
  <c r="H195" i="10"/>
  <c r="J193" i="10"/>
  <c r="J192" i="10"/>
  <c r="H191" i="10"/>
  <c r="H190" i="10"/>
  <c r="H189" i="10"/>
  <c r="H188" i="10"/>
  <c r="H186" i="10"/>
  <c r="B185" i="10"/>
  <c r="H184" i="10"/>
  <c r="H178" i="10"/>
  <c r="B178" i="10"/>
  <c r="H176" i="10"/>
  <c r="B176" i="10"/>
  <c r="L163" i="10"/>
  <c r="K163" i="10"/>
  <c r="I163" i="10"/>
  <c r="G163" i="10"/>
  <c r="E163" i="10"/>
  <c r="J162" i="10"/>
  <c r="J158" i="10"/>
  <c r="H156" i="10"/>
  <c r="J154" i="10"/>
  <c r="J153" i="10"/>
  <c r="H152" i="10"/>
  <c r="H151" i="10"/>
  <c r="H150" i="10"/>
  <c r="H149" i="10"/>
  <c r="H147" i="10"/>
  <c r="B146" i="10"/>
  <c r="H145" i="10"/>
  <c r="H139" i="10"/>
  <c r="B139" i="10"/>
  <c r="H137" i="10"/>
  <c r="B137" i="10"/>
  <c r="L125" i="10"/>
  <c r="K125" i="10"/>
  <c r="I125" i="10"/>
  <c r="G125" i="10"/>
  <c r="E125" i="10"/>
  <c r="J124" i="10"/>
  <c r="J120" i="10"/>
  <c r="H118" i="10"/>
  <c r="J116" i="10"/>
  <c r="J115" i="10"/>
  <c r="H114" i="10"/>
  <c r="H113" i="10"/>
  <c r="H112" i="10"/>
  <c r="H111" i="10"/>
  <c r="H109" i="10"/>
  <c r="B108" i="10"/>
  <c r="H107" i="10"/>
  <c r="H101" i="10"/>
  <c r="B101" i="10"/>
  <c r="H99" i="10"/>
  <c r="B99" i="10"/>
  <c r="L87" i="10"/>
  <c r="K87" i="10"/>
  <c r="I87" i="10"/>
  <c r="G87" i="10"/>
  <c r="E87" i="10"/>
  <c r="J86" i="10"/>
  <c r="J82" i="10"/>
  <c r="H80" i="10"/>
  <c r="J78" i="10"/>
  <c r="J77" i="10"/>
  <c r="H76" i="10"/>
  <c r="H75" i="10"/>
  <c r="H74" i="10"/>
  <c r="H73" i="10"/>
  <c r="H71" i="10"/>
  <c r="B70" i="10"/>
  <c r="H69" i="10"/>
  <c r="H63" i="10"/>
  <c r="B63" i="10"/>
  <c r="H61" i="10"/>
  <c r="B61" i="10"/>
  <c r="J88" i="10" l="1"/>
  <c r="J358" i="10"/>
  <c r="J164" i="10"/>
  <c r="J241" i="10"/>
  <c r="J319" i="10"/>
  <c r="J126" i="10"/>
  <c r="J203" i="10"/>
  <c r="J280" i="10"/>
  <c r="B5" i="9" l="1"/>
  <c r="D4" i="9"/>
  <c r="F9" i="9"/>
  <c r="F8" i="9"/>
  <c r="F6" i="9"/>
  <c r="F5" i="9"/>
  <c r="F6" i="8"/>
  <c r="F5" i="8"/>
  <c r="F9" i="8"/>
  <c r="B5" i="8"/>
  <c r="D4" i="8"/>
  <c r="F8" i="8"/>
  <c r="D7" i="8"/>
  <c r="E9" i="6"/>
  <c r="E8" i="6"/>
  <c r="D7" i="6"/>
  <c r="E6" i="6"/>
  <c r="E5" i="6"/>
  <c r="B5" i="6"/>
  <c r="D4" i="6"/>
  <c r="E9" i="7"/>
  <c r="E8" i="7"/>
  <c r="D7" i="7"/>
  <c r="E6" i="7"/>
  <c r="E5" i="7"/>
  <c r="B5" i="7"/>
  <c r="D4" i="7"/>
  <c r="E6" i="5"/>
  <c r="E5" i="5"/>
  <c r="E9" i="5"/>
  <c r="E8" i="5"/>
  <c r="D4" i="5"/>
  <c r="D7" i="5"/>
  <c r="H17" i="19" l="1"/>
  <c r="H15" i="19"/>
  <c r="B16" i="19"/>
  <c r="B9" i="19" l="1"/>
  <c r="H9" i="19"/>
  <c r="B7" i="19"/>
  <c r="H7" i="19"/>
  <c r="J10" i="30" l="1"/>
  <c r="AU18" i="1"/>
  <c r="E20" i="13"/>
  <c r="H20" i="13" s="1"/>
  <c r="V8" i="30" l="1"/>
  <c r="V10" i="30" s="1"/>
  <c r="E23" i="4"/>
  <c r="J32" i="10"/>
  <c r="J34" i="10" s="1"/>
  <c r="O10" i="30" l="1"/>
  <c r="M10" i="30"/>
  <c r="O23" i="4"/>
  <c r="E27" i="4"/>
  <c r="O27" i="4" s="1"/>
  <c r="E154" i="4" l="1"/>
  <c r="O154" i="4" l="1"/>
  <c r="E158" i="4"/>
  <c r="O158" i="4" s="1"/>
</calcChain>
</file>

<file path=xl/sharedStrings.xml><?xml version="1.0" encoding="utf-8"?>
<sst xmlns="http://schemas.openxmlformats.org/spreadsheetml/2006/main" count="3982" uniqueCount="635">
  <si>
    <t>Name and address of Contractor:</t>
  </si>
  <si>
    <t>Name and address of Establishemnt in/
under which contract is carried on:</t>
  </si>
  <si>
    <t>Nature and location of work:</t>
  </si>
  <si>
    <t>Wage period: Monthly</t>
  </si>
  <si>
    <t>Name and address of Principal Employer:</t>
  </si>
  <si>
    <t>S.No</t>
  </si>
  <si>
    <t>Name of 
Workman</t>
  </si>
  <si>
    <t>Serial No. in the
 Register of Workmen</t>
  </si>
  <si>
    <t>Designation /
 Nature of Work 
Done</t>
  </si>
  <si>
    <t>No.of Days
 worked</t>
  </si>
  <si>
    <t>Unit of 
work done</t>
  </si>
  <si>
    <t>Basic
 wages</t>
  </si>
  <si>
    <t>Dearness 
Allowances</t>
  </si>
  <si>
    <t>Over
time</t>
  </si>
  <si>
    <t>Other cash payments      (Nature of payments
 to be indicated)</t>
  </si>
  <si>
    <t>HRA</t>
  </si>
  <si>
    <t>CONVEYANCE</t>
  </si>
  <si>
    <t>MEDICAL ALLOWANCES</t>
  </si>
  <si>
    <t>SPECIAL ALLOWNANCES</t>
  </si>
  <si>
    <t>Total</t>
  </si>
  <si>
    <t>BONUS</t>
  </si>
  <si>
    <t>GRATUITY</t>
  </si>
  <si>
    <t>LTA/L.E</t>
  </si>
  <si>
    <t>ARREAR AMOUNT</t>
  </si>
  <si>
    <t>TOTAL AMOUNT</t>
  </si>
  <si>
    <t>Deductions, if any, 
(Indicate nature)</t>
  </si>
  <si>
    <t>Net Amount 
paid</t>
  </si>
  <si>
    <t>Time and Date of Payment</t>
  </si>
  <si>
    <t>Place of Payment</t>
  </si>
  <si>
    <t>Signature/Thumb
Impression of workman</t>
  </si>
  <si>
    <t>Initial of Contractor
 or his representative</t>
  </si>
  <si>
    <t>ESI</t>
  </si>
  <si>
    <t>PF</t>
  </si>
  <si>
    <t>PT</t>
  </si>
  <si>
    <t>TDS</t>
  </si>
  <si>
    <t>MED</t>
  </si>
  <si>
    <t>Total Deductions</t>
  </si>
  <si>
    <t>N/A</t>
  </si>
  <si>
    <t xml:space="preserve">Signature of the Contractor with Seal </t>
  </si>
  <si>
    <t>Sex</t>
  </si>
  <si>
    <t>Remarks</t>
  </si>
  <si>
    <t>Father's /Husband Name</t>
  </si>
  <si>
    <t>Permanent Address</t>
  </si>
  <si>
    <t>Local Address</t>
  </si>
  <si>
    <t>Date of Commencement of Employment</t>
  </si>
  <si>
    <t>Signature or thumb impression of Workman</t>
  </si>
  <si>
    <t>Date of termination of Employment</t>
  </si>
  <si>
    <t>Reasons for termination</t>
  </si>
  <si>
    <r>
      <t xml:space="preserve">                                                                                         </t>
    </r>
    <r>
      <rPr>
        <b/>
        <sz val="25"/>
        <color indexed="8"/>
        <rFont val="Calibri"/>
        <family val="2"/>
      </rPr>
      <t xml:space="preserve">FORM - XIII REGISTER OF WORKMEN EMPLOYED BY CONTRACTOR
</t>
    </r>
  </si>
  <si>
    <t xml:space="preserve">Age </t>
  </si>
  <si>
    <t>Name and address of Contractor</t>
  </si>
  <si>
    <t>Name and Father's / Husband's name of the workman</t>
  </si>
  <si>
    <t>Nature and location of work</t>
  </si>
  <si>
    <t>For the Week / Fortnight / Month ending</t>
  </si>
  <si>
    <t>No. of days worked</t>
  </si>
  <si>
    <t>No. of units worked in case of piece rate workers :</t>
  </si>
  <si>
    <t>Rate of daily wages / piece rate</t>
  </si>
  <si>
    <t>Amount of overtime wages</t>
  </si>
  <si>
    <t>Nil</t>
  </si>
  <si>
    <t>Gross wages payble</t>
  </si>
  <si>
    <t>EPF</t>
  </si>
  <si>
    <t>Deductions, if any</t>
  </si>
  <si>
    <t>Net amount of wages paid</t>
  </si>
  <si>
    <t>Initial of the Contractor or his representative</t>
  </si>
  <si>
    <r>
      <t xml:space="preserve">Name and address of Contractor: </t>
    </r>
    <r>
      <rPr>
        <b/>
        <sz val="9"/>
        <rFont val="Arial"/>
        <family val="2"/>
      </rPr>
      <t xml:space="preserve">GROTECH LANDSCAPE DEVELOPERS PVT.LTD. </t>
    </r>
  </si>
  <si>
    <t xml:space="preserve">Name and address of principal employer: </t>
  </si>
  <si>
    <t>Name of workman</t>
  </si>
  <si>
    <t>Father's / Husband's Name</t>
  </si>
  <si>
    <t>Designation / Nature of employment</t>
  </si>
  <si>
    <t>Particulars of damage or loss</t>
  </si>
  <si>
    <t>Date of Damage or loss</t>
  </si>
  <si>
    <t>Whether workman showed cause against deduction</t>
  </si>
  <si>
    <t>Name of person in whose presence employee's explanation was heard</t>
  </si>
  <si>
    <t>Amount of deduction impossed</t>
  </si>
  <si>
    <t>Date of recovery</t>
  </si>
  <si>
    <t>No.of Instalments</t>
  </si>
  <si>
    <t>First Instalment</t>
  </si>
  <si>
    <t>Last instalment</t>
  </si>
  <si>
    <t xml:space="preserve">Nature and Location of Work: </t>
  </si>
  <si>
    <t xml:space="preserve">Name and address of the establishment in  / under which contract is carried on:                             </t>
  </si>
  <si>
    <t>Act/Omission for which fine imposed</t>
  </si>
  <si>
    <t>Date of offence</t>
  </si>
  <si>
    <t>Whether workman showed cause against fine</t>
  </si>
  <si>
    <t>Wage-period and wge payable</t>
  </si>
  <si>
    <t>Amount of fine Imposed</t>
  </si>
  <si>
    <t>Date on which fine realised</t>
  </si>
  <si>
    <t xml:space="preserve">NO EMPLOYEE WAS IMPOSED FINESFOR THE MONTH OF </t>
  </si>
  <si>
    <t>Wage period and wages payable</t>
  </si>
  <si>
    <t>Date and amount of advance given</t>
  </si>
  <si>
    <t>Purpose(s) for which advance made</t>
  </si>
  <si>
    <t>Number of instalments by which advance to be repaid</t>
  </si>
  <si>
    <t>Date and amount of each instalment repaid</t>
  </si>
  <si>
    <t>Date on which last instalment was repaid</t>
  </si>
  <si>
    <t xml:space="preserve">NO EMPLOYEE TAKEN ADVANCE FOR THE MONTH OF </t>
  </si>
  <si>
    <r>
      <t xml:space="preserve">Name and address of Contractor: </t>
    </r>
    <r>
      <rPr>
        <b/>
        <sz val="10"/>
        <rFont val="Arial"/>
        <family val="2"/>
      </rPr>
      <t xml:space="preserve">GROTECH LANDSCAPE DEVELOPERS PVT.LTD.    </t>
    </r>
    <r>
      <rPr>
        <sz val="10"/>
        <rFont val="Arial"/>
        <family val="2"/>
      </rPr>
      <t xml:space="preserve">                                                                                                                                                                    E-35 GREATER KAILASH ENCLAVE-1 NEW DELHI</t>
    </r>
  </si>
  <si>
    <t>Date on which overtime worked</t>
  </si>
  <si>
    <t>Total overtime worked or production in case of piece-rates</t>
  </si>
  <si>
    <t>Normal rate of wages</t>
  </si>
  <si>
    <t>Overtime rate of wages</t>
  </si>
  <si>
    <t>overtime earnings</t>
  </si>
  <si>
    <t>Date on which overtime wages paid</t>
  </si>
  <si>
    <t xml:space="preserve">NO EMPLOYEE DONE OVERTIME FOR THE MONTH OF </t>
  </si>
  <si>
    <t xml:space="preserve">Name and address of the establishment in  which under contract is carried on: </t>
  </si>
  <si>
    <t xml:space="preserve">  ACCIDENT BOOK&amp; REGISTER OF ACCIDENTS &amp; DANGEROUS OCCURRENCES</t>
  </si>
  <si>
    <t>(Vide Form 15 under Rule 66 of E.S.I. Regulations &amp; Form 26 under Rule 104 of A.P.Factories Rules, 1950)</t>
  </si>
  <si>
    <t>Employer's Code No.     52000570900001099</t>
  </si>
  <si>
    <t>Date and time of notice in Form 16 u/E.S.I. Regulations or date of report ( in form 18 u/Factories Rules) to Inspector of Factories</t>
  </si>
  <si>
    <t>Name and address of the Injured Person</t>
  </si>
  <si>
    <t>Age</t>
  </si>
  <si>
    <t>Insurance Number</t>
  </si>
  <si>
    <t>Shift,Department and occupation of employee</t>
  </si>
  <si>
    <t>Name,occupation,address and signature or the thumb impression of the persons giving notice</t>
  </si>
  <si>
    <t>Signature and designation of the person who makes the entry</t>
  </si>
  <si>
    <t>Name,address and occupation of the two witnesses</t>
  </si>
  <si>
    <t>No.of days injured person was absent from work</t>
  </si>
  <si>
    <t xml:space="preserve">Date and time </t>
  </si>
  <si>
    <t>Dept. Shift Occupation</t>
  </si>
  <si>
    <t>Date of  the accident</t>
  </si>
  <si>
    <t>Time of Injury</t>
  </si>
  <si>
    <t>Place of Injury</t>
  </si>
  <si>
    <t>Cause of Injury</t>
  </si>
  <si>
    <t xml:space="preserve">Name and address of the establishment in  / under which contract is carried on: </t>
  </si>
  <si>
    <r>
      <t xml:space="preserve">Name and address of Contractor: </t>
    </r>
    <r>
      <rPr>
        <sz val="10"/>
        <rFont val="Arial"/>
        <family val="2"/>
      </rPr>
      <t xml:space="preserve">                                                                                                                                                                  </t>
    </r>
  </si>
  <si>
    <t xml:space="preserve">               NO ACCIDENT OCCURRED  FOR THE MONTH OF </t>
  </si>
  <si>
    <t>FORM XIV</t>
  </si>
  <si>
    <t>EMPLOYMENT CUM WAGE CARD</t>
  </si>
  <si>
    <t>Name and Address of the Contractor</t>
  </si>
  <si>
    <t>Name and Address of the Establishment in/under which Contract is carried on:</t>
  </si>
  <si>
    <t xml:space="preserve">                          </t>
  </si>
  <si>
    <t>Nature of work and location of work:</t>
  </si>
  <si>
    <t>1. Name of the Workman and address</t>
  </si>
  <si>
    <t>2. S.No. in the Register of Workmen
     Employed</t>
  </si>
  <si>
    <t>3. Nature of Employment /Designation</t>
  </si>
  <si>
    <t>4. Date of entry into service</t>
  </si>
  <si>
    <t>5. ESI No.</t>
  </si>
  <si>
    <t>6.PF No.</t>
  </si>
  <si>
    <t>7. Wage rate (With particulars of unit in
     case of piece - work)</t>
  </si>
  <si>
    <t>8. Wage period</t>
  </si>
  <si>
    <t>9. Tenure of Employment</t>
  </si>
  <si>
    <t>AS PER CONTRACT</t>
  </si>
  <si>
    <t>10.No. of days worked in a month</t>
  </si>
  <si>
    <t>11. No. of units worked in case of piece rate workers</t>
  </si>
  <si>
    <t>12. Rate of daily wages / piece rate</t>
  </si>
  <si>
    <t>13. Amount of overtime wages</t>
  </si>
  <si>
    <t>14. Gross wages payable</t>
  </si>
  <si>
    <t>15. Deductions, if any,</t>
  </si>
  <si>
    <t>16. Net amount of wages paid</t>
  </si>
  <si>
    <t>Signature of the Representative</t>
  </si>
  <si>
    <t>of Contractor</t>
  </si>
  <si>
    <t>EPF Number</t>
  </si>
  <si>
    <t>ESI Number</t>
  </si>
  <si>
    <t>To</t>
  </si>
  <si>
    <t>Signature of the Employee</t>
  </si>
  <si>
    <t>BONUS REGISTER</t>
  </si>
  <si>
    <t>FORM "c" ( See rule 4 [c] )</t>
  </si>
  <si>
    <t>Name of the Establishment : _____________________________</t>
  </si>
  <si>
    <r>
      <t xml:space="preserve">Financial  year </t>
    </r>
    <r>
      <rPr>
        <sz val="12"/>
        <rFont val="Times New Roman"/>
        <family val="1"/>
      </rPr>
      <t>_____</t>
    </r>
  </si>
  <si>
    <t>Sr. No</t>
  </si>
  <si>
    <t>Name of the Employee</t>
  </si>
  <si>
    <t>Father's Name / Husband's Name</t>
  </si>
  <si>
    <t>Whether he has completed 15 yrs of age at the beginning of the accounting year</t>
  </si>
  <si>
    <t>Designation</t>
  </si>
  <si>
    <t>No. of days worked in the year</t>
  </si>
  <si>
    <t>Amt. of bonus payable under section 10 or section 11 as the case may be Ex gratia</t>
  </si>
  <si>
    <t>DEDUCTIONS</t>
  </si>
  <si>
    <t>Total Sum Deducted (Col. 9,10 and 11)</t>
  </si>
  <si>
    <t>Net Amount payable (Col. 8 minus Col. 12)</t>
  </si>
  <si>
    <t>Amount Actually paid</t>
  </si>
  <si>
    <t>Date on which paid</t>
  </si>
  <si>
    <t>Signature / Thumb impression of the employee</t>
  </si>
  <si>
    <t>Puja Bonus or other customary bonus paid during the accounting year</t>
  </si>
  <si>
    <t>Interim Bonus or bonus paid in advance</t>
  </si>
  <si>
    <t>Deduction on account of financial loss if any caused by misconduct of the employee</t>
  </si>
  <si>
    <t>Account Number</t>
  </si>
  <si>
    <t>YES</t>
  </si>
  <si>
    <t>Form D</t>
  </si>
  <si>
    <t xml:space="preserve">(See rule 6) </t>
  </si>
  <si>
    <t xml:space="preserve">Register to be maintained by the employer under rule 6 of the Equal Remuneration Rules, 1976 </t>
  </si>
  <si>
    <t>Name and address of Contractor :</t>
  </si>
  <si>
    <t xml:space="preserve">Name and address of establishment in/under which contract is carried on : </t>
  </si>
  <si>
    <t xml:space="preserve">Name and address of Principal Employer : </t>
  </si>
  <si>
    <t>Total number of men workers employed</t>
  </si>
  <si>
    <t>Total number of women workers employed</t>
  </si>
  <si>
    <t>Components of remuneration</t>
  </si>
  <si>
    <t>Category of workers</t>
  </si>
  <si>
    <t>Brief Description of work</t>
  </si>
  <si>
    <t>No of women employed</t>
  </si>
  <si>
    <t>No. of men employed</t>
  </si>
  <si>
    <t>Rate or remuneration paid</t>
  </si>
  <si>
    <t>Basic wage &amp; Dearness Allowance</t>
  </si>
  <si>
    <t>House Rent allowance</t>
  </si>
  <si>
    <t>Other allowances</t>
  </si>
  <si>
    <t>Cash value of concessional supply of essential commodities</t>
  </si>
  <si>
    <t xml:space="preserve">Name of the Client         </t>
  </si>
  <si>
    <t>Primary Work Place/ Location</t>
  </si>
  <si>
    <t>Issue Date</t>
  </si>
  <si>
    <t>Signature</t>
  </si>
  <si>
    <t>ESI PAHECHAN CARDS ISSUE REGISTER</t>
  </si>
  <si>
    <t>Monthly rate of wages/
piece rate</t>
  </si>
  <si>
    <t>FORM I</t>
  </si>
  <si>
    <t>NOMINATION AND DECLARATION FORM</t>
  </si>
  <si>
    <t>(Vide Rule 3 of Payment of wages Act  Central &amp; A.P Rules, 1936)</t>
  </si>
  <si>
    <t>1. Name of the person making nomination</t>
  </si>
  <si>
    <t xml:space="preserve">2. Father's/Husband name
     </t>
  </si>
  <si>
    <t>3. Date of Birth</t>
  </si>
  <si>
    <t>4. Sex</t>
  </si>
  <si>
    <t>5. Marital Status</t>
  </si>
  <si>
    <t>Un-Married</t>
  </si>
  <si>
    <t>6.Address</t>
  </si>
  <si>
    <t>Permanent</t>
  </si>
  <si>
    <t>Temporary</t>
  </si>
  <si>
    <t>CERTIFCATE BY EMPLOYER</t>
  </si>
  <si>
    <t xml:space="preserve"> Certified that the above declaration and nomination has been signed/thumb impressed before me by Shri/Smt/Kum</t>
  </si>
  <si>
    <t>employed in my establishment after he/she has read the entry/entries have been read over to him/her by me and got confirmed by him/her.</t>
  </si>
  <si>
    <t>Signature or the employer or other authorized officer of the establiment and Designation</t>
  </si>
  <si>
    <t>Place</t>
  </si>
  <si>
    <t>Date</t>
  </si>
  <si>
    <t xml:space="preserve">I hereby nominate the person(s)/cancel the nomination made by me previously and nominate the person(s) mentioned below to </t>
  </si>
  <si>
    <t>receive any amount due to me from the employer,in the event to my death.</t>
  </si>
  <si>
    <t>Date of Birth</t>
  </si>
  <si>
    <t>If the nominee is minor,name,relationship and address of the guardian</t>
  </si>
  <si>
    <t>Name of the Nominee/nominees</t>
  </si>
  <si>
    <t>Nominee's relationship With the member</t>
  </si>
  <si>
    <t>Address</t>
  </si>
  <si>
    <t>Total amount of Share of accumulations</t>
  </si>
  <si>
    <t>1.Certified that I have no family and should I acquire a family hereafter,the above nomination shall be deemed as cancelled.</t>
  </si>
  <si>
    <t>2.Certified that my father/mother is/ are dependent upon me.</t>
  </si>
  <si>
    <t>3.Strike out whichever is not applicable.</t>
  </si>
  <si>
    <t>Signature or the thumb impression of the employed person</t>
  </si>
  <si>
    <t>NOMINATION AND DECLARATION FORM FOR UNEXEMPTED/EXEMPTED ESTABLISHMENTS</t>
  </si>
  <si>
    <t>(FORM 2 REVISED)</t>
  </si>
  <si>
    <t>Declaration and Nomination Form under the Employees Provident Funds and Employees Pension Schemes</t>
  </si>
  <si>
    <t xml:space="preserve">                        (Paragraph 33 and 61(1) of the Employees Provident Fund Scheme 1952 and Paragraph 18 of the Employees Pension Scheme 1995)</t>
  </si>
  <si>
    <t>PART-A(EPF)</t>
  </si>
  <si>
    <t>PART (EPS)</t>
  </si>
  <si>
    <t>Para 18</t>
  </si>
  <si>
    <t>Signature/or thumb impression of the subscriber</t>
  </si>
  <si>
    <t>Strike out whichever is not applicable</t>
  </si>
  <si>
    <t xml:space="preserve">I hereby furnish below particulars of the members of my family who would be eligible to receive Widow/Children Pension in the event of </t>
  </si>
  <si>
    <t>my premature death in service</t>
  </si>
  <si>
    <t>Name &amp; Address of the Family Member</t>
  </si>
  <si>
    <t>Relationship with the member</t>
  </si>
  <si>
    <t xml:space="preserve">                                             </t>
  </si>
  <si>
    <t>Name and Address of the nominee</t>
  </si>
  <si>
    <t>Relationship with member</t>
  </si>
  <si>
    <t>Signature or thumb impression of the subscriber</t>
  </si>
  <si>
    <t>Certified that I have no family as defined in para 2 (vii) of the Employees's Family Pension Scheme 1995 and should I acquire a family hereafter</t>
  </si>
  <si>
    <t>I shall furnish Particulars there on in the above form.</t>
  </si>
  <si>
    <t>I hereby nominate the following person for receiving the monthly widow pension (admissible under para 16 2 (a) (1) &amp; (ii) in the even of my death</t>
  </si>
  <si>
    <t>without leaving any eligible member for receiving pension.</t>
  </si>
  <si>
    <t xml:space="preserve">New Form No. 11 - Declaration Form  </t>
  </si>
  <si>
    <t xml:space="preserve"> </t>
  </si>
  <si>
    <t>EMPLOYEES' PROVIDENT FUND ORGANIZATION</t>
  </si>
  <si>
    <t>Employees' Provident Funds Scheme, 1952 (Paragraph 34 &amp; 57) &amp;</t>
  </si>
  <si>
    <t>The Employees' Pension Scheme, 1995 (Paragraph 24)</t>
  </si>
  <si>
    <t>Name of the Member</t>
  </si>
  <si>
    <t>Fathers' Name</t>
  </si>
  <si>
    <t>Husband's Name</t>
  </si>
  <si>
    <t>(Please tick whichever is applicable)</t>
  </si>
  <si>
    <t>Date of Birth (DD/MM/YYYY)</t>
  </si>
  <si>
    <t>Gender (Male/Female/Transgender)</t>
  </si>
  <si>
    <t>(a)</t>
  </si>
  <si>
    <t>Email Id</t>
  </si>
  <si>
    <t>(b)</t>
  </si>
  <si>
    <t>Mobile No.</t>
  </si>
  <si>
    <t>Whether earlier a member of the Employees' Provident Fund Scheme, 1952 ?</t>
  </si>
  <si>
    <t>Yes</t>
  </si>
  <si>
    <t>No</t>
  </si>
  <si>
    <r>
      <rPr>
        <b/>
        <sz val="7"/>
        <rFont val="Tahoma"/>
        <family val="2"/>
      </rPr>
      <t>Previous employment details</t>
    </r>
    <r>
      <rPr>
        <b/>
        <sz val="6"/>
        <rFont val="Tahoma"/>
        <family val="2"/>
      </rPr>
      <t xml:space="preserve"> [if Yes to 7 &amp;/or 8 above] </t>
    </r>
  </si>
  <si>
    <t>a)</t>
  </si>
  <si>
    <t>Universal Account Number</t>
  </si>
  <si>
    <t>b)</t>
  </si>
  <si>
    <t>Previous PF Account Number</t>
  </si>
  <si>
    <t>c)</t>
  </si>
  <si>
    <t>d)</t>
  </si>
  <si>
    <t>Scheme Certificate No. (if issued)</t>
  </si>
  <si>
    <t>e)</t>
  </si>
  <si>
    <t>Pension Payment Order (PPO) No. (if issued)</t>
  </si>
  <si>
    <t>Passport No.</t>
  </si>
  <si>
    <t>Bank Account No. &amp; IFS Code</t>
  </si>
  <si>
    <t>AADHAR No.</t>
  </si>
  <si>
    <t>Permanent Account No. (PAN), if available</t>
  </si>
  <si>
    <t>UNDERTAKING</t>
  </si>
  <si>
    <t>1)</t>
  </si>
  <si>
    <t>Certified that the particulars are true to the best of my knowledge.</t>
  </si>
  <si>
    <t>2)</t>
  </si>
  <si>
    <t>I authorize EPFO to use my Aadhar for verification/authentication/eKYC purpose for service delivery.</t>
  </si>
  <si>
    <t>3)</t>
  </si>
  <si>
    <t>4)</t>
  </si>
  <si>
    <t>In case of changes in above details, the same will be intimated to employer at the earliest.</t>
  </si>
  <si>
    <t>Place:</t>
  </si>
  <si>
    <t>DECLARATION BY PRESENT EMPLOYER</t>
  </si>
  <si>
    <t>The member Mr./Ms./Mrs.</t>
  </si>
  <si>
    <t>has joined on</t>
  </si>
  <si>
    <t>and has been allotted PF Number</t>
  </si>
  <si>
    <t>In case the person was earlier not a member of EPF Scheme, 1952 and EPS, 1995:</t>
  </si>
  <si>
    <t>Please Tick the Appropriate Option:</t>
  </si>
  <si>
    <t>The KYC details of the above member in the UAN database</t>
  </si>
  <si>
    <t>Have not been uploaded</t>
  </si>
  <si>
    <t>Have been uploaded but not approved</t>
  </si>
  <si>
    <t>Have been uploaded and approved with DSC</t>
  </si>
  <si>
    <t>In case the person was earlier a member of EPF Scheme, 1952 and EPS, 1995:</t>
  </si>
  <si>
    <t>The KYC details of the above member in the UAN database have been approved with DSC and transfer request has been generated on portal.</t>
  </si>
  <si>
    <t>As the DSC of establishment are not registered with EPFO, the member has been informed to file physical claim (Form 13) for transfer of funds</t>
  </si>
  <si>
    <t>from his previous establishment.</t>
  </si>
  <si>
    <t xml:space="preserve">                                                                                                                                 (To be retained by t he employer for future reference)</t>
  </si>
  <si>
    <t>Emp Code:</t>
  </si>
  <si>
    <t>Company</t>
  </si>
  <si>
    <t>Marital Status(married / Unmarried / Widow/divorce)</t>
  </si>
  <si>
    <t>Whether earlier a member of the Employees' Pension  Scheme, 1995?</t>
  </si>
  <si>
    <t>C)</t>
  </si>
  <si>
    <t xml:space="preserve">Date of exit from previous employment (DD/MM/YYYY) </t>
  </si>
  <si>
    <t>International Worker</t>
  </si>
  <si>
    <t>If yes, state country of origin(India/Name of other country)</t>
  </si>
  <si>
    <t>Validity of passport [(DD/MM/YYYY) to (DD/MM/YYYY)]</t>
  </si>
  <si>
    <t>KYC Details (attach self attested copies of following KYCs)</t>
  </si>
  <si>
    <t>Kindly transfer the funds and service details, if applicable from the previous PF account as declared above to the present P.F.  Account (The Transfer would be possible  only if the identified KYC details approved by previous employer has been verified by present employer</t>
  </si>
  <si>
    <t>Date :</t>
  </si>
  <si>
    <t>Signature of Member</t>
  </si>
  <si>
    <t>A)</t>
  </si>
  <si>
    <t>(Post allotment of UAN) The UAN allotted for the member is</t>
  </si>
  <si>
    <t>B)</t>
  </si>
  <si>
    <t>The above PF Account Number/ UAN of the member as mentioned in (A) above has been tagged with his/her UAN/Previous Member ID as declared by member.</t>
  </si>
  <si>
    <t>Signature of Employer with seal of Establishment</t>
  </si>
  <si>
    <t>F O R M – F</t>
  </si>
  <si>
    <t>[See sub-Rule (1) of Rule 6] The Payment of Gratuity Rules, 1973:</t>
  </si>
  <si>
    <t>NOMINATION</t>
  </si>
  <si>
    <t>1. I, Shri / Shrimati / Kumari</t>
  </si>
  <si>
    <t>whose particulars are given in the statement below, hereby nominate the person(s) mentioned below to receive the gratuity payable after my death as also the gratuity standing to my credit in the event of my death before that amount has become payable, or having become payable has not been paid and direct that the said amount of gratuity shall be paid in proportion indicated against the name(s) of the nominee(s).</t>
  </si>
  <si>
    <t>2. I hereby certify that the person(s) mentioned is a /are member(s) of my family within the meaning of clause (h) of Section 2 of the Payment of Gratuity Act, 1972.</t>
  </si>
  <si>
    <t>3. I hereby declare that I have no family within the meaning of clause (h) of Section 2 of the said Act.</t>
  </si>
  <si>
    <t>4. (a) My father/mother/parents is/are not dependent on me</t>
  </si>
  <si>
    <t xml:space="preserve">    (b) My husband’s father/mother/parents is/are not dependent on my husband.</t>
  </si>
  <si>
    <t>5. I have excluded my husband from my family by a notice dated the ……………. to the Controlling Authority in terms of the proviso to clause (h) of Section 2 of the said Act.</t>
  </si>
  <si>
    <t>6. Nomination made herein invalidates my previous nomination.</t>
  </si>
  <si>
    <t>NOMINEE(S)</t>
  </si>
  <si>
    <t>Name in full with full address of nominee(s):</t>
  </si>
  <si>
    <t>Relationship with the empliyee</t>
  </si>
  <si>
    <t>Age of
nominee:</t>
  </si>
  <si>
    <t>Proportion by which the gratuity will be shared:</t>
  </si>
  <si>
    <t>STATEMENT</t>
  </si>
  <si>
    <t>1. Name of employee in full:</t>
  </si>
  <si>
    <t>2. Sex:</t>
  </si>
  <si>
    <t>3. Religion:</t>
  </si>
  <si>
    <t>4. Whether unmarried/married/widow/widower:</t>
  </si>
  <si>
    <t>5. Department/Branch/Section where employed:</t>
  </si>
  <si>
    <t>6. Post held with Ticket No. or Serial No. if any:</t>
  </si>
  <si>
    <t>7. Date of appointment:</t>
  </si>
  <si>
    <t>8. Permanent address:</t>
  </si>
  <si>
    <t xml:space="preserve">Date: </t>
  </si>
  <si>
    <t>Signature/Thumb impression of the employee</t>
  </si>
  <si>
    <t>Declaration by witnesses:</t>
  </si>
  <si>
    <t>Nomination signed/thumb impressed before me:</t>
  </si>
  <si>
    <t>Name in full and full address of witnesses:</t>
  </si>
  <si>
    <t>Signature of witnesses:</t>
  </si>
  <si>
    <t>Certified that the particulars of the above nomination have been verified and recorded in t his establishment</t>
  </si>
  <si>
    <t>Employer's reference No, if any</t>
  </si>
  <si>
    <t xml:space="preserve">Signature of the employer/Officer authorized </t>
  </si>
  <si>
    <t xml:space="preserve">Name address of the establishment or rubber stamp there of </t>
  </si>
  <si>
    <t>Certificate by the Employer</t>
  </si>
  <si>
    <t>Received the duplicate of the nomination in Form 'F'Filled by me and duly certified by  the employer</t>
  </si>
  <si>
    <t>Note: Strike out words/paragraph not applicable</t>
  </si>
  <si>
    <t xml:space="preserve">                                                                     Acknowledgment by the Employee</t>
  </si>
  <si>
    <t>FORM XV</t>
  </si>
  <si>
    <t>[Vide rule 77 of Contract Labour (Regul. &amp; Abolition) Central &amp; A.P. Rules, 1971]</t>
  </si>
  <si>
    <t>SERVICE CERTIFICATE</t>
  </si>
  <si>
    <t>Name and address of establishment in /
under which contract is caried on :</t>
  </si>
  <si>
    <t>Nature and Location of work:</t>
  </si>
  <si>
    <t>Name and address of Principal Employer :</t>
  </si>
  <si>
    <t>Name and address of the workman :</t>
  </si>
  <si>
    <t>Age or date of Birth                         :</t>
  </si>
  <si>
    <t>Identification Marks                         :</t>
  </si>
  <si>
    <t>Father's / Husband's Name              :</t>
  </si>
  <si>
    <t>Sl.No.</t>
  </si>
  <si>
    <t>Total period for which employed</t>
  </si>
  <si>
    <t>Nature of work done</t>
  </si>
  <si>
    <t>Rate of wage ( with particulars of units in case of piece work)</t>
  </si>
  <si>
    <t>From</t>
  </si>
  <si>
    <t>Signature of the Employer with Seal</t>
  </si>
  <si>
    <t>Hyderabad</t>
  </si>
  <si>
    <t>Same as permanant address</t>
  </si>
  <si>
    <t>Father</t>
  </si>
  <si>
    <t>54 years</t>
  </si>
  <si>
    <t>Same as Permanant Address</t>
  </si>
  <si>
    <t>55 Years</t>
  </si>
  <si>
    <t>UNMARRIED</t>
  </si>
  <si>
    <t>Unmarried</t>
  </si>
  <si>
    <t>Un married</t>
  </si>
  <si>
    <t>54 Years</t>
  </si>
  <si>
    <t>Hindu</t>
  </si>
  <si>
    <t>Muslim</t>
  </si>
  <si>
    <t>IT SUPPORTIVE SERVICES</t>
  </si>
  <si>
    <r>
      <t xml:space="preserve">Name and address of Contractor: </t>
    </r>
    <r>
      <rPr>
        <b/>
        <sz val="9"/>
        <rFont val="Arial"/>
        <family val="2"/>
      </rPr>
      <t xml:space="preserve"> </t>
    </r>
  </si>
  <si>
    <t xml:space="preserve">Name and address of Contractor: </t>
  </si>
  <si>
    <t xml:space="preserve">                    NO EMPLOYEE WAS IMPOSED DEDUCTIONS FOR DAMAGE OR LOSS FOR THE MONTH OF </t>
  </si>
  <si>
    <t>MEDICAL</t>
  </si>
  <si>
    <t>TOTAL</t>
  </si>
  <si>
    <t>Deductions</t>
  </si>
  <si>
    <t>(Vide Rule 75 of Contract Labour (Regulation and Abolition) Central/Karnataka Rules 1974)</t>
  </si>
  <si>
    <t>(Vide Rule 76 of Contract Labour (R&amp;A) Central &amp; Karnataka Rules, 1974)</t>
  </si>
  <si>
    <t>(Vide Rule 76 of Contract Labour (R&amp;A) Central &amp; Karnataka  Rules, 1974)</t>
  </si>
  <si>
    <t>P</t>
  </si>
  <si>
    <t>Burgeon IT Services Pvt.Ltd.</t>
  </si>
  <si>
    <t>M</t>
  </si>
  <si>
    <t>Siri Mansion LIGB 436 Dr.A S Rao Nagar,Hyderabad</t>
  </si>
  <si>
    <t>Wage Period</t>
  </si>
  <si>
    <t>Form No. II</t>
  </si>
  <si>
    <t>[M. W. Rules under Maharashtra Contract Labour (Regulation and Abolition)1963 Rule 27 (I)]</t>
  </si>
  <si>
    <t xml:space="preserve">Name and Address of Contractor : BURGEON IT SERVICES PVT.LTD. SIRI MANSION LIG 436 DR.A S RAO NAGAR,HYDERABAD 500 060
</t>
  </si>
  <si>
    <t>Working Hours</t>
  </si>
  <si>
    <t>Interval for Rest</t>
  </si>
  <si>
    <t>No. of Hours Worked</t>
  </si>
  <si>
    <t>Deputy ID</t>
  </si>
  <si>
    <t>Employee Code</t>
  </si>
  <si>
    <t>Full Name of Employee</t>
  </si>
  <si>
    <t>Gender</t>
  </si>
  <si>
    <t>Date of Entry into Service</t>
  </si>
  <si>
    <t>Nature of Work &amp; Designation</t>
  </si>
  <si>
    <t>MONTH DAYS</t>
  </si>
  <si>
    <t>Leave with Wages</t>
  </si>
  <si>
    <t>Employee
Code</t>
  </si>
  <si>
    <t>Name of the Workmen</t>
  </si>
  <si>
    <t>Minimum Rate of Wages Payable Basic</t>
  </si>
  <si>
    <t xml:space="preserve">Actual Rate of Wages Payable
HRA </t>
  </si>
  <si>
    <t>Conveyance</t>
  </si>
  <si>
    <t>Bonus</t>
  </si>
  <si>
    <t>Special Allowances</t>
  </si>
  <si>
    <t>Medical Allowances</t>
  </si>
  <si>
    <t>Total Production in Case of Piece Rate Other Allow</t>
  </si>
  <si>
    <t>Normal Earnings</t>
  </si>
  <si>
    <t>Overtime Earnings</t>
  </si>
  <si>
    <t>Gross Wages Payable</t>
  </si>
  <si>
    <t>Income Tax</t>
  </si>
  <si>
    <t>Proff / Income Tax</t>
  </si>
  <si>
    <t>ESIC</t>
  </si>
  <si>
    <t>Total Deduction</t>
  </si>
  <si>
    <t>Net Wages Paid</t>
  </si>
  <si>
    <t>Previous Balance</t>
  </si>
  <si>
    <t>Further Enjoyed</t>
  </si>
  <si>
    <t>Refused</t>
  </si>
  <si>
    <t>Accumulated</t>
  </si>
  <si>
    <t>Date Payment of Wages</t>
  </si>
  <si>
    <t>Signature or the Thumb Impression of the Employee</t>
  </si>
  <si>
    <t>FORM M- LEAVE REGISTER</t>
  </si>
  <si>
    <t>(Vide Rule 78(1) (a) (i) of Maharastra Shops&amp;Establishment Act /Maharastra.Rules 1988</t>
  </si>
  <si>
    <t>Date of entry into service</t>
  </si>
  <si>
    <t>Accumalation of Leave</t>
  </si>
  <si>
    <t>Leave allowed</t>
  </si>
  <si>
    <t>Balance of Leave Carried Over</t>
  </si>
  <si>
    <t>Payment of Leave made on</t>
  </si>
  <si>
    <t>Refusal of Leave</t>
  </si>
  <si>
    <t>Payment of Leave on Discharge of an employee quitting employment if a admissible</t>
  </si>
  <si>
    <t>Signature or the Thumb impression of employee on Receipt of Leave Book in Form N</t>
  </si>
  <si>
    <t>Impression of</t>
  </si>
  <si>
    <t>Leave due on</t>
  </si>
  <si>
    <t>No of Days</t>
  </si>
  <si>
    <t xml:space="preserve">From </t>
  </si>
  <si>
    <t xml:space="preserve">1st month </t>
  </si>
  <si>
    <t>2nd month</t>
  </si>
  <si>
    <t>Date of Application</t>
  </si>
  <si>
    <t>Date of Refusal</t>
  </si>
  <si>
    <t xml:space="preserve">Amount of Leave refused </t>
  </si>
  <si>
    <t>Date of Discharge</t>
  </si>
  <si>
    <t>Date of Amount Paid</t>
  </si>
  <si>
    <t>Signature or Left hand thumb impression of employee</t>
  </si>
  <si>
    <t>FORM IX- REGISTER OF PERSONS EMPLOYED</t>
  </si>
  <si>
    <t>(Vide Rule 78(1) (a) (i) of Contract Labour (Regulation and Abolition) Central /Maharastra.Rules 1974</t>
  </si>
  <si>
    <t xml:space="preserve">INFOSYS LIMITED  </t>
  </si>
  <si>
    <t>Name  and Surname of workman</t>
  </si>
  <si>
    <t>Age and Sex</t>
  </si>
  <si>
    <t>Father's/Husband's name</t>
  </si>
  <si>
    <t>Nature of Employement/Designation</t>
  </si>
  <si>
    <t>Permanent Home Address of worken</t>
  </si>
  <si>
    <t>Date of commencement of Employment</t>
  </si>
  <si>
    <t>Signature or Thumb impression of workman</t>
  </si>
  <si>
    <t>Date of Temination of Employment</t>
  </si>
  <si>
    <t>Reason for Termination</t>
  </si>
  <si>
    <t>Employee ID</t>
  </si>
  <si>
    <t>Other Deduction(Med)</t>
  </si>
  <si>
    <t>Name of the Employer / Establishment:</t>
  </si>
  <si>
    <t xml:space="preserve">Name of the Employee:    </t>
  </si>
  <si>
    <t xml:space="preserve">Description of the dapartment if applicable: </t>
  </si>
  <si>
    <t>Form XV - WAGE SLIP</t>
  </si>
  <si>
    <t>[Vide rule 78 (1) (b) of the Contract Labour (Regulation and Abolition) and Maharashtra  Rules, 1971]</t>
  </si>
  <si>
    <t>FORM XVI- REGISTER OF DEDUCTIONS FOR DAMAGE OR LOSS</t>
  </si>
  <si>
    <t>(Vide Rule 78(1) (a) (i) of Contract Labour (Regulation and Abolition) Maharashtra Rules 1971.</t>
  </si>
  <si>
    <t>FORM XVII- REGISTER OF FINES</t>
  </si>
  <si>
    <t>(Vide Rule 78(1) (a) (i) of Contract Labour (Regulation and Abolition) Maharashtra Rules 1971</t>
  </si>
  <si>
    <t>FORM XVIII- REGISTER OF ADVANCES</t>
  </si>
  <si>
    <t>FORM XIX- REGISTER OF OVERTIME</t>
  </si>
  <si>
    <t>Total Salary or wages in the Month</t>
  </si>
  <si>
    <t>NO</t>
  </si>
  <si>
    <t>FORM X</t>
  </si>
  <si>
    <t>(Vide Rule 76 of Contract Labour (R&amp;A) Central &amp; Maharashtra, 1971)</t>
  </si>
  <si>
    <t>INFOSYS  LTD.IL Pune STP Unit,Plot No.1</t>
  </si>
  <si>
    <t>Rajiv gandhi Info tech park,Hinjawadi,Taluk Mulshi,Pune,Maharashtra 411057</t>
  </si>
  <si>
    <t>Milan Jain</t>
  </si>
  <si>
    <t>Vishu Batra</t>
  </si>
  <si>
    <t>Prasad Iyer</t>
  </si>
  <si>
    <t>Rattanlal</t>
  </si>
  <si>
    <t>E-404, Spectra Casabella gold, Palava, Kalyanshill road, Dombivili East 421204</t>
  </si>
  <si>
    <t>Balasubramanian Srinivasan</t>
  </si>
  <si>
    <t>Plot no-295,Sector no-21,Yamunanagar,Nigdi,Pune-411044</t>
  </si>
  <si>
    <t>Mahesh Chand jain</t>
  </si>
  <si>
    <t>492/1, shivloxpuri, konkerkhem, Meerat contonment UP250001</t>
  </si>
  <si>
    <t>NO OF DAYS</t>
  </si>
  <si>
    <t>Venkat Datla</t>
  </si>
  <si>
    <t>Name and address of Contractor:burgeon IT services Pvt.Ltd.</t>
  </si>
  <si>
    <t>Name and address of the establishment in  / under which contract is carried on:   burgeon IT services Pvt.Ltd.  Siri mansion LIGH 436 DR.A S Rao nagar,Hyderabad</t>
  </si>
  <si>
    <t>Senior Software Developer</t>
  </si>
  <si>
    <t>Rama Krishna Reddy D</t>
  </si>
  <si>
    <t>Technical Consultant</t>
  </si>
  <si>
    <t>Ambapuram,
Gurazala mandal
Guntur dist
Andhra Pradsh,
522415</t>
  </si>
  <si>
    <t>C/O KotiReddy Datla.
Hno 8-7-55/VEC/22EP
ZP Road, Sri Venkateswara Colony,
Hastina Puram, Hyderabad
500079.</t>
  </si>
  <si>
    <t>Ajay kumar asthana</t>
  </si>
  <si>
    <t>D - 204 RAJGRUHA B SOCIETY , SALUNKHE VIHAR ROAD , KONDHWA KH , PUNE , MH 411048</t>
  </si>
  <si>
    <t>30/5/1989</t>
  </si>
  <si>
    <t>F</t>
  </si>
  <si>
    <t>16/6/2020</t>
  </si>
  <si>
    <t>Resignation</t>
  </si>
  <si>
    <t>Male</t>
  </si>
  <si>
    <t>Shankar Koleti</t>
  </si>
  <si>
    <t>FLAT NO 412 FOURTH FLOOR,LAKERIDGE APPARTMENTS,NIZAMPET,NALLAPOCHAMA TEMPLE ROAD,HYDERABAD,TS,PIN 500090</t>
  </si>
  <si>
    <t>SENIOR DATABASE ADMIN</t>
  </si>
  <si>
    <t>RAJEEV MUTHINENI</t>
  </si>
  <si>
    <t>25-08-1993</t>
  </si>
  <si>
    <t>Veeraiah</t>
  </si>
  <si>
    <t>H.no.11-40/1, ramachandra puram,ponugodu.post,suryapet,508201</t>
  </si>
  <si>
    <t>Oracle DBA</t>
  </si>
  <si>
    <t>Senior Oracle DBA</t>
  </si>
  <si>
    <t>Hanumantharaju</t>
  </si>
  <si>
    <t>37, Munireddy Layout, 3rd main hosur road, Garvebhavipallya, Bengaluru 560068 karnataka India</t>
  </si>
  <si>
    <t>Prakash Kendre</t>
  </si>
  <si>
    <t>26/11/1986</t>
  </si>
  <si>
    <t>RAMKISHAN KENDRE</t>
  </si>
  <si>
    <t>Application Support Engineer</t>
  </si>
  <si>
    <t>SHREYAS B/202 SAMARTH RAMDAS NAGAR,NAVGHAR VASAI EAST DIST-PALGHAR, PIN-401202</t>
  </si>
  <si>
    <t>FORM A</t>
  </si>
  <si>
    <t>[See Rule 3 of Maternity Act Rules, 1965]</t>
  </si>
  <si>
    <t>MUSTER ROLL</t>
  </si>
  <si>
    <r>
      <rPr>
        <b/>
        <sz val="10"/>
        <rFont val="Book Antiqua"/>
        <family val="1"/>
      </rPr>
      <t>Name of [mine or circus]</t>
    </r>
    <r>
      <rPr>
        <sz val="10"/>
        <rFont val="Book Antiqua"/>
        <family val="1"/>
      </rPr>
      <t xml:space="preserve">: </t>
    </r>
  </si>
  <si>
    <t xml:space="preserve">Serial Number. </t>
  </si>
  <si>
    <t>Name of woman and her father's (or, if married, husband's) name.</t>
  </si>
  <si>
    <t>Date of appointment.</t>
  </si>
  <si>
    <t>Nature of work.</t>
  </si>
  <si>
    <t>Dates with month and year in which she is employed, laid off and not employed.</t>
  </si>
  <si>
    <t>Month</t>
  </si>
  <si>
    <t>No.of days employed</t>
  </si>
  <si>
    <t>No.of days laid off</t>
  </si>
  <si>
    <t>No.of days not employed</t>
  </si>
  <si>
    <t>Date on which the woman gives notice under section 6.</t>
  </si>
  <si>
    <t>Date of discharge/dismissal, if any.</t>
  </si>
  <si>
    <t>Date of production of proof of pregnancy under section 6.</t>
  </si>
  <si>
    <t>Date of birth of child.</t>
  </si>
  <si>
    <r>
      <t>Date of production of proof of delivery/miscarriage/ </t>
    </r>
    <r>
      <rPr>
        <vertAlign val="superscript"/>
        <sz val="11.5"/>
        <rFont val="Times New Roman"/>
        <family val="1"/>
      </rPr>
      <t>1</t>
    </r>
    <r>
      <rPr>
        <sz val="12"/>
        <rFont val="Times New Roman"/>
        <family val="1"/>
      </rPr>
      <t>[Medical Termination of pregnancy/ tubectomy operation/death.]</t>
    </r>
  </si>
  <si>
    <t>Date of production of proof of illness referred to in section 10.</t>
  </si>
  <si>
    <t>Date with the amount of maternity benefit paid in advance of expected delivery.</t>
  </si>
  <si>
    <t>Date with the amount of subsequent payment of maternity benefit.</t>
  </si>
  <si>
    <t>Date with the amount of bonus, if paid, under section 8.</t>
  </si>
  <si>
    <t>Date with the amount of wages paid on account of leave under section 9.</t>
  </si>
  <si>
    <t>15A</t>
  </si>
  <si>
    <t>Date with the amount of wages paid on account of leave under section 9A</t>
  </si>
  <si>
    <t>Date with the amount of wages paid on account of leave under section 10 and period of leave granted</t>
  </si>
  <si>
    <t>Name of the person nominated by the woman under section 6.</t>
  </si>
  <si>
    <t>If the woman dies, the date of her death, the name of the person to whom maternity benefit and/or other amount was paid, the amount thereof, and the date of payment.</t>
  </si>
  <si>
    <t>If the woman dies and the child survives, the name of the person to whom the amount of maternity benefit was paid on behalf of the child and the period for which it was paid.</t>
  </si>
  <si>
    <r>
      <t>Signature of the employer of </t>
    </r>
    <r>
      <rPr>
        <vertAlign val="superscript"/>
        <sz val="11.5"/>
        <rFont val="Times New Roman"/>
        <family val="1"/>
      </rPr>
      <t>3</t>
    </r>
    <r>
      <rPr>
        <sz val="12"/>
        <rFont val="Times New Roman"/>
        <family val="1"/>
      </rPr>
      <t>[the mine or circus] authenticating the entries in the muster-roll.</t>
    </r>
  </si>
  <si>
    <t>Remarks column for the use of the Inspector.</t>
  </si>
  <si>
    <t xml:space="preserve">Certifited that no pregnant employee worked for the month of </t>
  </si>
  <si>
    <t>For</t>
  </si>
  <si>
    <t>Authorized Signatory</t>
  </si>
  <si>
    <t>FORM B</t>
  </si>
  <si>
    <t>[See Rule 4(1) of Maternity Act Rules, 1965]</t>
  </si>
  <si>
    <t>This is to certify that I examined…. wife /daughter of ….. a woman employee in  name of Mine or Circus on (Date)</t>
  </si>
  <si>
    <t xml:space="preserve">                                                  and found/ cannot discover that she is pregnant and is expected to be delivered of a child within (month/days) from the above </t>
  </si>
  <si>
    <t xml:space="preserve">mentioned date date/has undergone miscarriage/[Medical termination of pregnancy or tubectomy operation]/has been delivered </t>
  </si>
  <si>
    <t>of a child on….. (date) or is suffering from…..(date) from illness arising out of pregnancy/delivery/premature birth of a child or miscarriage/</t>
  </si>
  <si>
    <t>[Medical termination of pregnancy or tubectomy operation ].</t>
  </si>
  <si>
    <t xml:space="preserve">Signature, qualifications and designation of Medical Officer/Medical Practitioner. </t>
  </si>
  <si>
    <t>Date…..</t>
  </si>
  <si>
    <t>Definitions of "child" and "miscarriage" as in the Maternity Benefit Act, 1961.-</t>
  </si>
  <si>
    <t>1. "Child" includes a still-born child.</t>
  </si>
  <si>
    <t xml:space="preserve">2. "Miscarriage" means expulsion of the contents of a pregnant uterus at any period prior to or during the twenty-sixth week of pregnancy </t>
  </si>
  <si>
    <t>but does not include any miscarriage,the causing of which is punishable under the Indian Penal Code.</t>
  </si>
  <si>
    <r>
      <t>Ins. by G.S.R. 70(E), dated 31st January, 1996 (w.e.f. 31-1-1996</t>
    </r>
    <r>
      <rPr>
        <sz val="11"/>
        <color theme="1"/>
        <rFont val="Calibri"/>
        <family val="2"/>
        <scheme val="minor"/>
      </rPr>
      <t>).</t>
    </r>
  </si>
  <si>
    <t>FORM C</t>
  </si>
  <si>
    <t>[See Rule 4(4) of Maternity Act Rules, 1965]</t>
  </si>
  <si>
    <t>This is to certify that</t>
  </si>
  <si>
    <t>Smt……………………………….wife/daughter of ……………………….employed in ……………….(name of [Mine or Circus]</t>
  </si>
  <si>
    <t>expired on ……………………..before/during/after confinement. The child died on …./survives her.</t>
  </si>
  <si>
    <t>Ins. by G.S.R. 70(E), dated 31st January, 1996 (w.e.f. 31-1-1996).</t>
  </si>
  <si>
    <t>FORM D</t>
  </si>
  <si>
    <t>[See Rule 4(5) of Maternity Act Rules, 1965]</t>
  </si>
  <si>
    <t>This is to certify that I examined……………..wife/daughter of ……….a woman employed in ………..(name of [Mine or Circus ]</t>
  </si>
  <si>
    <t>and found that she has been delivered of a child/has undergone miscarriage on ….(date)</t>
  </si>
  <si>
    <t xml:space="preserve">Signature of registered Midwife </t>
  </si>
  <si>
    <t>Date….</t>
  </si>
  <si>
    <t>Definitions of "child" and "miscarriage" as in the Maternity Benefit Act, 1961-</t>
  </si>
  <si>
    <t xml:space="preserve">2. "Miscarriage" means expulsion of the contents of a pregnant uterus at any period prior to or during the twenty-sixth </t>
  </si>
  <si>
    <t>week of pregnancy but does not include any miscarriage, the causing of which is punishable under the Indian Penal Code.</t>
  </si>
  <si>
    <t>Subs. by G.S.R. 59(E), dated 27th February, 1975 (w.e.f. 1-3-1975).</t>
  </si>
  <si>
    <t>Amith a</t>
  </si>
  <si>
    <t>Dhrubajyoti Goswami</t>
  </si>
  <si>
    <t>Technology Consultant</t>
  </si>
  <si>
    <t>ICICI Bank</t>
  </si>
  <si>
    <t>115601503688</t>
  </si>
  <si>
    <t>N.Ananda</t>
  </si>
  <si>
    <t>Swapan kumar goswami</t>
  </si>
  <si>
    <t>Door no - 3-3/33, 1st main road, Prasantha Nagara, Derabail, Mangaluru- 575006</t>
  </si>
  <si>
    <t>LV8 Laxmi Krupa Apts, Church Road, Murugeshpalya, Bangalore 560017</t>
  </si>
  <si>
    <t>MIG-109, i Block, 2nd Stage, 5th Cross, Ramakrishana-Nagara, Mysuru, Karnataka-570022</t>
  </si>
  <si>
    <t>1108/1, Kankpul post, ashok nagar, 24 Paraganas Dist. Habra, WB 743272</t>
  </si>
  <si>
    <t>OOO</t>
  </si>
  <si>
    <t>Business Analyst</t>
  </si>
  <si>
    <t>Ananda</t>
  </si>
  <si>
    <t>MIG 102,I Block,2nd stage,V cross,Ramakrishna nagar,Mysore,Karnataka 570022</t>
  </si>
  <si>
    <t>3-3/33,1st Main road,Prasantha nagar,Behind Derabail church,Mangalore,Karnataka 575006</t>
  </si>
  <si>
    <t xml:space="preserve">Vinay Koleti </t>
  </si>
  <si>
    <t>INSOSYS LTD</t>
  </si>
  <si>
    <t>PUNE</t>
  </si>
  <si>
    <t xml:space="preserve">Karthik Hanumantharaju </t>
  </si>
  <si>
    <t>WO</t>
  </si>
  <si>
    <t>IT SUPPORTIVE SERVICES&amp; PUNE STP</t>
  </si>
  <si>
    <t>BITS-564</t>
  </si>
  <si>
    <r>
      <t xml:space="preserve">Shubham Asthana - </t>
    </r>
    <r>
      <rPr>
        <b/>
        <sz val="8"/>
        <color rgb="FFFF0000"/>
        <rFont val="Cambria"/>
        <family val="1"/>
        <scheme val="major"/>
      </rPr>
      <t xml:space="preserve"> </t>
    </r>
  </si>
  <si>
    <t>JAN'22</t>
  </si>
  <si>
    <t>FEB'22</t>
  </si>
  <si>
    <t>MAR'22</t>
  </si>
  <si>
    <t>Muster Roll cum Wages Register for the month of APRIL 2022</t>
  </si>
  <si>
    <t>Muster Roll cum Wages Register for the month of   APRIL 2022</t>
  </si>
  <si>
    <t>5-05-2022</t>
  </si>
  <si>
    <t>APRIL'22</t>
  </si>
  <si>
    <t>2022-23</t>
  </si>
  <si>
    <t>STP</t>
  </si>
  <si>
    <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</si>
</sst>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mmmm/yyyy"/>
    <numFmt numFmtId="165" formatCode="[$-409]d/mmm/yy;@"/>
    <numFmt numFmtId="166" formatCode="###,##0"/>
    <numFmt numFmtId="167" formatCode="_(* #,##0_);_(* \(#,##0\);_(* &quot;-&quot;??_);_(@_)"/>
    <numFmt numFmtId="168" formatCode="[$-14009]dd/mm/yyyy;@"/>
    <numFmt numFmtId="169" formatCode="0.0"/>
  </numFmts>
  <fonts count="113">
    <font>
      <sz val="11"/>
      <color theme="1"/>
      <name val="Calibri"/>
      <family val="2"/>
      <scheme val="minor"/>
    </font>
    <font>
      <sz val="11"/>
      <color theme="1"/>
      <name val="Calibri"/>
      <family val="2"/>
      <scheme val="minor"/>
    </font>
    <font>
      <b/>
      <sz val="11"/>
      <color theme="1"/>
      <name val="Calibri"/>
      <family val="2"/>
      <scheme val="minor"/>
    </font>
    <font>
      <b/>
      <sz val="25"/>
      <color indexed="8"/>
      <name val="Calibri"/>
      <family val="2"/>
    </font>
    <font>
      <b/>
      <sz val="10"/>
      <name val="Times New Roman"/>
      <family val="1"/>
    </font>
    <font>
      <sz val="12"/>
      <color theme="1"/>
      <name val="Calibri"/>
      <family val="2"/>
      <scheme val="minor"/>
    </font>
    <font>
      <sz val="10"/>
      <name val="Times New Roman"/>
      <family val="1"/>
    </font>
    <font>
      <sz val="25"/>
      <name val="Arial"/>
      <family val="2"/>
    </font>
    <font>
      <sz val="10"/>
      <name val="Arial"/>
      <family val="2"/>
    </font>
    <font>
      <b/>
      <sz val="10"/>
      <name val="Arial"/>
      <family val="2"/>
    </font>
    <font>
      <sz val="11"/>
      <name val="Calibri"/>
      <family val="2"/>
      <scheme val="minor"/>
    </font>
    <font>
      <b/>
      <sz val="12"/>
      <color theme="1"/>
      <name val="Calibri"/>
      <family val="2"/>
      <scheme val="minor"/>
    </font>
    <font>
      <b/>
      <sz val="8"/>
      <color theme="1"/>
      <name val="Calibri"/>
      <family val="2"/>
      <scheme val="minor"/>
    </font>
    <font>
      <sz val="10"/>
      <name val="Calibri"/>
      <family val="2"/>
      <scheme val="minor"/>
    </font>
    <font>
      <sz val="10"/>
      <name val="Cambria"/>
      <family val="1"/>
      <scheme val="major"/>
    </font>
    <font>
      <sz val="12"/>
      <name val="Cambria"/>
      <family val="1"/>
      <scheme val="major"/>
    </font>
    <font>
      <sz val="14"/>
      <name val="Calibri"/>
      <family val="2"/>
      <scheme val="minor"/>
    </font>
    <font>
      <b/>
      <sz val="12"/>
      <name val="Arial"/>
      <family val="2"/>
    </font>
    <font>
      <sz val="10"/>
      <color theme="1"/>
      <name val="Arial"/>
      <family val="2"/>
    </font>
    <font>
      <b/>
      <sz val="20"/>
      <name val="Arial"/>
      <family val="2"/>
    </font>
    <font>
      <sz val="9"/>
      <name val="Arial"/>
      <family val="2"/>
    </font>
    <font>
      <b/>
      <sz val="9"/>
      <name val="Arial"/>
      <family val="2"/>
    </font>
    <font>
      <sz val="10"/>
      <name val="Arial"/>
      <family val="2"/>
    </font>
    <font>
      <b/>
      <sz val="22"/>
      <name val="Arial"/>
      <family val="2"/>
    </font>
    <font>
      <sz val="11"/>
      <name val="Arial"/>
      <family val="2"/>
    </font>
    <font>
      <b/>
      <sz val="18"/>
      <name val="Arial"/>
      <family val="2"/>
    </font>
    <font>
      <b/>
      <sz val="25"/>
      <color theme="1"/>
      <name val="Calibri"/>
      <family val="2"/>
      <scheme val="minor"/>
    </font>
    <font>
      <sz val="18"/>
      <color theme="1"/>
      <name val="Calibri"/>
      <family val="2"/>
      <scheme val="minor"/>
    </font>
    <font>
      <b/>
      <sz val="11"/>
      <color rgb="FF000000"/>
      <name val="Calibri"/>
      <family val="2"/>
      <scheme val="minor"/>
    </font>
    <font>
      <b/>
      <u/>
      <sz val="14"/>
      <name val="Imprint MT Shadow"/>
      <family val="5"/>
    </font>
    <font>
      <sz val="12"/>
      <name val="Imprint MT Shadow"/>
      <family val="5"/>
    </font>
    <font>
      <b/>
      <sz val="12"/>
      <name val="Times New Roman"/>
      <family val="1"/>
    </font>
    <font>
      <sz val="12"/>
      <name val="Times New Roman"/>
      <family val="1"/>
    </font>
    <font>
      <sz val="10.5"/>
      <name val="Times New Roman"/>
      <family val="1"/>
    </font>
    <font>
      <b/>
      <sz val="10.5"/>
      <name val="Times New Roman"/>
      <family val="1"/>
    </font>
    <font>
      <sz val="9"/>
      <name val="Times New Roman"/>
      <family val="1"/>
    </font>
    <font>
      <b/>
      <sz val="9"/>
      <name val="Times New Roman"/>
      <family val="1"/>
    </font>
    <font>
      <sz val="11"/>
      <name val="Times New Roman"/>
      <family val="1"/>
    </font>
    <font>
      <b/>
      <sz val="9"/>
      <name val="VERDANA"/>
      <family val="2"/>
    </font>
    <font>
      <i/>
      <sz val="9"/>
      <name val="Verdana"/>
      <family val="2"/>
    </font>
    <font>
      <b/>
      <sz val="14"/>
      <name val="Calibri"/>
      <family val="2"/>
      <scheme val="minor"/>
    </font>
    <font>
      <b/>
      <sz val="11"/>
      <name val="Calibri"/>
      <family val="2"/>
      <scheme val="minor"/>
    </font>
    <font>
      <b/>
      <sz val="16"/>
      <name val="Calibri"/>
      <family val="2"/>
      <scheme val="minor"/>
    </font>
    <font>
      <sz val="9"/>
      <name val="VERDANA"/>
      <family val="2"/>
    </font>
    <font>
      <b/>
      <sz val="8"/>
      <name val="Verdana"/>
      <family val="2"/>
    </font>
    <font>
      <b/>
      <sz val="11"/>
      <name val="Arial"/>
      <family val="2"/>
    </font>
    <font>
      <b/>
      <sz val="12"/>
      <name val="VERDANA"/>
      <family val="2"/>
    </font>
    <font>
      <b/>
      <sz val="14"/>
      <color theme="1"/>
      <name val="Calibri"/>
      <family val="2"/>
      <scheme val="minor"/>
    </font>
    <font>
      <b/>
      <sz val="18"/>
      <color theme="1"/>
      <name val="Calibri"/>
      <family val="2"/>
      <scheme val="minor"/>
    </font>
    <font>
      <sz val="16"/>
      <color theme="1"/>
      <name val="Calibri"/>
      <family val="2"/>
      <scheme val="minor"/>
    </font>
    <font>
      <sz val="8"/>
      <name val="Tahoma"/>
      <family val="2"/>
    </font>
    <font>
      <sz val="10"/>
      <name val="Tahoma"/>
      <family val="2"/>
    </font>
    <font>
      <sz val="9"/>
      <name val="Tahoma"/>
      <family val="2"/>
    </font>
    <font>
      <b/>
      <sz val="6"/>
      <name val="Tahoma"/>
      <family val="2"/>
    </font>
    <font>
      <b/>
      <sz val="7"/>
      <name val="Tahoma"/>
      <family val="2"/>
    </font>
    <font>
      <sz val="10"/>
      <color theme="1"/>
      <name val="Calibri"/>
      <family val="2"/>
      <scheme val="minor"/>
    </font>
    <font>
      <b/>
      <u/>
      <sz val="11"/>
      <color theme="1"/>
      <name val="Calibri"/>
      <family val="2"/>
      <scheme val="minor"/>
    </font>
    <font>
      <b/>
      <sz val="9"/>
      <color theme="1"/>
      <name val="Calibri"/>
      <family val="2"/>
      <scheme val="minor"/>
    </font>
    <font>
      <b/>
      <sz val="9"/>
      <name val="Tahoma"/>
      <family val="2"/>
    </font>
    <font>
      <sz val="8"/>
      <color theme="1"/>
      <name val="Calibri"/>
      <family val="2"/>
      <scheme val="minor"/>
    </font>
    <font>
      <sz val="9"/>
      <color theme="1"/>
      <name val="Calibri"/>
      <family val="2"/>
      <scheme val="minor"/>
    </font>
    <font>
      <sz val="11"/>
      <color rgb="FF000000"/>
      <name val="Calibri"/>
      <family val="2"/>
      <scheme val="minor"/>
    </font>
    <font>
      <sz val="9.5"/>
      <color theme="1"/>
      <name val="Calibri"/>
      <family val="2"/>
      <scheme val="minor"/>
    </font>
    <font>
      <b/>
      <sz val="16"/>
      <name val="Arial"/>
      <family val="2"/>
    </font>
    <font>
      <i/>
      <sz val="10"/>
      <name val="Arial"/>
      <family val="2"/>
    </font>
    <font>
      <b/>
      <sz val="14"/>
      <name val="Arial"/>
      <family val="2"/>
    </font>
    <font>
      <sz val="8"/>
      <name val="Arial"/>
      <family val="2"/>
    </font>
    <font>
      <sz val="10"/>
      <color indexed="8"/>
      <name val="Arial1"/>
      <charset val="1"/>
    </font>
    <font>
      <sz val="10"/>
      <name val="Arial"/>
      <family val="2"/>
      <charset val="1"/>
    </font>
    <font>
      <sz val="10"/>
      <color rgb="FF000000"/>
      <name val="Arial"/>
      <family val="2"/>
    </font>
    <font>
      <sz val="12"/>
      <color theme="1"/>
      <name val="Arial"/>
      <family val="2"/>
    </font>
    <font>
      <sz val="12"/>
      <name val="Verdana"/>
      <family val="2"/>
    </font>
    <font>
      <sz val="12"/>
      <color theme="1"/>
      <name val="Cambria"/>
      <family val="1"/>
      <scheme val="major"/>
    </font>
    <font>
      <b/>
      <sz val="8"/>
      <color indexed="8"/>
      <name val="Calibri"/>
      <family val="2"/>
      <scheme val="minor"/>
    </font>
    <font>
      <sz val="8"/>
      <color indexed="8"/>
      <name val="Calibri"/>
      <family val="2"/>
      <scheme val="minor"/>
    </font>
    <font>
      <sz val="8"/>
      <name val="Calibri"/>
      <family val="2"/>
      <scheme val="minor"/>
    </font>
    <font>
      <sz val="11"/>
      <name val="Verdana"/>
      <family val="2"/>
    </font>
    <font>
      <b/>
      <sz val="9"/>
      <color indexed="8"/>
      <name val="Calibri"/>
      <family val="2"/>
      <scheme val="minor"/>
    </font>
    <font>
      <sz val="8"/>
      <name val="Verdana"/>
      <family val="2"/>
    </font>
    <font>
      <sz val="11"/>
      <color indexed="8"/>
      <name val="Arial Unicode MS"/>
      <family val="2"/>
    </font>
    <font>
      <b/>
      <sz val="10"/>
      <color theme="1"/>
      <name val="Calibri"/>
      <family val="2"/>
      <scheme val="minor"/>
    </font>
    <font>
      <b/>
      <sz val="12"/>
      <name val="Book Antiqua"/>
      <family val="1"/>
    </font>
    <font>
      <sz val="12"/>
      <name val="Book Antiqua"/>
      <family val="1"/>
    </font>
    <font>
      <sz val="10"/>
      <name val="Book Antiqua"/>
      <family val="1"/>
    </font>
    <font>
      <b/>
      <sz val="10"/>
      <name val="Book Antiqua"/>
      <family val="1"/>
    </font>
    <font>
      <vertAlign val="superscript"/>
      <sz val="11.5"/>
      <name val="Times New Roman"/>
      <family val="1"/>
    </font>
    <font>
      <sz val="12"/>
      <color rgb="FF000000"/>
      <name val="Times New Roman"/>
      <family val="1"/>
    </font>
    <font>
      <sz val="12"/>
      <color theme="1"/>
      <name val="Times New Roman"/>
      <family val="1"/>
    </font>
    <font>
      <sz val="11"/>
      <color rgb="FF000000"/>
      <name val="Cambria"/>
      <family val="1"/>
      <scheme val="major"/>
    </font>
    <font>
      <sz val="11"/>
      <color rgb="FFFF0000"/>
      <name val="Calibri"/>
      <family val="2"/>
      <scheme val="minor"/>
    </font>
    <font>
      <b/>
      <sz val="12"/>
      <name val="Cambria"/>
      <family val="1"/>
      <scheme val="major"/>
    </font>
    <font>
      <sz val="10"/>
      <color rgb="FFFF0000"/>
      <name val="Cambria"/>
      <family val="1"/>
      <scheme val="major"/>
    </font>
    <font>
      <sz val="12"/>
      <color rgb="FFFF0000"/>
      <name val="Cambria"/>
      <family val="1"/>
      <scheme val="major"/>
    </font>
    <font>
      <sz val="11"/>
      <color rgb="FFFF0000"/>
      <name val="Cambria"/>
      <family val="1"/>
      <scheme val="major"/>
    </font>
    <font>
      <sz val="10"/>
      <color rgb="FFFF0000"/>
      <name val="Arial"/>
      <family val="2"/>
    </font>
    <font>
      <b/>
      <sz val="12"/>
      <name val="Calibri"/>
      <family val="2"/>
      <scheme val="minor"/>
    </font>
    <font>
      <b/>
      <sz val="12"/>
      <color rgb="FFFF0000"/>
      <name val="Cambria"/>
      <family val="1"/>
      <scheme val="major"/>
    </font>
    <font>
      <b/>
      <sz val="12"/>
      <color rgb="FFFF0000"/>
      <name val="Calibri"/>
      <family val="2"/>
      <scheme val="minor"/>
    </font>
    <font>
      <b/>
      <sz val="12"/>
      <color rgb="FFFF0000"/>
      <name val="Arial"/>
      <family val="2"/>
    </font>
    <font>
      <b/>
      <sz val="12"/>
      <color rgb="FFFF0000"/>
      <name val="VERDANA"/>
      <family val="2"/>
    </font>
    <font>
      <sz val="12"/>
      <name val="Calibri"/>
      <family val="2"/>
      <scheme val="minor"/>
    </font>
    <font>
      <b/>
      <sz val="10"/>
      <color indexed="8"/>
      <name val="Calibri"/>
      <family val="2"/>
      <scheme val="minor"/>
    </font>
    <font>
      <b/>
      <sz val="10"/>
      <color rgb="FFFF0000"/>
      <name val="Arial"/>
      <family val="2"/>
    </font>
    <font>
      <sz val="11"/>
      <color rgb="FFFF0000"/>
      <name val="Arial Unicode MS"/>
      <family val="2"/>
    </font>
    <font>
      <sz val="18"/>
      <name val="Calibri"/>
      <family val="2"/>
      <scheme val="minor"/>
    </font>
    <font>
      <b/>
      <sz val="8"/>
      <color rgb="FFFF0000"/>
      <name val="Cambria"/>
      <family val="1"/>
      <scheme val="major"/>
    </font>
    <font>
      <b/>
      <sz val="8"/>
      <name val="Calibri"/>
      <family val="2"/>
      <scheme val="minor"/>
    </font>
    <font>
      <b/>
      <u val="double"/>
      <sz val="9"/>
      <name val="VERDANA"/>
      <family val="2"/>
    </font>
    <font>
      <u val="double"/>
      <sz val="9"/>
      <name val="VERDANA"/>
      <family val="2"/>
    </font>
    <font>
      <b/>
      <sz val="10"/>
      <name val="Calibri"/>
      <family val="2"/>
      <scheme val="minor"/>
    </font>
    <font>
      <b/>
      <sz val="9"/>
      <color indexed="8"/>
      <name val="Arial Unicode MS"/>
      <family val="2"/>
    </font>
    <font>
      <sz val="8"/>
      <color rgb="FFFF0000"/>
      <name val="Arial"/>
      <family val="2"/>
    </font>
    <font>
      <sz val="8"/>
      <color rgb="FFFF0000"/>
      <name val="Calibri"/>
      <family val="2"/>
      <scheme val="minor"/>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rgb="FF00B0F0"/>
        <bgColor indexed="64"/>
      </patternFill>
    </fill>
  </fills>
  <borders count="85">
    <border>
      <left/>
      <right/>
      <top/>
      <bottom/>
      <diagonal/>
    </border>
    <border>
      <left style="thin">
        <color indexed="64"/>
      </left>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top/>
      <bottom style="thin">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medium">
        <color indexed="64"/>
      </left>
      <right style="medium">
        <color indexed="64"/>
      </right>
      <top/>
      <bottom/>
      <diagonal/>
    </border>
    <border>
      <left style="thin">
        <color auto="1"/>
      </left>
      <right style="thin">
        <color auto="1"/>
      </right>
      <top/>
      <bottom style="thin">
        <color auto="1"/>
      </bottom>
      <diagonal/>
    </border>
    <border>
      <left style="medium">
        <color indexed="64"/>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bottom/>
      <diagonal/>
    </border>
    <border>
      <left style="medium">
        <color indexed="64"/>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auto="1"/>
      </left>
      <right style="thin">
        <color auto="1"/>
      </right>
      <top style="thin">
        <color auto="1"/>
      </top>
      <bottom/>
      <diagonal/>
    </border>
    <border>
      <left/>
      <right style="thin">
        <color indexed="8"/>
      </right>
      <top style="thin">
        <color indexed="8"/>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auto="1"/>
      </left>
      <right style="thin">
        <color auto="1"/>
      </right>
      <top style="thin">
        <color auto="1"/>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style="thin">
        <color indexed="64"/>
      </bottom>
      <diagonal/>
    </border>
    <border>
      <left style="medium">
        <color indexed="64"/>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8"/>
      </right>
      <top style="thin">
        <color indexed="8"/>
      </top>
      <bottom style="thin">
        <color indexed="64"/>
      </bottom>
      <diagonal/>
    </border>
  </borders>
  <cellStyleXfs count="9">
    <xf numFmtId="0" fontId="0" fillId="0" borderId="0"/>
    <xf numFmtId="0" fontId="8" fillId="0" borderId="0" applyFont="0" applyFill="0" applyBorder="0" applyAlignment="0" applyProtection="0"/>
    <xf numFmtId="0" fontId="1" fillId="0" borderId="0"/>
    <xf numFmtId="0" fontId="8" fillId="0" borderId="0"/>
    <xf numFmtId="0" fontId="1" fillId="0" borderId="0"/>
    <xf numFmtId="9" fontId="1" fillId="0" borderId="0" applyFont="0" applyFill="0" applyBorder="0" applyAlignment="0" applyProtection="0"/>
    <xf numFmtId="0" fontId="67" fillId="0" borderId="0"/>
    <xf numFmtId="0" fontId="68" fillId="0" borderId="0"/>
    <xf numFmtId="0" fontId="1" fillId="0" borderId="0"/>
  </cellStyleXfs>
  <cellXfs count="1029">
    <xf numFmtId="0" fontId="0" fillId="0" borderId="0" xfId="0"/>
    <xf numFmtId="0" fontId="4" fillId="0" borderId="0" xfId="0" applyFont="1"/>
    <xf numFmtId="0" fontId="5" fillId="0" borderId="0" xfId="0" applyFont="1"/>
    <xf numFmtId="0" fontId="6" fillId="0" borderId="0" xfId="0" applyFont="1"/>
    <xf numFmtId="0" fontId="2" fillId="0" borderId="0" xfId="0" applyFont="1"/>
    <xf numFmtId="0" fontId="7" fillId="0" borderId="0" xfId="0" applyFont="1"/>
    <xf numFmtId="0" fontId="2" fillId="0" borderId="0" xfId="0" applyFont="1" applyAlignment="1">
      <alignment horizontal="center"/>
    </xf>
    <xf numFmtId="0" fontId="8" fillId="0" borderId="0" xfId="0" applyFont="1"/>
    <xf numFmtId="0" fontId="0" fillId="0" borderId="0" xfId="0" applyAlignment="1">
      <alignment horizontal="left"/>
    </xf>
    <xf numFmtId="0" fontId="0" fillId="0" borderId="0" xfId="0" applyAlignment="1">
      <alignment horizontal="center"/>
    </xf>
    <xf numFmtId="0" fontId="7" fillId="0" borderId="0" xfId="0" applyFont="1" applyAlignment="1">
      <alignment horizontal="center"/>
    </xf>
    <xf numFmtId="0" fontId="9" fillId="0" borderId="0" xfId="0" applyFont="1"/>
    <xf numFmtId="0" fontId="10" fillId="0" borderId="0" xfId="0" applyFont="1" applyAlignment="1">
      <alignment horizontal="left"/>
    </xf>
    <xf numFmtId="17" fontId="2" fillId="0" borderId="0" xfId="0" applyNumberFormat="1" applyFont="1"/>
    <xf numFmtId="0" fontId="2" fillId="0" borderId="0" xfId="0" applyFont="1" applyAlignment="1">
      <alignment horizontal="left"/>
    </xf>
    <xf numFmtId="0" fontId="10" fillId="0" borderId="0" xfId="0" applyFont="1"/>
    <xf numFmtId="0" fontId="10" fillId="0" borderId="0" xfId="0" applyFont="1" applyAlignment="1">
      <alignment horizontal="center"/>
    </xf>
    <xf numFmtId="0" fontId="0" fillId="2" borderId="0" xfId="0" applyFill="1"/>
    <xf numFmtId="0" fontId="0" fillId="0" borderId="0" xfId="0" applyAlignment="1">
      <alignment vertical="center"/>
    </xf>
    <xf numFmtId="0" fontId="0" fillId="0" borderId="6" xfId="0" applyBorder="1"/>
    <xf numFmtId="1" fontId="13" fillId="2" borderId="6" xfId="0" applyNumberFormat="1" applyFont="1" applyFill="1" applyBorder="1" applyAlignment="1">
      <alignment horizontal="center" vertical="center"/>
    </xf>
    <xf numFmtId="1" fontId="16" fillId="2" borderId="6" xfId="0" applyNumberFormat="1" applyFont="1" applyFill="1" applyBorder="1"/>
    <xf numFmtId="0" fontId="0" fillId="0" borderId="0" xfId="0" applyAlignment="1">
      <alignment wrapText="1"/>
    </xf>
    <xf numFmtId="0" fontId="0" fillId="0" borderId="24" xfId="0" applyBorder="1"/>
    <xf numFmtId="0" fontId="0" fillId="0" borderId="25" xfId="0" applyBorder="1"/>
    <xf numFmtId="0" fontId="8" fillId="0" borderId="24" xfId="0" applyFont="1" applyBorder="1"/>
    <xf numFmtId="0" fontId="8" fillId="0" borderId="21" xfId="0" applyFont="1" applyBorder="1"/>
    <xf numFmtId="0" fontId="0" fillId="0" borderId="21" xfId="0" applyBorder="1"/>
    <xf numFmtId="17" fontId="9" fillId="0" borderId="21" xfId="0" applyNumberFormat="1" applyFont="1" applyBorder="1"/>
    <xf numFmtId="0" fontId="9" fillId="0" borderId="24" xfId="0" applyFont="1" applyBorder="1"/>
    <xf numFmtId="2" fontId="8" fillId="0" borderId="21" xfId="0" applyNumberFormat="1" applyFont="1" applyBorder="1"/>
    <xf numFmtId="0" fontId="9" fillId="0" borderId="21" xfId="0" applyFont="1" applyBorder="1"/>
    <xf numFmtId="1" fontId="8" fillId="0" borderId="21" xfId="0" applyNumberFormat="1" applyFont="1" applyBorder="1"/>
    <xf numFmtId="0" fontId="0" fillId="0" borderId="27" xfId="0" applyBorder="1"/>
    <xf numFmtId="0" fontId="0" fillId="0" borderId="28" xfId="0" applyBorder="1"/>
    <xf numFmtId="0" fontId="0" fillId="0" borderId="29" xfId="0" applyBorder="1"/>
    <xf numFmtId="0" fontId="8" fillId="0" borderId="0" xfId="0" applyFont="1" applyAlignment="1">
      <alignment horizontal="left"/>
    </xf>
    <xf numFmtId="1" fontId="0" fillId="0" borderId="6" xfId="0" applyNumberFormat="1" applyBorder="1"/>
    <xf numFmtId="0" fontId="0" fillId="0" borderId="13" xfId="0" applyBorder="1"/>
    <xf numFmtId="0" fontId="0" fillId="0" borderId="14" xfId="0" applyBorder="1"/>
    <xf numFmtId="0" fontId="20" fillId="0" borderId="30" xfId="0" applyFont="1" applyBorder="1" applyAlignment="1">
      <alignment vertical="top"/>
    </xf>
    <xf numFmtId="0" fontId="8" fillId="0" borderId="31" xfId="0" applyFont="1" applyBorder="1" applyAlignment="1">
      <alignment vertical="top"/>
    </xf>
    <xf numFmtId="0" fontId="8" fillId="0" borderId="32" xfId="0" applyFont="1" applyBorder="1" applyAlignment="1">
      <alignment vertical="top"/>
    </xf>
    <xf numFmtId="0" fontId="8" fillId="0" borderId="19" xfId="0" applyFont="1" applyBorder="1" applyAlignment="1">
      <alignment vertical="top"/>
    </xf>
    <xf numFmtId="0" fontId="8" fillId="0" borderId="0" xfId="0" applyFont="1" applyAlignment="1">
      <alignment vertical="top"/>
    </xf>
    <xf numFmtId="0" fontId="8" fillId="0" borderId="33" xfId="0" applyFont="1" applyBorder="1" applyAlignment="1">
      <alignment vertical="top"/>
    </xf>
    <xf numFmtId="0" fontId="8" fillId="0" borderId="10" xfId="0" applyFont="1" applyBorder="1" applyAlignment="1">
      <alignment vertical="top"/>
    </xf>
    <xf numFmtId="0" fontId="8" fillId="0" borderId="21" xfId="0" applyFont="1" applyBorder="1" applyAlignment="1">
      <alignment vertical="top"/>
    </xf>
    <xf numFmtId="0" fontId="8" fillId="0" borderId="15" xfId="0" applyFont="1" applyBorder="1" applyAlignment="1">
      <alignment vertical="top"/>
    </xf>
    <xf numFmtId="0" fontId="8" fillId="0" borderId="30" xfId="0" applyFont="1" applyBorder="1" applyAlignment="1">
      <alignment vertical="top"/>
    </xf>
    <xf numFmtId="0" fontId="9" fillId="0" borderId="19" xfId="0" applyFont="1" applyBorder="1" applyAlignment="1">
      <alignment vertical="top"/>
    </xf>
    <xf numFmtId="0" fontId="9" fillId="3" borderId="34" xfId="0" applyFont="1" applyFill="1" applyBorder="1" applyAlignment="1">
      <alignment horizontal="center" vertical="top" wrapText="1"/>
    </xf>
    <xf numFmtId="0" fontId="9" fillId="3" borderId="6" xfId="0" applyFont="1" applyFill="1" applyBorder="1" applyAlignment="1">
      <alignment vertical="top" wrapText="1"/>
    </xf>
    <xf numFmtId="0" fontId="9" fillId="3" borderId="5" xfId="0" applyFont="1" applyFill="1" applyBorder="1" applyAlignment="1">
      <alignment vertical="top"/>
    </xf>
    <xf numFmtId="0" fontId="9" fillId="3" borderId="6" xfId="0" applyFont="1" applyFill="1" applyBorder="1" applyAlignment="1">
      <alignment horizontal="center" vertical="top" wrapText="1"/>
    </xf>
    <xf numFmtId="0" fontId="9" fillId="3" borderId="6" xfId="0" applyFont="1" applyFill="1" applyBorder="1" applyAlignment="1">
      <alignment vertical="top"/>
    </xf>
    <xf numFmtId="0" fontId="9" fillId="3" borderId="6" xfId="0" applyFont="1" applyFill="1" applyBorder="1" applyAlignment="1">
      <alignment horizontal="center" vertical="top"/>
    </xf>
    <xf numFmtId="0" fontId="22" fillId="0" borderId="6" xfId="0" applyFont="1" applyBorder="1" applyAlignment="1">
      <alignment vertical="top"/>
    </xf>
    <xf numFmtId="0" fontId="8" fillId="0" borderId="6" xfId="0" applyFont="1" applyBorder="1" applyAlignment="1">
      <alignment vertical="top"/>
    </xf>
    <xf numFmtId="0" fontId="22" fillId="0" borderId="18" xfId="0" applyFont="1" applyBorder="1" applyAlignment="1">
      <alignment vertical="top"/>
    </xf>
    <xf numFmtId="0" fontId="22" fillId="0" borderId="34" xfId="0" applyFont="1" applyBorder="1" applyAlignment="1">
      <alignment vertical="top"/>
    </xf>
    <xf numFmtId="0" fontId="22" fillId="0" borderId="5" xfId="0" applyFont="1" applyBorder="1" applyAlignment="1">
      <alignment vertical="top"/>
    </xf>
    <xf numFmtId="17" fontId="22" fillId="0" borderId="20" xfId="0" applyNumberFormat="1" applyFont="1" applyBorder="1" applyAlignment="1">
      <alignment vertical="top"/>
    </xf>
    <xf numFmtId="0" fontId="8" fillId="0" borderId="12" xfId="0" applyFont="1" applyBorder="1" applyAlignment="1">
      <alignment vertical="top"/>
    </xf>
    <xf numFmtId="0" fontId="22" fillId="0" borderId="13" xfId="0" applyFont="1" applyBorder="1" applyAlignment="1">
      <alignment vertical="top"/>
    </xf>
    <xf numFmtId="0" fontId="22" fillId="0" borderId="14" xfId="0" applyFont="1" applyBorder="1" applyAlignment="1">
      <alignment vertical="top"/>
    </xf>
    <xf numFmtId="0" fontId="9" fillId="3" borderId="5" xfId="0" applyFont="1" applyFill="1" applyBorder="1" applyAlignment="1">
      <alignment horizontal="center" vertical="top"/>
    </xf>
    <xf numFmtId="0" fontId="9" fillId="3" borderId="17" xfId="0" applyFont="1" applyFill="1" applyBorder="1" applyAlignment="1">
      <alignment horizontal="center" vertical="top" wrapText="1"/>
    </xf>
    <xf numFmtId="0" fontId="9" fillId="3" borderId="16" xfId="0" applyFont="1" applyFill="1" applyBorder="1" applyAlignment="1">
      <alignment horizontal="center" vertical="top" wrapText="1"/>
    </xf>
    <xf numFmtId="0" fontId="9" fillId="3" borderId="10" xfId="0" applyFont="1" applyFill="1" applyBorder="1" applyAlignment="1">
      <alignment horizontal="center" vertical="top"/>
    </xf>
    <xf numFmtId="0" fontId="9" fillId="3" borderId="5" xfId="0" applyFont="1" applyFill="1" applyBorder="1" applyAlignment="1">
      <alignment vertical="top" wrapText="1"/>
    </xf>
    <xf numFmtId="0" fontId="9" fillId="3" borderId="15" xfId="0" applyFont="1" applyFill="1" applyBorder="1" applyAlignment="1">
      <alignment horizontal="center" vertical="top"/>
    </xf>
    <xf numFmtId="0" fontId="9" fillId="3" borderId="17" xfId="0" applyFont="1" applyFill="1" applyBorder="1" applyAlignment="1">
      <alignment vertical="top"/>
    </xf>
    <xf numFmtId="0" fontId="0" fillId="0" borderId="32" xfId="0" applyBorder="1"/>
    <xf numFmtId="0" fontId="8" fillId="0" borderId="34" xfId="0" applyFont="1" applyBorder="1" applyAlignment="1">
      <alignment vertical="top"/>
    </xf>
    <xf numFmtId="0" fontId="0" fillId="0" borderId="33" xfId="0" applyBorder="1"/>
    <xf numFmtId="0" fontId="8" fillId="0" borderId="5" xfId="0" applyFont="1" applyBorder="1" applyAlignment="1">
      <alignment vertical="top"/>
    </xf>
    <xf numFmtId="0" fontId="0" fillId="0" borderId="26" xfId="0" applyBorder="1"/>
    <xf numFmtId="0" fontId="0" fillId="0" borderId="20" xfId="0" applyBorder="1"/>
    <xf numFmtId="0" fontId="8" fillId="0" borderId="18" xfId="0" applyFont="1" applyBorder="1" applyAlignment="1">
      <alignment vertical="top"/>
    </xf>
    <xf numFmtId="0" fontId="8" fillId="0" borderId="26" xfId="0" applyFont="1" applyBorder="1" applyAlignment="1">
      <alignment vertical="top"/>
    </xf>
    <xf numFmtId="0" fontId="8" fillId="0" borderId="20" xfId="0" applyFont="1" applyBorder="1" applyAlignment="1">
      <alignment vertical="top"/>
    </xf>
    <xf numFmtId="0" fontId="24" fillId="0" borderId="6" xfId="0" applyFont="1" applyBorder="1" applyAlignment="1">
      <alignment vertical="top"/>
    </xf>
    <xf numFmtId="0" fontId="9" fillId="3" borderId="5" xfId="0" applyFont="1" applyFill="1" applyBorder="1" applyAlignment="1">
      <alignment horizontal="center" vertical="top" wrapText="1"/>
    </xf>
    <xf numFmtId="0" fontId="0" fillId="0" borderId="19" xfId="0" applyBorder="1"/>
    <xf numFmtId="0" fontId="0" fillId="0" borderId="10" xfId="0" applyBorder="1"/>
    <xf numFmtId="0" fontId="0" fillId="0" borderId="15" xfId="0" applyBorder="1"/>
    <xf numFmtId="0" fontId="9" fillId="3" borderId="5" xfId="0" applyFont="1" applyFill="1" applyBorder="1" applyAlignment="1">
      <alignment horizontal="center" vertical="center" textRotation="90"/>
    </xf>
    <xf numFmtId="0" fontId="8" fillId="0" borderId="35" xfId="0" applyFont="1" applyBorder="1" applyAlignment="1">
      <alignment vertical="top"/>
    </xf>
    <xf numFmtId="0" fontId="8" fillId="0" borderId="36" xfId="0" applyFont="1" applyBorder="1" applyAlignment="1">
      <alignment vertical="top"/>
    </xf>
    <xf numFmtId="0" fontId="8" fillId="0" borderId="37" xfId="0" applyFont="1" applyBorder="1" applyAlignment="1">
      <alignment vertical="top"/>
    </xf>
    <xf numFmtId="0" fontId="9" fillId="3" borderId="5" xfId="0" applyFont="1" applyFill="1" applyBorder="1" applyAlignment="1">
      <alignment vertical="center" textRotation="90" wrapText="1"/>
    </xf>
    <xf numFmtId="0" fontId="9" fillId="3" borderId="18" xfId="0" applyFont="1" applyFill="1" applyBorder="1" applyAlignment="1">
      <alignment horizontal="center" vertical="top"/>
    </xf>
    <xf numFmtId="0" fontId="9" fillId="3" borderId="15" xfId="0" applyFont="1" applyFill="1" applyBorder="1" applyAlignment="1">
      <alignment horizontal="center" vertical="top" textRotation="90"/>
    </xf>
    <xf numFmtId="0" fontId="0" fillId="0" borderId="22" xfId="0" applyBorder="1"/>
    <xf numFmtId="0" fontId="0" fillId="0" borderId="11" xfId="0" applyBorder="1"/>
    <xf numFmtId="0" fontId="0" fillId="0" borderId="23" xfId="0" applyBorder="1"/>
    <xf numFmtId="0" fontId="2" fillId="0" borderId="24" xfId="0" applyFont="1" applyBorder="1"/>
    <xf numFmtId="0" fontId="2" fillId="0" borderId="22" xfId="0" applyFont="1" applyBorder="1"/>
    <xf numFmtId="0" fontId="2" fillId="0" borderId="11" xfId="0" applyFont="1" applyBorder="1"/>
    <xf numFmtId="0" fontId="2" fillId="0" borderId="23" xfId="0" applyFont="1" applyBorder="1"/>
    <xf numFmtId="0" fontId="2" fillId="0" borderId="25" xfId="0" applyFont="1" applyBorder="1"/>
    <xf numFmtId="0" fontId="2" fillId="0" borderId="29" xfId="0" applyFont="1" applyBorder="1"/>
    <xf numFmtId="0" fontId="2" fillId="0" borderId="27" xfId="0" applyFont="1" applyBorder="1"/>
    <xf numFmtId="0" fontId="2" fillId="0" borderId="28" xfId="0" applyFont="1" applyBorder="1"/>
    <xf numFmtId="0" fontId="0" fillId="0" borderId="24" xfId="0" applyBorder="1" applyAlignment="1">
      <alignment vertical="center"/>
    </xf>
    <xf numFmtId="0" fontId="28" fillId="0" borderId="18" xfId="0" applyFont="1" applyBorder="1"/>
    <xf numFmtId="0" fontId="2" fillId="0" borderId="26" xfId="0" applyFont="1" applyBorder="1" applyAlignment="1">
      <alignment horizontal="left" vertical="center"/>
    </xf>
    <xf numFmtId="0" fontId="2" fillId="0" borderId="18" xfId="0" applyFont="1" applyBorder="1" applyAlignment="1">
      <alignment horizontal="center" vertical="center"/>
    </xf>
    <xf numFmtId="0" fontId="0" fillId="0" borderId="26" xfId="0" applyBorder="1" applyAlignment="1">
      <alignment vertical="center"/>
    </xf>
    <xf numFmtId="0" fontId="2" fillId="0" borderId="26" xfId="0" applyFont="1" applyBorder="1" applyAlignment="1">
      <alignment horizontal="center" vertical="center"/>
    </xf>
    <xf numFmtId="0" fontId="2" fillId="0" borderId="20" xfId="0" applyFont="1" applyBorder="1" applyAlignment="1">
      <alignment horizontal="left" vertical="center"/>
    </xf>
    <xf numFmtId="0" fontId="2" fillId="0" borderId="10" xfId="0" applyFont="1" applyBorder="1" applyAlignment="1">
      <alignment horizontal="center" vertical="center"/>
    </xf>
    <xf numFmtId="0" fontId="2" fillId="0" borderId="21" xfId="0" applyFont="1" applyBorder="1" applyAlignment="1">
      <alignment horizontal="center" vertical="center"/>
    </xf>
    <xf numFmtId="0" fontId="2" fillId="0" borderId="40" xfId="0" applyFont="1" applyBorder="1" applyAlignment="1">
      <alignment horizontal="center" vertical="center"/>
    </xf>
    <xf numFmtId="0" fontId="2" fillId="0" borderId="41" xfId="0" applyFont="1" applyBorder="1" applyAlignment="1">
      <alignment horizontal="center" vertical="center"/>
    </xf>
    <xf numFmtId="1" fontId="2" fillId="0" borderId="26" xfId="0" applyNumberFormat="1" applyFont="1" applyBorder="1" applyAlignment="1">
      <alignment horizontal="center" vertical="center"/>
    </xf>
    <xf numFmtId="2" fontId="2" fillId="0" borderId="26" xfId="0" applyNumberFormat="1" applyFont="1" applyBorder="1" applyAlignment="1">
      <alignment horizontal="center" vertical="center"/>
    </xf>
    <xf numFmtId="0" fontId="28" fillId="0" borderId="30" xfId="0" applyFont="1" applyBorder="1"/>
    <xf numFmtId="0" fontId="2" fillId="0" borderId="31" xfId="0" applyFont="1" applyBorder="1"/>
    <xf numFmtId="0" fontId="2" fillId="0" borderId="32" xfId="0" applyFont="1" applyBorder="1"/>
    <xf numFmtId="0" fontId="0" fillId="0" borderId="30" xfId="0" applyBorder="1"/>
    <xf numFmtId="0" fontId="0" fillId="0" borderId="31" xfId="0" applyBorder="1"/>
    <xf numFmtId="0" fontId="0" fillId="0" borderId="42" xfId="0" applyBorder="1"/>
    <xf numFmtId="0" fontId="28" fillId="0" borderId="10" xfId="0" applyFont="1" applyBorder="1"/>
    <xf numFmtId="0" fontId="2" fillId="0" borderId="21" xfId="0" applyFont="1" applyBorder="1"/>
    <xf numFmtId="0" fontId="2" fillId="0" borderId="15" xfId="0" applyFont="1" applyBorder="1"/>
    <xf numFmtId="0" fontId="0" fillId="0" borderId="40" xfId="0" applyBorder="1"/>
    <xf numFmtId="0" fontId="2" fillId="0" borderId="6" xfId="0" applyFont="1" applyBorder="1" applyAlignment="1">
      <alignment horizontal="center" vertical="center"/>
    </xf>
    <xf numFmtId="1" fontId="2" fillId="0" borderId="6" xfId="0" applyNumberFormat="1" applyFont="1" applyBorder="1" applyAlignment="1">
      <alignment horizontal="center" vertical="center"/>
    </xf>
    <xf numFmtId="1" fontId="2" fillId="0" borderId="38" xfId="0" applyNumberFormat="1" applyFont="1" applyBorder="1" applyAlignment="1">
      <alignment horizontal="center" vertical="center"/>
    </xf>
    <xf numFmtId="0" fontId="29" fillId="0" borderId="0" xfId="0" applyFont="1" applyAlignment="1">
      <alignment horizontal="center"/>
    </xf>
    <xf numFmtId="0" fontId="30" fillId="0" borderId="0" xfId="0" applyFont="1" applyAlignment="1">
      <alignment horizontal="center"/>
    </xf>
    <xf numFmtId="0" fontId="31" fillId="0" borderId="0" xfId="0" applyFont="1"/>
    <xf numFmtId="0" fontId="32" fillId="0" borderId="0" xfId="0" applyFont="1" applyAlignment="1">
      <alignment wrapText="1"/>
    </xf>
    <xf numFmtId="0" fontId="32" fillId="0" borderId="0" xfId="0" applyFont="1"/>
    <xf numFmtId="0" fontId="33" fillId="0" borderId="0" xfId="0" applyFont="1" applyAlignment="1">
      <alignment horizontal="center"/>
    </xf>
    <xf numFmtId="0" fontId="33" fillId="0" borderId="0" xfId="0" applyFont="1" applyAlignment="1">
      <alignment wrapText="1"/>
    </xf>
    <xf numFmtId="0" fontId="33" fillId="0" borderId="0" xfId="0" applyFont="1"/>
    <xf numFmtId="0" fontId="34" fillId="0" borderId="34" xfId="0" applyFont="1" applyBorder="1" applyAlignment="1">
      <alignment horizontal="center" wrapText="1"/>
    </xf>
    <xf numFmtId="0" fontId="34" fillId="0" borderId="0" xfId="0" applyFont="1"/>
    <xf numFmtId="0" fontId="35" fillId="0" borderId="5" xfId="0" applyFont="1" applyBorder="1" applyAlignment="1">
      <alignment horizontal="center" vertical="center" wrapText="1"/>
    </xf>
    <xf numFmtId="0" fontId="34" fillId="0" borderId="8" xfId="0" applyFont="1" applyBorder="1" applyAlignment="1">
      <alignment horizontal="center" wrapText="1"/>
    </xf>
    <xf numFmtId="0" fontId="36" fillId="0" borderId="0" xfId="0" applyFont="1" applyAlignment="1">
      <alignment horizontal="center" vertical="center" wrapText="1"/>
    </xf>
    <xf numFmtId="0" fontId="0" fillId="0" borderId="34" xfId="0" applyBorder="1" applyAlignment="1">
      <alignment horizontal="center"/>
    </xf>
    <xf numFmtId="0" fontId="0" fillId="0" borderId="34" xfId="0" applyBorder="1" applyAlignment="1">
      <alignment horizontal="center" wrapText="1"/>
    </xf>
    <xf numFmtId="0" fontId="0" fillId="0" borderId="5" xfId="0" applyBorder="1" applyAlignment="1">
      <alignment horizontal="center"/>
    </xf>
    <xf numFmtId="0" fontId="0" fillId="0" borderId="6" xfId="0" applyBorder="1" applyAlignment="1">
      <alignment horizontal="center" wrapText="1"/>
    </xf>
    <xf numFmtId="0" fontId="5" fillId="2" borderId="6" xfId="4" applyFont="1" applyFill="1" applyBorder="1" applyAlignment="1">
      <alignment horizontal="left"/>
    </xf>
    <xf numFmtId="0" fontId="0" fillId="0" borderId="6" xfId="0" applyBorder="1" applyAlignment="1">
      <alignment horizontal="left" wrapText="1"/>
    </xf>
    <xf numFmtId="0" fontId="37" fillId="2" borderId="6" xfId="0" applyFont="1" applyFill="1" applyBorder="1"/>
    <xf numFmtId="1" fontId="37" fillId="2" borderId="6" xfId="0" applyNumberFormat="1" applyFont="1" applyFill="1" applyBorder="1"/>
    <xf numFmtId="1" fontId="5" fillId="2" borderId="6" xfId="4" quotePrefix="1" applyNumberFormat="1" applyFont="1" applyFill="1" applyBorder="1" applyAlignment="1">
      <alignment horizontal="left"/>
    </xf>
    <xf numFmtId="1" fontId="5" fillId="2" borderId="6" xfId="4" applyNumberFormat="1" applyFont="1" applyFill="1" applyBorder="1" applyAlignment="1">
      <alignment horizontal="left"/>
    </xf>
    <xf numFmtId="1" fontId="37" fillId="2" borderId="6" xfId="0" applyNumberFormat="1" applyFont="1" applyFill="1" applyBorder="1" applyAlignment="1">
      <alignment vertical="top"/>
    </xf>
    <xf numFmtId="0" fontId="38" fillId="2" borderId="11" xfId="0" applyFont="1" applyFill="1" applyBorder="1" applyAlignment="1">
      <alignment horizontal="center" vertical="top" wrapText="1"/>
    </xf>
    <xf numFmtId="0" fontId="38" fillId="2" borderId="23" xfId="0" applyFont="1" applyFill="1" applyBorder="1" applyAlignment="1">
      <alignment horizontal="center" vertical="top" wrapText="1"/>
    </xf>
    <xf numFmtId="0" fontId="38" fillId="2" borderId="0" xfId="0" applyFont="1" applyFill="1" applyAlignment="1">
      <alignment horizontal="center" vertical="top" wrapText="1"/>
    </xf>
    <xf numFmtId="0" fontId="38" fillId="2" borderId="25" xfId="0" applyFont="1" applyFill="1" applyBorder="1" applyAlignment="1">
      <alignment horizontal="center" vertical="top" wrapText="1"/>
    </xf>
    <xf numFmtId="0" fontId="0" fillId="2" borderId="0" xfId="0" applyFill="1" applyAlignment="1">
      <alignment horizontal="center" vertical="top" wrapText="1"/>
    </xf>
    <xf numFmtId="0" fontId="0" fillId="2" borderId="25" xfId="0" applyFill="1" applyBorder="1" applyAlignment="1">
      <alignment horizontal="center" vertical="top" wrapText="1"/>
    </xf>
    <xf numFmtId="0" fontId="39" fillId="2" borderId="0" xfId="0" applyFont="1" applyFill="1" applyAlignment="1">
      <alignment horizontal="center" vertical="top" wrapText="1"/>
    </xf>
    <xf numFmtId="0" fontId="39" fillId="2" borderId="25" xfId="0" applyFont="1" applyFill="1" applyBorder="1" applyAlignment="1">
      <alignment horizontal="center" vertical="top" wrapText="1"/>
    </xf>
    <xf numFmtId="0" fontId="39" fillId="2" borderId="24" xfId="0" applyFont="1" applyFill="1" applyBorder="1" applyAlignment="1">
      <alignment horizontal="center" vertical="top" wrapText="1"/>
    </xf>
    <xf numFmtId="0" fontId="40" fillId="2" borderId="24" xfId="0" applyFont="1" applyFill="1" applyBorder="1" applyAlignment="1">
      <alignment horizontal="center" vertical="top" wrapText="1"/>
    </xf>
    <xf numFmtId="0" fontId="40" fillId="2" borderId="0" xfId="0" applyFont="1" applyFill="1" applyAlignment="1">
      <alignment horizontal="center" vertical="top" wrapText="1"/>
    </xf>
    <xf numFmtId="0" fontId="40" fillId="2" borderId="25" xfId="0" applyFont="1" applyFill="1" applyBorder="1" applyAlignment="1">
      <alignment horizontal="center" vertical="top" wrapText="1"/>
    </xf>
    <xf numFmtId="0" fontId="41" fillId="2" borderId="24" xfId="0" applyFont="1" applyFill="1" applyBorder="1" applyAlignment="1">
      <alignment horizontal="left" vertical="center"/>
    </xf>
    <xf numFmtId="0" fontId="41" fillId="2" borderId="0" xfId="0" applyFont="1" applyFill="1" applyAlignment="1">
      <alignment horizontal="left" vertical="center"/>
    </xf>
    <xf numFmtId="0" fontId="10" fillId="0" borderId="0" xfId="0" applyFont="1" applyAlignment="1">
      <alignment horizontal="left" vertical="center"/>
    </xf>
    <xf numFmtId="0" fontId="41" fillId="2" borderId="24" xfId="0" applyFont="1" applyFill="1" applyBorder="1"/>
    <xf numFmtId="0" fontId="41" fillId="2" borderId="0" xfId="0" applyFont="1" applyFill="1" applyAlignment="1">
      <alignment horizontal="center"/>
    </xf>
    <xf numFmtId="0" fontId="41" fillId="0" borderId="0" xfId="0" applyFont="1" applyAlignment="1">
      <alignment horizontal="center"/>
    </xf>
    <xf numFmtId="0" fontId="41" fillId="2" borderId="0" xfId="0" applyFont="1" applyFill="1" applyAlignment="1">
      <alignment horizontal="center" wrapText="1"/>
    </xf>
    <xf numFmtId="0" fontId="41" fillId="2" borderId="0" xfId="0" applyFont="1" applyFill="1" applyAlignment="1">
      <alignment horizontal="left" wrapText="1"/>
    </xf>
    <xf numFmtId="0" fontId="41" fillId="2" borderId="0" xfId="0" applyFont="1" applyFill="1"/>
    <xf numFmtId="0" fontId="41" fillId="2" borderId="25" xfId="0" applyFont="1" applyFill="1" applyBorder="1"/>
    <xf numFmtId="0" fontId="42" fillId="2" borderId="24" xfId="0" applyFont="1" applyFill="1" applyBorder="1"/>
    <xf numFmtId="0" fontId="42" fillId="2" borderId="0" xfId="0" applyFont="1" applyFill="1" applyAlignment="1">
      <alignment horizontal="center"/>
    </xf>
    <xf numFmtId="0" fontId="42" fillId="2" borderId="0" xfId="0" applyFont="1" applyFill="1" applyAlignment="1">
      <alignment vertical="center"/>
    </xf>
    <xf numFmtId="0" fontId="42" fillId="2" borderId="0" xfId="0" applyFont="1" applyFill="1"/>
    <xf numFmtId="0" fontId="42" fillId="2" borderId="25" xfId="0" applyFont="1" applyFill="1" applyBorder="1"/>
    <xf numFmtId="0" fontId="43" fillId="2" borderId="0" xfId="0" applyFont="1" applyFill="1" applyAlignment="1">
      <alignment vertical="top" wrapText="1"/>
    </xf>
    <xf numFmtId="0" fontId="43" fillId="2" borderId="0" xfId="0" applyFont="1" applyFill="1" applyAlignment="1">
      <alignment horizontal="justify" vertical="top" wrapText="1"/>
    </xf>
    <xf numFmtId="0" fontId="43" fillId="2" borderId="25" xfId="0" applyFont="1" applyFill="1" applyBorder="1" applyAlignment="1">
      <alignment horizontal="justify" vertical="top" wrapText="1"/>
    </xf>
    <xf numFmtId="0" fontId="43" fillId="2" borderId="24" xfId="0" applyFont="1" applyFill="1" applyBorder="1" applyAlignment="1">
      <alignment horizontal="left" vertical="top" wrapText="1"/>
    </xf>
    <xf numFmtId="0" fontId="43" fillId="2" borderId="0" xfId="0" applyFont="1" applyFill="1" applyAlignment="1">
      <alignment horizontal="left" vertical="top" wrapText="1"/>
    </xf>
    <xf numFmtId="0" fontId="0" fillId="2" borderId="0" xfId="0" applyFill="1" applyAlignment="1">
      <alignment horizontal="justify" vertical="top" wrapText="1"/>
    </xf>
    <xf numFmtId="0" fontId="0" fillId="2" borderId="25" xfId="0" applyFill="1" applyBorder="1" applyAlignment="1">
      <alignment horizontal="justify" vertical="top" wrapText="1"/>
    </xf>
    <xf numFmtId="0" fontId="44" fillId="2" borderId="24" xfId="0" applyFont="1" applyFill="1" applyBorder="1" applyAlignment="1">
      <alignment horizontal="center" vertical="top" wrapText="1"/>
    </xf>
    <xf numFmtId="0" fontId="44" fillId="2" borderId="0" xfId="0" applyFont="1" applyFill="1" applyAlignment="1">
      <alignment horizontal="center" vertical="top" wrapText="1"/>
    </xf>
    <xf numFmtId="0" fontId="44" fillId="2" borderId="25" xfId="0" applyFont="1" applyFill="1" applyBorder="1" applyAlignment="1">
      <alignment horizontal="center" vertical="top" wrapText="1"/>
    </xf>
    <xf numFmtId="0" fontId="44" fillId="2" borderId="44" xfId="0" applyFont="1" applyFill="1" applyBorder="1" applyAlignment="1">
      <alignment horizontal="center" vertical="center" wrapText="1"/>
    </xf>
    <xf numFmtId="0" fontId="44" fillId="2" borderId="34" xfId="0" applyFont="1" applyFill="1" applyBorder="1" applyAlignment="1">
      <alignment horizontal="center" vertical="center" wrapText="1"/>
    </xf>
    <xf numFmtId="0" fontId="44" fillId="2" borderId="39" xfId="0" applyFont="1" applyFill="1" applyBorder="1" applyAlignment="1">
      <alignment horizontal="center" vertical="center" wrapText="1"/>
    </xf>
    <xf numFmtId="0" fontId="0" fillId="0" borderId="45" xfId="0" applyBorder="1" applyAlignment="1">
      <alignment vertical="center"/>
    </xf>
    <xf numFmtId="0" fontId="0" fillId="0" borderId="6" xfId="0" applyBorder="1" applyAlignment="1">
      <alignment horizontal="center" vertical="center"/>
    </xf>
    <xf numFmtId="166" fontId="0" fillId="0" borderId="6" xfId="0" applyNumberFormat="1" applyBorder="1" applyAlignment="1">
      <alignment horizontal="center" vertical="center"/>
    </xf>
    <xf numFmtId="0" fontId="0" fillId="0" borderId="6" xfId="0" applyBorder="1" applyAlignment="1">
      <alignment vertical="center"/>
    </xf>
    <xf numFmtId="0" fontId="45" fillId="0" borderId="5" xfId="0" applyFont="1" applyBorder="1" applyAlignment="1">
      <alignment horizontal="center" vertical="center"/>
    </xf>
    <xf numFmtId="0" fontId="2" fillId="0" borderId="6" xfId="0" applyFont="1" applyBorder="1"/>
    <xf numFmtId="1" fontId="2" fillId="0" borderId="24" xfId="0" applyNumberFormat="1" applyFont="1" applyBorder="1"/>
    <xf numFmtId="0" fontId="2" fillId="0" borderId="31" xfId="0" applyFont="1" applyBorder="1" applyAlignment="1">
      <alignment horizontal="left" vertical="center"/>
    </xf>
    <xf numFmtId="0" fontId="2" fillId="0" borderId="32" xfId="0" applyFont="1" applyBorder="1" applyAlignment="1">
      <alignment horizontal="left"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1" fontId="2" fillId="0" borderId="31" xfId="0" applyNumberFormat="1" applyFont="1" applyBorder="1" applyAlignment="1">
      <alignment horizontal="center" vertical="center"/>
    </xf>
    <xf numFmtId="0" fontId="2" fillId="0" borderId="42" xfId="0" applyFont="1" applyBorder="1" applyAlignment="1">
      <alignment horizontal="center" vertical="center"/>
    </xf>
    <xf numFmtId="0" fontId="2" fillId="0" borderId="0" xfId="0" applyFont="1" applyAlignment="1">
      <alignment horizontal="center" vertical="center"/>
    </xf>
    <xf numFmtId="1" fontId="2" fillId="0" borderId="0" xfId="0" applyNumberFormat="1" applyFont="1" applyAlignment="1">
      <alignment horizontal="center" vertical="center"/>
    </xf>
    <xf numFmtId="0" fontId="8" fillId="0" borderId="0" xfId="0" applyFont="1" applyAlignment="1">
      <alignment horizontal="left" vertical="center" wrapText="1"/>
    </xf>
    <xf numFmtId="0" fontId="0" fillId="0" borderId="24" xfId="0" applyBorder="1" applyAlignment="1">
      <alignment horizontal="center"/>
    </xf>
    <xf numFmtId="0" fontId="0" fillId="0" borderId="25" xfId="0" applyBorder="1" applyAlignment="1">
      <alignment horizontal="center"/>
    </xf>
    <xf numFmtId="1" fontId="2" fillId="0" borderId="6" xfId="0" applyNumberFormat="1" applyFont="1" applyBorder="1" applyAlignment="1">
      <alignment horizontal="center" vertical="center" wrapText="1"/>
    </xf>
    <xf numFmtId="1" fontId="2" fillId="0" borderId="18" xfId="0" applyNumberFormat="1" applyFont="1" applyBorder="1" applyAlignment="1">
      <alignment horizontal="center" vertical="center"/>
    </xf>
    <xf numFmtId="1" fontId="2" fillId="0" borderId="18" xfId="0" applyNumberFormat="1" applyFont="1" applyBorder="1" applyAlignment="1">
      <alignment horizontal="center" vertical="center" wrapText="1"/>
    </xf>
    <xf numFmtId="0" fontId="2" fillId="0" borderId="6" xfId="0" applyFont="1" applyBorder="1" applyAlignment="1">
      <alignment horizontal="center" wrapText="1"/>
    </xf>
    <xf numFmtId="0" fontId="28" fillId="0" borderId="18" xfId="5" applyNumberFormat="1" applyFont="1" applyBorder="1"/>
    <xf numFmtId="1" fontId="2" fillId="0" borderId="20" xfId="0" applyNumberFormat="1" applyFont="1" applyBorder="1" applyAlignment="1">
      <alignment horizontal="center" vertical="center" wrapText="1"/>
    </xf>
    <xf numFmtId="0" fontId="2" fillId="0" borderId="0" xfId="0" applyFont="1" applyAlignment="1">
      <alignment horizontal="left" vertical="center"/>
    </xf>
    <xf numFmtId="0" fontId="2" fillId="0" borderId="18" xfId="0" applyFont="1" applyBorder="1" applyAlignment="1">
      <alignment horizontal="right" vertical="center"/>
    </xf>
    <xf numFmtId="1" fontId="0" fillId="0" borderId="26" xfId="0" applyNumberFormat="1" applyBorder="1"/>
    <xf numFmtId="0" fontId="47" fillId="0" borderId="0" xfId="0" applyFont="1"/>
    <xf numFmtId="0" fontId="28" fillId="0" borderId="0" xfId="0" applyFont="1"/>
    <xf numFmtId="1" fontId="2" fillId="0" borderId="0" xfId="0" applyNumberFormat="1" applyFont="1" applyAlignment="1">
      <alignment horizontal="center" vertical="center" wrapText="1"/>
    </xf>
    <xf numFmtId="0" fontId="2" fillId="0" borderId="0" xfId="0" applyFont="1" applyAlignment="1">
      <alignment horizontal="center" wrapText="1"/>
    </xf>
    <xf numFmtId="0" fontId="2" fillId="0" borderId="25" xfId="0" applyFont="1" applyBorder="1" applyAlignment="1">
      <alignment horizontal="center" vertical="center"/>
    </xf>
    <xf numFmtId="0" fontId="26" fillId="0" borderId="11" xfId="0" applyFont="1" applyBorder="1"/>
    <xf numFmtId="0" fontId="26" fillId="0" borderId="23" xfId="0" applyFont="1" applyBorder="1"/>
    <xf numFmtId="0" fontId="48" fillId="0" borderId="11" xfId="0" applyFont="1" applyBorder="1"/>
    <xf numFmtId="0" fontId="0" fillId="0" borderId="0" xfId="0" applyAlignment="1">
      <alignment vertical="top"/>
    </xf>
    <xf numFmtId="0" fontId="2" fillId="0" borderId="0" xfId="0" applyFont="1" applyAlignment="1">
      <alignment vertical="center" wrapText="1"/>
    </xf>
    <xf numFmtId="0" fontId="2" fillId="0" borderId="26" xfId="0" applyFont="1" applyBorder="1"/>
    <xf numFmtId="0" fontId="2" fillId="0" borderId="20" xfId="0" applyFont="1" applyBorder="1"/>
    <xf numFmtId="0" fontId="2" fillId="0" borderId="18" xfId="0" applyFont="1" applyBorder="1"/>
    <xf numFmtId="0" fontId="0" fillId="0" borderId="18" xfId="0" applyBorder="1"/>
    <xf numFmtId="0" fontId="2" fillId="0" borderId="20" xfId="0" applyFont="1" applyBorder="1" applyAlignment="1">
      <alignment horizontal="center" vertical="center"/>
    </xf>
    <xf numFmtId="0" fontId="2" fillId="0" borderId="18" xfId="0" applyFont="1" applyBorder="1" applyAlignment="1">
      <alignment horizontal="center" wrapText="1"/>
    </xf>
    <xf numFmtId="0" fontId="2" fillId="0" borderId="18" xfId="0" applyFont="1" applyBorder="1" applyAlignment="1">
      <alignment horizontal="left" wrapText="1"/>
    </xf>
    <xf numFmtId="0" fontId="2" fillId="0" borderId="25" xfId="0" applyFont="1" applyBorder="1" applyAlignment="1">
      <alignment vertical="center" wrapText="1"/>
    </xf>
    <xf numFmtId="0" fontId="0" fillId="0" borderId="41" xfId="0" applyBorder="1"/>
    <xf numFmtId="0" fontId="50" fillId="2" borderId="31" xfId="0" applyFont="1" applyFill="1" applyBorder="1" applyAlignment="1">
      <alignment vertical="center"/>
    </xf>
    <xf numFmtId="0" fontId="50" fillId="2" borderId="32" xfId="0" applyFont="1" applyFill="1" applyBorder="1" applyAlignment="1">
      <alignment vertical="center"/>
    </xf>
    <xf numFmtId="0" fontId="50" fillId="2" borderId="10" xfId="0" applyFont="1" applyFill="1" applyBorder="1" applyAlignment="1">
      <alignment vertical="center"/>
    </xf>
    <xf numFmtId="0" fontId="50" fillId="2" borderId="21" xfId="0" applyFont="1" applyFill="1" applyBorder="1" applyAlignment="1">
      <alignment vertical="center"/>
    </xf>
    <xf numFmtId="0" fontId="50" fillId="2" borderId="15" xfId="0" applyFont="1" applyFill="1" applyBorder="1" applyAlignment="1">
      <alignment vertical="center"/>
    </xf>
    <xf numFmtId="0" fontId="50" fillId="2" borderId="0" xfId="0" applyFont="1" applyFill="1" applyAlignment="1">
      <alignment vertical="center"/>
    </xf>
    <xf numFmtId="0" fontId="50" fillId="2" borderId="0" xfId="0" applyFont="1" applyFill="1" applyAlignment="1">
      <alignment horizontal="center" vertical="center"/>
    </xf>
    <xf numFmtId="0" fontId="50" fillId="2" borderId="18" xfId="0" applyFont="1" applyFill="1" applyBorder="1" applyAlignment="1">
      <alignment horizontal="center" vertical="center"/>
    </xf>
    <xf numFmtId="0" fontId="50" fillId="2" borderId="26" xfId="0" applyFont="1" applyFill="1" applyBorder="1" applyAlignment="1">
      <alignment vertical="center"/>
    </xf>
    <xf numFmtId="0" fontId="50" fillId="2" borderId="20" xfId="0" applyFont="1" applyFill="1" applyBorder="1" applyAlignment="1">
      <alignment vertical="center"/>
    </xf>
    <xf numFmtId="0" fontId="2" fillId="0" borderId="18" xfId="0" applyFont="1" applyBorder="1" applyAlignment="1">
      <alignment horizontal="left" vertical="center"/>
    </xf>
    <xf numFmtId="0" fontId="27" fillId="0" borderId="0" xfId="0" applyFont="1"/>
    <xf numFmtId="0" fontId="5" fillId="0" borderId="18" xfId="0" applyFont="1" applyBorder="1"/>
    <xf numFmtId="0" fontId="5" fillId="0" borderId="30" xfId="0" applyFont="1" applyBorder="1"/>
    <xf numFmtId="0" fontId="27" fillId="0" borderId="31" xfId="0" applyFont="1" applyBorder="1"/>
    <xf numFmtId="0" fontId="5" fillId="0" borderId="26" xfId="0" applyFont="1" applyBorder="1"/>
    <xf numFmtId="0" fontId="50" fillId="0" borderId="18" xfId="0" applyFont="1" applyBorder="1" applyAlignment="1">
      <alignment vertical="center"/>
    </xf>
    <xf numFmtId="0" fontId="51" fillId="2" borderId="31" xfId="0" applyFont="1" applyFill="1" applyBorder="1" applyAlignment="1" applyProtection="1">
      <alignment horizontal="center" vertical="center"/>
      <protection locked="0"/>
    </xf>
    <xf numFmtId="0" fontId="50" fillId="2" borderId="18" xfId="0" applyFont="1" applyFill="1" applyBorder="1" applyAlignment="1">
      <alignment vertical="center"/>
    </xf>
    <xf numFmtId="0" fontId="11" fillId="0" borderId="0" xfId="0" applyFont="1"/>
    <xf numFmtId="0" fontId="2" fillId="0" borderId="0" xfId="0" applyFont="1" applyAlignment="1">
      <alignment vertical="top"/>
    </xf>
    <xf numFmtId="0" fontId="50" fillId="2" borderId="0" xfId="0" applyFont="1" applyFill="1" applyAlignment="1">
      <alignment vertical="center" wrapText="1"/>
    </xf>
    <xf numFmtId="0" fontId="50" fillId="2" borderId="6" xfId="0" applyFont="1" applyFill="1" applyBorder="1" applyAlignment="1">
      <alignment vertical="center" wrapText="1"/>
    </xf>
    <xf numFmtId="0" fontId="50" fillId="2" borderId="18" xfId="0" applyFont="1" applyFill="1" applyBorder="1" applyAlignment="1">
      <alignment vertical="center" wrapText="1"/>
    </xf>
    <xf numFmtId="0" fontId="50" fillId="2" borderId="20" xfId="0" applyFont="1" applyFill="1" applyBorder="1" applyAlignment="1">
      <alignment vertical="center" wrapText="1"/>
    </xf>
    <xf numFmtId="0" fontId="53" fillId="2" borderId="0" xfId="0" applyFont="1" applyFill="1" applyAlignment="1">
      <alignment vertical="center"/>
    </xf>
    <xf numFmtId="0" fontId="53" fillId="2" borderId="26" xfId="0" applyFont="1" applyFill="1" applyBorder="1" applyAlignment="1">
      <alignment vertical="center"/>
    </xf>
    <xf numFmtId="0" fontId="56" fillId="0" borderId="0" xfId="0" applyFont="1" applyAlignment="1">
      <alignment horizontal="left" vertical="center"/>
    </xf>
    <xf numFmtId="0" fontId="56" fillId="0" borderId="0" xfId="0" applyFont="1"/>
    <xf numFmtId="0" fontId="52" fillId="2" borderId="0" xfId="0" applyFont="1" applyFill="1" applyAlignment="1">
      <alignment vertical="center"/>
    </xf>
    <xf numFmtId="0" fontId="57" fillId="0" borderId="0" xfId="0" applyFont="1" applyAlignment="1">
      <alignment horizontal="left" vertical="top" wrapText="1"/>
    </xf>
    <xf numFmtId="1" fontId="2" fillId="0" borderId="0" xfId="0" applyNumberFormat="1" applyFont="1"/>
    <xf numFmtId="14" fontId="2" fillId="0" borderId="0" xfId="0" applyNumberFormat="1" applyFont="1" applyAlignment="1">
      <alignment horizontal="center"/>
    </xf>
    <xf numFmtId="0" fontId="11" fillId="0" borderId="26" xfId="0" applyFont="1" applyBorder="1"/>
    <xf numFmtId="0" fontId="59" fillId="0" borderId="26" xfId="0" applyFont="1" applyBorder="1" applyAlignment="1">
      <alignment horizontal="left" vertical="center"/>
    </xf>
    <xf numFmtId="0" fontId="59" fillId="0" borderId="20" xfId="0" applyFont="1" applyBorder="1" applyAlignment="1">
      <alignment horizontal="left" vertical="center"/>
    </xf>
    <xf numFmtId="0" fontId="60" fillId="0" borderId="18" xfId="0" applyFont="1" applyBorder="1" applyAlignment="1">
      <alignment horizontal="left" vertical="center"/>
    </xf>
    <xf numFmtId="0" fontId="60" fillId="0" borderId="0" xfId="0" applyFont="1" applyAlignment="1">
      <alignment horizontal="left" vertical="center"/>
    </xf>
    <xf numFmtId="0" fontId="60" fillId="0" borderId="0" xfId="0" applyFont="1"/>
    <xf numFmtId="0" fontId="61" fillId="0" borderId="0" xfId="0" applyFont="1"/>
    <xf numFmtId="0" fontId="61" fillId="0" borderId="0" xfId="5" applyNumberFormat="1" applyFont="1"/>
    <xf numFmtId="0" fontId="62" fillId="0" borderId="0" xfId="0" applyFont="1"/>
    <xf numFmtId="0" fontId="27" fillId="0" borderId="25" xfId="0" applyFont="1" applyBorder="1"/>
    <xf numFmtId="0" fontId="59" fillId="0" borderId="0" xfId="0" applyFont="1" applyAlignment="1">
      <alignment horizontal="left" vertical="center"/>
    </xf>
    <xf numFmtId="0" fontId="27" fillId="0" borderId="42" xfId="0" applyFont="1" applyBorder="1"/>
    <xf numFmtId="0" fontId="5" fillId="0" borderId="41" xfId="0" applyFont="1" applyBorder="1"/>
    <xf numFmtId="0" fontId="50" fillId="2" borderId="41" xfId="0" applyFont="1" applyFill="1" applyBorder="1" applyAlignment="1">
      <alignment vertical="center"/>
    </xf>
    <xf numFmtId="0" fontId="50" fillId="2" borderId="38" xfId="0" applyFont="1" applyFill="1" applyBorder="1" applyAlignment="1">
      <alignment horizontal="center" vertical="center"/>
    </xf>
    <xf numFmtId="0" fontId="53" fillId="2" borderId="41" xfId="0" applyFont="1" applyFill="1" applyBorder="1" applyAlignment="1">
      <alignment vertical="center"/>
    </xf>
    <xf numFmtId="0" fontId="57" fillId="0" borderId="25" xfId="0" applyFont="1" applyBorder="1" applyAlignment="1">
      <alignment horizontal="left" vertical="top" wrapText="1"/>
    </xf>
    <xf numFmtId="0" fontId="52" fillId="2" borderId="25" xfId="0" applyFont="1" applyFill="1" applyBorder="1" applyAlignment="1">
      <alignment vertical="center"/>
    </xf>
    <xf numFmtId="1" fontId="0" fillId="0" borderId="0" xfId="0" applyNumberFormat="1"/>
    <xf numFmtId="2" fontId="2" fillId="0" borderId="0" xfId="0" applyNumberFormat="1" applyFont="1" applyAlignment="1">
      <alignment horizontal="center" vertical="center"/>
    </xf>
    <xf numFmtId="0" fontId="65" fillId="0" borderId="0" xfId="0" applyFont="1" applyAlignment="1">
      <alignment vertical="center"/>
    </xf>
    <xf numFmtId="0" fontId="24" fillId="0" borderId="24" xfId="0" applyFont="1" applyBorder="1"/>
    <xf numFmtId="0" fontId="65" fillId="0" borderId="24" xfId="0" applyFont="1" applyBorder="1" applyAlignment="1">
      <alignment horizontal="left" vertical="center" wrapText="1"/>
    </xf>
    <xf numFmtId="0" fontId="0" fillId="0" borderId="24" xfId="0" applyBorder="1" applyAlignment="1">
      <alignment vertical="center" wrapText="1"/>
    </xf>
    <xf numFmtId="0" fontId="0" fillId="0" borderId="0" xfId="0" applyAlignment="1">
      <alignment vertical="center" wrapText="1"/>
    </xf>
    <xf numFmtId="0" fontId="0" fillId="0" borderId="25" xfId="0" applyBorder="1" applyAlignment="1">
      <alignment vertical="center" wrapText="1"/>
    </xf>
    <xf numFmtId="0" fontId="24" fillId="0" borderId="0" xfId="0" applyFont="1"/>
    <xf numFmtId="0" fontId="24" fillId="0" borderId="25" xfId="0" applyFont="1" applyBorder="1"/>
    <xf numFmtId="0" fontId="24" fillId="0" borderId="45" xfId="0" applyFont="1" applyBorder="1" applyAlignment="1">
      <alignment horizontal="center" vertical="center" wrapText="1"/>
    </xf>
    <xf numFmtId="0" fontId="24" fillId="0" borderId="6" xfId="0" applyFont="1" applyBorder="1" applyAlignment="1">
      <alignment horizontal="center" vertical="center" wrapText="1"/>
    </xf>
    <xf numFmtId="0" fontId="24" fillId="0" borderId="38" xfId="0" applyFont="1" applyBorder="1" applyAlignment="1">
      <alignment horizontal="center" vertical="center" wrapText="1"/>
    </xf>
    <xf numFmtId="0" fontId="0" fillId="0" borderId="45" xfId="0" applyBorder="1" applyAlignment="1">
      <alignment horizontal="center"/>
    </xf>
    <xf numFmtId="0" fontId="0" fillId="0" borderId="6" xfId="0" applyBorder="1" applyAlignment="1">
      <alignment horizontal="center"/>
    </xf>
    <xf numFmtId="0" fontId="0" fillId="0" borderId="38" xfId="0" applyBorder="1" applyAlignment="1">
      <alignment horizontal="center"/>
    </xf>
    <xf numFmtId="0" fontId="0" fillId="0" borderId="38" xfId="0" applyBorder="1"/>
    <xf numFmtId="0" fontId="20" fillId="0" borderId="0" xfId="0" applyFont="1"/>
    <xf numFmtId="0" fontId="0" fillId="0" borderId="24" xfId="0" applyBorder="1" applyAlignment="1">
      <alignment horizontal="left" vertical="center" wrapText="1"/>
    </xf>
    <xf numFmtId="0" fontId="0" fillId="0" borderId="0" xfId="0" applyAlignment="1">
      <alignment horizontal="left" vertical="center" wrapText="1"/>
    </xf>
    <xf numFmtId="0" fontId="0" fillId="0" borderId="25" xfId="0" applyBorder="1" applyAlignment="1">
      <alignment horizontal="left" vertical="center" wrapText="1"/>
    </xf>
    <xf numFmtId="0" fontId="8" fillId="0" borderId="24" xfId="0" applyFont="1" applyBorder="1" applyAlignment="1">
      <alignment horizontal="left" vertical="center"/>
    </xf>
    <xf numFmtId="0" fontId="8" fillId="0" borderId="0" xfId="0" applyFont="1" applyAlignment="1">
      <alignment horizontal="left" vertical="center"/>
    </xf>
    <xf numFmtId="0" fontId="8" fillId="0" borderId="25" xfId="0" applyFont="1" applyBorder="1" applyAlignment="1">
      <alignment horizontal="left" vertical="center"/>
    </xf>
    <xf numFmtId="0" fontId="0" fillId="0" borderId="25" xfId="0" applyBorder="1" applyAlignment="1">
      <alignment horizontal="left" vertical="center"/>
    </xf>
    <xf numFmtId="0" fontId="9" fillId="0" borderId="24" xfId="0" applyFont="1" applyBorder="1" applyAlignment="1">
      <alignment vertical="center"/>
    </xf>
    <xf numFmtId="0" fontId="24" fillId="0" borderId="0" xfId="0" applyFont="1" applyAlignment="1">
      <alignment horizontal="center"/>
    </xf>
    <xf numFmtId="1" fontId="11" fillId="0" borderId="0" xfId="0" applyNumberFormat="1" applyFont="1"/>
    <xf numFmtId="0" fontId="0" fillId="0" borderId="4" xfId="0" applyBorder="1"/>
    <xf numFmtId="0" fontId="24" fillId="0" borderId="12" xfId="0" applyFont="1" applyBorder="1"/>
    <xf numFmtId="0" fontId="2" fillId="0" borderId="13" xfId="0" applyFont="1" applyBorder="1"/>
    <xf numFmtId="0" fontId="0" fillId="0" borderId="45" xfId="0" applyBorder="1"/>
    <xf numFmtId="0" fontId="24" fillId="0" borderId="29" xfId="0" applyFont="1" applyBorder="1"/>
    <xf numFmtId="0" fontId="0" fillId="0" borderId="0" xfId="0" applyAlignment="1">
      <alignment horizontal="center" vertical="center"/>
    </xf>
    <xf numFmtId="0" fontId="9" fillId="0" borderId="0" xfId="0" applyFont="1" applyAlignment="1">
      <alignment horizontal="left"/>
    </xf>
    <xf numFmtId="0" fontId="0" fillId="0" borderId="6" xfId="0" applyBorder="1" applyAlignment="1">
      <alignment horizontal="center" vertical="center" wrapText="1"/>
    </xf>
    <xf numFmtId="0" fontId="66" fillId="0" borderId="45" xfId="0" applyFont="1" applyBorder="1" applyAlignment="1">
      <alignment horizontal="center"/>
    </xf>
    <xf numFmtId="0" fontId="66" fillId="0" borderId="6" xfId="0" applyFont="1" applyBorder="1" applyAlignment="1">
      <alignment horizontal="center"/>
    </xf>
    <xf numFmtId="0" fontId="66" fillId="0" borderId="38" xfId="0" applyFont="1" applyBorder="1" applyAlignment="1">
      <alignment horizontal="center"/>
    </xf>
    <xf numFmtId="0" fontId="8" fillId="0" borderId="13" xfId="0" applyFont="1" applyBorder="1"/>
    <xf numFmtId="14" fontId="0" fillId="0" borderId="0" xfId="0" applyNumberFormat="1"/>
    <xf numFmtId="9" fontId="0" fillId="0" borderId="6" xfId="0" applyNumberFormat="1" applyBorder="1"/>
    <xf numFmtId="0" fontId="61" fillId="0" borderId="18" xfId="0" applyFont="1" applyBorder="1"/>
    <xf numFmtId="14" fontId="0" fillId="0" borderId="27" xfId="0" applyNumberFormat="1" applyBorder="1"/>
    <xf numFmtId="1" fontId="27" fillId="0" borderId="31" xfId="0" applyNumberFormat="1" applyFont="1" applyBorder="1"/>
    <xf numFmtId="14" fontId="2" fillId="0" borderId="0" xfId="0" applyNumberFormat="1" applyFont="1"/>
    <xf numFmtId="1" fontId="11" fillId="0" borderId="26" xfId="0" applyNumberFormat="1" applyFont="1" applyBorder="1"/>
    <xf numFmtId="9" fontId="0" fillId="0" borderId="25" xfId="0" applyNumberFormat="1" applyBorder="1" applyAlignment="1">
      <alignment horizontal="center"/>
    </xf>
    <xf numFmtId="14" fontId="24" fillId="0" borderId="0" xfId="0" applyNumberFormat="1" applyFont="1"/>
    <xf numFmtId="1" fontId="0" fillId="0" borderId="24" xfId="0" applyNumberFormat="1" applyBorder="1"/>
    <xf numFmtId="0" fontId="69" fillId="0" borderId="0" xfId="0" applyFont="1"/>
    <xf numFmtId="0" fontId="0" fillId="0" borderId="47" xfId="0" applyBorder="1"/>
    <xf numFmtId="1" fontId="8" fillId="0" borderId="0" xfId="0" applyNumberFormat="1" applyFont="1"/>
    <xf numFmtId="0" fontId="8" fillId="0" borderId="47" xfId="0" applyFont="1" applyBorder="1"/>
    <xf numFmtId="1" fontId="8" fillId="0" borderId="47" xfId="0" applyNumberFormat="1" applyFont="1" applyBorder="1"/>
    <xf numFmtId="1" fontId="0" fillId="0" borderId="47" xfId="0" applyNumberFormat="1" applyBorder="1"/>
    <xf numFmtId="17" fontId="8" fillId="0" borderId="21" xfId="0" applyNumberFormat="1" applyFont="1" applyBorder="1"/>
    <xf numFmtId="1" fontId="5" fillId="2" borderId="6" xfId="0" quotePrefix="1" applyNumberFormat="1" applyFont="1" applyFill="1" applyBorder="1" applyAlignment="1">
      <alignment horizontal="left"/>
    </xf>
    <xf numFmtId="166" fontId="0" fillId="0" borderId="0" xfId="0" applyNumberFormat="1"/>
    <xf numFmtId="1" fontId="43" fillId="2" borderId="6" xfId="0" applyNumberFormat="1" applyFont="1" applyFill="1" applyBorder="1"/>
    <xf numFmtId="1" fontId="0" fillId="0" borderId="6" xfId="0" applyNumberFormat="1" applyBorder="1" applyAlignment="1">
      <alignment horizontal="center" wrapText="1"/>
    </xf>
    <xf numFmtId="0" fontId="0" fillId="0" borderId="0" xfId="0" applyAlignment="1">
      <alignment horizontal="center"/>
    </xf>
    <xf numFmtId="0" fontId="0" fillId="2" borderId="6" xfId="0" applyFill="1" applyBorder="1"/>
    <xf numFmtId="0" fontId="0" fillId="2" borderId="6" xfId="0" applyFill="1" applyBorder="1" applyAlignment="1">
      <alignment horizontal="center" vertical="center"/>
    </xf>
    <xf numFmtId="0" fontId="73" fillId="2" borderId="6" xfId="0" applyFont="1" applyFill="1" applyBorder="1" applyAlignment="1" applyProtection="1">
      <alignment vertical="top" wrapText="1" readingOrder="1"/>
      <protection locked="0"/>
    </xf>
    <xf numFmtId="0" fontId="66" fillId="2" borderId="6" xfId="0" applyFont="1" applyFill="1" applyBorder="1" applyAlignment="1">
      <alignment horizontal="center" vertical="center" wrapText="1"/>
    </xf>
    <xf numFmtId="0" fontId="73" fillId="2" borderId="51" xfId="0" applyFont="1" applyFill="1" applyBorder="1" applyAlignment="1" applyProtection="1">
      <alignment vertical="top" wrapText="1" readingOrder="1"/>
      <protection locked="0"/>
    </xf>
    <xf numFmtId="0" fontId="73" fillId="2" borderId="52" xfId="0" applyFont="1" applyFill="1" applyBorder="1" applyAlignment="1" applyProtection="1">
      <alignment vertical="top" wrapText="1" readingOrder="1"/>
      <protection locked="0"/>
    </xf>
    <xf numFmtId="0" fontId="73" fillId="2" borderId="53" xfId="0" applyFont="1" applyFill="1" applyBorder="1" applyAlignment="1" applyProtection="1">
      <alignment vertical="top" wrapText="1" readingOrder="1"/>
      <protection locked="0"/>
    </xf>
    <xf numFmtId="0" fontId="73" fillId="2" borderId="53" xfId="0" applyFont="1" applyFill="1" applyBorder="1" applyAlignment="1" applyProtection="1">
      <alignment horizontal="center" vertical="center" wrapText="1" readingOrder="1"/>
      <protection locked="0"/>
    </xf>
    <xf numFmtId="168" fontId="15" fillId="2" borderId="6" xfId="0" applyNumberFormat="1" applyFont="1" applyFill="1" applyBorder="1" applyAlignment="1">
      <alignment horizontal="left"/>
    </xf>
    <xf numFmtId="0" fontId="75" fillId="2" borderId="55" xfId="0" applyFont="1" applyFill="1" applyBorder="1" applyAlignment="1" applyProtection="1">
      <alignment vertical="top" wrapText="1" readingOrder="1"/>
      <protection locked="0"/>
    </xf>
    <xf numFmtId="14" fontId="72" fillId="2" borderId="6" xfId="0" applyNumberFormat="1" applyFont="1" applyFill="1" applyBorder="1" applyAlignment="1">
      <alignment horizontal="left" vertical="center"/>
    </xf>
    <xf numFmtId="0" fontId="66" fillId="0" borderId="0" xfId="0" applyFont="1"/>
    <xf numFmtId="167" fontId="15" fillId="2" borderId="57" xfId="1" applyNumberFormat="1" applyFont="1" applyFill="1" applyBorder="1"/>
    <xf numFmtId="167" fontId="78" fillId="2" borderId="57" xfId="1" applyNumberFormat="1" applyFont="1" applyFill="1" applyBorder="1"/>
    <xf numFmtId="0" fontId="8" fillId="0" borderId="14" xfId="0" applyNumberFormat="1" applyFont="1" applyFill="1" applyBorder="1" applyAlignment="1" applyProtection="1">
      <alignment horizontal="center" vertical="top"/>
    </xf>
    <xf numFmtId="0" fontId="20" fillId="0" borderId="22" xfId="0" applyNumberFormat="1" applyFont="1" applyFill="1" applyBorder="1" applyAlignment="1" applyProtection="1">
      <alignment vertical="top"/>
    </xf>
    <xf numFmtId="0" fontId="8" fillId="0" borderId="11" xfId="0" applyNumberFormat="1" applyFont="1" applyFill="1" applyBorder="1" applyAlignment="1" applyProtection="1">
      <alignment vertical="top"/>
    </xf>
    <xf numFmtId="0" fontId="8" fillId="0" borderId="23" xfId="0" applyNumberFormat="1" applyFont="1" applyFill="1" applyBorder="1" applyAlignment="1" applyProtection="1">
      <alignment vertical="top"/>
    </xf>
    <xf numFmtId="0" fontId="8" fillId="0" borderId="11" xfId="0" applyNumberFormat="1" applyFont="1" applyFill="1" applyBorder="1" applyAlignment="1" applyProtection="1">
      <alignment horizontal="left" vertical="top" wrapText="1"/>
    </xf>
    <xf numFmtId="0" fontId="8" fillId="0" borderId="23" xfId="0" applyNumberFormat="1" applyFont="1" applyFill="1" applyBorder="1" applyAlignment="1" applyProtection="1">
      <alignment horizontal="left" vertical="top" wrapText="1"/>
    </xf>
    <xf numFmtId="0" fontId="8" fillId="0" borderId="24" xfId="0" applyNumberFormat="1" applyFont="1" applyFill="1" applyBorder="1" applyAlignment="1" applyProtection="1">
      <alignment vertical="top"/>
    </xf>
    <xf numFmtId="0" fontId="8" fillId="0" borderId="0" xfId="0" applyNumberFormat="1" applyFont="1" applyFill="1" applyBorder="1" applyAlignment="1" applyProtection="1">
      <alignment vertical="top"/>
    </xf>
    <xf numFmtId="0" fontId="8" fillId="0" borderId="25" xfId="0" applyNumberFormat="1" applyFont="1" applyFill="1" applyBorder="1" applyAlignment="1" applyProtection="1">
      <alignment vertical="top"/>
    </xf>
    <xf numFmtId="0" fontId="8" fillId="0" borderId="0" xfId="0" applyNumberFormat="1" applyFont="1" applyFill="1" applyBorder="1" applyAlignment="1" applyProtection="1">
      <alignment horizontal="left" vertical="top" wrapText="1"/>
    </xf>
    <xf numFmtId="0" fontId="8" fillId="0" borderId="25" xfId="0" applyNumberFormat="1" applyFont="1" applyFill="1" applyBorder="1" applyAlignment="1" applyProtection="1">
      <alignment horizontal="left" vertical="top" wrapText="1"/>
    </xf>
    <xf numFmtId="0" fontId="8" fillId="0" borderId="29" xfId="0" applyNumberFormat="1" applyFont="1" applyFill="1" applyBorder="1" applyAlignment="1" applyProtection="1">
      <alignment vertical="top"/>
    </xf>
    <xf numFmtId="0" fontId="8" fillId="0" borderId="27" xfId="0" applyNumberFormat="1" applyFont="1" applyFill="1" applyBorder="1" applyAlignment="1" applyProtection="1">
      <alignment vertical="top"/>
    </xf>
    <xf numFmtId="0" fontId="8" fillId="0" borderId="28" xfId="0" applyNumberFormat="1" applyFont="1" applyFill="1" applyBorder="1" applyAlignment="1" applyProtection="1">
      <alignment vertical="top"/>
    </xf>
    <xf numFmtId="0" fontId="8" fillId="0" borderId="22" xfId="0" applyNumberFormat="1" applyFont="1" applyFill="1" applyBorder="1" applyAlignment="1" applyProtection="1">
      <alignment vertical="top"/>
    </xf>
    <xf numFmtId="14" fontId="8" fillId="0" borderId="11" xfId="0" applyNumberFormat="1" applyFont="1" applyFill="1" applyBorder="1" applyAlignment="1" applyProtection="1">
      <alignment vertical="top"/>
    </xf>
    <xf numFmtId="0" fontId="9" fillId="0" borderId="24" xfId="0" applyNumberFormat="1" applyFont="1" applyFill="1" applyBorder="1" applyAlignment="1" applyProtection="1">
      <alignment vertical="top"/>
    </xf>
    <xf numFmtId="0" fontId="0" fillId="0" borderId="24" xfId="0" applyFill="1" applyBorder="1" applyAlignment="1">
      <alignment horizontal="left"/>
    </xf>
    <xf numFmtId="0" fontId="9" fillId="3" borderId="6" xfId="0" applyNumberFormat="1" applyFont="1" applyFill="1" applyBorder="1" applyAlignment="1" applyProtection="1">
      <alignment horizontal="center" vertical="top"/>
    </xf>
    <xf numFmtId="0" fontId="9" fillId="3" borderId="5" xfId="0" applyNumberFormat="1" applyFont="1" applyFill="1" applyBorder="1" applyAlignment="1" applyProtection="1">
      <alignment horizontal="center" vertical="top"/>
    </xf>
    <xf numFmtId="0" fontId="9" fillId="3" borderId="0" xfId="0" applyNumberFormat="1" applyFont="1" applyFill="1" applyBorder="1" applyAlignment="1" applyProtection="1">
      <alignment horizontal="center" vertical="top"/>
    </xf>
    <xf numFmtId="0" fontId="8" fillId="0" borderId="6" xfId="0" applyNumberFormat="1" applyFont="1" applyFill="1" applyBorder="1" applyAlignment="1" applyProtection="1">
      <alignment vertical="top"/>
    </xf>
    <xf numFmtId="0" fontId="8" fillId="0" borderId="6" xfId="0" applyNumberFormat="1" applyFont="1" applyFill="1" applyBorder="1" applyAlignment="1" applyProtection="1">
      <alignment vertical="top" wrapText="1"/>
    </xf>
    <xf numFmtId="17" fontId="8" fillId="0" borderId="6" xfId="0" applyNumberFormat="1" applyFont="1" applyFill="1" applyBorder="1" applyAlignment="1" applyProtection="1">
      <alignment vertical="top"/>
    </xf>
    <xf numFmtId="0" fontId="0" fillId="0" borderId="0" xfId="0" applyAlignment="1"/>
    <xf numFmtId="0" fontId="8" fillId="0" borderId="61" xfId="0" applyNumberFormat="1" applyFont="1" applyFill="1" applyBorder="1" applyAlignment="1" applyProtection="1">
      <alignment vertical="top"/>
    </xf>
    <xf numFmtId="0" fontId="8" fillId="0" borderId="60" xfId="0" applyNumberFormat="1" applyFont="1" applyFill="1" applyBorder="1" applyAlignment="1" applyProtection="1">
      <alignment vertical="top"/>
    </xf>
    <xf numFmtId="0" fontId="8" fillId="0" borderId="19" xfId="0" applyNumberFormat="1" applyFont="1" applyFill="1" applyBorder="1" applyAlignment="1" applyProtection="1">
      <alignment vertical="top"/>
    </xf>
    <xf numFmtId="0" fontId="8" fillId="0" borderId="33" xfId="0" applyNumberFormat="1" applyFont="1" applyFill="1" applyBorder="1" applyAlignment="1" applyProtection="1">
      <alignment vertical="top"/>
    </xf>
    <xf numFmtId="0" fontId="8" fillId="0" borderId="10" xfId="0" applyNumberFormat="1" applyFont="1" applyFill="1" applyBorder="1" applyAlignment="1" applyProtection="1">
      <alignment vertical="top"/>
    </xf>
    <xf numFmtId="0" fontId="8" fillId="0" borderId="21" xfId="0" applyNumberFormat="1" applyFont="1" applyFill="1" applyBorder="1" applyAlignment="1" applyProtection="1">
      <alignment vertical="top"/>
    </xf>
    <xf numFmtId="0" fontId="8" fillId="0" borderId="15" xfId="0" applyNumberFormat="1" applyFont="1" applyFill="1" applyBorder="1" applyAlignment="1" applyProtection="1">
      <alignment vertical="top"/>
    </xf>
    <xf numFmtId="0" fontId="9" fillId="3" borderId="8" xfId="0" applyNumberFormat="1" applyFont="1" applyFill="1" applyBorder="1" applyAlignment="1" applyProtection="1">
      <alignment horizontal="center" vertical="top" wrapText="1"/>
    </xf>
    <xf numFmtId="0" fontId="9" fillId="3" borderId="5" xfId="0" applyNumberFormat="1" applyFont="1" applyFill="1" applyBorder="1" applyAlignment="1" applyProtection="1">
      <alignment horizontal="center" vertical="top" wrapText="1"/>
    </xf>
    <xf numFmtId="14" fontId="8" fillId="0" borderId="6" xfId="0" applyNumberFormat="1" applyFont="1" applyFill="1" applyBorder="1" applyAlignment="1" applyProtection="1">
      <alignment vertical="top"/>
    </xf>
    <xf numFmtId="1" fontId="75" fillId="2" borderId="56" xfId="0" applyNumberFormat="1" applyFont="1" applyFill="1" applyBorder="1" applyAlignment="1" applyProtection="1">
      <alignment vertical="top" wrapText="1" readingOrder="1"/>
      <protection locked="0"/>
    </xf>
    <xf numFmtId="3" fontId="15" fillId="2" borderId="6" xfId="3" applyNumberFormat="1" applyFont="1" applyFill="1" applyBorder="1" applyAlignment="1">
      <alignment horizontal="left"/>
    </xf>
    <xf numFmtId="0" fontId="8" fillId="0" borderId="11" xfId="0" applyNumberFormat="1" applyFont="1" applyFill="1" applyBorder="1" applyAlignment="1" applyProtection="1">
      <alignment vertical="top" wrapText="1"/>
    </xf>
    <xf numFmtId="0" fontId="8" fillId="0" borderId="24" xfId="0" applyNumberFormat="1" applyFont="1" applyFill="1" applyBorder="1" applyAlignment="1" applyProtection="1">
      <alignment vertical="top" wrapText="1"/>
    </xf>
    <xf numFmtId="0" fontId="8" fillId="0" borderId="0" xfId="0" applyNumberFormat="1" applyFont="1" applyFill="1" applyBorder="1" applyAlignment="1" applyProtection="1">
      <alignment vertical="top" wrapText="1"/>
    </xf>
    <xf numFmtId="0" fontId="8" fillId="0" borderId="1" xfId="0" applyNumberFormat="1" applyFont="1" applyFill="1" applyBorder="1" applyAlignment="1" applyProtection="1">
      <alignment vertical="top"/>
    </xf>
    <xf numFmtId="0" fontId="8" fillId="0" borderId="40" xfId="0" applyNumberFormat="1" applyFont="1" applyFill="1" applyBorder="1" applyAlignment="1" applyProtection="1">
      <alignment vertical="top"/>
    </xf>
    <xf numFmtId="1" fontId="72" fillId="2" borderId="6" xfId="0" applyNumberFormat="1" applyFont="1" applyFill="1" applyBorder="1" applyAlignment="1">
      <alignment horizontal="center"/>
    </xf>
    <xf numFmtId="0" fontId="2" fillId="0" borderId="0" xfId="0" applyFont="1" applyAlignment="1">
      <alignment horizontal="left"/>
    </xf>
    <xf numFmtId="0" fontId="68" fillId="2" borderId="6" xfId="7" applyFill="1" applyBorder="1" applyAlignment="1"/>
    <xf numFmtId="3" fontId="14" fillId="2" borderId="6" xfId="0" applyNumberFormat="1" applyFont="1" applyFill="1" applyBorder="1" applyAlignment="1"/>
    <xf numFmtId="1" fontId="13" fillId="2" borderId="62" xfId="1" applyNumberFormat="1" applyFont="1" applyFill="1" applyBorder="1" applyAlignment="1">
      <alignment horizontal="center"/>
    </xf>
    <xf numFmtId="1" fontId="13" fillId="2" borderId="62" xfId="0" applyNumberFormat="1" applyFont="1" applyFill="1" applyBorder="1" applyAlignment="1">
      <alignment horizontal="center" vertical="center"/>
    </xf>
    <xf numFmtId="1" fontId="13" fillId="2" borderId="62" xfId="1" applyNumberFormat="1" applyFont="1" applyFill="1" applyBorder="1"/>
    <xf numFmtId="0" fontId="8" fillId="0" borderId="64" xfId="0" applyNumberFormat="1" applyFont="1" applyFill="1" applyBorder="1" applyAlignment="1" applyProtection="1">
      <alignment vertical="top"/>
    </xf>
    <xf numFmtId="0" fontId="8" fillId="0" borderId="65" xfId="0" applyNumberFormat="1" applyFont="1" applyFill="1" applyBorder="1" applyAlignment="1" applyProtection="1">
      <alignment vertical="top"/>
    </xf>
    <xf numFmtId="0" fontId="9" fillId="3" borderId="66" xfId="0" applyNumberFormat="1" applyFont="1" applyFill="1" applyBorder="1" applyAlignment="1" applyProtection="1">
      <alignment horizontal="center" vertical="top" wrapText="1"/>
    </xf>
    <xf numFmtId="0" fontId="9" fillId="3" borderId="62" xfId="0" applyNumberFormat="1" applyFont="1" applyFill="1" applyBorder="1" applyAlignment="1" applyProtection="1">
      <alignment horizontal="center" vertical="top" wrapText="1"/>
    </xf>
    <xf numFmtId="0" fontId="9" fillId="3" borderId="62" xfId="0" applyNumberFormat="1" applyFont="1" applyFill="1" applyBorder="1" applyAlignment="1" applyProtection="1">
      <alignment horizontal="center" vertical="top"/>
    </xf>
    <xf numFmtId="0" fontId="20" fillId="2" borderId="67" xfId="0" applyNumberFormat="1" applyFont="1" applyFill="1" applyBorder="1" applyAlignment="1" applyProtection="1">
      <alignment vertical="top"/>
    </xf>
    <xf numFmtId="0" fontId="8" fillId="2" borderId="0" xfId="0" applyNumberFormat="1" applyFont="1" applyFill="1" applyBorder="1" applyAlignment="1" applyProtection="1">
      <alignment vertical="top"/>
    </xf>
    <xf numFmtId="0" fontId="50" fillId="2" borderId="68" xfId="0" applyFont="1" applyFill="1" applyBorder="1" applyAlignment="1" applyProtection="1">
      <alignment vertical="top" wrapText="1" readingOrder="1"/>
      <protection locked="0"/>
    </xf>
    <xf numFmtId="167" fontId="78" fillId="2" borderId="68" xfId="1" applyNumberFormat="1" applyFont="1" applyFill="1" applyBorder="1"/>
    <xf numFmtId="167" fontId="15" fillId="2" borderId="68" xfId="1" applyNumberFormat="1" applyFont="1" applyFill="1" applyBorder="1"/>
    <xf numFmtId="3" fontId="72" fillId="2" borderId="68" xfId="0" applyNumberFormat="1" applyFont="1" applyFill="1" applyBorder="1" applyAlignment="1">
      <alignment horizontal="center"/>
    </xf>
    <xf numFmtId="167" fontId="50" fillId="2" borderId="68" xfId="0" applyNumberFormat="1" applyFont="1" applyFill="1" applyBorder="1" applyAlignment="1" applyProtection="1">
      <alignment horizontal="center" vertical="center" wrapText="1" readingOrder="1"/>
      <protection locked="0"/>
    </xf>
    <xf numFmtId="167" fontId="50" fillId="2" borderId="68" xfId="0" applyNumberFormat="1" applyFont="1" applyFill="1" applyBorder="1" applyAlignment="1" applyProtection="1">
      <alignment horizontal="center" vertical="top" wrapText="1" readingOrder="1"/>
      <protection locked="0"/>
    </xf>
    <xf numFmtId="167" fontId="66" fillId="2" borderId="68" xfId="0" applyNumberFormat="1" applyFont="1" applyFill="1" applyBorder="1"/>
    <xf numFmtId="167" fontId="50" fillId="2" borderId="68" xfId="0" applyNumberFormat="1" applyFont="1" applyFill="1" applyBorder="1" applyAlignment="1" applyProtection="1">
      <alignment vertical="top" wrapText="1" readingOrder="1"/>
      <protection locked="0"/>
    </xf>
    <xf numFmtId="14" fontId="50" fillId="2" borderId="68" xfId="0" applyNumberFormat="1" applyFont="1" applyFill="1" applyBorder="1" applyAlignment="1" applyProtection="1">
      <alignment vertical="top" wrapText="1" readingOrder="1"/>
      <protection locked="0"/>
    </xf>
    <xf numFmtId="0" fontId="0" fillId="0" borderId="68" xfId="0" applyBorder="1"/>
    <xf numFmtId="0" fontId="75" fillId="2" borderId="54" xfId="0" applyFont="1" applyFill="1" applyBorder="1" applyAlignment="1" applyProtection="1">
      <alignment horizontal="center" vertical="center" wrapText="1" readingOrder="1"/>
      <protection locked="0"/>
    </xf>
    <xf numFmtId="0" fontId="14" fillId="0" borderId="0" xfId="0" applyNumberFormat="1" applyFont="1" applyFill="1" applyBorder="1" applyAlignment="1" applyProtection="1">
      <alignment horizontal="center"/>
    </xf>
    <xf numFmtId="0" fontId="15" fillId="2" borderId="0" xfId="0" applyFont="1" applyFill="1" applyBorder="1" applyAlignment="1">
      <alignment horizontal="left"/>
    </xf>
    <xf numFmtId="0" fontId="0" fillId="0" borderId="0" xfId="0" applyBorder="1" applyAlignment="1"/>
    <xf numFmtId="0" fontId="0" fillId="0" borderId="0" xfId="0" applyBorder="1" applyAlignment="1">
      <alignment horizontal="center"/>
    </xf>
    <xf numFmtId="0" fontId="0" fillId="0" borderId="0" xfId="0" applyBorder="1"/>
    <xf numFmtId="0" fontId="0" fillId="0" borderId="0" xfId="0" applyBorder="1" applyAlignment="1">
      <alignment horizontal="center" vertical="top" wrapText="1"/>
    </xf>
    <xf numFmtId="0" fontId="8" fillId="0" borderId="0" xfId="0" applyNumberFormat="1" applyFont="1" applyFill="1" applyBorder="1" applyAlignment="1" applyProtection="1">
      <alignment horizontal="center"/>
    </xf>
    <xf numFmtId="0" fontId="75" fillId="2" borderId="0" xfId="0" applyFont="1" applyFill="1" applyBorder="1" applyAlignment="1" applyProtection="1">
      <alignment vertical="top" wrapText="1" readingOrder="1"/>
      <protection locked="0"/>
    </xf>
    <xf numFmtId="168" fontId="15" fillId="2" borderId="0" xfId="0" applyNumberFormat="1" applyFont="1" applyFill="1" applyBorder="1" applyAlignment="1">
      <alignment horizontal="left"/>
    </xf>
    <xf numFmtId="3" fontId="15" fillId="2" borderId="0" xfId="3" applyNumberFormat="1" applyFont="1" applyFill="1" applyBorder="1" applyAlignment="1">
      <alignment horizontal="left"/>
    </xf>
    <xf numFmtId="1" fontId="75" fillId="2" borderId="0" xfId="0" applyNumberFormat="1" applyFont="1" applyFill="1" applyBorder="1" applyAlignment="1" applyProtection="1">
      <alignment vertical="top" wrapText="1" readingOrder="1"/>
      <protection locked="0"/>
    </xf>
    <xf numFmtId="1" fontId="71" fillId="2" borderId="0" xfId="1" applyNumberFormat="1" applyFont="1" applyFill="1" applyBorder="1" applyAlignment="1">
      <alignment horizontal="center"/>
    </xf>
    <xf numFmtId="0" fontId="74" fillId="2" borderId="0" xfId="0" applyFont="1" applyFill="1" applyBorder="1" applyAlignment="1" applyProtection="1">
      <alignment horizontal="center" vertical="center" wrapText="1" readingOrder="1"/>
      <protection locked="0"/>
    </xf>
    <xf numFmtId="1" fontId="76" fillId="2" borderId="0" xfId="1" applyNumberFormat="1" applyFont="1" applyFill="1" applyBorder="1" applyAlignment="1">
      <alignment horizontal="center" vertical="center"/>
    </xf>
    <xf numFmtId="0" fontId="79" fillId="2" borderId="68" xfId="0" applyFont="1" applyFill="1" applyBorder="1" applyAlignment="1">
      <alignment horizontal="center" vertical="center"/>
    </xf>
    <xf numFmtId="0" fontId="50" fillId="2" borderId="0" xfId="0" applyFont="1" applyFill="1" applyBorder="1" applyAlignment="1" applyProtection="1">
      <alignment vertical="top" wrapText="1" readingOrder="1"/>
      <protection locked="0"/>
    </xf>
    <xf numFmtId="0" fontId="15" fillId="2" borderId="0" xfId="3" applyFont="1" applyFill="1" applyBorder="1" applyAlignment="1">
      <alignment horizontal="left"/>
    </xf>
    <xf numFmtId="167" fontId="78" fillId="2" borderId="0" xfId="1" applyNumberFormat="1" applyFont="1" applyFill="1" applyBorder="1"/>
    <xf numFmtId="167" fontId="15" fillId="2" borderId="0" xfId="1" applyNumberFormat="1" applyFont="1" applyFill="1" applyBorder="1"/>
    <xf numFmtId="3" fontId="72" fillId="2" borderId="0" xfId="0" applyNumberFormat="1" applyFont="1" applyFill="1" applyBorder="1" applyAlignment="1">
      <alignment horizontal="center"/>
    </xf>
    <xf numFmtId="167" fontId="50" fillId="2" borderId="0" xfId="0" applyNumberFormat="1" applyFont="1" applyFill="1" applyBorder="1" applyAlignment="1" applyProtection="1">
      <alignment horizontal="center" vertical="center" wrapText="1" readingOrder="1"/>
      <protection locked="0"/>
    </xf>
    <xf numFmtId="167" fontId="50" fillId="2" borderId="0" xfId="0" applyNumberFormat="1" applyFont="1" applyFill="1" applyBorder="1" applyAlignment="1" applyProtection="1">
      <alignment horizontal="center" vertical="top" wrapText="1" readingOrder="1"/>
      <protection locked="0"/>
    </xf>
    <xf numFmtId="167" fontId="66" fillId="2" borderId="0" xfId="0" applyNumberFormat="1" applyFont="1" applyFill="1" applyBorder="1"/>
    <xf numFmtId="167" fontId="50" fillId="2" borderId="0" xfId="0" applyNumberFormat="1" applyFont="1" applyFill="1" applyBorder="1" applyAlignment="1" applyProtection="1">
      <alignment vertical="top" wrapText="1" readingOrder="1"/>
      <protection locked="0"/>
    </xf>
    <xf numFmtId="14" fontId="50" fillId="2" borderId="0" xfId="0" applyNumberFormat="1" applyFont="1" applyFill="1" applyBorder="1" applyAlignment="1" applyProtection="1">
      <alignment vertical="top" wrapText="1" readingOrder="1"/>
      <protection locked="0"/>
    </xf>
    <xf numFmtId="0" fontId="73" fillId="0" borderId="76" xfId="0" applyFont="1" applyBorder="1" applyAlignment="1" applyProtection="1">
      <alignment vertical="top" wrapText="1" readingOrder="1"/>
      <protection locked="0"/>
    </xf>
    <xf numFmtId="0" fontId="13" fillId="0" borderId="68" xfId="0" applyFont="1" applyBorder="1" applyAlignment="1" applyProtection="1">
      <alignment vertical="top" wrapText="1"/>
      <protection locked="0"/>
    </xf>
    <xf numFmtId="0" fontId="73" fillId="0" borderId="68" xfId="0" applyFont="1" applyBorder="1" applyAlignment="1" applyProtection="1">
      <alignment horizontal="center" vertical="top" wrapText="1" readingOrder="1"/>
      <protection locked="0"/>
    </xf>
    <xf numFmtId="0" fontId="73" fillId="0" borderId="68" xfId="0" applyFont="1" applyBorder="1" applyAlignment="1" applyProtection="1">
      <alignment vertical="top" wrapText="1" readingOrder="1"/>
      <protection locked="0"/>
    </xf>
    <xf numFmtId="0" fontId="73" fillId="0" borderId="74" xfId="0" applyFont="1" applyBorder="1" applyAlignment="1" applyProtection="1">
      <alignment vertical="top" wrapText="1" readingOrder="1"/>
      <protection locked="0"/>
    </xf>
    <xf numFmtId="0" fontId="13" fillId="0" borderId="77" xfId="0" applyFont="1" applyBorder="1" applyAlignment="1" applyProtection="1">
      <alignment vertical="top" wrapText="1"/>
      <protection locked="0"/>
    </xf>
    <xf numFmtId="0" fontId="77" fillId="0" borderId="68" xfId="0" applyFont="1" applyBorder="1" applyAlignment="1" applyProtection="1">
      <alignment vertical="top" wrapText="1" readingOrder="1"/>
      <protection locked="0"/>
    </xf>
    <xf numFmtId="0" fontId="73" fillId="0" borderId="68" xfId="0" applyFont="1" applyBorder="1" applyAlignment="1" applyProtection="1">
      <alignment horizontal="left" textRotation="90" wrapText="1" readingOrder="1"/>
      <protection locked="0"/>
    </xf>
    <xf numFmtId="0" fontId="73" fillId="0" borderId="77" xfId="0" applyFont="1" applyBorder="1" applyAlignment="1" applyProtection="1">
      <alignment horizontal="left" textRotation="90" wrapText="1" readingOrder="1"/>
      <protection locked="0"/>
    </xf>
    <xf numFmtId="169" fontId="50" fillId="2" borderId="68" xfId="0" applyNumberFormat="1" applyFont="1" applyFill="1" applyBorder="1" applyAlignment="1" applyProtection="1">
      <alignment vertical="top" wrapText="1" readingOrder="1"/>
      <protection locked="0"/>
    </xf>
    <xf numFmtId="1" fontId="50" fillId="2" borderId="77" xfId="0" applyNumberFormat="1" applyFont="1" applyFill="1" applyBorder="1" applyAlignment="1" applyProtection="1">
      <alignment vertical="top" wrapText="1" readingOrder="1"/>
      <protection locked="0"/>
    </xf>
    <xf numFmtId="0" fontId="50" fillId="2" borderId="24" xfId="0" applyFont="1" applyFill="1" applyBorder="1" applyAlignment="1" applyProtection="1">
      <alignment vertical="top" wrapText="1" readingOrder="1"/>
      <protection locked="0"/>
    </xf>
    <xf numFmtId="1" fontId="50" fillId="2" borderId="25" xfId="0" applyNumberFormat="1" applyFont="1" applyFill="1" applyBorder="1" applyAlignment="1" applyProtection="1">
      <alignment vertical="top" wrapText="1" readingOrder="1"/>
      <protection locked="0"/>
    </xf>
    <xf numFmtId="0" fontId="0" fillId="0" borderId="79" xfId="0" applyBorder="1"/>
    <xf numFmtId="0" fontId="0" fillId="0" borderId="65" xfId="0" applyBorder="1"/>
    <xf numFmtId="0" fontId="8" fillId="0" borderId="68" xfId="0" applyFont="1" applyBorder="1" applyAlignment="1">
      <alignment vertical="top"/>
    </xf>
    <xf numFmtId="0" fontId="22" fillId="0" borderId="68" xfId="0" applyFont="1" applyBorder="1" applyAlignment="1">
      <alignment vertical="top"/>
    </xf>
    <xf numFmtId="17" fontId="22" fillId="0" borderId="68" xfId="0" applyNumberFormat="1" applyFont="1" applyBorder="1" applyAlignment="1">
      <alignment vertical="top"/>
    </xf>
    <xf numFmtId="0" fontId="8" fillId="0" borderId="0" xfId="0" applyFont="1" applyBorder="1" applyAlignment="1">
      <alignment vertical="top"/>
    </xf>
    <xf numFmtId="17" fontId="22" fillId="0" borderId="0" xfId="0" applyNumberFormat="1" applyFont="1" applyBorder="1" applyAlignment="1">
      <alignment vertical="top"/>
    </xf>
    <xf numFmtId="0" fontId="22" fillId="0" borderId="0" xfId="0" applyFont="1" applyBorder="1" applyAlignment="1">
      <alignment vertical="top"/>
    </xf>
    <xf numFmtId="0" fontId="8" fillId="0" borderId="63" xfId="0" applyFont="1" applyBorder="1" applyAlignment="1">
      <alignment vertical="top"/>
    </xf>
    <xf numFmtId="0" fontId="22" fillId="0" borderId="74" xfId="0" applyFont="1" applyBorder="1" applyAlignment="1">
      <alignment vertical="top"/>
    </xf>
    <xf numFmtId="0" fontId="22" fillId="0" borderId="48" xfId="0" applyFont="1" applyBorder="1" applyAlignment="1" applyProtection="1">
      <alignment vertical="top"/>
      <protection locked="0"/>
    </xf>
    <xf numFmtId="0" fontId="22" fillId="0" borderId="66" xfId="0" applyFont="1" applyBorder="1" applyAlignment="1">
      <alignment vertical="top"/>
    </xf>
    <xf numFmtId="0" fontId="8" fillId="0" borderId="62" xfId="0" applyFont="1" applyBorder="1" applyAlignment="1">
      <alignment vertical="top"/>
    </xf>
    <xf numFmtId="0" fontId="22" fillId="0" borderId="62" xfId="0" applyFont="1" applyBorder="1" applyAlignment="1">
      <alignment vertical="top"/>
    </xf>
    <xf numFmtId="0" fontId="22" fillId="0" borderId="48" xfId="0" applyFont="1" applyBorder="1" applyAlignment="1">
      <alignment vertical="top"/>
    </xf>
    <xf numFmtId="17" fontId="22" fillId="0" borderId="62" xfId="0" applyNumberFormat="1" applyFont="1" applyBorder="1" applyAlignment="1">
      <alignment vertical="top"/>
    </xf>
    <xf numFmtId="0" fontId="8" fillId="0" borderId="74" xfId="0" applyFont="1" applyBorder="1" applyAlignment="1">
      <alignment vertical="top"/>
    </xf>
    <xf numFmtId="0" fontId="8" fillId="0" borderId="48" xfId="0" applyFont="1" applyBorder="1" applyAlignment="1">
      <alignment vertical="top"/>
    </xf>
    <xf numFmtId="0" fontId="8" fillId="0" borderId="66" xfId="0" applyFont="1" applyBorder="1" applyAlignment="1">
      <alignment vertical="top"/>
    </xf>
    <xf numFmtId="1" fontId="50" fillId="2" borderId="77" xfId="0" applyNumberFormat="1" applyFont="1" applyFill="1" applyBorder="1" applyAlignment="1" applyProtection="1">
      <alignment horizontal="left" vertical="top" wrapText="1" readingOrder="1"/>
      <protection locked="0"/>
    </xf>
    <xf numFmtId="14" fontId="50" fillId="2" borderId="68" xfId="0" applyNumberFormat="1" applyFont="1" applyFill="1" applyBorder="1" applyAlignment="1" applyProtection="1">
      <alignment horizontal="left" vertical="top" wrapText="1" readingOrder="1"/>
      <protection locked="0"/>
    </xf>
    <xf numFmtId="14" fontId="75" fillId="2" borderId="58" xfId="0" applyNumberFormat="1" applyFont="1" applyFill="1" applyBorder="1" applyAlignment="1" applyProtection="1">
      <alignment horizontal="left" vertical="top" wrapText="1" readingOrder="1"/>
      <protection locked="0"/>
    </xf>
    <xf numFmtId="1" fontId="15" fillId="2" borderId="68" xfId="1" applyNumberFormat="1" applyFont="1" applyFill="1" applyBorder="1" applyAlignment="1">
      <alignment horizontal="center"/>
    </xf>
    <xf numFmtId="1" fontId="0" fillId="2" borderId="0" xfId="0" applyNumberFormat="1" applyFill="1" applyAlignment="1">
      <alignment horizontal="left"/>
    </xf>
    <xf numFmtId="0" fontId="75" fillId="2" borderId="83" xfId="0" applyFont="1" applyFill="1" applyBorder="1" applyAlignment="1" applyProtection="1">
      <alignment vertical="top" wrapText="1" readingOrder="1"/>
      <protection locked="0"/>
    </xf>
    <xf numFmtId="168" fontId="15" fillId="2" borderId="83" xfId="0" applyNumberFormat="1" applyFont="1" applyFill="1" applyBorder="1" applyAlignment="1">
      <alignment horizontal="left"/>
    </xf>
    <xf numFmtId="1" fontId="71" fillId="2" borderId="83" xfId="1" applyNumberFormat="1" applyFont="1" applyFill="1" applyBorder="1" applyAlignment="1">
      <alignment horizontal="center"/>
    </xf>
    <xf numFmtId="1" fontId="76" fillId="2" borderId="83" xfId="1" applyNumberFormat="1" applyFont="1" applyFill="1" applyBorder="1" applyAlignment="1">
      <alignment horizontal="center" vertical="center"/>
    </xf>
    <xf numFmtId="0" fontId="50" fillId="2" borderId="83" xfId="0" applyFont="1" applyFill="1" applyBorder="1" applyAlignment="1" applyProtection="1">
      <alignment vertical="top" wrapText="1" readingOrder="1"/>
      <protection locked="0"/>
    </xf>
    <xf numFmtId="0" fontId="15" fillId="2" borderId="83" xfId="3" applyFont="1" applyFill="1" applyBorder="1" applyAlignment="1">
      <alignment horizontal="left"/>
    </xf>
    <xf numFmtId="167" fontId="78" fillId="2" borderId="83" xfId="1" applyNumberFormat="1" applyFont="1" applyFill="1" applyBorder="1"/>
    <xf numFmtId="167" fontId="44" fillId="2" borderId="62" xfId="1" applyNumberFormat="1" applyFont="1" applyFill="1" applyBorder="1"/>
    <xf numFmtId="0" fontId="83" fillId="0" borderId="81" xfId="0" applyFont="1" applyBorder="1" applyAlignment="1"/>
    <xf numFmtId="0" fontId="2" fillId="0" borderId="79" xfId="0" applyFont="1" applyBorder="1" applyAlignment="1"/>
    <xf numFmtId="0" fontId="0" fillId="0" borderId="79" xfId="0" applyBorder="1" applyAlignment="1"/>
    <xf numFmtId="0" fontId="32" fillId="0" borderId="0" xfId="0" applyFont="1" applyBorder="1"/>
    <xf numFmtId="0" fontId="84" fillId="0" borderId="76" xfId="0" applyFont="1" applyBorder="1" applyAlignment="1">
      <alignment horizontal="center"/>
    </xf>
    <xf numFmtId="0" fontId="84" fillId="0" borderId="83" xfId="0" applyFont="1" applyBorder="1" applyAlignment="1">
      <alignment horizontal="center"/>
    </xf>
    <xf numFmtId="0" fontId="84" fillId="0" borderId="77" xfId="0" applyFont="1" applyBorder="1" applyAlignment="1">
      <alignment horizontal="center"/>
    </xf>
    <xf numFmtId="0" fontId="84" fillId="0" borderId="0" xfId="0" applyFont="1" applyAlignment="1">
      <alignment horizontal="center"/>
    </xf>
    <xf numFmtId="0" fontId="0" fillId="0" borderId="76" xfId="0" applyBorder="1" applyAlignment="1">
      <alignment horizontal="center"/>
    </xf>
    <xf numFmtId="0" fontId="0" fillId="0" borderId="83" xfId="0" applyBorder="1"/>
    <xf numFmtId="0" fontId="0" fillId="0" borderId="77" xfId="0" applyBorder="1"/>
    <xf numFmtId="0" fontId="32" fillId="0" borderId="74" xfId="0" applyFont="1" applyBorder="1"/>
    <xf numFmtId="0" fontId="0" fillId="0" borderId="72" xfId="0" applyBorder="1"/>
    <xf numFmtId="0" fontId="0" fillId="0" borderId="73" xfId="0" applyBorder="1"/>
    <xf numFmtId="0" fontId="0" fillId="0" borderId="77" xfId="0" applyBorder="1" applyAlignment="1">
      <alignment horizontal="center"/>
    </xf>
    <xf numFmtId="0" fontId="32" fillId="0" borderId="83" xfId="0" applyFont="1" applyBorder="1"/>
    <xf numFmtId="0" fontId="0" fillId="0" borderId="60" xfId="0" applyBorder="1"/>
    <xf numFmtId="0" fontId="83" fillId="0" borderId="76" xfId="0" applyFont="1" applyBorder="1" applyAlignment="1">
      <alignment horizontal="center"/>
    </xf>
    <xf numFmtId="0" fontId="0" fillId="0" borderId="78" xfId="0" applyBorder="1"/>
    <xf numFmtId="17" fontId="2" fillId="0" borderId="25" xfId="0" applyNumberFormat="1" applyFont="1" applyBorder="1" applyAlignment="1">
      <alignment horizontal="left"/>
    </xf>
    <xf numFmtId="0" fontId="0" fillId="0" borderId="0" xfId="0" applyBorder="1" applyAlignment="1">
      <alignment horizontal="right"/>
    </xf>
    <xf numFmtId="0" fontId="2" fillId="0" borderId="74" xfId="0" applyFont="1" applyBorder="1" applyAlignment="1">
      <alignment horizontal="center"/>
    </xf>
    <xf numFmtId="0" fontId="0" fillId="0" borderId="75" xfId="0" applyBorder="1" applyAlignment="1">
      <alignment horizontal="center"/>
    </xf>
    <xf numFmtId="0" fontId="0" fillId="0" borderId="27" xfId="0" applyBorder="1" applyAlignment="1">
      <alignment horizontal="right"/>
    </xf>
    <xf numFmtId="0" fontId="0" fillId="0" borderId="27" xfId="0" applyFont="1" applyBorder="1" applyAlignment="1">
      <alignment horizontal="center"/>
    </xf>
    <xf numFmtId="0" fontId="83" fillId="0" borderId="24" xfId="0" applyFont="1" applyBorder="1" applyAlignment="1"/>
    <xf numFmtId="0" fontId="2" fillId="0" borderId="0" xfId="0" applyFont="1" applyBorder="1" applyAlignment="1"/>
    <xf numFmtId="0" fontId="86" fillId="0" borderId="24" xfId="0" applyFont="1" applyBorder="1" applyAlignment="1"/>
    <xf numFmtId="0" fontId="83" fillId="0" borderId="0" xfId="0" applyFont="1" applyBorder="1" applyAlignment="1"/>
    <xf numFmtId="0" fontId="0" fillId="0" borderId="25" xfId="0" applyBorder="1" applyAlignment="1"/>
    <xf numFmtId="0" fontId="32" fillId="0" borderId="63" xfId="0" applyFont="1" applyBorder="1"/>
    <xf numFmtId="0" fontId="0" fillId="0" borderId="24" xfId="0" applyBorder="1" applyAlignment="1"/>
    <xf numFmtId="0" fontId="61" fillId="0" borderId="24" xfId="0" applyFont="1" applyBorder="1"/>
    <xf numFmtId="0" fontId="61" fillId="0" borderId="0" xfId="0" applyFont="1" applyBorder="1"/>
    <xf numFmtId="0" fontId="0" fillId="0" borderId="24" xfId="0" applyFont="1" applyBorder="1"/>
    <xf numFmtId="0" fontId="83" fillId="0" borderId="24" xfId="0" applyFont="1" applyBorder="1" applyAlignment="1">
      <alignment horizontal="center"/>
    </xf>
    <xf numFmtId="0" fontId="0" fillId="0" borderId="0" xfId="0" applyFont="1" applyBorder="1" applyAlignment="1">
      <alignment horizontal="center"/>
    </xf>
    <xf numFmtId="0" fontId="2" fillId="0" borderId="0" xfId="0" applyFont="1" applyBorder="1" applyAlignment="1">
      <alignment horizontal="center"/>
    </xf>
    <xf numFmtId="0" fontId="82" fillId="6" borderId="80" xfId="0" applyFont="1" applyFill="1" applyBorder="1" applyAlignment="1">
      <alignment horizontal="center"/>
    </xf>
    <xf numFmtId="0" fontId="82" fillId="6" borderId="65" xfId="0" applyFont="1" applyFill="1" applyBorder="1" applyAlignment="1">
      <alignment horizontal="center"/>
    </xf>
    <xf numFmtId="0" fontId="82" fillId="6" borderId="78" xfId="0" applyFont="1" applyFill="1" applyBorder="1" applyAlignment="1">
      <alignment horizontal="center"/>
    </xf>
    <xf numFmtId="0" fontId="32" fillId="0" borderId="24" xfId="0" applyFont="1" applyBorder="1"/>
    <xf numFmtId="0" fontId="87" fillId="0" borderId="24" xfId="0" applyFont="1" applyBorder="1" applyAlignment="1"/>
    <xf numFmtId="0" fontId="0" fillId="0" borderId="0" xfId="0" applyFont="1"/>
    <xf numFmtId="0" fontId="88" fillId="0" borderId="0" xfId="0" applyFont="1"/>
    <xf numFmtId="0" fontId="9" fillId="0" borderId="0" xfId="3" applyFont="1" applyBorder="1" applyAlignment="1">
      <alignment horizontal="left" vertical="center"/>
    </xf>
    <xf numFmtId="0" fontId="25" fillId="0" borderId="11" xfId="0" applyNumberFormat="1" applyFont="1" applyFill="1" applyBorder="1" applyAlignment="1" applyProtection="1">
      <alignment horizontal="center" vertical="center"/>
    </xf>
    <xf numFmtId="0" fontId="25" fillId="0" borderId="27" xfId="0" applyNumberFormat="1" applyFont="1" applyFill="1" applyBorder="1" applyAlignment="1" applyProtection="1">
      <alignment horizontal="center" vertical="center"/>
    </xf>
    <xf numFmtId="0" fontId="8" fillId="0" borderId="13" xfId="0" applyNumberFormat="1" applyFont="1" applyFill="1" applyBorder="1" applyAlignment="1" applyProtection="1">
      <alignment horizontal="center" vertical="top"/>
    </xf>
    <xf numFmtId="0" fontId="25" fillId="0" borderId="23" xfId="0" applyNumberFormat="1" applyFont="1" applyFill="1" applyBorder="1" applyAlignment="1" applyProtection="1">
      <alignment horizontal="center" vertical="center"/>
    </xf>
    <xf numFmtId="0" fontId="25" fillId="0" borderId="28" xfId="0" applyNumberFormat="1" applyFont="1" applyFill="1" applyBorder="1" applyAlignment="1" applyProtection="1">
      <alignment horizontal="center" vertical="center"/>
    </xf>
    <xf numFmtId="0" fontId="15" fillId="2" borderId="83" xfId="0" applyFont="1" applyFill="1" applyBorder="1" applyAlignment="1">
      <alignment horizontal="left"/>
    </xf>
    <xf numFmtId="0" fontId="91" fillId="0" borderId="6" xfId="0" applyNumberFormat="1" applyFont="1" applyFill="1" applyBorder="1" applyAlignment="1" applyProtection="1">
      <alignment horizontal="center"/>
    </xf>
    <xf numFmtId="0" fontId="92" fillId="2" borderId="62" xfId="0" applyFont="1" applyFill="1" applyBorder="1" applyAlignment="1">
      <alignment horizontal="left"/>
    </xf>
    <xf numFmtId="14" fontId="93" fillId="2" borderId="62" xfId="0" applyNumberFormat="1" applyFont="1" applyFill="1" applyBorder="1" applyAlignment="1">
      <alignment horizontal="left"/>
    </xf>
    <xf numFmtId="1" fontId="91" fillId="2" borderId="62" xfId="1" applyNumberFormat="1" applyFont="1" applyFill="1" applyBorder="1" applyAlignment="1">
      <alignment horizontal="center"/>
    </xf>
    <xf numFmtId="0" fontId="93" fillId="0" borderId="62" xfId="0" applyFont="1" applyBorder="1" applyAlignment="1">
      <alignment horizontal="center"/>
    </xf>
    <xf numFmtId="0" fontId="93" fillId="0" borderId="68" xfId="0" applyFont="1" applyBorder="1" applyAlignment="1">
      <alignment horizontal="left"/>
    </xf>
    <xf numFmtId="0" fontId="93" fillId="0" borderId="62" xfId="0" applyFont="1" applyBorder="1" applyAlignment="1">
      <alignment horizontal="center" wrapText="1"/>
    </xf>
    <xf numFmtId="14" fontId="93" fillId="2" borderId="62" xfId="0" applyNumberFormat="1" applyFont="1" applyFill="1" applyBorder="1" applyAlignment="1">
      <alignment horizontal="center"/>
    </xf>
    <xf numFmtId="0" fontId="91" fillId="0" borderId="62" xfId="0" applyNumberFormat="1" applyFont="1" applyFill="1" applyBorder="1" applyAlignment="1" applyProtection="1">
      <alignment vertical="top"/>
    </xf>
    <xf numFmtId="14" fontId="91" fillId="0" borderId="62" xfId="0" applyNumberFormat="1" applyFont="1" applyFill="1" applyBorder="1" applyAlignment="1" applyProtection="1">
      <alignment vertical="top"/>
    </xf>
    <xf numFmtId="0" fontId="91" fillId="0" borderId="62" xfId="0" applyNumberFormat="1" applyFont="1" applyFill="1" applyBorder="1" applyAlignment="1" applyProtection="1">
      <alignment horizontal="center" vertical="center"/>
    </xf>
    <xf numFmtId="0" fontId="91" fillId="0" borderId="6" xfId="0" applyNumberFormat="1" applyFont="1" applyFill="1" applyBorder="1" applyAlignment="1" applyProtection="1">
      <alignment vertical="top"/>
    </xf>
    <xf numFmtId="0" fontId="93" fillId="0" borderId="62" xfId="0" applyFont="1" applyBorder="1" applyAlignment="1">
      <alignment horizontal="center" vertical="center" wrapText="1"/>
    </xf>
    <xf numFmtId="0" fontId="94" fillId="0" borderId="68" xfId="0" applyNumberFormat="1" applyFont="1" applyFill="1" applyBorder="1" applyAlignment="1" applyProtection="1">
      <alignment horizontal="center"/>
    </xf>
    <xf numFmtId="0" fontId="92" fillId="2" borderId="68" xfId="0" applyFont="1" applyFill="1" applyBorder="1" applyAlignment="1">
      <alignment horizontal="left"/>
    </xf>
    <xf numFmtId="1" fontId="91" fillId="2" borderId="68" xfId="1" applyNumberFormat="1" applyFont="1" applyFill="1" applyBorder="1" applyAlignment="1">
      <alignment horizontal="center"/>
    </xf>
    <xf numFmtId="0" fontId="93" fillId="2" borderId="68" xfId="0" applyFont="1" applyFill="1" applyBorder="1" applyAlignment="1">
      <alignment horizontal="center"/>
    </xf>
    <xf numFmtId="0" fontId="93" fillId="2" borderId="68" xfId="0" applyFont="1" applyFill="1" applyBorder="1" applyAlignment="1">
      <alignment horizontal="center" vertical="top" wrapText="1"/>
    </xf>
    <xf numFmtId="0" fontId="89" fillId="2" borderId="68" xfId="0" applyFont="1" applyFill="1" applyBorder="1" applyAlignment="1">
      <alignment horizontal="center" wrapText="1"/>
    </xf>
    <xf numFmtId="14" fontId="93" fillId="2" borderId="68" xfId="0" applyNumberFormat="1" applyFont="1" applyFill="1" applyBorder="1" applyAlignment="1">
      <alignment horizontal="center"/>
    </xf>
    <xf numFmtId="0" fontId="94" fillId="0" borderId="6" xfId="0" applyNumberFormat="1" applyFont="1" applyFill="1" applyBorder="1" applyAlignment="1" applyProtection="1">
      <alignment vertical="top"/>
    </xf>
    <xf numFmtId="14" fontId="94" fillId="0" borderId="6" xfId="0" applyNumberFormat="1" applyFont="1" applyFill="1" applyBorder="1" applyAlignment="1" applyProtection="1">
      <alignment vertical="top"/>
    </xf>
    <xf numFmtId="14" fontId="90" fillId="2" borderId="83" xfId="0" applyNumberFormat="1" applyFont="1" applyFill="1" applyBorder="1" applyAlignment="1">
      <alignment horizontal="center"/>
    </xf>
    <xf numFmtId="1" fontId="90" fillId="2" borderId="68" xfId="1" applyNumberFormat="1" applyFont="1" applyFill="1" applyBorder="1" applyAlignment="1">
      <alignment horizontal="center"/>
    </xf>
    <xf numFmtId="0" fontId="90" fillId="0" borderId="83" xfId="0" applyNumberFormat="1" applyFont="1" applyFill="1" applyBorder="1" applyAlignment="1" applyProtection="1">
      <alignment horizontal="center"/>
    </xf>
    <xf numFmtId="0" fontId="17" fillId="0" borderId="83" xfId="0" applyNumberFormat="1" applyFont="1" applyFill="1" applyBorder="1" applyAlignment="1" applyProtection="1">
      <alignment vertical="top"/>
    </xf>
    <xf numFmtId="0" fontId="0" fillId="2" borderId="83" xfId="0" applyFill="1" applyBorder="1"/>
    <xf numFmtId="0" fontId="10" fillId="2" borderId="83" xfId="0" applyFont="1" applyFill="1" applyBorder="1" applyAlignment="1">
      <alignment horizontal="center"/>
    </xf>
    <xf numFmtId="0" fontId="70" fillId="2" borderId="47" xfId="0" applyFont="1" applyFill="1" applyBorder="1" applyAlignment="1">
      <alignment wrapText="1"/>
    </xf>
    <xf numFmtId="0" fontId="57" fillId="2" borderId="47" xfId="0" applyFont="1" applyFill="1" applyBorder="1" applyAlignment="1">
      <alignment horizontal="center"/>
    </xf>
    <xf numFmtId="14" fontId="14" fillId="2" borderId="47" xfId="0" applyNumberFormat="1" applyFont="1" applyFill="1" applyBorder="1" applyAlignment="1">
      <alignment horizontal="right"/>
    </xf>
    <xf numFmtId="14" fontId="91" fillId="0" borderId="62" xfId="0" applyNumberFormat="1" applyFont="1" applyFill="1" applyBorder="1" applyAlignment="1" applyProtection="1">
      <alignment vertical="center"/>
    </xf>
    <xf numFmtId="1" fontId="40" fillId="2" borderId="62" xfId="1" applyNumberFormat="1" applyFont="1" applyFill="1" applyBorder="1"/>
    <xf numFmtId="0" fontId="90" fillId="0" borderId="0" xfId="0" applyNumberFormat="1" applyFont="1" applyFill="1" applyBorder="1" applyAlignment="1" applyProtection="1">
      <alignment horizontal="center"/>
    </xf>
    <xf numFmtId="0" fontId="11" fillId="2" borderId="0" xfId="0" applyFont="1" applyFill="1" applyBorder="1" applyAlignment="1">
      <alignment horizontal="left"/>
    </xf>
    <xf numFmtId="14" fontId="95" fillId="2" borderId="0" xfId="0" applyNumberFormat="1" applyFont="1" applyFill="1" applyBorder="1" applyAlignment="1">
      <alignment horizontal="center"/>
    </xf>
    <xf numFmtId="1" fontId="46" fillId="2" borderId="0" xfId="1" applyNumberFormat="1" applyFont="1" applyFill="1" applyBorder="1" applyAlignment="1">
      <alignment horizontal="center"/>
    </xf>
    <xf numFmtId="0" fontId="95" fillId="2" borderId="0" xfId="0" applyFont="1" applyFill="1" applyBorder="1" applyAlignment="1">
      <alignment horizontal="center"/>
    </xf>
    <xf numFmtId="14" fontId="90" fillId="2" borderId="0" xfId="0" applyNumberFormat="1" applyFont="1" applyFill="1" applyBorder="1" applyAlignment="1">
      <alignment horizontal="center"/>
    </xf>
    <xf numFmtId="0" fontId="17" fillId="0" borderId="0" xfId="0" applyNumberFormat="1" applyFont="1" applyFill="1" applyBorder="1" applyAlignment="1" applyProtection="1">
      <alignment vertical="top"/>
    </xf>
    <xf numFmtId="0" fontId="11" fillId="8" borderId="83" xfId="0" applyFont="1" applyFill="1" applyBorder="1" applyAlignment="1">
      <alignment horizontal="left"/>
    </xf>
    <xf numFmtId="0" fontId="96" fillId="0" borderId="62" xfId="0" applyNumberFormat="1" applyFont="1" applyFill="1" applyBorder="1" applyAlignment="1" applyProtection="1">
      <alignment horizontal="center"/>
    </xf>
    <xf numFmtId="0" fontId="96" fillId="2" borderId="62" xfId="0" applyFont="1" applyFill="1" applyBorder="1" applyAlignment="1">
      <alignment horizontal="left"/>
    </xf>
    <xf numFmtId="14" fontId="97" fillId="2" borderId="47" xfId="0" applyNumberFormat="1" applyFont="1" applyFill="1" applyBorder="1" applyAlignment="1">
      <alignment horizontal="left"/>
    </xf>
    <xf numFmtId="1" fontId="96" fillId="2" borderId="68" xfId="1" applyNumberFormat="1" applyFont="1" applyFill="1" applyBorder="1" applyAlignment="1">
      <alignment horizontal="center"/>
    </xf>
    <xf numFmtId="0" fontId="97" fillId="0" borderId="47" xfId="0" applyFont="1" applyBorder="1" applyAlignment="1">
      <alignment horizontal="left"/>
    </xf>
    <xf numFmtId="0" fontId="97" fillId="0" borderId="62" xfId="0" applyFont="1" applyBorder="1" applyAlignment="1">
      <alignment horizontal="left"/>
    </xf>
    <xf numFmtId="0" fontId="97" fillId="0" borderId="47" xfId="0" applyFont="1" applyBorder="1" applyAlignment="1">
      <alignment horizontal="left" wrapText="1"/>
    </xf>
    <xf numFmtId="14" fontId="96" fillId="2" borderId="62" xfId="0" applyNumberFormat="1" applyFont="1" applyFill="1" applyBorder="1" applyAlignment="1">
      <alignment horizontal="center"/>
    </xf>
    <xf numFmtId="0" fontId="98" fillId="0" borderId="6" xfId="0" applyNumberFormat="1" applyFont="1" applyFill="1" applyBorder="1" applyAlignment="1" applyProtection="1">
      <alignment vertical="top"/>
    </xf>
    <xf numFmtId="0" fontId="97" fillId="0" borderId="0" xfId="0" applyFont="1"/>
    <xf numFmtId="0" fontId="96" fillId="0" borderId="68" xfId="0" applyNumberFormat="1" applyFont="1" applyFill="1" applyBorder="1" applyAlignment="1" applyProtection="1">
      <alignment horizontal="center"/>
    </xf>
    <xf numFmtId="0" fontId="96" fillId="2" borderId="68" xfId="0" applyFont="1" applyFill="1" applyBorder="1" applyAlignment="1">
      <alignment horizontal="left" wrapText="1"/>
    </xf>
    <xf numFmtId="14" fontId="97" fillId="2" borderId="50" xfId="0" applyNumberFormat="1" applyFont="1" applyFill="1" applyBorder="1" applyAlignment="1">
      <alignment horizontal="left"/>
    </xf>
    <xf numFmtId="1" fontId="99" fillId="2" borderId="6" xfId="1" applyNumberFormat="1" applyFont="1" applyFill="1" applyBorder="1" applyAlignment="1">
      <alignment horizontal="center"/>
    </xf>
    <xf numFmtId="0" fontId="97" fillId="2" borderId="6" xfId="0" applyFont="1" applyFill="1" applyBorder="1"/>
    <xf numFmtId="0" fontId="97" fillId="0" borderId="68" xfId="0" applyFont="1" applyFill="1" applyBorder="1" applyAlignment="1">
      <alignment horizontal="left"/>
    </xf>
    <xf numFmtId="0" fontId="97" fillId="0" borderId="50" xfId="0" applyFont="1" applyBorder="1" applyAlignment="1">
      <alignment wrapText="1"/>
    </xf>
    <xf numFmtId="14" fontId="96" fillId="2" borderId="68" xfId="0" applyNumberFormat="1" applyFont="1" applyFill="1" applyBorder="1" applyAlignment="1">
      <alignment horizontal="center"/>
    </xf>
    <xf numFmtId="0" fontId="98" fillId="0" borderId="68" xfId="0" applyNumberFormat="1" applyFont="1" applyFill="1" applyBorder="1" applyAlignment="1" applyProtection="1">
      <alignment vertical="top"/>
    </xf>
    <xf numFmtId="1" fontId="15" fillId="2" borderId="83" xfId="1" applyNumberFormat="1" applyFont="1" applyFill="1" applyBorder="1" applyAlignment="1">
      <alignment horizontal="left"/>
    </xf>
    <xf numFmtId="0" fontId="101" fillId="0" borderId="68" xfId="0" applyFont="1" applyBorder="1" applyAlignment="1" applyProtection="1">
      <alignment horizontal="left" textRotation="90" readingOrder="1"/>
      <protection locked="0"/>
    </xf>
    <xf numFmtId="0" fontId="0" fillId="0" borderId="83" xfId="0" applyBorder="1" applyAlignment="1">
      <alignment horizontal="center" vertical="center"/>
    </xf>
    <xf numFmtId="0" fontId="9" fillId="0" borderId="0" xfId="3" applyFont="1" applyBorder="1" applyAlignment="1">
      <alignment horizontal="left" vertical="center"/>
    </xf>
    <xf numFmtId="14" fontId="102" fillId="0" borderId="68" xfId="0" applyNumberFormat="1" applyFont="1" applyFill="1" applyBorder="1" applyAlignment="1" applyProtection="1">
      <alignment vertical="top"/>
    </xf>
    <xf numFmtId="0" fontId="18" fillId="2" borderId="6" xfId="0" applyFont="1" applyFill="1" applyBorder="1" applyAlignment="1">
      <alignment horizontal="center" vertical="center"/>
    </xf>
    <xf numFmtId="0" fontId="15" fillId="2" borderId="83" xfId="0" applyFont="1" applyFill="1" applyBorder="1"/>
    <xf numFmtId="0" fontId="103" fillId="2" borderId="68" xfId="0" applyFont="1" applyFill="1" applyBorder="1" applyAlignment="1">
      <alignment horizontal="center" vertical="center"/>
    </xf>
    <xf numFmtId="0" fontId="95" fillId="2" borderId="83" xfId="0" applyFont="1" applyFill="1" applyBorder="1" applyAlignment="1">
      <alignment horizontal="left"/>
    </xf>
    <xf numFmtId="0" fontId="0" fillId="2" borderId="83" xfId="0" applyFill="1" applyBorder="1" applyAlignment="1">
      <alignment wrapText="1"/>
    </xf>
    <xf numFmtId="1" fontId="15" fillId="2" borderId="66" xfId="1" applyNumberFormat="1" applyFont="1" applyFill="1" applyBorder="1" applyAlignment="1">
      <alignment horizontal="center"/>
    </xf>
    <xf numFmtId="0" fontId="90" fillId="4" borderId="6" xfId="0" applyFont="1" applyFill="1" applyBorder="1" applyAlignment="1">
      <alignment horizontal="left"/>
    </xf>
    <xf numFmtId="0" fontId="96" fillId="2" borderId="68" xfId="0" applyNumberFormat="1" applyFont="1" applyFill="1" applyBorder="1" applyAlignment="1" applyProtection="1">
      <alignment horizontal="center"/>
    </xf>
    <xf numFmtId="0" fontId="97" fillId="2" borderId="68" xfId="0" applyFont="1" applyFill="1" applyBorder="1" applyAlignment="1">
      <alignment horizontal="left"/>
    </xf>
    <xf numFmtId="14" fontId="97" fillId="2" borderId="68" xfId="0" applyNumberFormat="1" applyFont="1" applyFill="1" applyBorder="1" applyAlignment="1">
      <alignment horizontal="left"/>
    </xf>
    <xf numFmtId="0" fontId="97" fillId="2" borderId="68" xfId="0" applyFont="1" applyFill="1" applyBorder="1"/>
    <xf numFmtId="0" fontId="97" fillId="2" borderId="68" xfId="0" applyFont="1" applyFill="1" applyBorder="1" applyAlignment="1">
      <alignment wrapText="1"/>
    </xf>
    <xf numFmtId="0" fontId="98" fillId="2" borderId="68" xfId="0" applyNumberFormat="1" applyFont="1" applyFill="1" applyBorder="1" applyAlignment="1" applyProtection="1">
      <alignment vertical="top"/>
    </xf>
    <xf numFmtId="0" fontId="97" fillId="2" borderId="0" xfId="0" applyFont="1" applyFill="1"/>
    <xf numFmtId="14" fontId="41" fillId="2" borderId="83" xfId="0" applyNumberFormat="1" applyFont="1" applyFill="1" applyBorder="1" applyAlignment="1">
      <alignment horizontal="center"/>
    </xf>
    <xf numFmtId="14" fontId="91" fillId="2" borderId="68" xfId="0" applyNumberFormat="1" applyFont="1" applyFill="1" applyBorder="1" applyAlignment="1">
      <alignment horizontal="left" wrapText="1"/>
    </xf>
    <xf numFmtId="1" fontId="100" fillId="2" borderId="62" xfId="1" applyNumberFormat="1" applyFont="1" applyFill="1" applyBorder="1"/>
    <xf numFmtId="1" fontId="104" fillId="2" borderId="62" xfId="1" applyNumberFormat="1" applyFont="1" applyFill="1" applyBorder="1"/>
    <xf numFmtId="0" fontId="97" fillId="2" borderId="68" xfId="0" applyFont="1" applyFill="1" applyBorder="1" applyAlignment="1">
      <alignment horizontal="left" wrapText="1"/>
    </xf>
    <xf numFmtId="17" fontId="8" fillId="0" borderId="83" xfId="0" applyNumberFormat="1" applyFont="1" applyFill="1" applyBorder="1" applyAlignment="1" applyProtection="1">
      <alignment vertical="top"/>
    </xf>
    <xf numFmtId="0" fontId="8" fillId="0" borderId="83" xfId="0" applyNumberFormat="1" applyFont="1" applyFill="1" applyBorder="1" applyAlignment="1" applyProtection="1">
      <alignment vertical="top"/>
    </xf>
    <xf numFmtId="167" fontId="44" fillId="4" borderId="83" xfId="1" applyNumberFormat="1" applyFont="1" applyFill="1" applyBorder="1"/>
    <xf numFmtId="167" fontId="44" fillId="4" borderId="62" xfId="1" applyNumberFormat="1" applyFont="1" applyFill="1" applyBorder="1"/>
    <xf numFmtId="1" fontId="37" fillId="2" borderId="6" xfId="0" applyNumberFormat="1" applyFont="1" applyFill="1" applyBorder="1" applyAlignment="1">
      <alignment vertical="center"/>
    </xf>
    <xf numFmtId="14" fontId="75" fillId="2" borderId="84" xfId="0" applyNumberFormat="1" applyFont="1" applyFill="1" applyBorder="1" applyAlignment="1" applyProtection="1">
      <alignment horizontal="left" vertical="top" wrapText="1" readingOrder="1"/>
      <protection locked="0"/>
    </xf>
    <xf numFmtId="0" fontId="96" fillId="2" borderId="68" xfId="0" applyFont="1" applyFill="1" applyBorder="1" applyAlignment="1">
      <alignment horizontal="left"/>
    </xf>
    <xf numFmtId="0" fontId="97" fillId="2" borderId="68" xfId="0" applyFont="1" applyFill="1" applyBorder="1" applyAlignment="1"/>
    <xf numFmtId="0" fontId="97" fillId="2" borderId="68" xfId="0" applyFont="1" applyFill="1" applyBorder="1" applyAlignment="1">
      <alignment horizontal="center"/>
    </xf>
    <xf numFmtId="0" fontId="97" fillId="2" borderId="47" xfId="0" applyFont="1" applyFill="1" applyBorder="1" applyAlignment="1">
      <alignment horizontal="center"/>
    </xf>
    <xf numFmtId="0" fontId="97" fillId="2" borderId="47" xfId="0" applyFont="1" applyFill="1" applyBorder="1" applyAlignment="1">
      <alignment horizontal="center" vertical="top" wrapText="1"/>
    </xf>
    <xf numFmtId="0" fontId="98" fillId="2" borderId="6" xfId="0" applyNumberFormat="1" applyFont="1" applyFill="1" applyBorder="1" applyAlignment="1" applyProtection="1">
      <alignment horizontal="center"/>
    </xf>
    <xf numFmtId="0" fontId="98" fillId="2" borderId="6" xfId="0" applyNumberFormat="1" applyFont="1" applyFill="1" applyBorder="1" applyAlignment="1" applyProtection="1">
      <alignment vertical="top"/>
    </xf>
    <xf numFmtId="1" fontId="97" fillId="2" borderId="47" xfId="0" applyNumberFormat="1" applyFont="1" applyFill="1" applyBorder="1" applyAlignment="1">
      <alignment wrapText="1"/>
    </xf>
    <xf numFmtId="0" fontId="96" fillId="2" borderId="62" xfId="0" applyNumberFormat="1" applyFont="1" applyFill="1" applyBorder="1" applyAlignment="1" applyProtection="1">
      <alignment horizontal="center"/>
    </xf>
    <xf numFmtId="0" fontId="97" fillId="2" borderId="47" xfId="0" applyFont="1" applyFill="1" applyBorder="1" applyAlignment="1">
      <alignment horizontal="left" wrapText="1"/>
    </xf>
    <xf numFmtId="0" fontId="98" fillId="2" borderId="62" xfId="0" applyNumberFormat="1" applyFont="1" applyFill="1" applyBorder="1" applyAlignment="1" applyProtection="1">
      <alignment vertical="top"/>
    </xf>
    <xf numFmtId="3" fontId="15" fillId="2" borderId="6" xfId="3" applyNumberFormat="1" applyFont="1" applyFill="1" applyBorder="1" applyAlignment="1">
      <alignment horizontal="left" vertical="center"/>
    </xf>
    <xf numFmtId="1" fontId="15" fillId="2" borderId="83" xfId="1" quotePrefix="1" applyNumberFormat="1" applyFont="1" applyFill="1" applyBorder="1" applyAlignment="1">
      <alignment horizontal="left" wrapText="1"/>
    </xf>
    <xf numFmtId="0" fontId="107" fillId="2" borderId="0" xfId="0" applyFont="1" applyFill="1" applyAlignment="1">
      <alignment vertical="top" wrapText="1"/>
    </xf>
    <xf numFmtId="0" fontId="108" fillId="2" borderId="0" xfId="0" applyFont="1" applyFill="1" applyAlignment="1">
      <alignment vertical="top" wrapText="1"/>
    </xf>
    <xf numFmtId="1" fontId="5" fillId="2" borderId="6" xfId="4" applyNumberFormat="1" applyFont="1" applyFill="1" applyBorder="1" applyAlignment="1">
      <alignment horizontal="left" vertical="center" wrapText="1"/>
    </xf>
    <xf numFmtId="0" fontId="106" fillId="2" borderId="83" xfId="0" applyFont="1" applyFill="1" applyBorder="1" applyAlignment="1">
      <alignment horizontal="center" wrapText="1"/>
    </xf>
    <xf numFmtId="17" fontId="48" fillId="0" borderId="0" xfId="0" applyNumberFormat="1" applyFont="1" applyAlignment="1">
      <alignment vertical="center"/>
    </xf>
    <xf numFmtId="0" fontId="55" fillId="0" borderId="0" xfId="0" applyFont="1" applyAlignment="1">
      <alignment horizontal="center"/>
    </xf>
    <xf numFmtId="1" fontId="15" fillId="4" borderId="83" xfId="1" applyNumberFormat="1" applyFont="1" applyFill="1" applyBorder="1" applyAlignment="1">
      <alignment horizontal="center"/>
    </xf>
    <xf numFmtId="0" fontId="55" fillId="0" borderId="0" xfId="0" applyFont="1" applyAlignment="1">
      <alignment horizontal="center" vertical="top"/>
    </xf>
    <xf numFmtId="0" fontId="0" fillId="0" borderId="83" xfId="0" applyBorder="1" applyAlignment="1">
      <alignment horizontal="center"/>
    </xf>
    <xf numFmtId="0" fontId="5" fillId="0" borderId="83" xfId="0" applyFont="1" applyBorder="1"/>
    <xf numFmtId="0" fontId="2" fillId="2" borderId="83" xfId="0" applyFont="1" applyFill="1" applyBorder="1" applyAlignment="1"/>
    <xf numFmtId="0" fontId="2" fillId="2" borderId="83" xfId="0" applyFont="1" applyFill="1" applyBorder="1" applyAlignment="1">
      <alignment horizontal="center" wrapText="1"/>
    </xf>
    <xf numFmtId="0" fontId="2" fillId="3" borderId="83" xfId="0" applyFont="1" applyFill="1" applyBorder="1" applyAlignment="1">
      <alignment horizontal="center" wrapText="1"/>
    </xf>
    <xf numFmtId="0" fontId="41" fillId="4" borderId="83" xfId="0" applyFont="1" applyFill="1" applyBorder="1" applyAlignment="1">
      <alignment horizontal="center" wrapText="1"/>
    </xf>
    <xf numFmtId="0" fontId="55" fillId="2" borderId="83" xfId="0" applyFont="1" applyFill="1" applyBorder="1" applyAlignment="1">
      <alignment horizontal="center" vertical="top"/>
    </xf>
    <xf numFmtId="0" fontId="80" fillId="2" borderId="83" xfId="0" applyFont="1" applyFill="1" applyBorder="1" applyAlignment="1">
      <alignment horizontal="center" vertical="top" wrapText="1"/>
    </xf>
    <xf numFmtId="0" fontId="80" fillId="3" borderId="83" xfId="0" applyFont="1" applyFill="1" applyBorder="1" applyAlignment="1">
      <alignment horizontal="center" vertical="top" wrapText="1"/>
    </xf>
    <xf numFmtId="0" fontId="109" fillId="4" borderId="83" xfId="0" applyFont="1" applyFill="1" applyBorder="1" applyAlignment="1">
      <alignment horizontal="center" vertical="top" wrapText="1"/>
    </xf>
    <xf numFmtId="0" fontId="80" fillId="2" borderId="83" xfId="0" applyFont="1" applyFill="1" applyBorder="1" applyAlignment="1">
      <alignment horizontal="center" vertical="top"/>
    </xf>
    <xf numFmtId="167" fontId="15" fillId="4" borderId="83" xfId="1" applyNumberFormat="1" applyFont="1" applyFill="1" applyBorder="1"/>
    <xf numFmtId="3" fontId="15" fillId="4" borderId="83" xfId="0" applyNumberFormat="1" applyFont="1" applyFill="1" applyBorder="1" applyAlignment="1">
      <alignment horizontal="center"/>
    </xf>
    <xf numFmtId="0" fontId="110" fillId="2" borderId="83" xfId="0" applyFont="1" applyFill="1" applyBorder="1" applyAlignment="1">
      <alignment horizontal="center" vertical="center"/>
    </xf>
    <xf numFmtId="17" fontId="8" fillId="0" borderId="6" xfId="0" quotePrefix="1" applyNumberFormat="1" applyFont="1" applyFill="1" applyBorder="1" applyAlignment="1" applyProtection="1">
      <alignment vertical="top"/>
    </xf>
    <xf numFmtId="14" fontId="91" fillId="2" borderId="6" xfId="0" applyNumberFormat="1" applyFont="1" applyFill="1" applyBorder="1" applyAlignment="1">
      <alignment horizontal="right"/>
    </xf>
    <xf numFmtId="0" fontId="89" fillId="2" borderId="83" xfId="0" applyFont="1" applyFill="1" applyBorder="1" applyAlignment="1">
      <alignment horizontal="left" vertical="center"/>
    </xf>
    <xf numFmtId="0" fontId="89" fillId="2" borderId="83" xfId="0" applyFont="1" applyFill="1" applyBorder="1" applyAlignment="1">
      <alignment horizontal="center"/>
    </xf>
    <xf numFmtId="0" fontId="111" fillId="2" borderId="6" xfId="0" applyFont="1" applyFill="1" applyBorder="1" applyAlignment="1">
      <alignment wrapText="1"/>
    </xf>
    <xf numFmtId="0" fontId="112" fillId="2" borderId="83" xfId="0" applyFont="1" applyFill="1" applyBorder="1" applyAlignment="1">
      <alignment horizontal="center" vertical="center" wrapText="1"/>
    </xf>
    <xf numFmtId="14" fontId="92" fillId="2" borderId="6" xfId="0" applyNumberFormat="1" applyFont="1" applyFill="1" applyBorder="1" applyAlignment="1">
      <alignment horizontal="center"/>
    </xf>
    <xf numFmtId="0" fontId="96" fillId="2" borderId="83" xfId="0" applyNumberFormat="1" applyFont="1" applyFill="1" applyBorder="1" applyAlignment="1" applyProtection="1">
      <alignment horizontal="center"/>
    </xf>
    <xf numFmtId="0" fontId="97" fillId="2" borderId="83" xfId="0" applyFont="1" applyFill="1" applyBorder="1" applyAlignment="1">
      <alignment horizontal="left"/>
    </xf>
    <xf numFmtId="0" fontId="98" fillId="2" borderId="83" xfId="0" applyNumberFormat="1" applyFont="1" applyFill="1" applyBorder="1" applyAlignment="1" applyProtection="1">
      <alignment vertical="top"/>
    </xf>
    <xf numFmtId="0" fontId="0" fillId="2" borderId="83" xfId="0" applyFill="1" applyBorder="1" applyAlignment="1">
      <alignment horizontal="center" vertical="center"/>
    </xf>
    <xf numFmtId="0" fontId="73" fillId="2" borderId="83" xfId="0" applyFont="1" applyFill="1" applyBorder="1" applyAlignment="1" applyProtection="1">
      <alignment horizontal="center" vertical="center" readingOrder="1"/>
      <protection locked="0"/>
    </xf>
    <xf numFmtId="0" fontId="79" fillId="2" borderId="83" xfId="0" applyFont="1" applyFill="1" applyBorder="1" applyAlignment="1">
      <alignment horizontal="center" vertical="center"/>
    </xf>
    <xf numFmtId="0" fontId="25" fillId="0" borderId="11" xfId="0" applyNumberFormat="1" applyFont="1" applyFill="1" applyBorder="1" applyAlignment="1" applyProtection="1">
      <alignment horizontal="center" vertical="center"/>
    </xf>
    <xf numFmtId="0" fontId="25" fillId="0" borderId="27" xfId="0" applyNumberFormat="1" applyFont="1" applyFill="1" applyBorder="1" applyAlignment="1" applyProtection="1">
      <alignment horizontal="center" vertical="center"/>
    </xf>
    <xf numFmtId="0" fontId="8" fillId="0" borderId="13" xfId="0" applyNumberFormat="1" applyFont="1" applyFill="1" applyBorder="1" applyAlignment="1" applyProtection="1">
      <alignment horizontal="center" vertical="top"/>
    </xf>
    <xf numFmtId="0" fontId="10" fillId="0" borderId="24" xfId="0" applyFont="1" applyFill="1" applyBorder="1" applyAlignment="1">
      <alignment horizontal="left"/>
    </xf>
    <xf numFmtId="0" fontId="10" fillId="0" borderId="83" xfId="0" applyFont="1" applyBorder="1"/>
    <xf numFmtId="0" fontId="9" fillId="0" borderId="0" xfId="3" applyFont="1" applyBorder="1" applyAlignment="1">
      <alignment horizontal="left" vertical="center"/>
    </xf>
    <xf numFmtId="0" fontId="25" fillId="0" borderId="46" xfId="0" applyNumberFormat="1" applyFont="1" applyFill="1" applyBorder="1" applyAlignment="1" applyProtection="1">
      <alignment horizontal="center" vertical="center"/>
    </xf>
    <xf numFmtId="0" fontId="25" fillId="0" borderId="9" xfId="0" applyNumberFormat="1" applyFont="1" applyFill="1" applyBorder="1" applyAlignment="1" applyProtection="1">
      <alignment horizontal="center" vertical="center"/>
    </xf>
    <xf numFmtId="0" fontId="25" fillId="0" borderId="2" xfId="0" applyNumberFormat="1" applyFont="1" applyFill="1" applyBorder="1" applyAlignment="1" applyProtection="1">
      <alignment horizontal="center" vertical="center"/>
    </xf>
    <xf numFmtId="0" fontId="25" fillId="0" borderId="43" xfId="0" applyNumberFormat="1" applyFont="1" applyFill="1" applyBorder="1" applyAlignment="1" applyProtection="1">
      <alignment horizontal="center" vertical="center"/>
    </xf>
    <xf numFmtId="0" fontId="25" fillId="0" borderId="45" xfId="0" applyNumberFormat="1" applyFont="1" applyFill="1" applyBorder="1" applyAlignment="1" applyProtection="1">
      <alignment horizontal="center" vertical="center"/>
    </xf>
    <xf numFmtId="0" fontId="25" fillId="0" borderId="6" xfId="0" applyNumberFormat="1" applyFont="1" applyFill="1" applyBorder="1" applyAlignment="1" applyProtection="1">
      <alignment horizontal="center" vertical="center"/>
    </xf>
    <xf numFmtId="0" fontId="25" fillId="0" borderId="62" xfId="0" applyNumberFormat="1" applyFont="1" applyFill="1" applyBorder="1" applyAlignment="1" applyProtection="1">
      <alignment horizontal="center" vertical="center"/>
    </xf>
    <xf numFmtId="0" fontId="25" fillId="0" borderId="18" xfId="0" applyNumberFormat="1" applyFont="1" applyFill="1" applyBorder="1" applyAlignment="1" applyProtection="1">
      <alignment horizontal="center" vertical="center"/>
    </xf>
    <xf numFmtId="0" fontId="25" fillId="0" borderId="38" xfId="0" applyNumberFormat="1" applyFont="1" applyFill="1" applyBorder="1" applyAlignment="1" applyProtection="1">
      <alignment horizontal="center" vertical="center"/>
    </xf>
    <xf numFmtId="0" fontId="8" fillId="0" borderId="45" xfId="0" applyNumberFormat="1" applyFont="1" applyFill="1" applyBorder="1" applyAlignment="1" applyProtection="1">
      <alignment horizontal="center" vertical="top"/>
    </xf>
    <xf numFmtId="0" fontId="8" fillId="0" borderId="6" xfId="0" applyNumberFormat="1" applyFont="1" applyFill="1" applyBorder="1" applyAlignment="1" applyProtection="1">
      <alignment horizontal="center" vertical="top"/>
    </xf>
    <xf numFmtId="0" fontId="8" fillId="0" borderId="62" xfId="0" applyNumberFormat="1" applyFont="1" applyFill="1" applyBorder="1" applyAlignment="1" applyProtection="1">
      <alignment horizontal="center" vertical="top"/>
    </xf>
    <xf numFmtId="0" fontId="8" fillId="0" borderId="18" xfId="0" applyNumberFormat="1" applyFont="1" applyFill="1" applyBorder="1" applyAlignment="1" applyProtection="1">
      <alignment horizontal="center" vertical="top"/>
    </xf>
    <xf numFmtId="0" fontId="8" fillId="0" borderId="38" xfId="0" applyNumberFormat="1" applyFont="1" applyFill="1" applyBorder="1" applyAlignment="1" applyProtection="1">
      <alignment horizontal="center" vertical="top"/>
    </xf>
    <xf numFmtId="0" fontId="8" fillId="2" borderId="62" xfId="0" applyNumberFormat="1" applyFont="1" applyFill="1" applyBorder="1" applyAlignment="1" applyProtection="1">
      <alignment horizontal="left" vertical="top" wrapText="1"/>
    </xf>
    <xf numFmtId="0" fontId="8" fillId="2" borderId="57" xfId="0" applyNumberFormat="1" applyFont="1" applyFill="1" applyBorder="1" applyAlignment="1" applyProtection="1">
      <alignment horizontal="left" vertical="top" wrapText="1"/>
    </xf>
    <xf numFmtId="0" fontId="8" fillId="2" borderId="62" xfId="0" applyNumberFormat="1" applyFont="1" applyFill="1" applyBorder="1" applyAlignment="1" applyProtection="1">
      <alignment horizontal="left" vertical="top"/>
    </xf>
    <xf numFmtId="0" fontId="8" fillId="2" borderId="18" xfId="0" applyNumberFormat="1" applyFont="1" applyFill="1" applyBorder="1" applyAlignment="1" applyProtection="1">
      <alignment horizontal="left" vertical="top"/>
    </xf>
    <xf numFmtId="0" fontId="9" fillId="3" borderId="5" xfId="0" applyNumberFormat="1" applyFont="1" applyFill="1" applyBorder="1" applyAlignment="1" applyProtection="1">
      <alignment horizontal="center" vertical="top" wrapText="1"/>
    </xf>
    <xf numFmtId="0" fontId="9" fillId="3" borderId="6" xfId="0" applyNumberFormat="1" applyFont="1" applyFill="1" applyBorder="1" applyAlignment="1" applyProtection="1">
      <alignment horizontal="center" vertical="top" wrapText="1"/>
    </xf>
    <xf numFmtId="0" fontId="9" fillId="3" borderId="5" xfId="0" applyNumberFormat="1" applyFont="1" applyFill="1" applyBorder="1" applyAlignment="1" applyProtection="1">
      <alignment horizontal="left" vertical="top" wrapText="1"/>
    </xf>
    <xf numFmtId="0" fontId="9" fillId="3" borderId="6" xfId="0" applyNumberFormat="1" applyFont="1" applyFill="1" applyBorder="1" applyAlignment="1" applyProtection="1">
      <alignment horizontal="left" vertical="top" wrapText="1"/>
    </xf>
    <xf numFmtId="0" fontId="9" fillId="3" borderId="8" xfId="0" applyNumberFormat="1" applyFont="1" applyFill="1" applyBorder="1" applyAlignment="1" applyProtection="1">
      <alignment horizontal="center" vertical="top" wrapText="1"/>
    </xf>
    <xf numFmtId="0" fontId="2" fillId="0" borderId="0" xfId="0" applyFont="1" applyAlignment="1">
      <alignment horizontal="center" wrapText="1"/>
    </xf>
    <xf numFmtId="0" fontId="2" fillId="0" borderId="0" xfId="0" applyFont="1" applyAlignment="1">
      <alignment horizontal="left"/>
    </xf>
    <xf numFmtId="0" fontId="2" fillId="2" borderId="83" xfId="0" applyFont="1" applyFill="1" applyBorder="1" applyAlignment="1">
      <alignment horizontal="center" vertical="center" wrapText="1"/>
    </xf>
    <xf numFmtId="0" fontId="0" fillId="0" borderId="83" xfId="0" applyBorder="1"/>
    <xf numFmtId="0" fontId="12" fillId="2" borderId="83" xfId="0" applyFont="1" applyFill="1" applyBorder="1" applyAlignment="1">
      <alignment horizontal="center" wrapText="1"/>
    </xf>
    <xf numFmtId="0" fontId="2" fillId="2" borderId="83" xfId="0" applyFont="1" applyFill="1" applyBorder="1" applyAlignment="1">
      <alignment horizontal="center"/>
    </xf>
    <xf numFmtId="0" fontId="2" fillId="2" borderId="83" xfId="0" applyFont="1" applyFill="1" applyBorder="1" applyAlignment="1">
      <alignment horizontal="center" wrapText="1"/>
    </xf>
    <xf numFmtId="0" fontId="80" fillId="2" borderId="83" xfId="0" applyFont="1" applyFill="1" applyBorder="1" applyAlignment="1">
      <alignment horizontal="center" wrapText="1"/>
    </xf>
    <xf numFmtId="0" fontId="2" fillId="0" borderId="0" xfId="0" applyFont="1" applyAlignment="1">
      <alignment horizontal="right" vertical="center" wrapText="1"/>
    </xf>
    <xf numFmtId="0" fontId="12" fillId="2" borderId="83" xfId="0" applyFont="1" applyFill="1" applyBorder="1" applyAlignment="1">
      <alignment horizontal="center" vertical="center" wrapText="1"/>
    </xf>
    <xf numFmtId="0" fontId="2" fillId="2" borderId="83" xfId="0" applyFont="1" applyFill="1" applyBorder="1" applyAlignment="1">
      <alignment horizontal="center" vertical="center"/>
    </xf>
    <xf numFmtId="0" fontId="11" fillId="2" borderId="83" xfId="0" applyFont="1" applyFill="1" applyBorder="1" applyAlignment="1">
      <alignment horizontal="center" vertical="center" wrapText="1"/>
    </xf>
    <xf numFmtId="0" fontId="44" fillId="2" borderId="21" xfId="0" applyFont="1" applyFill="1" applyBorder="1" applyAlignment="1">
      <alignment horizontal="center" vertical="top" wrapText="1"/>
    </xf>
    <xf numFmtId="0" fontId="44" fillId="2" borderId="0" xfId="0" applyFont="1" applyFill="1" applyAlignment="1">
      <alignment horizontal="center" vertical="top" wrapText="1"/>
    </xf>
    <xf numFmtId="165" fontId="41" fillId="0" borderId="0" xfId="0" applyNumberFormat="1" applyFont="1" applyAlignment="1">
      <alignment horizontal="left" vertical="center" wrapText="1"/>
    </xf>
    <xf numFmtId="165" fontId="41" fillId="0" borderId="25" xfId="0" applyNumberFormat="1" applyFont="1" applyBorder="1" applyAlignment="1">
      <alignment horizontal="left" vertical="center" wrapText="1"/>
    </xf>
    <xf numFmtId="0" fontId="43" fillId="2" borderId="24" xfId="0" applyFont="1" applyFill="1" applyBorder="1" applyAlignment="1">
      <alignment horizontal="left" vertical="top" wrapText="1"/>
    </xf>
    <xf numFmtId="0" fontId="43" fillId="2" borderId="0" xfId="0" applyFont="1" applyFill="1" applyAlignment="1">
      <alignment horizontal="left" vertical="top" wrapText="1"/>
    </xf>
    <xf numFmtId="0" fontId="0" fillId="2" borderId="24" xfId="0" applyFill="1" applyBorder="1" applyAlignment="1">
      <alignment horizontal="justify" vertical="top" wrapText="1"/>
    </xf>
    <xf numFmtId="0" fontId="0" fillId="2" borderId="0" xfId="0" applyFill="1" applyAlignment="1">
      <alignment horizontal="justify" vertical="top" wrapText="1"/>
    </xf>
    <xf numFmtId="0" fontId="46" fillId="2" borderId="22" xfId="0" applyFont="1" applyFill="1" applyBorder="1" applyAlignment="1">
      <alignment horizontal="center" vertical="top" wrapText="1"/>
    </xf>
    <xf numFmtId="0" fontId="46" fillId="2" borderId="11" xfId="0" applyFont="1" applyFill="1" applyBorder="1" applyAlignment="1">
      <alignment horizontal="center" vertical="top" wrapText="1"/>
    </xf>
    <xf numFmtId="0" fontId="38" fillId="2" borderId="24" xfId="0" applyFont="1" applyFill="1" applyBorder="1" applyAlignment="1">
      <alignment horizontal="center" vertical="top" wrapText="1"/>
    </xf>
    <xf numFmtId="0" fontId="38" fillId="2" borderId="0" xfId="0" applyFont="1" applyFill="1" applyAlignment="1">
      <alignment horizontal="center" vertical="top" wrapText="1"/>
    </xf>
    <xf numFmtId="0" fontId="0" fillId="2" borderId="24" xfId="0" applyFill="1" applyBorder="1" applyAlignment="1">
      <alignment horizontal="center" vertical="top" wrapText="1"/>
    </xf>
    <xf numFmtId="0" fontId="0" fillId="2" borderId="0" xfId="0" applyFill="1" applyAlignment="1">
      <alignment horizontal="center" vertical="top" wrapText="1"/>
    </xf>
    <xf numFmtId="0" fontId="39" fillId="2" borderId="24" xfId="0" applyFont="1" applyFill="1" applyBorder="1" applyAlignment="1">
      <alignment horizontal="center" vertical="top" wrapText="1"/>
    </xf>
    <xf numFmtId="0" fontId="39" fillId="2" borderId="0" xfId="0" applyFont="1" applyFill="1" applyAlignment="1">
      <alignment horizontal="center" vertical="top" wrapText="1"/>
    </xf>
    <xf numFmtId="164" fontId="40" fillId="2" borderId="0" xfId="0" applyNumberFormat="1" applyFont="1" applyFill="1" applyAlignment="1">
      <alignment horizontal="center" vertical="top" wrapText="1"/>
    </xf>
    <xf numFmtId="0" fontId="9" fillId="2" borderId="0" xfId="3" applyFont="1" applyFill="1" applyBorder="1" applyAlignment="1">
      <alignment horizontal="left" vertical="center"/>
    </xf>
    <xf numFmtId="0" fontId="73" fillId="2" borderId="6" xfId="0" applyFont="1" applyFill="1" applyBorder="1" applyAlignment="1" applyProtection="1">
      <alignment horizontal="center" vertical="top" wrapText="1" readingOrder="1"/>
      <protection locked="0"/>
    </xf>
    <xf numFmtId="0" fontId="73" fillId="2" borderId="83" xfId="0" applyFont="1" applyFill="1" applyBorder="1" applyAlignment="1" applyProtection="1">
      <alignment horizontal="center" vertical="top" wrapText="1" readingOrder="1"/>
      <protection locked="0"/>
    </xf>
    <xf numFmtId="0" fontId="74" fillId="2" borderId="6" xfId="0" applyFont="1" applyFill="1" applyBorder="1" applyAlignment="1" applyProtection="1">
      <alignment horizontal="center" vertical="center" wrapText="1" readingOrder="1"/>
      <protection locked="0"/>
    </xf>
    <xf numFmtId="0" fontId="74" fillId="2" borderId="83" xfId="0" applyFont="1" applyFill="1" applyBorder="1" applyAlignment="1" applyProtection="1">
      <alignment horizontal="center" vertical="center" wrapText="1" readingOrder="1"/>
      <protection locked="0"/>
    </xf>
    <xf numFmtId="0" fontId="73" fillId="2" borderId="6" xfId="0" applyFont="1" applyFill="1" applyBorder="1" applyAlignment="1" applyProtection="1">
      <alignment horizontal="center" vertical="center" wrapText="1" readingOrder="1"/>
      <protection locked="0"/>
    </xf>
    <xf numFmtId="0" fontId="73" fillId="2" borderId="83" xfId="0" applyFont="1" applyFill="1" applyBorder="1" applyAlignment="1" applyProtection="1">
      <alignment horizontal="center" vertical="center" wrapText="1" readingOrder="1"/>
      <protection locked="0"/>
    </xf>
    <xf numFmtId="0" fontId="73" fillId="2" borderId="6" xfId="0" applyFont="1" applyFill="1" applyBorder="1" applyAlignment="1" applyProtection="1">
      <alignment horizontal="center" vertical="center" readingOrder="1"/>
      <protection locked="0"/>
    </xf>
    <xf numFmtId="0" fontId="73" fillId="2" borderId="71" xfId="0" applyFont="1" applyFill="1" applyBorder="1" applyAlignment="1" applyProtection="1">
      <alignment horizontal="center" vertical="top" wrapText="1" readingOrder="1"/>
      <protection locked="0"/>
    </xf>
    <xf numFmtId="0" fontId="73" fillId="2" borderId="72" xfId="0" applyFont="1" applyFill="1" applyBorder="1" applyAlignment="1" applyProtection="1">
      <alignment horizontal="center" vertical="top" wrapText="1" readingOrder="1"/>
      <protection locked="0"/>
    </xf>
    <xf numFmtId="0" fontId="73" fillId="2" borderId="73" xfId="0" applyFont="1" applyFill="1" applyBorder="1" applyAlignment="1" applyProtection="1">
      <alignment horizontal="center" vertical="top" wrapText="1" readingOrder="1"/>
      <protection locked="0"/>
    </xf>
    <xf numFmtId="0" fontId="25" fillId="0" borderId="22" xfId="0" applyNumberFormat="1" applyFont="1" applyFill="1" applyBorder="1" applyAlignment="1" applyProtection="1">
      <alignment horizontal="center" vertical="center"/>
    </xf>
    <xf numFmtId="0" fontId="25" fillId="0" borderId="11" xfId="0" applyNumberFormat="1" applyFont="1" applyFill="1" applyBorder="1" applyAlignment="1" applyProtection="1">
      <alignment horizontal="center" vertical="center"/>
    </xf>
    <xf numFmtId="0" fontId="25" fillId="0" borderId="29" xfId="0" applyNumberFormat="1" applyFont="1" applyFill="1" applyBorder="1" applyAlignment="1" applyProtection="1">
      <alignment horizontal="center" vertical="center"/>
    </xf>
    <xf numFmtId="0" fontId="25" fillId="0" borderId="27" xfId="0" applyNumberFormat="1" applyFont="1" applyFill="1" applyBorder="1" applyAlignment="1" applyProtection="1">
      <alignment horizontal="center" vertical="center"/>
    </xf>
    <xf numFmtId="0" fontId="8" fillId="0" borderId="12" xfId="0" applyNumberFormat="1" applyFont="1" applyFill="1" applyBorder="1" applyAlignment="1" applyProtection="1">
      <alignment horizontal="center" vertical="top"/>
    </xf>
    <xf numFmtId="0" fontId="8" fillId="0" borderId="13" xfId="0" applyNumberFormat="1" applyFont="1" applyFill="1" applyBorder="1" applyAlignment="1" applyProtection="1">
      <alignment horizontal="center" vertical="top"/>
    </xf>
    <xf numFmtId="0" fontId="8" fillId="0" borderId="22" xfId="0" applyNumberFormat="1" applyFont="1" applyFill="1" applyBorder="1" applyAlignment="1" applyProtection="1">
      <alignment horizontal="center" vertical="top" wrapText="1"/>
    </xf>
    <xf numFmtId="0" fontId="8" fillId="0" borderId="11" xfId="0" applyNumberFormat="1" applyFont="1" applyFill="1" applyBorder="1" applyAlignment="1" applyProtection="1">
      <alignment horizontal="center" vertical="top" wrapText="1"/>
    </xf>
    <xf numFmtId="0" fontId="8" fillId="0" borderId="0" xfId="0" applyNumberFormat="1" applyFont="1" applyFill="1" applyBorder="1" applyAlignment="1" applyProtection="1">
      <alignment horizontal="center" vertical="top" wrapText="1"/>
    </xf>
    <xf numFmtId="0" fontId="9" fillId="3" borderId="59" xfId="0" applyNumberFormat="1" applyFont="1" applyFill="1" applyBorder="1" applyAlignment="1" applyProtection="1">
      <alignment horizontal="center" vertical="top" wrapText="1"/>
    </xf>
    <xf numFmtId="0" fontId="9" fillId="3" borderId="60" xfId="0" applyNumberFormat="1" applyFont="1" applyFill="1" applyBorder="1" applyAlignment="1" applyProtection="1">
      <alignment horizontal="center" vertical="top" wrapText="1"/>
    </xf>
    <xf numFmtId="0" fontId="9" fillId="3" borderId="19" xfId="0" applyNumberFormat="1" applyFont="1" applyFill="1" applyBorder="1" applyAlignment="1" applyProtection="1">
      <alignment horizontal="center" vertical="top" wrapText="1"/>
    </xf>
    <xf numFmtId="0" fontId="9" fillId="3" borderId="33" xfId="0" applyNumberFormat="1" applyFont="1" applyFill="1" applyBorder="1" applyAlignment="1" applyProtection="1">
      <alignment horizontal="center" vertical="top" wrapText="1"/>
    </xf>
    <xf numFmtId="0" fontId="9" fillId="3" borderId="10" xfId="0" applyNumberFormat="1" applyFont="1" applyFill="1" applyBorder="1" applyAlignment="1" applyProtection="1">
      <alignment horizontal="center" vertical="top" wrapText="1"/>
    </xf>
    <xf numFmtId="0" fontId="9" fillId="3" borderId="15" xfId="0" applyNumberFormat="1" applyFont="1" applyFill="1" applyBorder="1" applyAlignment="1" applyProtection="1">
      <alignment horizontal="center" vertical="top" wrapText="1"/>
    </xf>
    <xf numFmtId="0" fontId="9" fillId="3" borderId="0" xfId="0" applyNumberFormat="1" applyFont="1" applyFill="1" applyBorder="1" applyAlignment="1" applyProtection="1">
      <alignment horizontal="center" vertical="top" wrapText="1"/>
    </xf>
    <xf numFmtId="0" fontId="9" fillId="3" borderId="24" xfId="0" applyNumberFormat="1" applyFont="1" applyFill="1" applyBorder="1" applyAlignment="1" applyProtection="1">
      <alignment horizontal="center" vertical="top" wrapText="1"/>
    </xf>
    <xf numFmtId="0" fontId="9" fillId="3" borderId="25" xfId="0" applyNumberFormat="1" applyFont="1" applyFill="1" applyBorder="1" applyAlignment="1" applyProtection="1">
      <alignment horizontal="center" vertical="top" wrapText="1"/>
    </xf>
    <xf numFmtId="0" fontId="9" fillId="3" borderId="29" xfId="0" applyNumberFormat="1" applyFont="1" applyFill="1" applyBorder="1" applyAlignment="1" applyProtection="1">
      <alignment horizontal="center" vertical="top" wrapText="1"/>
    </xf>
    <xf numFmtId="0" fontId="9" fillId="3" borderId="27" xfId="0" applyNumberFormat="1" applyFont="1" applyFill="1" applyBorder="1" applyAlignment="1" applyProtection="1">
      <alignment horizontal="center" vertical="top" wrapText="1"/>
    </xf>
    <xf numFmtId="0" fontId="9" fillId="3" borderId="28" xfId="0" applyNumberFormat="1" applyFont="1" applyFill="1" applyBorder="1" applyAlignment="1" applyProtection="1">
      <alignment horizontal="center" vertical="top" wrapText="1"/>
    </xf>
    <xf numFmtId="0" fontId="9" fillId="3" borderId="49" xfId="0" applyNumberFormat="1" applyFont="1" applyFill="1" applyBorder="1" applyAlignment="1" applyProtection="1">
      <alignment horizontal="center" vertical="top" wrapText="1"/>
    </xf>
    <xf numFmtId="0" fontId="9" fillId="3" borderId="17" xfId="0" applyNumberFormat="1" applyFont="1" applyFill="1" applyBorder="1" applyAlignment="1" applyProtection="1">
      <alignment horizontal="center" vertical="top" wrapText="1"/>
    </xf>
    <xf numFmtId="0" fontId="74" fillId="0" borderId="71" xfId="0" applyFont="1" applyBorder="1" applyAlignment="1" applyProtection="1">
      <alignment horizontal="center" vertical="top" wrapText="1" readingOrder="1"/>
      <protection locked="0"/>
    </xf>
    <xf numFmtId="0" fontId="74" fillId="0" borderId="72" xfId="0" applyFont="1" applyBorder="1" applyAlignment="1" applyProtection="1">
      <alignment horizontal="center" vertical="top" wrapText="1" readingOrder="1"/>
      <protection locked="0"/>
    </xf>
    <xf numFmtId="0" fontId="74" fillId="0" borderId="75" xfId="0" applyFont="1" applyBorder="1" applyAlignment="1" applyProtection="1">
      <alignment horizontal="center" vertical="top" wrapText="1" readingOrder="1"/>
      <protection locked="0"/>
    </xf>
    <xf numFmtId="0" fontId="73" fillId="0" borderId="71" xfId="0" applyFont="1" applyBorder="1" applyAlignment="1" applyProtection="1">
      <alignment horizontal="center" vertical="top" wrapText="1" readingOrder="1"/>
      <protection locked="0"/>
    </xf>
    <xf numFmtId="0" fontId="73" fillId="0" borderId="72" xfId="0" applyFont="1" applyBorder="1" applyAlignment="1" applyProtection="1">
      <alignment horizontal="center" vertical="top" wrapText="1" readingOrder="1"/>
      <protection locked="0"/>
    </xf>
    <xf numFmtId="0" fontId="73" fillId="0" borderId="75" xfId="0" applyFont="1" applyBorder="1" applyAlignment="1" applyProtection="1">
      <alignment horizontal="center" vertical="top" wrapText="1" readingOrder="1"/>
      <protection locked="0"/>
    </xf>
    <xf numFmtId="0" fontId="9" fillId="0" borderId="27" xfId="3" applyFont="1" applyBorder="1" applyAlignment="1">
      <alignment horizontal="left" vertical="center"/>
    </xf>
    <xf numFmtId="0" fontId="73" fillId="0" borderId="69" xfId="0" applyFont="1" applyBorder="1" applyAlignment="1" applyProtection="1">
      <alignment horizontal="center" vertical="top" wrapText="1" readingOrder="1"/>
      <protection locked="0"/>
    </xf>
    <xf numFmtId="0" fontId="73" fillId="0" borderId="3" xfId="0" applyFont="1" applyBorder="1" applyAlignment="1" applyProtection="1">
      <alignment horizontal="center" vertical="top" wrapText="1" readingOrder="1"/>
      <protection locked="0"/>
    </xf>
    <xf numFmtId="0" fontId="73" fillId="0" borderId="70" xfId="0" applyFont="1" applyBorder="1" applyAlignment="1" applyProtection="1">
      <alignment horizontal="center" vertical="top" wrapText="1" readingOrder="1"/>
      <protection locked="0"/>
    </xf>
    <xf numFmtId="0" fontId="26" fillId="0" borderId="11" xfId="0" applyFont="1" applyBorder="1" applyAlignment="1">
      <alignment horizontal="center"/>
    </xf>
    <xf numFmtId="0" fontId="0" fillId="0" borderId="11" xfId="0" applyBorder="1" applyAlignment="1">
      <alignment horizontal="center"/>
    </xf>
    <xf numFmtId="0" fontId="0" fillId="0" borderId="23" xfId="0" applyBorder="1" applyAlignment="1">
      <alignment horizontal="center"/>
    </xf>
    <xf numFmtId="0" fontId="27" fillId="0" borderId="0" xfId="0" applyFont="1" applyAlignment="1">
      <alignment horizontal="center"/>
    </xf>
    <xf numFmtId="0" fontId="27" fillId="0" borderId="25" xfId="0" applyFont="1" applyBorder="1" applyAlignment="1">
      <alignment horizontal="center"/>
    </xf>
    <xf numFmtId="0" fontId="5" fillId="0" borderId="27" xfId="0" applyFont="1" applyBorder="1" applyAlignment="1">
      <alignment horizontal="center"/>
    </xf>
    <xf numFmtId="0" fontId="5" fillId="0" borderId="28" xfId="0" applyFont="1" applyBorder="1" applyAlignment="1">
      <alignment horizontal="center"/>
    </xf>
    <xf numFmtId="0" fontId="2" fillId="0" borderId="0" xfId="0" applyFont="1" applyAlignment="1">
      <alignment horizontal="left" vertical="top"/>
    </xf>
    <xf numFmtId="0" fontId="2" fillId="0" borderId="0" xfId="0" applyFont="1" applyAlignment="1">
      <alignment horizontal="left" vertical="center" wrapText="1"/>
    </xf>
    <xf numFmtId="0" fontId="2" fillId="0" borderId="25" xfId="0" applyFont="1" applyBorder="1" applyAlignment="1">
      <alignment horizontal="left" vertical="center" wrapText="1"/>
    </xf>
    <xf numFmtId="0" fontId="2" fillId="0" borderId="6" xfId="0" applyFont="1" applyBorder="1" applyAlignment="1">
      <alignment horizontal="left" vertical="center"/>
    </xf>
    <xf numFmtId="17" fontId="2" fillId="0" borderId="6" xfId="0" applyNumberFormat="1" applyFont="1" applyBorder="1" applyAlignment="1">
      <alignment horizontal="center" vertical="center"/>
    </xf>
    <xf numFmtId="0" fontId="2" fillId="0" borderId="6" xfId="0" applyFont="1" applyBorder="1" applyAlignment="1">
      <alignment horizontal="center" vertical="center"/>
    </xf>
    <xf numFmtId="0" fontId="2" fillId="0" borderId="38" xfId="0" applyFont="1" applyBorder="1" applyAlignment="1">
      <alignment horizontal="center" vertical="center"/>
    </xf>
    <xf numFmtId="0" fontId="2" fillId="0" borderId="5" xfId="0" applyFont="1" applyBorder="1" applyAlignment="1">
      <alignment horizontal="left" vertical="center" wrapText="1"/>
    </xf>
    <xf numFmtId="1" fontId="2" fillId="0" borderId="5" xfId="0" applyNumberFormat="1" applyFont="1" applyBorder="1" applyAlignment="1">
      <alignment horizontal="center" vertical="center"/>
    </xf>
    <xf numFmtId="0" fontId="2" fillId="0" borderId="5" xfId="0" applyFont="1" applyBorder="1" applyAlignment="1">
      <alignment horizontal="center" vertical="center"/>
    </xf>
    <xf numFmtId="0" fontId="2" fillId="0" borderId="7" xfId="0" applyFont="1" applyBorder="1" applyAlignment="1">
      <alignment horizontal="center" vertical="center"/>
    </xf>
    <xf numFmtId="0" fontId="2" fillId="0" borderId="25" xfId="0" applyFont="1" applyBorder="1" applyAlignment="1">
      <alignment horizontal="left"/>
    </xf>
    <xf numFmtId="1" fontId="2" fillId="0" borderId="6" xfId="0" applyNumberFormat="1" applyFont="1" applyBorder="1" applyAlignment="1">
      <alignment horizontal="center" vertical="center"/>
    </xf>
    <xf numFmtId="0" fontId="2" fillId="0" borderId="6" xfId="0" applyFont="1" applyBorder="1" applyAlignment="1">
      <alignment horizontal="left" vertical="center" wrapText="1"/>
    </xf>
    <xf numFmtId="14" fontId="2" fillId="0" borderId="34" xfId="0" applyNumberFormat="1" applyFont="1" applyBorder="1" applyAlignment="1">
      <alignment horizontal="center" vertical="center"/>
    </xf>
    <xf numFmtId="0" fontId="2" fillId="0" borderId="34" xfId="0" applyFont="1" applyBorder="1" applyAlignment="1">
      <alignment horizontal="center" vertical="center"/>
    </xf>
    <xf numFmtId="0" fontId="2" fillId="0" borderId="39" xfId="0" applyFont="1" applyBorder="1" applyAlignment="1">
      <alignment horizontal="center" vertical="center"/>
    </xf>
    <xf numFmtId="0" fontId="8" fillId="0" borderId="24" xfId="0" applyFont="1" applyBorder="1" applyAlignment="1">
      <alignment horizontal="left"/>
    </xf>
    <xf numFmtId="0" fontId="8" fillId="0" borderId="0" xfId="0" applyFont="1" applyAlignment="1">
      <alignment horizontal="left"/>
    </xf>
    <xf numFmtId="0" fontId="60" fillId="0" borderId="24" xfId="0" applyFont="1" applyBorder="1" applyAlignment="1">
      <alignment horizontal="center"/>
    </xf>
    <xf numFmtId="0" fontId="60" fillId="0" borderId="0" xfId="0" applyFont="1" applyBorder="1" applyAlignment="1">
      <alignment horizontal="center"/>
    </xf>
    <xf numFmtId="0" fontId="60" fillId="0" borderId="25" xfId="0" applyFont="1" applyBorder="1" applyAlignment="1">
      <alignment horizontal="center"/>
    </xf>
    <xf numFmtId="0" fontId="8" fillId="0" borderId="24" xfId="0" applyFont="1" applyBorder="1" applyAlignment="1">
      <alignment horizontal="left" vertical="center" wrapText="1"/>
    </xf>
    <xf numFmtId="0" fontId="8" fillId="0" borderId="0" xfId="0" applyFont="1" applyAlignment="1">
      <alignment horizontal="left" vertical="center" wrapText="1"/>
    </xf>
    <xf numFmtId="0" fontId="0" fillId="0" borderId="27" xfId="0" applyBorder="1" applyAlignment="1">
      <alignment horizontal="center"/>
    </xf>
    <xf numFmtId="0" fontId="0" fillId="0" borderId="28" xfId="0" applyBorder="1" applyAlignment="1">
      <alignment horizontal="center"/>
    </xf>
    <xf numFmtId="0" fontId="19" fillId="0" borderId="22" xfId="0" applyFont="1" applyBorder="1" applyAlignment="1">
      <alignment horizontal="center"/>
    </xf>
    <xf numFmtId="0" fontId="19" fillId="0" borderId="11" xfId="0" applyFont="1" applyBorder="1" applyAlignment="1">
      <alignment horizontal="center"/>
    </xf>
    <xf numFmtId="0" fontId="19" fillId="0" borderId="23" xfId="0" applyFont="1" applyBorder="1" applyAlignment="1">
      <alignment horizontal="center"/>
    </xf>
    <xf numFmtId="0" fontId="34" fillId="0" borderId="34" xfId="0" applyFont="1" applyBorder="1" applyAlignment="1">
      <alignment horizontal="center" wrapText="1"/>
    </xf>
    <xf numFmtId="0" fontId="34" fillId="0" borderId="5" xfId="0" applyFont="1" applyBorder="1" applyAlignment="1">
      <alignment horizontal="center" wrapText="1"/>
    </xf>
    <xf numFmtId="0" fontId="29" fillId="0" borderId="0" xfId="0" applyFont="1" applyAlignment="1">
      <alignment horizontal="center"/>
    </xf>
    <xf numFmtId="0" fontId="30" fillId="0" borderId="0" xfId="0" applyFont="1" applyAlignment="1">
      <alignment horizontal="center"/>
    </xf>
    <xf numFmtId="0" fontId="33" fillId="0" borderId="34" xfId="0" applyFont="1" applyBorder="1" applyAlignment="1">
      <alignment horizontal="center" vertical="center" wrapText="1"/>
    </xf>
    <xf numFmtId="0" fontId="33" fillId="0" borderId="5" xfId="0" applyFont="1" applyBorder="1" applyAlignment="1">
      <alignment horizontal="center" vertical="center" wrapText="1"/>
    </xf>
    <xf numFmtId="0" fontId="33" fillId="0" borderId="6" xfId="0" applyFont="1" applyBorder="1" applyAlignment="1">
      <alignment horizontal="center" vertical="center" wrapText="1"/>
    </xf>
    <xf numFmtId="0" fontId="33" fillId="0" borderId="6" xfId="0" applyFont="1" applyBorder="1" applyAlignment="1">
      <alignment horizontal="center" wrapText="1"/>
    </xf>
    <xf numFmtId="0" fontId="33" fillId="0" borderId="34" xfId="0" applyFont="1" applyBorder="1" applyAlignment="1">
      <alignment horizontal="center" wrapText="1"/>
    </xf>
    <xf numFmtId="0" fontId="33" fillId="0" borderId="5" xfId="0" applyFont="1" applyBorder="1" applyAlignment="1">
      <alignment horizontal="center" wrapText="1"/>
    </xf>
    <xf numFmtId="0" fontId="34" fillId="0" borderId="6" xfId="0" applyFont="1" applyBorder="1" applyAlignment="1">
      <alignment horizontal="center"/>
    </xf>
    <xf numFmtId="0" fontId="34" fillId="0" borderId="6" xfId="0" applyFont="1" applyBorder="1" applyAlignment="1">
      <alignment horizontal="center" wrapText="1"/>
    </xf>
    <xf numFmtId="0" fontId="9" fillId="3" borderId="6" xfId="0" applyFont="1" applyFill="1" applyBorder="1" applyAlignment="1">
      <alignment horizontal="left" vertical="top" wrapText="1"/>
    </xf>
    <xf numFmtId="0" fontId="9" fillId="3" borderId="6" xfId="0" applyFont="1" applyFill="1" applyBorder="1" applyAlignment="1">
      <alignment horizontal="center" vertical="top" wrapText="1"/>
    </xf>
    <xf numFmtId="0" fontId="19" fillId="0" borderId="6" xfId="0" applyFont="1" applyBorder="1" applyAlignment="1">
      <alignment horizontal="center" vertical="center"/>
    </xf>
    <xf numFmtId="0" fontId="8" fillId="0" borderId="6" xfId="0" applyFont="1" applyBorder="1" applyAlignment="1">
      <alignment horizontal="center" vertical="top"/>
    </xf>
    <xf numFmtId="0" fontId="23" fillId="0" borderId="6" xfId="0" applyFont="1" applyBorder="1" applyAlignment="1">
      <alignment horizontal="center" vertical="center"/>
    </xf>
    <xf numFmtId="0" fontId="9" fillId="3" borderId="16" xfId="0" applyFont="1" applyFill="1" applyBorder="1" applyAlignment="1">
      <alignment horizontal="center" vertical="top" wrapText="1"/>
    </xf>
    <xf numFmtId="0" fontId="9" fillId="3" borderId="17" xfId="0" applyFont="1" applyFill="1" applyBorder="1" applyAlignment="1">
      <alignment horizontal="center" vertical="top" wrapText="1"/>
    </xf>
    <xf numFmtId="0" fontId="9" fillId="3" borderId="16" xfId="0" applyFont="1" applyFill="1" applyBorder="1" applyAlignment="1">
      <alignment horizontal="left" vertical="top" wrapText="1"/>
    </xf>
    <xf numFmtId="0" fontId="9" fillId="3" borderId="17" xfId="0" applyFont="1" applyFill="1" applyBorder="1" applyAlignment="1">
      <alignment horizontal="left" vertical="top" wrapText="1"/>
    </xf>
    <xf numFmtId="0" fontId="8" fillId="0" borderId="62" xfId="0" applyFont="1" applyBorder="1" applyAlignment="1">
      <alignment horizontal="center" vertical="top"/>
    </xf>
    <xf numFmtId="0" fontId="8" fillId="0" borderId="12" xfId="0" applyFont="1" applyBorder="1" applyAlignment="1">
      <alignment horizontal="center" vertical="top"/>
    </xf>
    <xf numFmtId="0" fontId="8" fillId="0" borderId="13" xfId="0" applyFont="1" applyBorder="1" applyAlignment="1">
      <alignment horizontal="center" vertical="top"/>
    </xf>
    <xf numFmtId="0" fontId="8" fillId="0" borderId="14" xfId="0" applyFont="1" applyBorder="1" applyAlignment="1">
      <alignment horizontal="center" vertical="top"/>
    </xf>
    <xf numFmtId="0" fontId="9" fillId="0" borderId="62" xfId="0" applyFont="1" applyBorder="1" applyAlignment="1">
      <alignment horizontal="right" vertical="top"/>
    </xf>
    <xf numFmtId="0" fontId="9" fillId="0" borderId="18" xfId="0" applyFont="1" applyBorder="1" applyAlignment="1">
      <alignment horizontal="right" vertical="top"/>
    </xf>
    <xf numFmtId="0" fontId="9" fillId="0" borderId="26" xfId="0" applyFont="1" applyBorder="1" applyAlignment="1">
      <alignment horizontal="right" vertical="top"/>
    </xf>
    <xf numFmtId="0" fontId="9" fillId="0" borderId="20" xfId="0" applyFont="1" applyBorder="1" applyAlignment="1">
      <alignment horizontal="right" vertical="top"/>
    </xf>
    <xf numFmtId="0" fontId="8" fillId="0" borderId="34" xfId="0" applyFont="1" applyBorder="1" applyAlignment="1">
      <alignment horizontal="center" vertical="top"/>
    </xf>
    <xf numFmtId="0" fontId="9" fillId="3" borderId="5" xfId="0" applyFont="1" applyFill="1" applyBorder="1" applyAlignment="1">
      <alignment horizontal="left" vertical="top" wrapText="1"/>
    </xf>
    <xf numFmtId="0" fontId="9" fillId="3" borderId="5" xfId="0" applyFont="1" applyFill="1" applyBorder="1" applyAlignment="1">
      <alignment horizontal="center" vertical="top" wrapText="1"/>
    </xf>
    <xf numFmtId="0" fontId="9" fillId="3" borderId="8" xfId="0" applyFont="1" applyFill="1" applyBorder="1" applyAlignment="1">
      <alignment horizontal="center" vertical="top" wrapText="1"/>
    </xf>
    <xf numFmtId="0" fontId="8" fillId="0" borderId="18" xfId="0" applyFont="1" applyBorder="1" applyAlignment="1">
      <alignment horizontal="right" vertical="top"/>
    </xf>
    <xf numFmtId="0" fontId="8" fillId="0" borderId="26" xfId="0" applyFont="1" applyBorder="1" applyAlignment="1">
      <alignment horizontal="right" vertical="top"/>
    </xf>
    <xf numFmtId="0" fontId="8" fillId="0" borderId="20" xfId="0" applyFont="1" applyBorder="1" applyAlignment="1">
      <alignment horizontal="right" vertical="top"/>
    </xf>
    <xf numFmtId="0" fontId="9" fillId="3" borderId="18" xfId="0" applyFont="1" applyFill="1" applyBorder="1" applyAlignment="1">
      <alignment horizontal="center" vertical="top" wrapText="1"/>
    </xf>
    <xf numFmtId="0" fontId="9" fillId="3" borderId="20" xfId="0" applyFont="1" applyFill="1" applyBorder="1" applyAlignment="1">
      <alignment horizontal="left" vertical="top" wrapText="1"/>
    </xf>
    <xf numFmtId="0" fontId="9" fillId="3" borderId="34" xfId="0" applyFont="1" applyFill="1" applyBorder="1" applyAlignment="1">
      <alignment horizontal="center" vertical="top" wrapText="1"/>
    </xf>
    <xf numFmtId="0" fontId="19" fillId="0" borderId="30" xfId="0" applyFont="1" applyBorder="1" applyAlignment="1">
      <alignment horizontal="center" vertical="center"/>
    </xf>
    <xf numFmtId="0" fontId="19" fillId="0" borderId="31" xfId="0" applyFont="1" applyBorder="1" applyAlignment="1">
      <alignment horizontal="center" vertical="center"/>
    </xf>
    <xf numFmtId="0" fontId="19" fillId="0" borderId="32" xfId="0" applyFont="1" applyBorder="1" applyAlignment="1">
      <alignment horizontal="center" vertical="center"/>
    </xf>
    <xf numFmtId="0" fontId="19" fillId="0" borderId="10" xfId="0" applyFont="1" applyBorder="1" applyAlignment="1">
      <alignment horizontal="center" vertical="center"/>
    </xf>
    <xf numFmtId="0" fontId="19" fillId="0" borderId="21" xfId="0" applyFont="1" applyBorder="1" applyAlignment="1">
      <alignment horizontal="center" vertical="center"/>
    </xf>
    <xf numFmtId="0" fontId="19" fillId="0" borderId="15" xfId="0" applyFont="1" applyBorder="1" applyAlignment="1">
      <alignment horizontal="center" vertical="center"/>
    </xf>
    <xf numFmtId="0" fontId="8" fillId="0" borderId="6" xfId="0" applyFont="1" applyBorder="1" applyAlignment="1">
      <alignment horizontal="left" vertical="top"/>
    </xf>
    <xf numFmtId="0" fontId="8" fillId="0" borderId="34" xfId="0" applyFont="1" applyBorder="1" applyAlignment="1">
      <alignment horizontal="left" vertical="top"/>
    </xf>
    <xf numFmtId="0" fontId="9" fillId="3" borderId="34" xfId="0" applyFont="1" applyFill="1" applyBorder="1" applyAlignment="1">
      <alignment horizontal="left" vertical="top" textRotation="90" wrapText="1"/>
    </xf>
    <xf numFmtId="0" fontId="9" fillId="3" borderId="5" xfId="0" applyFont="1" applyFill="1" applyBorder="1" applyAlignment="1">
      <alignment horizontal="left" vertical="top" textRotation="90" wrapText="1"/>
    </xf>
    <xf numFmtId="0" fontId="9" fillId="3" borderId="30" xfId="0" applyFont="1" applyFill="1" applyBorder="1" applyAlignment="1">
      <alignment horizontal="left" vertical="top" wrapText="1"/>
    </xf>
    <xf numFmtId="0" fontId="9" fillId="3" borderId="19" xfId="0" applyFont="1" applyFill="1" applyBorder="1" applyAlignment="1">
      <alignment horizontal="left" vertical="top" wrapText="1"/>
    </xf>
    <xf numFmtId="0" fontId="9" fillId="3" borderId="30" xfId="0" applyFont="1" applyFill="1" applyBorder="1" applyAlignment="1">
      <alignment horizontal="center" vertical="top" wrapText="1"/>
    </xf>
    <xf numFmtId="0" fontId="9" fillId="3" borderId="31" xfId="0" applyFont="1" applyFill="1" applyBorder="1" applyAlignment="1">
      <alignment horizontal="center" vertical="top" wrapText="1"/>
    </xf>
    <xf numFmtId="0" fontId="9" fillId="3" borderId="32" xfId="0" applyFont="1" applyFill="1" applyBorder="1" applyAlignment="1">
      <alignment horizontal="center" vertical="top" wrapText="1"/>
    </xf>
    <xf numFmtId="0" fontId="9" fillId="3" borderId="10" xfId="0" applyFont="1" applyFill="1" applyBorder="1" applyAlignment="1">
      <alignment horizontal="center" vertical="top" wrapText="1"/>
    </xf>
    <xf numFmtId="0" fontId="9" fillId="3" borderId="21" xfId="0" applyFont="1" applyFill="1" applyBorder="1" applyAlignment="1">
      <alignment horizontal="center" vertical="top" wrapText="1"/>
    </xf>
    <xf numFmtId="0" fontId="9" fillId="3" borderId="15" xfId="0" applyFont="1" applyFill="1" applyBorder="1" applyAlignment="1">
      <alignment horizontal="center" vertical="top" wrapText="1"/>
    </xf>
    <xf numFmtId="0" fontId="32" fillId="0" borderId="74" xfId="0" applyFont="1" applyBorder="1" applyAlignment="1">
      <alignment horizontal="left" wrapText="1"/>
    </xf>
    <xf numFmtId="0" fontId="32" fillId="0" borderId="72" xfId="0" applyFont="1" applyBorder="1" applyAlignment="1">
      <alignment horizontal="left" wrapText="1"/>
    </xf>
    <xf numFmtId="0" fontId="32" fillId="0" borderId="73" xfId="0" applyFont="1" applyBorder="1" applyAlignment="1">
      <alignment horizontal="left" wrapText="1"/>
    </xf>
    <xf numFmtId="0" fontId="83" fillId="0" borderId="74" xfId="0" applyFont="1" applyBorder="1" applyAlignment="1">
      <alignment horizontal="left" wrapText="1"/>
    </xf>
    <xf numFmtId="0" fontId="0" fillId="0" borderId="72" xfId="0" applyBorder="1" applyAlignment="1">
      <alignment horizontal="left" wrapText="1"/>
    </xf>
    <xf numFmtId="0" fontId="0" fillId="0" borderId="75" xfId="0" applyBorder="1" applyAlignment="1">
      <alignment horizontal="left" wrapText="1"/>
    </xf>
    <xf numFmtId="0" fontId="84" fillId="0" borderId="24" xfId="0" applyFont="1" applyBorder="1" applyAlignment="1">
      <alignment horizontal="right"/>
    </xf>
    <xf numFmtId="0" fontId="2" fillId="0" borderId="0" xfId="0" applyFont="1" applyBorder="1" applyAlignment="1">
      <alignment horizontal="right"/>
    </xf>
    <xf numFmtId="0" fontId="83" fillId="0" borderId="0" xfId="0" applyFont="1" applyBorder="1" applyAlignment="1">
      <alignment horizontal="left"/>
    </xf>
    <xf numFmtId="0" fontId="0" fillId="0" borderId="0" xfId="0" applyBorder="1" applyAlignment="1">
      <alignment horizontal="left"/>
    </xf>
    <xf numFmtId="0" fontId="81" fillId="5" borderId="69" xfId="0" applyFont="1" applyFill="1" applyBorder="1" applyAlignment="1">
      <alignment horizontal="center"/>
    </xf>
    <xf numFmtId="0" fontId="81" fillId="5" borderId="3" xfId="0" applyFont="1" applyFill="1" applyBorder="1" applyAlignment="1">
      <alignment horizontal="center"/>
    </xf>
    <xf numFmtId="0" fontId="81" fillId="5" borderId="70" xfId="0" applyFont="1" applyFill="1" applyBorder="1" applyAlignment="1">
      <alignment horizontal="center"/>
    </xf>
    <xf numFmtId="0" fontId="82" fillId="6" borderId="24" xfId="0" applyFont="1" applyFill="1" applyBorder="1" applyAlignment="1">
      <alignment horizontal="center"/>
    </xf>
    <xf numFmtId="0" fontId="82" fillId="6" borderId="0" xfId="0" applyFont="1" applyFill="1" applyBorder="1" applyAlignment="1">
      <alignment horizontal="center"/>
    </xf>
    <xf numFmtId="0" fontId="82" fillId="6" borderId="25" xfId="0" applyFont="1" applyFill="1" applyBorder="1" applyAlignment="1">
      <alignment horizontal="center"/>
    </xf>
    <xf numFmtId="0" fontId="81" fillId="7" borderId="71" xfId="0" applyFont="1" applyFill="1" applyBorder="1" applyAlignment="1">
      <alignment horizontal="center" wrapText="1"/>
    </xf>
    <xf numFmtId="0" fontId="81" fillId="7" borderId="72" xfId="0" applyFont="1" applyFill="1" applyBorder="1" applyAlignment="1">
      <alignment horizontal="center" wrapText="1"/>
    </xf>
    <xf numFmtId="0" fontId="81" fillId="7" borderId="75" xfId="0" applyFont="1" applyFill="1" applyBorder="1" applyAlignment="1">
      <alignment horizontal="center" wrapText="1"/>
    </xf>
    <xf numFmtId="0" fontId="82" fillId="6" borderId="71" xfId="0" applyFont="1" applyFill="1" applyBorder="1" applyAlignment="1">
      <alignment horizontal="center"/>
    </xf>
    <xf numFmtId="0" fontId="82" fillId="6" borderId="72" xfId="0" applyFont="1" applyFill="1" applyBorder="1" applyAlignment="1">
      <alignment horizontal="center"/>
    </xf>
    <xf numFmtId="0" fontId="82" fillId="6" borderId="75" xfId="0" applyFont="1" applyFill="1" applyBorder="1" applyAlignment="1">
      <alignment horizontal="center"/>
    </xf>
    <xf numFmtId="0" fontId="61" fillId="0" borderId="24" xfId="0" applyFont="1" applyBorder="1" applyAlignment="1">
      <alignment horizontal="left"/>
    </xf>
    <xf numFmtId="0" fontId="61" fillId="0" borderId="0" xfId="0" applyFont="1" applyBorder="1" applyAlignment="1">
      <alignment horizontal="left"/>
    </xf>
    <xf numFmtId="0" fontId="61" fillId="0" borderId="25" xfId="0" applyFont="1" applyBorder="1" applyAlignment="1">
      <alignment horizontal="left"/>
    </xf>
    <xf numFmtId="0" fontId="32" fillId="0" borderId="0" xfId="0" applyFont="1" applyBorder="1" applyAlignment="1">
      <alignment horizontal="left" wrapText="1"/>
    </xf>
    <xf numFmtId="0" fontId="82" fillId="6" borderId="82" xfId="0" applyFont="1" applyFill="1" applyBorder="1" applyAlignment="1">
      <alignment horizontal="center"/>
    </xf>
    <xf numFmtId="0" fontId="82" fillId="6" borderId="79" xfId="0" applyFont="1" applyFill="1" applyBorder="1" applyAlignment="1">
      <alignment horizontal="center"/>
    </xf>
    <xf numFmtId="0" fontId="82" fillId="6" borderId="60" xfId="0" applyFont="1" applyFill="1" applyBorder="1" applyAlignment="1">
      <alignment horizontal="center"/>
    </xf>
    <xf numFmtId="0" fontId="83" fillId="0" borderId="0" xfId="0" applyFont="1" applyBorder="1" applyAlignment="1">
      <alignment horizontal="left" wrapText="1"/>
    </xf>
    <xf numFmtId="0" fontId="0" fillId="0" borderId="0" xfId="0" applyBorder="1" applyAlignment="1">
      <alignment horizontal="left" wrapText="1"/>
    </xf>
    <xf numFmtId="0" fontId="0" fillId="0" borderId="25" xfId="0" applyBorder="1" applyAlignment="1">
      <alignment horizontal="left" wrapText="1"/>
    </xf>
    <xf numFmtId="1" fontId="2" fillId="0" borderId="0" xfId="0" applyNumberFormat="1"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17" fontId="2" fillId="0" borderId="0" xfId="0" applyNumberFormat="1" applyFont="1" applyAlignment="1">
      <alignment horizontal="center" vertical="center"/>
    </xf>
    <xf numFmtId="14" fontId="2" fillId="0" borderId="0" xfId="0" applyNumberFormat="1" applyFont="1" applyAlignment="1">
      <alignment horizontal="center" vertical="center"/>
    </xf>
    <xf numFmtId="0" fontId="5" fillId="0" borderId="0" xfId="0" applyFont="1" applyAlignment="1">
      <alignment horizontal="center"/>
    </xf>
    <xf numFmtId="0" fontId="26" fillId="0" borderId="0" xfId="0" applyFont="1" applyAlignment="1">
      <alignment horizontal="center"/>
    </xf>
    <xf numFmtId="0" fontId="0" fillId="0" borderId="0" xfId="0" applyAlignment="1">
      <alignment horizontal="center"/>
    </xf>
    <xf numFmtId="1" fontId="2" fillId="0" borderId="18" xfId="0" applyNumberFormat="1" applyFont="1" applyBorder="1" applyAlignment="1">
      <alignment horizontal="center" vertical="center"/>
    </xf>
    <xf numFmtId="0" fontId="2" fillId="0" borderId="26" xfId="0" applyFont="1" applyBorder="1" applyAlignment="1">
      <alignment horizontal="center" vertical="center"/>
    </xf>
    <xf numFmtId="0" fontId="2" fillId="0" borderId="41" xfId="0" applyFont="1" applyBorder="1" applyAlignment="1">
      <alignment horizontal="center" vertical="center"/>
    </xf>
    <xf numFmtId="1" fontId="2" fillId="0" borderId="18" xfId="0" applyNumberFormat="1" applyFont="1" applyBorder="1" applyAlignment="1">
      <alignment horizontal="center" vertical="center" wrapText="1"/>
    </xf>
    <xf numFmtId="1" fontId="2" fillId="0" borderId="20" xfId="0" applyNumberFormat="1" applyFont="1" applyBorder="1" applyAlignment="1">
      <alignment horizontal="center" vertical="center" wrapText="1"/>
    </xf>
    <xf numFmtId="1" fontId="2" fillId="0" borderId="41" xfId="0" applyNumberFormat="1" applyFont="1" applyBorder="1" applyAlignment="1">
      <alignment horizontal="center" vertical="center" wrapText="1"/>
    </xf>
    <xf numFmtId="0" fontId="0" fillId="0" borderId="18" xfId="0" applyBorder="1" applyAlignment="1">
      <alignment horizontal="center"/>
    </xf>
    <xf numFmtId="0" fontId="0" fillId="0" borderId="41" xfId="0" applyBorder="1" applyAlignment="1">
      <alignment horizontal="center"/>
    </xf>
    <xf numFmtId="1" fontId="2" fillId="0" borderId="18" xfId="0" applyNumberFormat="1" applyFont="1" applyBorder="1" applyAlignment="1">
      <alignment horizontal="center"/>
    </xf>
    <xf numFmtId="1" fontId="2" fillId="0" borderId="26" xfId="0" applyNumberFormat="1" applyFont="1" applyBorder="1" applyAlignment="1">
      <alignment horizontal="center"/>
    </xf>
    <xf numFmtId="1" fontId="2" fillId="0" borderId="41" xfId="0" applyNumberFormat="1" applyFont="1" applyBorder="1" applyAlignment="1">
      <alignment horizontal="center"/>
    </xf>
    <xf numFmtId="14" fontId="2" fillId="0" borderId="6" xfId="0" applyNumberFormat="1" applyFont="1" applyBorder="1" applyAlignment="1">
      <alignment horizontal="center" vertical="center"/>
    </xf>
    <xf numFmtId="0" fontId="0" fillId="0" borderId="20" xfId="0" applyBorder="1" applyAlignment="1">
      <alignment horizontal="center"/>
    </xf>
    <xf numFmtId="0" fontId="0" fillId="0" borderId="26" xfId="0" applyBorder="1" applyAlignment="1">
      <alignment horizontal="center"/>
    </xf>
    <xf numFmtId="1" fontId="2" fillId="0" borderId="26" xfId="0" applyNumberFormat="1" applyFont="1" applyBorder="1" applyAlignment="1">
      <alignment horizontal="center" vertical="center" wrapText="1"/>
    </xf>
    <xf numFmtId="0" fontId="2" fillId="0" borderId="18" xfId="0" applyFont="1" applyBorder="1" applyAlignment="1">
      <alignment horizontal="center" vertical="center"/>
    </xf>
    <xf numFmtId="0" fontId="2" fillId="0" borderId="20" xfId="0" applyFont="1" applyBorder="1" applyAlignment="1">
      <alignment horizontal="center" vertical="center"/>
    </xf>
    <xf numFmtId="0" fontId="2" fillId="0" borderId="18" xfId="0" applyFont="1" applyBorder="1" applyAlignment="1">
      <alignment horizontal="center"/>
    </xf>
    <xf numFmtId="0" fontId="2" fillId="0" borderId="26" xfId="0" applyFont="1" applyBorder="1" applyAlignment="1">
      <alignment horizontal="center"/>
    </xf>
    <xf numFmtId="0" fontId="2" fillId="0" borderId="41" xfId="0" applyFont="1" applyBorder="1" applyAlignment="1">
      <alignment horizontal="center"/>
    </xf>
    <xf numFmtId="1" fontId="2" fillId="0" borderId="26" xfId="0" applyNumberFormat="1" applyFont="1" applyBorder="1" applyAlignment="1">
      <alignment horizontal="left" vertical="center" wrapText="1"/>
    </xf>
    <xf numFmtId="1" fontId="2" fillId="0" borderId="41" xfId="0" applyNumberFormat="1" applyFont="1" applyBorder="1" applyAlignment="1">
      <alignment horizontal="left" vertical="center" wrapText="1"/>
    </xf>
    <xf numFmtId="0" fontId="49" fillId="0" borderId="0" xfId="0" applyFont="1" applyAlignment="1">
      <alignment horizontal="center"/>
    </xf>
    <xf numFmtId="0" fontId="49" fillId="0" borderId="25" xfId="0" applyFont="1" applyBorder="1" applyAlignment="1">
      <alignment horizontal="center"/>
    </xf>
    <xf numFmtId="0" fontId="5" fillId="0" borderId="25" xfId="0" applyFont="1" applyBorder="1" applyAlignment="1">
      <alignment horizontal="center"/>
    </xf>
    <xf numFmtId="0" fontId="50" fillId="2" borderId="18" xfId="0" applyFont="1" applyFill="1" applyBorder="1" applyAlignment="1">
      <alignment horizontal="center" vertical="center"/>
    </xf>
    <xf numFmtId="0" fontId="50" fillId="2" borderId="26" xfId="0" applyFont="1" applyFill="1" applyBorder="1" applyAlignment="1">
      <alignment horizontal="center" vertical="center"/>
    </xf>
    <xf numFmtId="0" fontId="50" fillId="2" borderId="41" xfId="0" applyFont="1" applyFill="1" applyBorder="1" applyAlignment="1">
      <alignment horizontal="center" vertical="center"/>
    </xf>
    <xf numFmtId="0" fontId="0" fillId="0" borderId="18" xfId="0" applyBorder="1" applyAlignment="1">
      <alignment horizontal="left"/>
    </xf>
    <xf numFmtId="0" fontId="0" fillId="0" borderId="26" xfId="0" applyBorder="1" applyAlignment="1">
      <alignment horizontal="left"/>
    </xf>
    <xf numFmtId="0" fontId="50" fillId="2" borderId="20" xfId="0" applyFont="1" applyFill="1" applyBorder="1" applyAlignment="1">
      <alignment horizontal="center" vertical="center"/>
    </xf>
    <xf numFmtId="1" fontId="2" fillId="0" borderId="0" xfId="0" applyNumberFormat="1" applyFont="1" applyAlignment="1">
      <alignment horizontal="center" vertical="center" wrapText="1"/>
    </xf>
    <xf numFmtId="1" fontId="2" fillId="0" borderId="25" xfId="0" applyNumberFormat="1" applyFont="1" applyBorder="1" applyAlignment="1">
      <alignment horizontal="center" vertical="center" wrapText="1"/>
    </xf>
    <xf numFmtId="0" fontId="60" fillId="0" borderId="0" xfId="0" applyFont="1" applyAlignment="1">
      <alignment vertical="center" wrapText="1"/>
    </xf>
    <xf numFmtId="0" fontId="60" fillId="0" borderId="25" xfId="0" applyFont="1" applyBorder="1" applyAlignment="1">
      <alignment vertical="center" wrapText="1"/>
    </xf>
    <xf numFmtId="0" fontId="0" fillId="0" borderId="0" xfId="0" applyAlignment="1">
      <alignment horizontal="right"/>
    </xf>
    <xf numFmtId="0" fontId="55" fillId="0" borderId="0" xfId="0" applyFont="1" applyAlignment="1">
      <alignment horizontal="center"/>
    </xf>
    <xf numFmtId="0" fontId="55" fillId="0" borderId="25" xfId="0" applyFont="1" applyBorder="1" applyAlignment="1">
      <alignment horizontal="center"/>
    </xf>
    <xf numFmtId="0" fontId="50" fillId="2" borderId="30" xfId="0" applyFont="1" applyFill="1" applyBorder="1" applyAlignment="1">
      <alignment vertical="center"/>
    </xf>
    <xf numFmtId="0" fontId="50" fillId="2" borderId="31" xfId="0" applyFont="1" applyFill="1" applyBorder="1" applyAlignment="1">
      <alignment vertical="center"/>
    </xf>
    <xf numFmtId="0" fontId="50" fillId="2" borderId="30" xfId="0" applyFont="1" applyFill="1" applyBorder="1" applyAlignment="1">
      <alignment horizontal="center" vertical="center"/>
    </xf>
    <xf numFmtId="0" fontId="50" fillId="2" borderId="31" xfId="0" applyFont="1" applyFill="1" applyBorder="1" applyAlignment="1">
      <alignment horizontal="center" vertical="center"/>
    </xf>
    <xf numFmtId="0" fontId="50" fillId="2" borderId="42" xfId="0" applyFont="1" applyFill="1" applyBorder="1" applyAlignment="1">
      <alignment horizontal="center" vertical="center"/>
    </xf>
    <xf numFmtId="0" fontId="50" fillId="2" borderId="10" xfId="0" applyFont="1" applyFill="1" applyBorder="1" applyAlignment="1">
      <alignment horizontal="center" vertical="center"/>
    </xf>
    <xf numFmtId="0" fontId="50" fillId="2" borderId="21" xfId="0" applyFont="1" applyFill="1" applyBorder="1" applyAlignment="1">
      <alignment horizontal="center" vertical="center"/>
    </xf>
    <xf numFmtId="0" fontId="50" fillId="2" borderId="40" xfId="0" applyFont="1" applyFill="1" applyBorder="1" applyAlignment="1">
      <alignment horizontal="center" vertical="center"/>
    </xf>
    <xf numFmtId="1" fontId="58" fillId="2" borderId="0" xfId="0" applyNumberFormat="1" applyFont="1" applyFill="1" applyAlignment="1">
      <alignment horizontal="center" vertical="center"/>
    </xf>
    <xf numFmtId="0" fontId="58" fillId="2" borderId="0" xfId="0" applyFont="1" applyFill="1" applyAlignment="1">
      <alignment horizontal="center" vertical="center"/>
    </xf>
    <xf numFmtId="0" fontId="0" fillId="0" borderId="0" xfId="0" applyAlignment="1">
      <alignment horizontal="left"/>
    </xf>
    <xf numFmtId="0" fontId="0" fillId="0" borderId="25" xfId="0" applyBorder="1" applyAlignment="1">
      <alignment horizontal="left"/>
    </xf>
    <xf numFmtId="0" fontId="2" fillId="0" borderId="18" xfId="0" applyFont="1" applyBorder="1" applyAlignment="1">
      <alignment horizontal="left"/>
    </xf>
    <xf numFmtId="0" fontId="2" fillId="0" borderId="26" xfId="0" applyFont="1" applyBorder="1" applyAlignment="1">
      <alignment horizontal="left"/>
    </xf>
    <xf numFmtId="0" fontId="2" fillId="0" borderId="41" xfId="0" applyFont="1" applyBorder="1" applyAlignment="1">
      <alignment horizontal="left"/>
    </xf>
    <xf numFmtId="0" fontId="24" fillId="0" borderId="45" xfId="0" applyFont="1" applyBorder="1" applyAlignment="1">
      <alignment horizontal="left"/>
    </xf>
    <xf numFmtId="0" fontId="24" fillId="0" borderId="6" xfId="0" applyFont="1" applyBorder="1" applyAlignment="1">
      <alignment horizontal="left"/>
    </xf>
    <xf numFmtId="1" fontId="0" fillId="0" borderId="6" xfId="0" applyNumberFormat="1" applyBorder="1" applyAlignment="1">
      <alignment horizontal="center"/>
    </xf>
    <xf numFmtId="0" fontId="0" fillId="0" borderId="38" xfId="0" applyBorder="1" applyAlignment="1">
      <alignment horizontal="center"/>
    </xf>
    <xf numFmtId="0" fontId="8" fillId="0" borderId="24" xfId="0" applyFont="1" applyBorder="1" applyAlignment="1">
      <alignment horizontal="left" vertical="center"/>
    </xf>
    <xf numFmtId="0" fontId="8" fillId="0" borderId="0" xfId="0" applyFont="1" applyAlignment="1">
      <alignment horizontal="left" vertical="center"/>
    </xf>
    <xf numFmtId="0" fontId="8" fillId="0" borderId="25" xfId="0" applyFont="1" applyBorder="1" applyAlignment="1">
      <alignment horizontal="left" vertical="center"/>
    </xf>
    <xf numFmtId="0" fontId="45" fillId="0" borderId="0" xfId="0" applyFont="1" applyAlignment="1">
      <alignment horizontal="left"/>
    </xf>
    <xf numFmtId="0" fontId="45" fillId="0" borderId="25" xfId="0" applyFont="1" applyBorder="1" applyAlignment="1">
      <alignment horizontal="left"/>
    </xf>
    <xf numFmtId="0" fontId="9" fillId="0" borderId="0" xfId="0" applyFont="1" applyAlignment="1">
      <alignment horizontal="left" vertical="center" wrapText="1"/>
    </xf>
    <xf numFmtId="0" fontId="9" fillId="0" borderId="25" xfId="0" applyFont="1" applyBorder="1" applyAlignment="1">
      <alignment horizontal="left" vertical="center" wrapText="1"/>
    </xf>
    <xf numFmtId="0" fontId="45" fillId="0" borderId="24" xfId="0" applyFont="1" applyBorder="1" applyAlignment="1">
      <alignment horizontal="center"/>
    </xf>
    <xf numFmtId="0" fontId="45" fillId="0" borderId="0" xfId="0" applyFont="1" applyAlignment="1">
      <alignment horizontal="center"/>
    </xf>
    <xf numFmtId="0" fontId="45" fillId="0" borderId="25" xfId="0" applyFont="1" applyBorder="1" applyAlignment="1">
      <alignment horizontal="center"/>
    </xf>
    <xf numFmtId="0" fontId="24" fillId="0" borderId="24" xfId="0" applyFont="1" applyBorder="1" applyAlignment="1">
      <alignment horizontal="left"/>
    </xf>
    <xf numFmtId="0" fontId="24" fillId="0" borderId="0" xfId="0" applyFont="1" applyAlignment="1">
      <alignment horizontal="left"/>
    </xf>
    <xf numFmtId="0" fontId="24" fillId="0" borderId="25" xfId="0" applyFont="1" applyBorder="1" applyAlignment="1">
      <alignment horizontal="left"/>
    </xf>
    <xf numFmtId="0" fontId="0" fillId="0" borderId="24" xfId="0" applyBorder="1" applyAlignment="1">
      <alignment horizontal="left" vertical="center" wrapText="1"/>
    </xf>
    <xf numFmtId="0" fontId="0" fillId="0" borderId="0" xfId="0" applyAlignment="1">
      <alignment horizontal="left" vertical="center" wrapText="1"/>
    </xf>
    <xf numFmtId="0" fontId="0" fillId="0" borderId="25" xfId="0" applyBorder="1" applyAlignment="1">
      <alignment horizontal="left" vertical="center" wrapText="1"/>
    </xf>
    <xf numFmtId="14" fontId="0" fillId="0" borderId="6" xfId="0" applyNumberFormat="1" applyBorder="1" applyAlignment="1">
      <alignment horizontal="center"/>
    </xf>
    <xf numFmtId="0" fontId="0" fillId="0" borderId="6" xfId="0" applyBorder="1" applyAlignment="1">
      <alignment horizontal="center"/>
    </xf>
    <xf numFmtId="0" fontId="63" fillId="0" borderId="22" xfId="0" applyFont="1" applyBorder="1" applyAlignment="1">
      <alignment horizontal="center"/>
    </xf>
    <xf numFmtId="0" fontId="63" fillId="0" borderId="11" xfId="0" applyFont="1" applyBorder="1" applyAlignment="1">
      <alignment horizontal="center"/>
    </xf>
    <xf numFmtId="0" fontId="63" fillId="0" borderId="23" xfId="0" applyFont="1" applyBorder="1" applyAlignment="1">
      <alignment horizontal="center"/>
    </xf>
    <xf numFmtId="0" fontId="64" fillId="0" borderId="24" xfId="0" applyFont="1" applyBorder="1" applyAlignment="1">
      <alignment horizontal="center"/>
    </xf>
    <xf numFmtId="0" fontId="64" fillId="0" borderId="0" xfId="0" applyFont="1" applyAlignment="1">
      <alignment horizontal="center"/>
    </xf>
    <xf numFmtId="0" fontId="64" fillId="0" borderId="25" xfId="0" applyFont="1" applyBorder="1" applyAlignment="1">
      <alignment horizontal="center"/>
    </xf>
    <xf numFmtId="0" fontId="65" fillId="0" borderId="24" xfId="0" applyFont="1" applyBorder="1" applyAlignment="1">
      <alignment horizontal="center"/>
    </xf>
    <xf numFmtId="0" fontId="65" fillId="0" borderId="0" xfId="0" applyFont="1" applyAlignment="1">
      <alignment horizontal="center"/>
    </xf>
    <xf numFmtId="0" fontId="65" fillId="0" borderId="25" xfId="0" applyFont="1" applyBorder="1" applyAlignment="1">
      <alignment horizontal="center"/>
    </xf>
    <xf numFmtId="0" fontId="24" fillId="0" borderId="24" xfId="0" applyFont="1" applyBorder="1" applyAlignment="1">
      <alignment horizontal="justify" vertical="justify" wrapText="1"/>
    </xf>
    <xf numFmtId="0" fontId="24" fillId="0" borderId="0" xfId="0" applyFont="1" applyAlignment="1">
      <alignment horizontal="justify" vertical="justify" wrapText="1"/>
    </xf>
    <xf numFmtId="0" fontId="24" fillId="0" borderId="25" xfId="0" applyFont="1" applyBorder="1" applyAlignment="1">
      <alignment horizontal="justify" vertical="justify" wrapText="1"/>
    </xf>
    <xf numFmtId="0" fontId="0" fillId="0" borderId="9" xfId="0" applyBorder="1" applyAlignment="1">
      <alignment horizontal="center" vertical="center" wrapText="1"/>
    </xf>
    <xf numFmtId="0" fontId="0" fillId="0" borderId="6" xfId="0" applyBorder="1" applyAlignment="1">
      <alignment horizontal="center" vertical="center" wrapText="1"/>
    </xf>
    <xf numFmtId="0" fontId="0" fillId="0" borderId="43" xfId="0" applyBorder="1" applyAlignment="1">
      <alignment horizontal="center" vertical="center" wrapText="1"/>
    </xf>
    <xf numFmtId="0" fontId="0" fillId="0" borderId="38" xfId="0" applyBorder="1" applyAlignment="1">
      <alignment horizontal="center" vertical="center" wrapText="1"/>
    </xf>
    <xf numFmtId="0" fontId="66" fillId="0" borderId="6" xfId="0" applyFont="1" applyBorder="1" applyAlignment="1">
      <alignment horizontal="center"/>
    </xf>
    <xf numFmtId="0" fontId="9" fillId="0" borderId="0" xfId="0" applyFont="1" applyAlignment="1">
      <alignment horizontal="left"/>
    </xf>
    <xf numFmtId="0" fontId="0" fillId="0" borderId="46" xfId="0" applyBorder="1" applyAlignment="1">
      <alignment horizontal="center" vertical="center" wrapText="1"/>
    </xf>
    <xf numFmtId="0" fontId="0" fillId="0" borderId="45" xfId="0" applyBorder="1" applyAlignment="1">
      <alignment horizontal="center" vertical="center" wrapText="1"/>
    </xf>
    <xf numFmtId="0" fontId="0" fillId="0" borderId="0" xfId="0" applyAlignment="1">
      <alignment horizontal="center" vertical="center"/>
    </xf>
    <xf numFmtId="0" fontId="0" fillId="0" borderId="0" xfId="0" applyAlignment="1">
      <alignment horizontal="center" wrapText="1"/>
    </xf>
    <xf numFmtId="0" fontId="25" fillId="0" borderId="0" xfId="0" applyFont="1" applyAlignment="1">
      <alignment horizontal="center"/>
    </xf>
    <xf numFmtId="14" fontId="41" fillId="2" borderId="62" xfId="0" quotePrefix="1" applyNumberFormat="1" applyFont="1" applyFill="1" applyBorder="1" applyAlignment="1">
      <alignment horizontal="center"/>
    </xf>
  </cellXfs>
  <cellStyles count="9">
    <cellStyle name="Comma 2" xfId="1" xr:uid="{00000000-0005-0000-0000-000000000000}"/>
    <cellStyle name="Excel Built-in Normal 1" xfId="6" xr:uid="{00000000-0005-0000-0000-000001000000}"/>
    <cellStyle name="Excel Built-in Normal 2" xfId="7" xr:uid="{00000000-0005-0000-0000-000002000000}"/>
    <cellStyle name="Normal" xfId="0" builtinId="0"/>
    <cellStyle name="Normal 2" xfId="3" xr:uid="{00000000-0005-0000-0000-000004000000}"/>
    <cellStyle name="Normal 3" xfId="8" xr:uid="{00000000-0005-0000-0000-000005000000}"/>
    <cellStyle name="Normal 4 3 3 2 2" xfId="2" xr:uid="{00000000-0005-0000-0000-000006000000}"/>
    <cellStyle name="Normal 4 3 3 2 2 2" xfId="4" xr:uid="{00000000-0005-0000-0000-000007000000}"/>
    <cellStyle name="Percent" xfId="5"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5.png"/></Relationships>
</file>

<file path=xl/drawings/_rels/drawing7.xml.rels><?xml version="1.0" encoding="UTF-8" standalone="yes"?>
<Relationships xmlns="http://schemas.openxmlformats.org/package/2006/relationships"><Relationship Id="rId1" Type="http://schemas.openxmlformats.org/officeDocument/2006/relationships/image" Target="../media/image15.png"/></Relationships>
</file>

<file path=xl/drawings/_rels/drawing8.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8.emf"/></Relationships>
</file>

<file path=xl/drawings/_rels/drawing14.xml.rels><?xml version="1.0" encoding="UTF-8" standalone="yes"?>
<Relationships xmlns="http://schemas.openxmlformats.org/package/2006/relationships"><Relationship Id="rId1" Type="http://schemas.openxmlformats.org/officeDocument/2006/relationships/image" Target="../media/image18.emf"/></Relationships>
</file>

<file path=xl/drawings/drawing1.xml><?xml version="1.0" encoding="utf-8"?>
<xdr:wsDr xmlns:xdr="http://schemas.openxmlformats.org/drawingml/2006/spreadsheetDrawing" xmlns:a="http://schemas.openxmlformats.org/drawingml/2006/main">
  <xdr:twoCellAnchor editAs="oneCell">
    <xdr:from>
      <xdr:col>7</xdr:col>
      <xdr:colOff>9524</xdr:colOff>
      <xdr:row>27</xdr:row>
      <xdr:rowOff>57150</xdr:rowOff>
    </xdr:from>
    <xdr:to>
      <xdr:col>8</xdr:col>
      <xdr:colOff>323849</xdr:colOff>
      <xdr:row>28</xdr:row>
      <xdr:rowOff>557462</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315449" y="5829300"/>
          <a:ext cx="2238375" cy="1128962"/>
        </a:xfrm>
        <a:prstGeom prst="rect">
          <a:avLst/>
        </a:prstGeom>
      </xdr:spPr>
    </xdr:pic>
    <xdr:clientData/>
  </xdr:twoCellAnchor>
  <xdr:twoCellAnchor editAs="oneCell">
    <xdr:from>
      <xdr:col>9</xdr:col>
      <xdr:colOff>19050</xdr:colOff>
      <xdr:row>13</xdr:row>
      <xdr:rowOff>152400</xdr:rowOff>
    </xdr:from>
    <xdr:to>
      <xdr:col>9</xdr:col>
      <xdr:colOff>1247946</xdr:colOff>
      <xdr:row>13</xdr:row>
      <xdr:rowOff>504874</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92025" y="2781300"/>
          <a:ext cx="1228896" cy="352474"/>
        </a:xfrm>
        <a:prstGeom prst="rect">
          <a:avLst/>
        </a:prstGeom>
      </xdr:spPr>
    </xdr:pic>
    <xdr:clientData/>
  </xdr:twoCellAnchor>
  <xdr:twoCellAnchor editAs="oneCell">
    <xdr:from>
      <xdr:col>9</xdr:col>
      <xdr:colOff>295275</xdr:colOff>
      <xdr:row>14</xdr:row>
      <xdr:rowOff>161925</xdr:rowOff>
    </xdr:from>
    <xdr:to>
      <xdr:col>9</xdr:col>
      <xdr:colOff>981171</xdr:colOff>
      <xdr:row>14</xdr:row>
      <xdr:rowOff>533452</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668250" y="3419475"/>
          <a:ext cx="685896" cy="371527"/>
        </a:xfrm>
        <a:prstGeom prst="rect">
          <a:avLst/>
        </a:prstGeom>
      </xdr:spPr>
    </xdr:pic>
    <xdr:clientData/>
  </xdr:twoCellAnchor>
  <xdr:twoCellAnchor editAs="oneCell">
    <xdr:from>
      <xdr:col>9</xdr:col>
      <xdr:colOff>152400</xdr:colOff>
      <xdr:row>15</xdr:row>
      <xdr:rowOff>76200</xdr:rowOff>
    </xdr:from>
    <xdr:to>
      <xdr:col>9</xdr:col>
      <xdr:colOff>1124086</xdr:colOff>
      <xdr:row>15</xdr:row>
      <xdr:rowOff>590622</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525375" y="3962400"/>
          <a:ext cx="971686" cy="514422"/>
        </a:xfrm>
        <a:prstGeom prst="rect">
          <a:avLst/>
        </a:prstGeom>
      </xdr:spPr>
    </xdr:pic>
    <xdr:clientData/>
  </xdr:twoCellAnchor>
  <xdr:twoCellAnchor editAs="oneCell">
    <xdr:from>
      <xdr:col>9</xdr:col>
      <xdr:colOff>387595</xdr:colOff>
      <xdr:row>17</xdr:row>
      <xdr:rowOff>4397</xdr:rowOff>
    </xdr:from>
    <xdr:to>
      <xdr:col>9</xdr:col>
      <xdr:colOff>1092543</xdr:colOff>
      <xdr:row>17</xdr:row>
      <xdr:rowOff>375924</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762768" y="5331070"/>
          <a:ext cx="704948" cy="371527"/>
        </a:xfrm>
        <a:prstGeom prst="rect">
          <a:avLst/>
        </a:prstGeom>
      </xdr:spPr>
    </xdr:pic>
    <xdr:clientData/>
  </xdr:twoCellAnchor>
  <xdr:twoCellAnchor editAs="oneCell">
    <xdr:from>
      <xdr:col>9</xdr:col>
      <xdr:colOff>152401</xdr:colOff>
      <xdr:row>16</xdr:row>
      <xdr:rowOff>111096</xdr:rowOff>
    </xdr:from>
    <xdr:to>
      <xdr:col>9</xdr:col>
      <xdr:colOff>1276171</xdr:colOff>
      <xdr:row>16</xdr:row>
      <xdr:rowOff>504826</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2525376" y="4625946"/>
          <a:ext cx="1123770" cy="393730"/>
        </a:xfrm>
        <a:prstGeom prst="rect">
          <a:avLst/>
        </a:prstGeom>
      </xdr:spPr>
    </xdr:pic>
    <xdr:clientData/>
  </xdr:twoCellAnchor>
  <xdr:twoCellAnchor editAs="oneCell">
    <xdr:from>
      <xdr:col>9</xdr:col>
      <xdr:colOff>219808</xdr:colOff>
      <xdr:row>19</xdr:row>
      <xdr:rowOff>52388</xdr:rowOff>
    </xdr:from>
    <xdr:to>
      <xdr:col>9</xdr:col>
      <xdr:colOff>879231</xdr:colOff>
      <xdr:row>19</xdr:row>
      <xdr:rowOff>366399</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2594981" y="5760061"/>
          <a:ext cx="659423" cy="314011"/>
        </a:xfrm>
        <a:prstGeom prst="rect">
          <a:avLst/>
        </a:prstGeom>
      </xdr:spPr>
    </xdr:pic>
    <xdr:clientData/>
  </xdr:twoCellAnchor>
  <xdr:twoCellAnchor editAs="oneCell">
    <xdr:from>
      <xdr:col>9</xdr:col>
      <xdr:colOff>315058</xdr:colOff>
      <xdr:row>20</xdr:row>
      <xdr:rowOff>51289</xdr:rowOff>
    </xdr:from>
    <xdr:to>
      <xdr:col>9</xdr:col>
      <xdr:colOff>908539</xdr:colOff>
      <xdr:row>20</xdr:row>
      <xdr:rowOff>377507</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2690231" y="6139962"/>
          <a:ext cx="593481" cy="326218"/>
        </a:xfrm>
        <a:prstGeom prst="rect">
          <a:avLst/>
        </a:prstGeom>
      </xdr:spPr>
    </xdr:pic>
    <xdr:clientData/>
  </xdr:twoCellAnchor>
  <xdr:twoCellAnchor editAs="oneCell">
    <xdr:from>
      <xdr:col>9</xdr:col>
      <xdr:colOff>256443</xdr:colOff>
      <xdr:row>21</xdr:row>
      <xdr:rowOff>95249</xdr:rowOff>
    </xdr:from>
    <xdr:to>
      <xdr:col>9</xdr:col>
      <xdr:colOff>918310</xdr:colOff>
      <xdr:row>21</xdr:row>
      <xdr:rowOff>378906</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2631616" y="6564922"/>
          <a:ext cx="661867" cy="283657"/>
        </a:xfrm>
        <a:prstGeom prst="rect">
          <a:avLst/>
        </a:prstGeom>
      </xdr:spPr>
    </xdr:pic>
    <xdr:clientData/>
  </xdr:twoCellAnchor>
  <xdr:twoCellAnchor editAs="oneCell">
    <xdr:from>
      <xdr:col>9</xdr:col>
      <xdr:colOff>307730</xdr:colOff>
      <xdr:row>22</xdr:row>
      <xdr:rowOff>29307</xdr:rowOff>
    </xdr:from>
    <xdr:to>
      <xdr:col>9</xdr:col>
      <xdr:colOff>718577</xdr:colOff>
      <xdr:row>22</xdr:row>
      <xdr:rowOff>329711</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2682903" y="6879980"/>
          <a:ext cx="410847" cy="300404"/>
        </a:xfrm>
        <a:prstGeom prst="rect">
          <a:avLst/>
        </a:prstGeom>
      </xdr:spPr>
    </xdr:pic>
    <xdr:clientData/>
  </xdr:twoCellAnchor>
  <xdr:twoCellAnchor editAs="oneCell">
    <xdr:from>
      <xdr:col>9</xdr:col>
      <xdr:colOff>249115</xdr:colOff>
      <xdr:row>23</xdr:row>
      <xdr:rowOff>73269</xdr:rowOff>
    </xdr:from>
    <xdr:to>
      <xdr:col>9</xdr:col>
      <xdr:colOff>886557</xdr:colOff>
      <xdr:row>23</xdr:row>
      <xdr:rowOff>356577</xdr:rowOff>
    </xdr:to>
    <xdr:pic>
      <xdr:nvPicPr>
        <xdr:cNvPr id="12" name="Picture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2624288" y="7304942"/>
          <a:ext cx="637442" cy="28330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171450</xdr:colOff>
      <xdr:row>22</xdr:row>
      <xdr:rowOff>161925</xdr:rowOff>
    </xdr:from>
    <xdr:to>
      <xdr:col>6</xdr:col>
      <xdr:colOff>571499</xdr:colOff>
      <xdr:row>27</xdr:row>
      <xdr:rowOff>26121</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48250" y="5619750"/>
          <a:ext cx="1619249" cy="81669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16</xdr:col>
      <xdr:colOff>125730</xdr:colOff>
      <xdr:row>10</xdr:row>
      <xdr:rowOff>15240</xdr:rowOff>
    </xdr:from>
    <xdr:to>
      <xdr:col>24</xdr:col>
      <xdr:colOff>19050</xdr:colOff>
      <xdr:row>13</xdr:row>
      <xdr:rowOff>0</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50030" y="3680460"/>
          <a:ext cx="1908810" cy="6019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6</xdr:col>
      <xdr:colOff>38100</xdr:colOff>
      <xdr:row>37</xdr:row>
      <xdr:rowOff>171450</xdr:rowOff>
    </xdr:from>
    <xdr:ext cx="2248098" cy="1129125"/>
    <xdr:pic>
      <xdr:nvPicPr>
        <xdr:cNvPr id="7" name="Picture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1" cstate="print"/>
        <a:stretch>
          <a:fillRect/>
        </a:stretch>
      </xdr:blipFill>
      <xdr:spPr>
        <a:xfrm>
          <a:off x="5991225" y="38509575"/>
          <a:ext cx="2248098" cy="1129125"/>
        </a:xfrm>
        <a:prstGeom prst="rect">
          <a:avLst/>
        </a:prstGeom>
      </xdr:spPr>
    </xdr:pic>
    <xdr:clientData/>
  </xdr:oneCellAnchor>
  <xdr:oneCellAnchor>
    <xdr:from>
      <xdr:col>6</xdr:col>
      <xdr:colOff>38100</xdr:colOff>
      <xdr:row>81</xdr:row>
      <xdr:rowOff>0</xdr:rowOff>
    </xdr:from>
    <xdr:ext cx="2248098" cy="1129125"/>
    <xdr:pic>
      <xdr:nvPicPr>
        <xdr:cNvPr id="8" name="Picture 7">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1" cstate="print"/>
        <a:stretch>
          <a:fillRect/>
        </a:stretch>
      </xdr:blipFill>
      <xdr:spPr>
        <a:xfrm>
          <a:off x="5991225" y="17840325"/>
          <a:ext cx="2248098" cy="1129125"/>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20</xdr:col>
      <xdr:colOff>295275</xdr:colOff>
      <xdr:row>10</xdr:row>
      <xdr:rowOff>180976</xdr:rowOff>
    </xdr:from>
    <xdr:to>
      <xdr:col>23</xdr:col>
      <xdr:colOff>161925</xdr:colOff>
      <xdr:row>15</xdr:row>
      <xdr:rowOff>127257</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944600" y="3514726"/>
          <a:ext cx="1876425" cy="94640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0</xdr:colOff>
      <xdr:row>40</xdr:row>
      <xdr:rowOff>0</xdr:rowOff>
    </xdr:from>
    <xdr:to>
      <xdr:col>10</xdr:col>
      <xdr:colOff>54734</xdr:colOff>
      <xdr:row>44</xdr:row>
      <xdr:rowOff>59736</xdr:rowOff>
    </xdr:to>
    <xdr:pic>
      <xdr:nvPicPr>
        <xdr:cNvPr id="7" name="Picture 6">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1" cstate="print"/>
        <a:stretch>
          <a:fillRect/>
        </a:stretch>
      </xdr:blipFill>
      <xdr:spPr>
        <a:xfrm>
          <a:off x="4849091" y="51928568"/>
          <a:ext cx="1630688" cy="82173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0</xdr:colOff>
      <xdr:row>33</xdr:row>
      <xdr:rowOff>0</xdr:rowOff>
    </xdr:from>
    <xdr:to>
      <xdr:col>6</xdr:col>
      <xdr:colOff>411488</xdr:colOff>
      <xdr:row>37</xdr:row>
      <xdr:rowOff>59736</xdr:rowOff>
    </xdr:to>
    <xdr:pic>
      <xdr:nvPicPr>
        <xdr:cNvPr id="12" name="Picture 11">
          <a:extLst>
            <a:ext uri="{FF2B5EF4-FFF2-40B4-BE49-F238E27FC236}">
              <a16:creationId xmlns:a16="http://schemas.microsoft.com/office/drawing/2014/main" id="{00000000-0008-0000-0700-00000C000000}"/>
            </a:ext>
          </a:extLst>
        </xdr:cNvPr>
        <xdr:cNvPicPr>
          <a:picLocks noChangeAspect="1"/>
        </xdr:cNvPicPr>
      </xdr:nvPicPr>
      <xdr:blipFill>
        <a:blip xmlns:r="http://schemas.openxmlformats.org/officeDocument/2006/relationships" r:embed="rId1" cstate="print"/>
        <a:stretch>
          <a:fillRect/>
        </a:stretch>
      </xdr:blipFill>
      <xdr:spPr>
        <a:xfrm>
          <a:off x="2438400" y="31537275"/>
          <a:ext cx="1630688" cy="821736"/>
        </a:xfrm>
        <a:prstGeom prst="rect">
          <a:avLst/>
        </a:prstGeom>
      </xdr:spPr>
    </xdr:pic>
    <xdr:clientData/>
  </xdr:twoCellAnchor>
  <xdr:twoCellAnchor editAs="oneCell">
    <xdr:from>
      <xdr:col>14</xdr:col>
      <xdr:colOff>0</xdr:colOff>
      <xdr:row>33</xdr:row>
      <xdr:rowOff>0</xdr:rowOff>
    </xdr:from>
    <xdr:to>
      <xdr:col>16</xdr:col>
      <xdr:colOff>411488</xdr:colOff>
      <xdr:row>37</xdr:row>
      <xdr:rowOff>59736</xdr:rowOff>
    </xdr:to>
    <xdr:pic>
      <xdr:nvPicPr>
        <xdr:cNvPr id="13" name="Picture 12">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1" cstate="print"/>
        <a:stretch>
          <a:fillRect/>
        </a:stretch>
      </xdr:blipFill>
      <xdr:spPr>
        <a:xfrm>
          <a:off x="8534400" y="31537275"/>
          <a:ext cx="1630688" cy="82173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238125</xdr:colOff>
      <xdr:row>30</xdr:row>
      <xdr:rowOff>123825</xdr:rowOff>
    </xdr:from>
    <xdr:to>
      <xdr:col>8</xdr:col>
      <xdr:colOff>28574</xdr:colOff>
      <xdr:row>34</xdr:row>
      <xdr:rowOff>178521</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00700" y="6486525"/>
          <a:ext cx="1619249" cy="81669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257175</xdr:colOff>
      <xdr:row>29</xdr:row>
      <xdr:rowOff>104775</xdr:rowOff>
    </xdr:from>
    <xdr:to>
      <xdr:col>8</xdr:col>
      <xdr:colOff>47624</xdr:colOff>
      <xdr:row>33</xdr:row>
      <xdr:rowOff>159471</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43575" y="6153150"/>
          <a:ext cx="1619249" cy="81669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6</xdr:col>
      <xdr:colOff>190500</xdr:colOff>
      <xdr:row>35</xdr:row>
      <xdr:rowOff>133350</xdr:rowOff>
    </xdr:from>
    <xdr:to>
      <xdr:col>8</xdr:col>
      <xdr:colOff>590549</xdr:colOff>
      <xdr:row>39</xdr:row>
      <xdr:rowOff>181696</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67450" y="7439025"/>
          <a:ext cx="1619249" cy="81669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6</xdr:col>
      <xdr:colOff>161925</xdr:colOff>
      <xdr:row>31</xdr:row>
      <xdr:rowOff>47625</xdr:rowOff>
    </xdr:from>
    <xdr:to>
      <xdr:col>8</xdr:col>
      <xdr:colOff>561974</xdr:colOff>
      <xdr:row>35</xdr:row>
      <xdr:rowOff>102321</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67350" y="5953125"/>
          <a:ext cx="1619249" cy="81669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9</xdr:col>
      <xdr:colOff>142875</xdr:colOff>
      <xdr:row>27</xdr:row>
      <xdr:rowOff>114299</xdr:rowOff>
    </xdr:from>
    <xdr:to>
      <xdr:col>12</xdr:col>
      <xdr:colOff>12575</xdr:colOff>
      <xdr:row>32</xdr:row>
      <xdr:rowOff>85724</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96150" y="7905749"/>
          <a:ext cx="1831850" cy="92392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493569</xdr:colOff>
      <xdr:row>3</xdr:row>
      <xdr:rowOff>65937</xdr:rowOff>
    </xdr:to>
    <xdr:pic>
      <xdr:nvPicPr>
        <xdr:cNvPr id="2" name="Picture 7">
          <a:extLst>
            <a:ext uri="{FF2B5EF4-FFF2-40B4-BE49-F238E27FC236}">
              <a16:creationId xmlns:a16="http://schemas.microsoft.com/office/drawing/2014/main" id="{00000000-0008-0000-14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754100"/>
          <a:ext cx="1103169" cy="942237"/>
        </a:xfrm>
        <a:prstGeom prst="rect">
          <a:avLst/>
        </a:prstGeom>
        <a:solidFill>
          <a:srgbClr val="FFFFFF"/>
        </a:solidFill>
        <a:ln w="9525">
          <a:noFill/>
          <a:miter lim="800000"/>
          <a:headEnd/>
          <a:tailEnd/>
        </a:ln>
      </xdr:spPr>
    </xdr:pic>
    <xdr:clientData/>
  </xdr:twoCellAnchor>
  <xdr:twoCellAnchor editAs="oneCell">
    <xdr:from>
      <xdr:col>0</xdr:col>
      <xdr:colOff>0</xdr:colOff>
      <xdr:row>54</xdr:row>
      <xdr:rowOff>0</xdr:rowOff>
    </xdr:from>
    <xdr:to>
      <xdr:col>1</xdr:col>
      <xdr:colOff>493569</xdr:colOff>
      <xdr:row>57</xdr:row>
      <xdr:rowOff>65937</xdr:rowOff>
    </xdr:to>
    <xdr:pic>
      <xdr:nvPicPr>
        <xdr:cNvPr id="3" name="Picture 7">
          <a:extLst>
            <a:ext uri="{FF2B5EF4-FFF2-40B4-BE49-F238E27FC236}">
              <a16:creationId xmlns:a16="http://schemas.microsoft.com/office/drawing/2014/main" id="{00000000-0008-0000-14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099705" cy="940505"/>
        </a:xfrm>
        <a:prstGeom prst="rect">
          <a:avLst/>
        </a:prstGeom>
        <a:solidFill>
          <a:srgbClr val="FFFFFF"/>
        </a:solidFill>
        <a:ln w="9525">
          <a:noFill/>
          <a:miter lim="800000"/>
          <a:headEnd/>
          <a:tailEnd/>
        </a:ln>
      </xdr:spPr>
    </xdr:pic>
    <xdr:clientData/>
  </xdr:twoCellAnchor>
  <xdr:twoCellAnchor editAs="oneCell">
    <xdr:from>
      <xdr:col>0</xdr:col>
      <xdr:colOff>0</xdr:colOff>
      <xdr:row>108</xdr:row>
      <xdr:rowOff>0</xdr:rowOff>
    </xdr:from>
    <xdr:to>
      <xdr:col>1</xdr:col>
      <xdr:colOff>493569</xdr:colOff>
      <xdr:row>111</xdr:row>
      <xdr:rowOff>65937</xdr:rowOff>
    </xdr:to>
    <xdr:pic>
      <xdr:nvPicPr>
        <xdr:cNvPr id="4" name="Picture 7">
          <a:extLst>
            <a:ext uri="{FF2B5EF4-FFF2-40B4-BE49-F238E27FC236}">
              <a16:creationId xmlns:a16="http://schemas.microsoft.com/office/drawing/2014/main" id="{00000000-0008-0000-14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162</xdr:row>
      <xdr:rowOff>0</xdr:rowOff>
    </xdr:from>
    <xdr:to>
      <xdr:col>1</xdr:col>
      <xdr:colOff>493569</xdr:colOff>
      <xdr:row>165</xdr:row>
      <xdr:rowOff>65937</xdr:rowOff>
    </xdr:to>
    <xdr:pic>
      <xdr:nvPicPr>
        <xdr:cNvPr id="5" name="Picture 7">
          <a:extLst>
            <a:ext uri="{FF2B5EF4-FFF2-40B4-BE49-F238E27FC236}">
              <a16:creationId xmlns:a16="http://schemas.microsoft.com/office/drawing/2014/main" id="{00000000-0008-0000-14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216</xdr:row>
      <xdr:rowOff>0</xdr:rowOff>
    </xdr:from>
    <xdr:to>
      <xdr:col>1</xdr:col>
      <xdr:colOff>493569</xdr:colOff>
      <xdr:row>219</xdr:row>
      <xdr:rowOff>65937</xdr:rowOff>
    </xdr:to>
    <xdr:pic>
      <xdr:nvPicPr>
        <xdr:cNvPr id="6" name="Picture 7">
          <a:extLst>
            <a:ext uri="{FF2B5EF4-FFF2-40B4-BE49-F238E27FC236}">
              <a16:creationId xmlns:a16="http://schemas.microsoft.com/office/drawing/2014/main" id="{00000000-0008-0000-14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270</xdr:row>
      <xdr:rowOff>0</xdr:rowOff>
    </xdr:from>
    <xdr:to>
      <xdr:col>1</xdr:col>
      <xdr:colOff>493569</xdr:colOff>
      <xdr:row>273</xdr:row>
      <xdr:rowOff>65937</xdr:rowOff>
    </xdr:to>
    <xdr:pic>
      <xdr:nvPicPr>
        <xdr:cNvPr id="7" name="Picture 7">
          <a:extLst>
            <a:ext uri="{FF2B5EF4-FFF2-40B4-BE49-F238E27FC236}">
              <a16:creationId xmlns:a16="http://schemas.microsoft.com/office/drawing/2014/main" id="{00000000-0008-0000-1400-00000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324</xdr:row>
      <xdr:rowOff>0</xdr:rowOff>
    </xdr:from>
    <xdr:to>
      <xdr:col>1</xdr:col>
      <xdr:colOff>493569</xdr:colOff>
      <xdr:row>327</xdr:row>
      <xdr:rowOff>65937</xdr:rowOff>
    </xdr:to>
    <xdr:pic>
      <xdr:nvPicPr>
        <xdr:cNvPr id="8" name="Picture 7">
          <a:extLst>
            <a:ext uri="{FF2B5EF4-FFF2-40B4-BE49-F238E27FC236}">
              <a16:creationId xmlns:a16="http://schemas.microsoft.com/office/drawing/2014/main" id="{00000000-0008-0000-1400-00000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378</xdr:row>
      <xdr:rowOff>0</xdr:rowOff>
    </xdr:from>
    <xdr:to>
      <xdr:col>1</xdr:col>
      <xdr:colOff>493569</xdr:colOff>
      <xdr:row>381</xdr:row>
      <xdr:rowOff>65937</xdr:rowOff>
    </xdr:to>
    <xdr:pic>
      <xdr:nvPicPr>
        <xdr:cNvPr id="9" name="Picture 7">
          <a:extLst>
            <a:ext uri="{FF2B5EF4-FFF2-40B4-BE49-F238E27FC236}">
              <a16:creationId xmlns:a16="http://schemas.microsoft.com/office/drawing/2014/main" id="{00000000-0008-0000-1400-00000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432</xdr:row>
      <xdr:rowOff>138545</xdr:rowOff>
    </xdr:from>
    <xdr:to>
      <xdr:col>1</xdr:col>
      <xdr:colOff>493569</xdr:colOff>
      <xdr:row>435</xdr:row>
      <xdr:rowOff>51954</xdr:rowOff>
    </xdr:to>
    <xdr:pic>
      <xdr:nvPicPr>
        <xdr:cNvPr id="10" name="Picture 7">
          <a:extLst>
            <a:ext uri="{FF2B5EF4-FFF2-40B4-BE49-F238E27FC236}">
              <a16:creationId xmlns:a16="http://schemas.microsoft.com/office/drawing/2014/main" id="{00000000-0008-0000-1400-00000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10057045"/>
          <a:ext cx="1099705" cy="787977"/>
        </a:xfrm>
        <a:prstGeom prst="rect">
          <a:avLst/>
        </a:prstGeom>
        <a:solidFill>
          <a:srgbClr val="FFFFFF"/>
        </a:solidFill>
        <a:ln w="9525">
          <a:noFill/>
          <a:miter lim="800000"/>
          <a:headEnd/>
          <a:tailEnd/>
        </a:ln>
      </xdr:spPr>
    </xdr:pic>
    <xdr:clientData/>
  </xdr:twoCellAnchor>
  <xdr:twoCellAnchor editAs="oneCell">
    <xdr:from>
      <xdr:col>0</xdr:col>
      <xdr:colOff>0</xdr:colOff>
      <xdr:row>485</xdr:row>
      <xdr:rowOff>138545</xdr:rowOff>
    </xdr:from>
    <xdr:to>
      <xdr:col>1</xdr:col>
      <xdr:colOff>493569</xdr:colOff>
      <xdr:row>488</xdr:row>
      <xdr:rowOff>129886</xdr:rowOff>
    </xdr:to>
    <xdr:pic>
      <xdr:nvPicPr>
        <xdr:cNvPr id="11" name="Picture 7">
          <a:extLst>
            <a:ext uri="{FF2B5EF4-FFF2-40B4-BE49-F238E27FC236}">
              <a16:creationId xmlns:a16="http://schemas.microsoft.com/office/drawing/2014/main" id="{00000000-0008-0000-1400-00000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10057045"/>
          <a:ext cx="1099705" cy="787977"/>
        </a:xfrm>
        <a:prstGeom prst="rect">
          <a:avLst/>
        </a:prstGeom>
        <a:solidFill>
          <a:srgbClr val="FFFFFF"/>
        </a:solidFill>
        <a:ln w="9525">
          <a:noFill/>
          <a:miter lim="800000"/>
          <a:headEnd/>
          <a:tailEnd/>
        </a:ln>
      </xdr:spPr>
    </xdr:pic>
    <xdr:clientData/>
  </xdr:twoCellAnchor>
  <xdr:twoCellAnchor editAs="oneCell">
    <xdr:from>
      <xdr:col>0</xdr:col>
      <xdr:colOff>0</xdr:colOff>
      <xdr:row>536</xdr:row>
      <xdr:rowOff>138545</xdr:rowOff>
    </xdr:from>
    <xdr:to>
      <xdr:col>1</xdr:col>
      <xdr:colOff>493569</xdr:colOff>
      <xdr:row>539</xdr:row>
      <xdr:rowOff>155863</xdr:rowOff>
    </xdr:to>
    <xdr:pic>
      <xdr:nvPicPr>
        <xdr:cNvPr id="12" name="Picture 7">
          <a:extLst>
            <a:ext uri="{FF2B5EF4-FFF2-40B4-BE49-F238E27FC236}">
              <a16:creationId xmlns:a16="http://schemas.microsoft.com/office/drawing/2014/main" id="{00000000-0008-0000-1400-00000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23833659"/>
          <a:ext cx="1099705" cy="978477"/>
        </a:xfrm>
        <a:prstGeom prst="rect">
          <a:avLst/>
        </a:prstGeom>
        <a:solidFill>
          <a:srgbClr val="FFFFFF"/>
        </a:solidFill>
        <a:ln w="9525">
          <a:noFill/>
          <a:miter lim="800000"/>
          <a:headEnd/>
          <a:tailEnd/>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207818</xdr:colOff>
      <xdr:row>0</xdr:row>
      <xdr:rowOff>77932</xdr:rowOff>
    </xdr:from>
    <xdr:to>
      <xdr:col>1</xdr:col>
      <xdr:colOff>457027</xdr:colOff>
      <xdr:row>3</xdr:row>
      <xdr:rowOff>116725</xdr:rowOff>
    </xdr:to>
    <xdr:pic>
      <xdr:nvPicPr>
        <xdr:cNvPr id="5" name="Picture 7">
          <a:extLst>
            <a:ext uri="{FF2B5EF4-FFF2-40B4-BE49-F238E27FC236}">
              <a16:creationId xmlns:a16="http://schemas.microsoft.com/office/drawing/2014/main" id="{00000000-0008-0000-15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7818" y="77932"/>
          <a:ext cx="855345" cy="731520"/>
        </a:xfrm>
        <a:prstGeom prst="rect">
          <a:avLst/>
        </a:prstGeom>
        <a:solidFill>
          <a:srgbClr val="FFFFFF"/>
        </a:solidFill>
        <a:ln w="9525">
          <a:noFill/>
          <a:miter lim="800000"/>
          <a:headEnd/>
          <a:tailEnd/>
        </a:ln>
      </xdr:spPr>
    </xdr:pic>
    <xdr:clientData/>
  </xdr:twoCellAnchor>
  <xdr:twoCellAnchor editAs="oneCell">
    <xdr:from>
      <xdr:col>0</xdr:col>
      <xdr:colOff>112568</xdr:colOff>
      <xdr:row>58</xdr:row>
      <xdr:rowOff>112568</xdr:rowOff>
    </xdr:from>
    <xdr:to>
      <xdr:col>1</xdr:col>
      <xdr:colOff>294410</xdr:colOff>
      <xdr:row>60</xdr:row>
      <xdr:rowOff>272239</xdr:rowOff>
    </xdr:to>
    <xdr:pic>
      <xdr:nvPicPr>
        <xdr:cNvPr id="3" name="Picture 7">
          <a:extLst>
            <a:ext uri="{FF2B5EF4-FFF2-40B4-BE49-F238E27FC236}">
              <a16:creationId xmlns:a16="http://schemas.microsoft.com/office/drawing/2014/main" id="{00000000-0008-0000-15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13880523"/>
          <a:ext cx="787978" cy="869716"/>
        </a:xfrm>
        <a:prstGeom prst="rect">
          <a:avLst/>
        </a:prstGeom>
        <a:solidFill>
          <a:srgbClr val="FFFFFF"/>
        </a:solidFill>
        <a:ln w="9525">
          <a:noFill/>
          <a:miter lim="800000"/>
          <a:headEnd/>
          <a:tailEnd/>
        </a:ln>
      </xdr:spPr>
    </xdr:pic>
    <xdr:clientData/>
  </xdr:twoCellAnchor>
  <xdr:twoCellAnchor editAs="oneCell">
    <xdr:from>
      <xdr:col>0</xdr:col>
      <xdr:colOff>112568</xdr:colOff>
      <xdr:row>115</xdr:row>
      <xdr:rowOff>112568</xdr:rowOff>
    </xdr:from>
    <xdr:to>
      <xdr:col>1</xdr:col>
      <xdr:colOff>294410</xdr:colOff>
      <xdr:row>117</xdr:row>
      <xdr:rowOff>272239</xdr:rowOff>
    </xdr:to>
    <xdr:pic>
      <xdr:nvPicPr>
        <xdr:cNvPr id="4" name="Picture 7">
          <a:extLst>
            <a:ext uri="{FF2B5EF4-FFF2-40B4-BE49-F238E27FC236}">
              <a16:creationId xmlns:a16="http://schemas.microsoft.com/office/drawing/2014/main" id="{00000000-0008-0000-15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13880523"/>
          <a:ext cx="787978" cy="869716"/>
        </a:xfrm>
        <a:prstGeom prst="rect">
          <a:avLst/>
        </a:prstGeom>
        <a:solidFill>
          <a:srgbClr val="FFFFFF"/>
        </a:solidFill>
        <a:ln w="9525">
          <a:noFill/>
          <a:miter lim="800000"/>
          <a:headEnd/>
          <a:tailEnd/>
        </a:ln>
      </xdr:spPr>
    </xdr:pic>
    <xdr:clientData/>
  </xdr:twoCellAnchor>
  <xdr:twoCellAnchor editAs="oneCell">
    <xdr:from>
      <xdr:col>0</xdr:col>
      <xdr:colOff>112568</xdr:colOff>
      <xdr:row>171</xdr:row>
      <xdr:rowOff>112568</xdr:rowOff>
    </xdr:from>
    <xdr:to>
      <xdr:col>1</xdr:col>
      <xdr:colOff>294410</xdr:colOff>
      <xdr:row>173</xdr:row>
      <xdr:rowOff>272239</xdr:rowOff>
    </xdr:to>
    <xdr:pic>
      <xdr:nvPicPr>
        <xdr:cNvPr id="6" name="Picture 7">
          <a:extLst>
            <a:ext uri="{FF2B5EF4-FFF2-40B4-BE49-F238E27FC236}">
              <a16:creationId xmlns:a16="http://schemas.microsoft.com/office/drawing/2014/main" id="{00000000-0008-0000-15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27544568"/>
          <a:ext cx="787978" cy="869716"/>
        </a:xfrm>
        <a:prstGeom prst="rect">
          <a:avLst/>
        </a:prstGeom>
        <a:solidFill>
          <a:srgbClr val="FFFFFF"/>
        </a:solidFill>
        <a:ln w="9525">
          <a:noFill/>
          <a:miter lim="800000"/>
          <a:headEnd/>
          <a:tailEnd/>
        </a:ln>
      </xdr:spPr>
    </xdr:pic>
    <xdr:clientData/>
  </xdr:twoCellAnchor>
  <xdr:twoCellAnchor editAs="oneCell">
    <xdr:from>
      <xdr:col>0</xdr:col>
      <xdr:colOff>112568</xdr:colOff>
      <xdr:row>227</xdr:row>
      <xdr:rowOff>112568</xdr:rowOff>
    </xdr:from>
    <xdr:to>
      <xdr:col>1</xdr:col>
      <xdr:colOff>294410</xdr:colOff>
      <xdr:row>229</xdr:row>
      <xdr:rowOff>272239</xdr:rowOff>
    </xdr:to>
    <xdr:pic>
      <xdr:nvPicPr>
        <xdr:cNvPr id="7" name="Picture 7">
          <a:extLst>
            <a:ext uri="{FF2B5EF4-FFF2-40B4-BE49-F238E27FC236}">
              <a16:creationId xmlns:a16="http://schemas.microsoft.com/office/drawing/2014/main" id="{00000000-0008-0000-1500-00000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41251909"/>
          <a:ext cx="787978" cy="869716"/>
        </a:xfrm>
        <a:prstGeom prst="rect">
          <a:avLst/>
        </a:prstGeom>
        <a:solidFill>
          <a:srgbClr val="FFFFFF"/>
        </a:solidFill>
        <a:ln w="9525">
          <a:noFill/>
          <a:miter lim="800000"/>
          <a:headEnd/>
          <a:tailEnd/>
        </a:ln>
      </xdr:spPr>
    </xdr:pic>
    <xdr:clientData/>
  </xdr:twoCellAnchor>
  <xdr:twoCellAnchor editAs="oneCell">
    <xdr:from>
      <xdr:col>0</xdr:col>
      <xdr:colOff>112568</xdr:colOff>
      <xdr:row>283</xdr:row>
      <xdr:rowOff>112568</xdr:rowOff>
    </xdr:from>
    <xdr:to>
      <xdr:col>1</xdr:col>
      <xdr:colOff>294410</xdr:colOff>
      <xdr:row>285</xdr:row>
      <xdr:rowOff>186514</xdr:rowOff>
    </xdr:to>
    <xdr:pic>
      <xdr:nvPicPr>
        <xdr:cNvPr id="8" name="Picture 7">
          <a:extLst>
            <a:ext uri="{FF2B5EF4-FFF2-40B4-BE49-F238E27FC236}">
              <a16:creationId xmlns:a16="http://schemas.microsoft.com/office/drawing/2014/main" id="{00000000-0008-0000-1500-00000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41251909"/>
          <a:ext cx="787978" cy="869716"/>
        </a:xfrm>
        <a:prstGeom prst="rect">
          <a:avLst/>
        </a:prstGeom>
        <a:solidFill>
          <a:srgbClr val="FFFFFF"/>
        </a:solidFill>
        <a:ln w="9525">
          <a:noFill/>
          <a:miter lim="800000"/>
          <a:headEnd/>
          <a:tailEnd/>
        </a:ln>
      </xdr:spPr>
    </xdr:pic>
    <xdr:clientData/>
  </xdr:twoCellAnchor>
  <xdr:twoCellAnchor editAs="oneCell">
    <xdr:from>
      <xdr:col>0</xdr:col>
      <xdr:colOff>95250</xdr:colOff>
      <xdr:row>339</xdr:row>
      <xdr:rowOff>164522</xdr:rowOff>
    </xdr:from>
    <xdr:to>
      <xdr:col>1</xdr:col>
      <xdr:colOff>277092</xdr:colOff>
      <xdr:row>342</xdr:row>
      <xdr:rowOff>69272</xdr:rowOff>
    </xdr:to>
    <xdr:pic>
      <xdr:nvPicPr>
        <xdr:cNvPr id="9" name="Picture 8">
          <a:extLst>
            <a:ext uri="{FF2B5EF4-FFF2-40B4-BE49-F238E27FC236}">
              <a16:creationId xmlns:a16="http://schemas.microsoft.com/office/drawing/2014/main" id="{00000000-0008-0000-1500-00000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82391249"/>
          <a:ext cx="787978" cy="580159"/>
        </a:xfrm>
        <a:prstGeom prst="rect">
          <a:avLst/>
        </a:prstGeom>
        <a:solidFill>
          <a:srgbClr val="FFFFFF"/>
        </a:solidFill>
        <a:ln w="9525">
          <a:noFill/>
          <a:miter lim="800000"/>
          <a:headEnd/>
          <a:tailEnd/>
        </a:ln>
      </xdr:spPr>
    </xdr:pic>
    <xdr:clientData/>
  </xdr:twoCellAnchor>
  <xdr:twoCellAnchor editAs="oneCell">
    <xdr:from>
      <xdr:col>0</xdr:col>
      <xdr:colOff>95250</xdr:colOff>
      <xdr:row>395</xdr:row>
      <xdr:rowOff>138545</xdr:rowOff>
    </xdr:from>
    <xdr:to>
      <xdr:col>1</xdr:col>
      <xdr:colOff>277092</xdr:colOff>
      <xdr:row>398</xdr:row>
      <xdr:rowOff>147205</xdr:rowOff>
    </xdr:to>
    <xdr:pic>
      <xdr:nvPicPr>
        <xdr:cNvPr id="10" name="Picture 9">
          <a:extLst>
            <a:ext uri="{FF2B5EF4-FFF2-40B4-BE49-F238E27FC236}">
              <a16:creationId xmlns:a16="http://schemas.microsoft.com/office/drawing/2014/main" id="{00000000-0008-0000-1500-00000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96159204"/>
          <a:ext cx="787978" cy="684069"/>
        </a:xfrm>
        <a:prstGeom prst="rect">
          <a:avLst/>
        </a:prstGeom>
        <a:solidFill>
          <a:srgbClr val="FFFFFF"/>
        </a:solidFill>
        <a:ln w="9525">
          <a:noFill/>
          <a:miter lim="800000"/>
          <a:headEnd/>
          <a:tailEnd/>
        </a:ln>
      </xdr:spPr>
    </xdr:pic>
    <xdr:clientData/>
  </xdr:twoCellAnchor>
  <xdr:twoCellAnchor editAs="oneCell">
    <xdr:from>
      <xdr:col>0</xdr:col>
      <xdr:colOff>95250</xdr:colOff>
      <xdr:row>450</xdr:row>
      <xdr:rowOff>164522</xdr:rowOff>
    </xdr:from>
    <xdr:to>
      <xdr:col>1</xdr:col>
      <xdr:colOff>277092</xdr:colOff>
      <xdr:row>453</xdr:row>
      <xdr:rowOff>346363</xdr:rowOff>
    </xdr:to>
    <xdr:pic>
      <xdr:nvPicPr>
        <xdr:cNvPr id="11" name="Picture 10">
          <a:extLst>
            <a:ext uri="{FF2B5EF4-FFF2-40B4-BE49-F238E27FC236}">
              <a16:creationId xmlns:a16="http://schemas.microsoft.com/office/drawing/2014/main" id="{00000000-0008-0000-1500-00000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82391249"/>
          <a:ext cx="787978" cy="580159"/>
        </a:xfrm>
        <a:prstGeom prst="rect">
          <a:avLst/>
        </a:prstGeom>
        <a:solidFill>
          <a:srgbClr val="FFFFFF"/>
        </a:solidFill>
        <a:ln w="9525">
          <a:noFill/>
          <a:miter lim="800000"/>
          <a:headEnd/>
          <a:tailEnd/>
        </a:ln>
      </xdr:spPr>
    </xdr:pic>
    <xdr:clientData/>
  </xdr:twoCellAnchor>
  <xdr:twoCellAnchor editAs="oneCell">
    <xdr:from>
      <xdr:col>0</xdr:col>
      <xdr:colOff>95250</xdr:colOff>
      <xdr:row>504</xdr:row>
      <xdr:rowOff>164522</xdr:rowOff>
    </xdr:from>
    <xdr:to>
      <xdr:col>1</xdr:col>
      <xdr:colOff>277092</xdr:colOff>
      <xdr:row>508</xdr:row>
      <xdr:rowOff>43295</xdr:rowOff>
    </xdr:to>
    <xdr:pic>
      <xdr:nvPicPr>
        <xdr:cNvPr id="12" name="Picture 11">
          <a:extLst>
            <a:ext uri="{FF2B5EF4-FFF2-40B4-BE49-F238E27FC236}">
              <a16:creationId xmlns:a16="http://schemas.microsoft.com/office/drawing/2014/main" id="{00000000-0008-0000-1500-00000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109909840"/>
          <a:ext cx="787978" cy="969818"/>
        </a:xfrm>
        <a:prstGeom prst="rect">
          <a:avLst/>
        </a:prstGeom>
        <a:solidFill>
          <a:srgbClr val="FFFFFF"/>
        </a:solidFill>
        <a:ln w="9525">
          <a:noFill/>
          <a:miter lim="800000"/>
          <a:headEnd/>
          <a:tailEnd/>
        </a:ln>
      </xdr:spPr>
    </xdr:pic>
    <xdr:clientData/>
  </xdr:twoCellAnchor>
  <xdr:twoCellAnchor editAs="oneCell">
    <xdr:from>
      <xdr:col>0</xdr:col>
      <xdr:colOff>95250</xdr:colOff>
      <xdr:row>558</xdr:row>
      <xdr:rowOff>164522</xdr:rowOff>
    </xdr:from>
    <xdr:to>
      <xdr:col>1</xdr:col>
      <xdr:colOff>277092</xdr:colOff>
      <xdr:row>561</xdr:row>
      <xdr:rowOff>90054</xdr:rowOff>
    </xdr:to>
    <xdr:pic>
      <xdr:nvPicPr>
        <xdr:cNvPr id="13" name="Picture 12">
          <a:extLst>
            <a:ext uri="{FF2B5EF4-FFF2-40B4-BE49-F238E27FC236}">
              <a16:creationId xmlns:a16="http://schemas.microsoft.com/office/drawing/2014/main" id="{00000000-0008-0000-1500-00000D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109909840"/>
          <a:ext cx="787978" cy="969818"/>
        </a:xfrm>
        <a:prstGeom prst="rect">
          <a:avLst/>
        </a:prstGeom>
        <a:solidFill>
          <a:srgbClr val="FFFFFF"/>
        </a:solid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esktop/New%20folder/4.BURGEON%20PUNE%20S%20T%20P%20-JANUARY%2022/BBB@&amp;%20-BURGEONPAY%20SHEET%20DECEMBER%20-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y sheet-Dec- 2021"/>
      <sheetName val="Emp Details "/>
      <sheetName val="kaja Venkat Ragavendra"/>
      <sheetName val="Shubham Asthana"/>
      <sheetName val="Venegella Kanaka durga"/>
      <sheetName val="Ayyappa Kopparapu "/>
      <sheetName val="Moeenahmed Shakilahmed Shaikh"/>
      <sheetName val="AKASH DEEP CHUNAP "/>
      <sheetName val="RAJEEV MUTHINENI"/>
      <sheetName val="Veeran Matmari  "/>
      <sheetName val="Jagdish Salian "/>
      <sheetName val="Parteek Arora"/>
      <sheetName val="Gaunda Mohammad Arief"/>
      <sheetName val="KRANTHI KUMAR VEDULLA"/>
      <sheetName val="Vipin U.N"/>
      <sheetName val="Suresh Golla"/>
      <sheetName val="VeerendraBabu Galam"/>
      <sheetName val="SatishKumar Dhandu"/>
      <sheetName val="Obulreddy Desam "/>
      <sheetName val="Aiesha Nabi "/>
      <sheetName val="RAMBABU PYDI"/>
      <sheetName val="Sudhir Perka"/>
      <sheetName val="Mahesh babu"/>
      <sheetName val="Haneef"/>
      <sheetName val="Y.Hemanth Kumar Reddy"/>
      <sheetName val="Prakash Kendre"/>
      <sheetName val="Arifulla Shaik"/>
      <sheetName val="DevKant Shukla"/>
      <sheetName val="AMARDEEP BORKAR"/>
      <sheetName val="Ramesh Baira"/>
      <sheetName val="RAMALAKSHMAIAH "/>
      <sheetName val="Rajaram"/>
      <sheetName val="Nilesh Baviskar"/>
      <sheetName val="Ved Prakash"/>
      <sheetName val="Prashant Hambarde"/>
      <sheetName val="GauravVispute"/>
      <sheetName val="Naresh Jampala"/>
      <sheetName val="SACHIN NANDKISHORPATIL"/>
      <sheetName val="Amith a"/>
      <sheetName val="RajasekharReddy KN"/>
      <sheetName val="Moulika GM"/>
      <sheetName val="AsokKumar J"/>
      <sheetName val="RUKNUDEEN S"/>
      <sheetName val="Rajesh Kongara"/>
      <sheetName val="Dhrubajyoti Goswami"/>
      <sheetName val="Yarramaddu Raveendra Reddy"/>
      <sheetName val="Ravindra bathoji"/>
      <sheetName val="Naresh Kandhula"/>
      <sheetName val="Reno Vijayan"/>
      <sheetName val="Majed Khan"/>
      <sheetName val="Swetha Moluguru"/>
      <sheetName val="SrikanthReddy ChinthiReddy"/>
      <sheetName val="Rohit Mahalankar"/>
      <sheetName val="SathishKumar V"/>
      <sheetName val="AshishTukaram Mhaskar"/>
      <sheetName val="AYESHA BANU.I"/>
      <sheetName val="Madan"/>
      <sheetName val="Kutagolla Mohazzer"/>
      <sheetName val="Hareendra Mekala"/>
      <sheetName val="Sachin Ameshram"/>
      <sheetName val="Naresh Subbarajulu "/>
      <sheetName val="Vikram Sunchu"/>
      <sheetName val="SATYA PRAKASH ARYA"/>
      <sheetName val="Srikanth Thota"/>
      <sheetName val="HEMANTH EDUGURU"/>
      <sheetName val="Arshad Khan"/>
      <sheetName val="Shekhar Panchal"/>
      <sheetName val="Saibabu Mandapuri"/>
      <sheetName val="Girish Bandi"/>
      <sheetName val="DESIR KOIPURATH"/>
      <sheetName val="Santhosh Mandla"/>
      <sheetName val="Chitra Kulkarni"/>
      <sheetName val="Barathiyar A"/>
      <sheetName val="Kumaravel M"/>
      <sheetName val="CHANDRASEHARAN GERORGE"/>
      <sheetName val="Kannan Selvakumar"/>
      <sheetName val="VISHNUPRASATH T"/>
      <sheetName val="Nagaranjan S"/>
      <sheetName val="ELAMPARITHI SB"/>
      <sheetName val="KISHANPRASAD GANDHE"/>
      <sheetName val="Sunnapalli Anil"/>
      <sheetName val="Varsha Bollu"/>
      <sheetName val="Karthikeyan Radha"/>
      <sheetName val="Bhaskar Reddy Sudha"/>
      <sheetName val="BHARGAVI .R"/>
      <sheetName val="ARJUN PUNDLIK JOSHI"/>
      <sheetName val="Karthick G"/>
      <sheetName val="Somisetty VenkataKrishna"/>
      <sheetName val="Viswanath B"/>
      <sheetName val="Ramarao Kongara"/>
      <sheetName val="CHEREDDY MURALI KRISHNA NAIDU"/>
      <sheetName val="Gangadhar Yarabham"/>
      <sheetName val="INTHIYAS AHAMMED D"/>
      <sheetName val="Himanshu Anand"/>
      <sheetName val="Kanchupati Kondaiah"/>
      <sheetName val="Santosh Patel"/>
      <sheetName val="Saleem Ahmed Natamkar"/>
      <sheetName val="Sambasivarao M"/>
      <sheetName val="Basweshwar Pawar"/>
      <sheetName val=" RAJPRANEETH SUTHRAVE"/>
      <sheetName val="K V Kannan"/>
      <sheetName val="Thanigaivel.J"/>
      <sheetName val="Suprity Chandra"/>
      <sheetName val="SaiPrasad Cheruvukommu"/>
      <sheetName val="gopi reddy chirra"/>
      <sheetName val="Vijay Kumar Sundara"/>
      <sheetName val="Swati Bhattacharya"/>
      <sheetName val="Balne Kishore"/>
      <sheetName val="Paparao"/>
      <sheetName val="Bhaskar Idagottu"/>
      <sheetName val="Snehal Shirsat"/>
      <sheetName val="Shaikh Mohammed Sartaj"/>
      <sheetName val="Suresh Babu Putta Lakshmi"/>
      <sheetName val="Dinesh Kumar Maran"/>
      <sheetName val="Ranjith Kumar Karanam"/>
      <sheetName val="Shashanki Mishra"/>
      <sheetName val="Anjali Dubey"/>
      <sheetName val="Manzoor Ahamed"/>
      <sheetName val="Moin Ahemad jahur"/>
      <sheetName val="Hemanth Mishra"/>
      <sheetName val="Sandeep Kumar Gupta"/>
      <sheetName val="CHANDSAHEB IRKA FAZALA"/>
      <sheetName val="Savana Saritha Dora"/>
      <sheetName val="Minakshi Joshi"/>
      <sheetName val="Sasidhar reddy Nagired"/>
      <sheetName val="SUKRUTH YELLAMBOTLA"/>
      <sheetName val="Mandar Shetty "/>
      <sheetName val="Mayuri Mishra"/>
      <sheetName val="SREENIVASULU NARISETTY"/>
      <sheetName val="Ramakrishna J Reddy"/>
      <sheetName val="Vivek Dongre "/>
      <sheetName val="Praveen Kumar Beesabat"/>
      <sheetName val="Amit Chawadi"/>
      <sheetName val="Nikhila Kaveri "/>
    </sheetNames>
    <sheetDataSet>
      <sheetData sheetId="0" refreshError="1">
        <row r="5">
          <cell r="C5" t="str">
            <v>BITS-456</v>
          </cell>
          <cell r="D5">
            <v>279639</v>
          </cell>
          <cell r="E5" t="str">
            <v>Shubham Asthana 12-12-2021</v>
          </cell>
          <cell r="F5" t="str">
            <v>PUNE STP</v>
          </cell>
          <cell r="G5">
            <v>100000</v>
          </cell>
          <cell r="H5">
            <v>89547</v>
          </cell>
          <cell r="I5">
            <v>31</v>
          </cell>
          <cell r="J5">
            <v>12</v>
          </cell>
          <cell r="L5">
            <v>12</v>
          </cell>
          <cell r="M5">
            <v>20798.012903225805</v>
          </cell>
          <cell r="N5">
            <v>8319.2051612903215</v>
          </cell>
          <cell r="O5">
            <v>806</v>
          </cell>
          <cell r="P5">
            <v>806</v>
          </cell>
          <cell r="Q5">
            <v>3934.1367741935464</v>
          </cell>
          <cell r="R5">
            <v>34663.354838709674</v>
          </cell>
          <cell r="S5">
            <v>1950</v>
          </cell>
          <cell r="T5">
            <v>1441.6089999999999</v>
          </cell>
          <cell r="U5">
            <v>1000.3844206451612</v>
          </cell>
          <cell r="V5">
            <v>1733.1677419354837</v>
          </cell>
          <cell r="W5">
            <v>40788.516001290314</v>
          </cell>
          <cell r="Y5">
            <v>34663.354838709674</v>
          </cell>
          <cell r="AA5">
            <v>200</v>
          </cell>
          <cell r="AB5">
            <v>1800</v>
          </cell>
          <cell r="AC5">
            <v>391.787848</v>
          </cell>
          <cell r="AE5">
            <v>2391.7878479999999</v>
          </cell>
          <cell r="AF5">
            <v>36447.16116258064</v>
          </cell>
        </row>
        <row r="6">
          <cell r="C6" t="str">
            <v>BITS-461</v>
          </cell>
          <cell r="D6">
            <v>261521</v>
          </cell>
          <cell r="E6" t="str">
            <v>Venegella Kanaka durga</v>
          </cell>
          <cell r="F6" t="str">
            <v>PUNE SEZ 1</v>
          </cell>
          <cell r="G6">
            <v>85000</v>
          </cell>
          <cell r="H6">
            <v>75643</v>
          </cell>
          <cell r="I6">
            <v>31</v>
          </cell>
          <cell r="J6">
            <v>31</v>
          </cell>
          <cell r="L6">
            <v>31</v>
          </cell>
          <cell r="M6">
            <v>45385.8</v>
          </cell>
          <cell r="N6">
            <v>18154.320000000003</v>
          </cell>
          <cell r="O6">
            <v>2083</v>
          </cell>
          <cell r="P6">
            <v>2083</v>
          </cell>
          <cell r="Q6">
            <v>7936.8799999999901</v>
          </cell>
          <cell r="R6">
            <v>75643</v>
          </cell>
          <cell r="S6">
            <v>1950</v>
          </cell>
          <cell r="T6">
            <v>1441.6089999999999</v>
          </cell>
          <cell r="U6">
            <v>2183.0569799999998</v>
          </cell>
          <cell r="V6">
            <v>3782.15</v>
          </cell>
          <cell r="W6">
            <v>84999.815979999985</v>
          </cell>
          <cell r="Y6">
            <v>75643</v>
          </cell>
          <cell r="Z6">
            <v>7268</v>
          </cell>
          <cell r="AA6">
            <v>200</v>
          </cell>
          <cell r="AB6">
            <v>1800</v>
          </cell>
          <cell r="AC6">
            <v>391.787848</v>
          </cell>
          <cell r="AE6">
            <v>9659.7878479999999</v>
          </cell>
          <cell r="AF6">
            <v>73389.815979999985</v>
          </cell>
        </row>
        <row r="7">
          <cell r="C7" t="str">
            <v>BITS-466</v>
          </cell>
          <cell r="D7">
            <v>2100172</v>
          </cell>
          <cell r="E7" t="str">
            <v xml:space="preserve">Ayyappa Kopparapu </v>
          </cell>
          <cell r="F7" t="str">
            <v>HYD SEZ</v>
          </cell>
          <cell r="G7">
            <v>72000</v>
          </cell>
          <cell r="H7">
            <v>63593</v>
          </cell>
          <cell r="I7">
            <v>31</v>
          </cell>
          <cell r="J7">
            <v>13</v>
          </cell>
          <cell r="L7">
            <v>13</v>
          </cell>
          <cell r="M7">
            <v>16000.81935483871</v>
          </cell>
          <cell r="N7">
            <v>6400.3277419354845</v>
          </cell>
          <cell r="O7">
            <v>874</v>
          </cell>
          <cell r="P7">
            <v>874</v>
          </cell>
          <cell r="Q7">
            <v>2518.88516129032</v>
          </cell>
          <cell r="R7">
            <v>26668.032258064515</v>
          </cell>
          <cell r="S7">
            <v>1950</v>
          </cell>
          <cell r="T7">
            <v>1441.6089999999999</v>
          </cell>
          <cell r="U7">
            <v>769.63941096774181</v>
          </cell>
          <cell r="V7">
            <v>1333.4016129032259</v>
          </cell>
          <cell r="W7">
            <v>32162.682281935482</v>
          </cell>
          <cell r="Y7">
            <v>26668.032258064515</v>
          </cell>
          <cell r="Z7">
            <v>3173</v>
          </cell>
          <cell r="AA7">
            <v>200</v>
          </cell>
          <cell r="AB7">
            <v>1800</v>
          </cell>
          <cell r="AC7">
            <v>391.787848</v>
          </cell>
          <cell r="AE7">
            <v>5564.7878479999999</v>
          </cell>
          <cell r="AF7">
            <v>24647.650023870967</v>
          </cell>
        </row>
        <row r="8">
          <cell r="C8" t="str">
            <v>BITS-469</v>
          </cell>
          <cell r="D8">
            <v>2100155</v>
          </cell>
          <cell r="E8" t="str">
            <v>Moeenahmed Shakilahmed Shaikh</v>
          </cell>
          <cell r="F8" t="str">
            <v>PUNE SEZ 1</v>
          </cell>
          <cell r="G8">
            <v>165000</v>
          </cell>
          <cell r="H8">
            <v>149795</v>
          </cell>
          <cell r="I8">
            <v>31</v>
          </cell>
          <cell r="J8">
            <v>31</v>
          </cell>
          <cell r="L8">
            <v>31</v>
          </cell>
          <cell r="M8">
            <v>89877</v>
          </cell>
          <cell r="N8">
            <v>35950.800000000003</v>
          </cell>
          <cell r="O8">
            <v>2083</v>
          </cell>
          <cell r="P8">
            <v>2083</v>
          </cell>
          <cell r="Q8">
            <v>19801.199999999997</v>
          </cell>
          <cell r="R8">
            <v>149795</v>
          </cell>
          <cell r="S8">
            <v>1950</v>
          </cell>
          <cell r="T8">
            <v>1441.6089999999999</v>
          </cell>
          <cell r="U8">
            <v>4323.0836999999992</v>
          </cell>
          <cell r="V8">
            <v>7489.75</v>
          </cell>
          <cell r="W8">
            <v>164999.44269999996</v>
          </cell>
          <cell r="Y8">
            <v>149795</v>
          </cell>
          <cell r="Z8">
            <v>39000</v>
          </cell>
          <cell r="AA8">
            <v>200</v>
          </cell>
          <cell r="AB8">
            <v>6000</v>
          </cell>
          <cell r="AC8">
            <v>440.76132899999999</v>
          </cell>
          <cell r="AE8">
            <v>45640.761329000001</v>
          </cell>
          <cell r="AF8">
            <v>117408.4427</v>
          </cell>
        </row>
        <row r="9">
          <cell r="C9" t="str">
            <v>BITS-485</v>
          </cell>
          <cell r="D9">
            <v>2101796</v>
          </cell>
          <cell r="E9" t="str">
            <v xml:space="preserve">AKASH DEEP CHUNAP </v>
          </cell>
          <cell r="F9" t="str">
            <v>BNG STP</v>
          </cell>
          <cell r="G9">
            <v>150000</v>
          </cell>
          <cell r="H9">
            <v>135892</v>
          </cell>
          <cell r="I9">
            <v>31</v>
          </cell>
          <cell r="J9">
            <v>31</v>
          </cell>
          <cell r="L9">
            <v>31</v>
          </cell>
          <cell r="M9">
            <v>81535.199999999997</v>
          </cell>
          <cell r="N9">
            <v>32614.080000000002</v>
          </cell>
          <cell r="O9">
            <v>2083</v>
          </cell>
          <cell r="P9">
            <v>2083</v>
          </cell>
          <cell r="Q9">
            <v>17576.72</v>
          </cell>
          <cell r="R9">
            <v>135892</v>
          </cell>
          <cell r="S9">
            <v>1950</v>
          </cell>
          <cell r="T9">
            <v>1441.6089999999999</v>
          </cell>
          <cell r="U9">
            <v>3921.8431199999995</v>
          </cell>
          <cell r="V9">
            <v>6794.5999999999995</v>
          </cell>
          <cell r="W9">
            <v>150000.05212000001</v>
          </cell>
          <cell r="Y9">
            <v>135892</v>
          </cell>
          <cell r="Z9">
            <v>40018</v>
          </cell>
          <cell r="AA9">
            <v>200</v>
          </cell>
          <cell r="AB9">
            <v>1800</v>
          </cell>
          <cell r="AE9">
            <v>42018</v>
          </cell>
          <cell r="AF9">
            <v>106032.05212000001</v>
          </cell>
        </row>
        <row r="10">
          <cell r="C10" t="str">
            <v>BITS-486</v>
          </cell>
          <cell r="D10">
            <v>2101872</v>
          </cell>
          <cell r="E10" t="str">
            <v>RAJEEV MUTHINENI</v>
          </cell>
          <cell r="F10" t="str">
            <v>PUNE STP</v>
          </cell>
          <cell r="G10">
            <v>80000</v>
          </cell>
          <cell r="H10">
            <v>71009</v>
          </cell>
          <cell r="I10">
            <v>31</v>
          </cell>
          <cell r="J10">
            <v>31</v>
          </cell>
          <cell r="L10">
            <v>31</v>
          </cell>
          <cell r="M10">
            <v>42605.4</v>
          </cell>
          <cell r="N10">
            <v>17042.16</v>
          </cell>
          <cell r="O10">
            <v>2083</v>
          </cell>
          <cell r="P10">
            <v>2083</v>
          </cell>
          <cell r="Q10">
            <v>7195.4400000000023</v>
          </cell>
          <cell r="R10">
            <v>71009</v>
          </cell>
          <cell r="S10">
            <v>1950</v>
          </cell>
          <cell r="T10">
            <v>1441.6089999999999</v>
          </cell>
          <cell r="U10">
            <v>2049.3197399999999</v>
          </cell>
          <cell r="V10">
            <v>3550.4500000000003</v>
          </cell>
          <cell r="W10">
            <v>80000.37874</v>
          </cell>
          <cell r="Y10">
            <v>71009</v>
          </cell>
          <cell r="Z10">
            <v>5312</v>
          </cell>
          <cell r="AA10">
            <v>200</v>
          </cell>
          <cell r="AB10">
            <v>1800</v>
          </cell>
          <cell r="AE10">
            <v>7312</v>
          </cell>
          <cell r="AF10">
            <v>70738.37874</v>
          </cell>
        </row>
        <row r="11">
          <cell r="C11" t="str">
            <v>BITS-496</v>
          </cell>
          <cell r="D11">
            <v>2102378</v>
          </cell>
          <cell r="E11" t="str">
            <v xml:space="preserve">Jagdish Salian </v>
          </cell>
          <cell r="F11" t="str">
            <v>PUNE SEZ 1</v>
          </cell>
          <cell r="G11">
            <v>170000</v>
          </cell>
          <cell r="H11">
            <v>154430</v>
          </cell>
          <cell r="I11">
            <v>31</v>
          </cell>
          <cell r="J11">
            <v>30</v>
          </cell>
          <cell r="K11">
            <v>1</v>
          </cell>
          <cell r="L11">
            <v>31</v>
          </cell>
          <cell r="M11">
            <v>92658</v>
          </cell>
          <cell r="N11">
            <v>37063.200000000004</v>
          </cell>
          <cell r="O11">
            <v>2083</v>
          </cell>
          <cell r="P11">
            <v>2083</v>
          </cell>
          <cell r="Q11">
            <v>20542.799999999988</v>
          </cell>
          <cell r="R11">
            <v>154430</v>
          </cell>
          <cell r="S11">
            <v>1950</v>
          </cell>
          <cell r="T11">
            <v>1441.6089999999999</v>
          </cell>
          <cell r="U11">
            <v>4456.8498</v>
          </cell>
          <cell r="V11">
            <v>7721.5</v>
          </cell>
          <cell r="W11">
            <v>169999.95879999999</v>
          </cell>
          <cell r="Y11">
            <v>154430</v>
          </cell>
          <cell r="Z11">
            <v>46770</v>
          </cell>
          <cell r="AA11">
            <v>200</v>
          </cell>
          <cell r="AB11">
            <v>1800</v>
          </cell>
          <cell r="AC11">
            <v>798.9207200466667</v>
          </cell>
          <cell r="AE11">
            <v>49568.92072004667</v>
          </cell>
          <cell r="AF11">
            <v>118480.95879999999</v>
          </cell>
        </row>
        <row r="12">
          <cell r="C12" t="str">
            <v>BITS-498</v>
          </cell>
          <cell r="D12">
            <v>2102595</v>
          </cell>
          <cell r="E12" t="str">
            <v>Parteek Arora</v>
          </cell>
          <cell r="F12" t="str">
            <v>BNG STP</v>
          </cell>
          <cell r="G12">
            <v>190000</v>
          </cell>
          <cell r="H12">
            <v>172968</v>
          </cell>
          <cell r="I12">
            <v>31</v>
          </cell>
          <cell r="J12">
            <v>31</v>
          </cell>
          <cell r="L12">
            <v>31</v>
          </cell>
          <cell r="M12">
            <v>103780.8</v>
          </cell>
          <cell r="N12">
            <v>41512.320000000007</v>
          </cell>
          <cell r="O12">
            <v>2083</v>
          </cell>
          <cell r="P12">
            <v>2083</v>
          </cell>
          <cell r="Q12">
            <v>23508.880000000005</v>
          </cell>
          <cell r="R12">
            <v>172968</v>
          </cell>
          <cell r="S12">
            <v>1950</v>
          </cell>
          <cell r="T12">
            <v>1441.6089999999999</v>
          </cell>
          <cell r="U12">
            <v>4991.8564799999995</v>
          </cell>
          <cell r="V12">
            <v>8648.4</v>
          </cell>
          <cell r="W12">
            <v>189999.86547999998</v>
          </cell>
          <cell r="Y12">
            <v>172968</v>
          </cell>
          <cell r="Z12">
            <v>31809</v>
          </cell>
          <cell r="AA12">
            <v>200</v>
          </cell>
          <cell r="AB12">
            <v>1800</v>
          </cell>
          <cell r="AC12">
            <v>391.787848</v>
          </cell>
          <cell r="AE12">
            <v>34200.787848</v>
          </cell>
          <cell r="AF12">
            <v>153848.86547999998</v>
          </cell>
        </row>
        <row r="13">
          <cell r="C13" t="str">
            <v>BITS-500</v>
          </cell>
          <cell r="D13">
            <v>2103494</v>
          </cell>
          <cell r="E13" t="str">
            <v>Gaunda Mohammad Arief</v>
          </cell>
          <cell r="F13" t="str">
            <v>Gurgaon STP</v>
          </cell>
          <cell r="G13">
            <v>90000</v>
          </cell>
          <cell r="H13">
            <v>80278</v>
          </cell>
          <cell r="I13">
            <v>31</v>
          </cell>
          <cell r="J13">
            <v>30</v>
          </cell>
          <cell r="K13">
            <v>1</v>
          </cell>
          <cell r="L13">
            <v>31</v>
          </cell>
          <cell r="M13">
            <v>48166.8</v>
          </cell>
          <cell r="N13">
            <v>19266.72</v>
          </cell>
          <cell r="O13">
            <v>2083</v>
          </cell>
          <cell r="P13">
            <v>2083</v>
          </cell>
          <cell r="Q13">
            <v>8678.4799999999959</v>
          </cell>
          <cell r="R13">
            <v>80278</v>
          </cell>
          <cell r="S13">
            <v>1950</v>
          </cell>
          <cell r="T13">
            <v>1441.6089999999999</v>
          </cell>
          <cell r="U13">
            <v>2316.8230800000001</v>
          </cell>
          <cell r="V13">
            <v>4013.9</v>
          </cell>
          <cell r="W13">
            <v>90000.332079999993</v>
          </cell>
          <cell r="Y13">
            <v>80278</v>
          </cell>
          <cell r="Z13">
            <v>7988</v>
          </cell>
          <cell r="AA13">
            <v>200</v>
          </cell>
          <cell r="AB13">
            <v>1800</v>
          </cell>
          <cell r="AC13">
            <v>440.76132899999999</v>
          </cell>
          <cell r="AE13">
            <v>10428.761329000001</v>
          </cell>
          <cell r="AF13">
            <v>77621.332079999993</v>
          </cell>
        </row>
        <row r="14">
          <cell r="C14" t="str">
            <v>BITS-501</v>
          </cell>
          <cell r="D14">
            <v>2104022</v>
          </cell>
          <cell r="E14" t="str">
            <v>KRANTHI KUMAR VEDULLA</v>
          </cell>
          <cell r="F14" t="str">
            <v>Bhubaneshwar STP</v>
          </cell>
          <cell r="G14">
            <v>95000</v>
          </cell>
          <cell r="H14">
            <v>84912</v>
          </cell>
          <cell r="I14">
            <v>31</v>
          </cell>
          <cell r="J14">
            <v>31</v>
          </cell>
          <cell r="L14">
            <v>31</v>
          </cell>
          <cell r="M14">
            <v>50947.199999999997</v>
          </cell>
          <cell r="N14">
            <v>20378.88</v>
          </cell>
          <cell r="O14">
            <v>2083</v>
          </cell>
          <cell r="P14">
            <v>2083</v>
          </cell>
          <cell r="Q14">
            <v>9419.9199999999983</v>
          </cell>
          <cell r="R14">
            <v>84912</v>
          </cell>
          <cell r="S14">
            <v>1950</v>
          </cell>
          <cell r="T14">
            <v>1441.6089999999999</v>
          </cell>
          <cell r="U14">
            <v>2450.5603199999996</v>
          </cell>
          <cell r="V14">
            <v>4245.5999999999995</v>
          </cell>
          <cell r="W14">
            <v>94999.769320000007</v>
          </cell>
          <cell r="Y14">
            <v>84912</v>
          </cell>
          <cell r="Z14">
            <v>7616</v>
          </cell>
          <cell r="AA14">
            <v>200</v>
          </cell>
          <cell r="AB14">
            <v>1800</v>
          </cell>
          <cell r="AC14">
            <v>391.787848</v>
          </cell>
          <cell r="AE14">
            <v>10007.787848</v>
          </cell>
          <cell r="AF14">
            <v>83041.769320000007</v>
          </cell>
        </row>
        <row r="15">
          <cell r="C15" t="str">
            <v>BITS-507</v>
          </cell>
          <cell r="D15">
            <v>2104015</v>
          </cell>
          <cell r="E15" t="str">
            <v>Vipin U.N</v>
          </cell>
          <cell r="F15" t="str">
            <v>Bhubaneshwar STP</v>
          </cell>
          <cell r="G15" t="str">
            <v xml:space="preserve"> 1,17,000</v>
          </cell>
          <cell r="H15">
            <v>105304</v>
          </cell>
          <cell r="I15">
            <v>31</v>
          </cell>
          <cell r="J15">
            <v>29</v>
          </cell>
          <cell r="K15">
            <v>2</v>
          </cell>
          <cell r="L15">
            <v>30</v>
          </cell>
          <cell r="M15">
            <v>61144.258064516129</v>
          </cell>
          <cell r="N15">
            <v>24457.703225806454</v>
          </cell>
          <cell r="O15">
            <v>2016</v>
          </cell>
          <cell r="P15">
            <v>2016</v>
          </cell>
          <cell r="Q15">
            <v>12273.135483870967</v>
          </cell>
          <cell r="R15">
            <v>101907.09677419355</v>
          </cell>
          <cell r="S15">
            <v>1950</v>
          </cell>
          <cell r="T15">
            <v>1441.6089999999999</v>
          </cell>
          <cell r="U15">
            <v>2941.0388129032258</v>
          </cell>
          <cell r="V15">
            <v>5095.3548387096771</v>
          </cell>
          <cell r="W15">
            <v>113335.09942580645</v>
          </cell>
          <cell r="Y15">
            <v>101907.09677419355</v>
          </cell>
          <cell r="Z15">
            <v>17847</v>
          </cell>
          <cell r="AA15">
            <v>200</v>
          </cell>
          <cell r="AB15">
            <v>1800</v>
          </cell>
          <cell r="AC15">
            <v>391.787848</v>
          </cell>
          <cell r="AE15">
            <v>20238.787848</v>
          </cell>
          <cell r="AF15">
            <v>91146.0026516129</v>
          </cell>
        </row>
        <row r="16">
          <cell r="C16" t="str">
            <v>BITS-513</v>
          </cell>
          <cell r="D16">
            <v>2105110</v>
          </cell>
          <cell r="E16" t="str">
            <v>Suresh Golla 20-12-2021</v>
          </cell>
          <cell r="F16" t="str">
            <v>Mysore SEZ</v>
          </cell>
          <cell r="G16">
            <v>75000</v>
          </cell>
          <cell r="H16">
            <v>66374</v>
          </cell>
          <cell r="I16">
            <v>31</v>
          </cell>
          <cell r="J16">
            <v>20</v>
          </cell>
          <cell r="L16">
            <v>20</v>
          </cell>
          <cell r="M16">
            <v>25693.16129032258</v>
          </cell>
          <cell r="N16">
            <v>10277.264516129033</v>
          </cell>
          <cell r="O16">
            <v>1344</v>
          </cell>
          <cell r="P16">
            <v>1344</v>
          </cell>
          <cell r="Q16">
            <v>4163.5096774193589</v>
          </cell>
          <cell r="R16">
            <v>42821.93548387097</v>
          </cell>
          <cell r="S16">
            <v>1950</v>
          </cell>
          <cell r="T16">
            <v>1441.6089999999999</v>
          </cell>
          <cell r="U16">
            <v>1235.8410580645159</v>
          </cell>
          <cell r="V16">
            <v>2141.0967741935483</v>
          </cell>
          <cell r="W16">
            <v>49590.482316129026</v>
          </cell>
          <cell r="Y16">
            <v>42821.93548387097</v>
          </cell>
          <cell r="Z16">
            <v>3976</v>
          </cell>
          <cell r="AA16">
            <v>200</v>
          </cell>
          <cell r="AB16">
            <v>1800</v>
          </cell>
          <cell r="AC16">
            <v>391.787848</v>
          </cell>
          <cell r="AE16">
            <v>6367.7878479999999</v>
          </cell>
          <cell r="AF16">
            <v>41272.546832258056</v>
          </cell>
        </row>
        <row r="17">
          <cell r="C17" t="str">
            <v>BITS-528</v>
          </cell>
          <cell r="D17">
            <v>2107380</v>
          </cell>
          <cell r="E17" t="str">
            <v>VeerendraBabu Galam</v>
          </cell>
          <cell r="F17" t="str">
            <v>HYD SEZ</v>
          </cell>
          <cell r="G17">
            <v>75000</v>
          </cell>
          <cell r="H17">
            <v>66374</v>
          </cell>
          <cell r="I17">
            <v>31</v>
          </cell>
          <cell r="J17">
            <v>31</v>
          </cell>
          <cell r="L17">
            <v>31</v>
          </cell>
          <cell r="M17">
            <v>39824.400000000001</v>
          </cell>
          <cell r="N17">
            <v>15929.760000000002</v>
          </cell>
          <cell r="O17">
            <v>2083</v>
          </cell>
          <cell r="P17">
            <v>2083</v>
          </cell>
          <cell r="Q17">
            <v>6453.8399999999965</v>
          </cell>
          <cell r="R17">
            <v>66374</v>
          </cell>
          <cell r="S17">
            <v>1950</v>
          </cell>
          <cell r="T17">
            <v>1441.6089999999999</v>
          </cell>
          <cell r="U17">
            <v>1915.5536400000001</v>
          </cell>
          <cell r="V17">
            <v>3318.7000000000003</v>
          </cell>
          <cell r="W17">
            <v>74999.862639999992</v>
          </cell>
          <cell r="Y17">
            <v>66374</v>
          </cell>
          <cell r="Z17">
            <v>2727</v>
          </cell>
          <cell r="AA17">
            <v>200</v>
          </cell>
          <cell r="AB17">
            <v>1800</v>
          </cell>
          <cell r="AC17">
            <v>391.787848</v>
          </cell>
          <cell r="AE17">
            <v>5118.7878479999999</v>
          </cell>
          <cell r="AF17">
            <v>67930.862639999992</v>
          </cell>
        </row>
        <row r="18">
          <cell r="C18" t="str">
            <v>BITS-529</v>
          </cell>
          <cell r="D18">
            <v>2107487</v>
          </cell>
          <cell r="E18" t="str">
            <v>SatishKumar Dhandu</v>
          </cell>
          <cell r="F18" t="str">
            <v>HYD STP</v>
          </cell>
          <cell r="G18">
            <v>70000</v>
          </cell>
          <cell r="H18">
            <v>61740</v>
          </cell>
          <cell r="I18">
            <v>31</v>
          </cell>
          <cell r="J18">
            <v>30</v>
          </cell>
          <cell r="K18">
            <v>1</v>
          </cell>
          <cell r="L18">
            <v>31</v>
          </cell>
          <cell r="M18">
            <v>37044</v>
          </cell>
          <cell r="N18">
            <v>14817.6</v>
          </cell>
          <cell r="O18">
            <v>2083</v>
          </cell>
          <cell r="P18">
            <v>2083</v>
          </cell>
          <cell r="Q18">
            <v>5712.4000000000015</v>
          </cell>
          <cell r="R18">
            <v>61740</v>
          </cell>
          <cell r="S18">
            <v>1950</v>
          </cell>
          <cell r="T18">
            <v>1441.6089999999999</v>
          </cell>
          <cell r="U18">
            <v>1781.8163999999999</v>
          </cell>
          <cell r="V18">
            <v>3087</v>
          </cell>
          <cell r="W18">
            <v>70000.425400000007</v>
          </cell>
          <cell r="Y18">
            <v>61740</v>
          </cell>
          <cell r="Z18">
            <v>2638</v>
          </cell>
          <cell r="AA18">
            <v>200</v>
          </cell>
          <cell r="AB18">
            <v>1800</v>
          </cell>
          <cell r="AC18">
            <v>391.787848</v>
          </cell>
          <cell r="AE18">
            <v>5029.7878479999999</v>
          </cell>
          <cell r="AF18">
            <v>63020.4254</v>
          </cell>
        </row>
        <row r="19">
          <cell r="C19" t="str">
            <v>BITS-530</v>
          </cell>
          <cell r="D19">
            <v>2107537</v>
          </cell>
          <cell r="E19" t="str">
            <v>Obulreddy Desam 10-12-2021</v>
          </cell>
          <cell r="F19" t="str">
            <v>BNG STP</v>
          </cell>
          <cell r="G19">
            <v>50000</v>
          </cell>
          <cell r="H19">
            <v>43202</v>
          </cell>
          <cell r="I19">
            <v>31</v>
          </cell>
          <cell r="J19">
            <v>10</v>
          </cell>
          <cell r="L19">
            <v>10</v>
          </cell>
          <cell r="M19">
            <v>8361.677419354839</v>
          </cell>
          <cell r="N19">
            <v>3344.6709677419358</v>
          </cell>
          <cell r="O19">
            <v>672</v>
          </cell>
          <cell r="P19">
            <v>672</v>
          </cell>
          <cell r="Q19">
            <v>885.7806451612887</v>
          </cell>
          <cell r="R19">
            <v>13936.129032258064</v>
          </cell>
          <cell r="S19">
            <v>1087.018064516129</v>
          </cell>
          <cell r="T19">
            <v>1441.6089999999999</v>
          </cell>
          <cell r="U19">
            <v>402.19668387096777</v>
          </cell>
          <cell r="V19">
            <v>696.80645161290329</v>
          </cell>
          <cell r="W19">
            <v>17563.759232258064</v>
          </cell>
          <cell r="Y19">
            <v>13936.129032258064</v>
          </cell>
          <cell r="AA19">
            <v>0</v>
          </cell>
          <cell r="AB19">
            <v>1003</v>
          </cell>
          <cell r="AC19">
            <v>391.787848</v>
          </cell>
          <cell r="AE19">
            <v>1394.7878479999999</v>
          </cell>
          <cell r="AF19">
            <v>15081.612135483872</v>
          </cell>
        </row>
        <row r="20">
          <cell r="C20" t="str">
            <v>BITS-531</v>
          </cell>
          <cell r="D20">
            <v>2107536</v>
          </cell>
          <cell r="E20" t="str">
            <v>Aiesha Nabi 24-12-2021</v>
          </cell>
          <cell r="F20" t="str">
            <v>BNG STP</v>
          </cell>
          <cell r="G20">
            <v>53000</v>
          </cell>
          <cell r="H20">
            <v>45982</v>
          </cell>
          <cell r="I20">
            <v>31</v>
          </cell>
          <cell r="J20">
            <v>23</v>
          </cell>
          <cell r="K20">
            <v>1</v>
          </cell>
          <cell r="L20">
            <v>24</v>
          </cell>
          <cell r="M20">
            <v>21359.380645161291</v>
          </cell>
          <cell r="N20">
            <v>8543.7522580645164</v>
          </cell>
          <cell r="O20">
            <v>1613</v>
          </cell>
          <cell r="P20">
            <v>1613</v>
          </cell>
          <cell r="Q20">
            <v>2469.8348387096776</v>
          </cell>
          <cell r="R20">
            <v>35598.967741935485</v>
          </cell>
          <cell r="S20">
            <v>1950</v>
          </cell>
          <cell r="T20">
            <v>1441.6089999999999</v>
          </cell>
          <cell r="U20">
            <v>1027.386209032258</v>
          </cell>
          <cell r="V20">
            <v>1779.9483870967742</v>
          </cell>
          <cell r="W20">
            <v>41797.911338064514</v>
          </cell>
          <cell r="Y20">
            <v>35598.967741935485</v>
          </cell>
          <cell r="AA20">
            <v>200</v>
          </cell>
          <cell r="AB20">
            <v>1800</v>
          </cell>
          <cell r="AC20">
            <v>391.787848</v>
          </cell>
          <cell r="AE20">
            <v>2391.7878479999999</v>
          </cell>
          <cell r="AF20">
            <v>37455.943596129029</v>
          </cell>
        </row>
        <row r="21">
          <cell r="C21" t="str">
            <v>BITS-533</v>
          </cell>
          <cell r="D21">
            <v>2107694</v>
          </cell>
          <cell r="E21" t="str">
            <v>RAMBABU PYDI</v>
          </cell>
          <cell r="F21" t="str">
            <v>BNG STP</v>
          </cell>
          <cell r="G21">
            <v>130000</v>
          </cell>
          <cell r="H21">
            <v>117354</v>
          </cell>
          <cell r="I21">
            <v>31</v>
          </cell>
          <cell r="J21">
            <v>30</v>
          </cell>
          <cell r="K21">
            <v>1</v>
          </cell>
          <cell r="L21">
            <v>31</v>
          </cell>
          <cell r="M21">
            <v>70412.399999999994</v>
          </cell>
          <cell r="N21">
            <v>28164.959999999999</v>
          </cell>
          <cell r="O21">
            <v>2083</v>
          </cell>
          <cell r="P21">
            <v>2083</v>
          </cell>
          <cell r="Q21">
            <v>14610.640000000014</v>
          </cell>
          <cell r="R21">
            <v>117354</v>
          </cell>
          <cell r="S21">
            <v>1950</v>
          </cell>
          <cell r="T21">
            <v>1441.6089999999999</v>
          </cell>
          <cell r="U21">
            <v>3386.8364399999996</v>
          </cell>
          <cell r="V21">
            <v>5867.7</v>
          </cell>
          <cell r="W21">
            <v>130000.14543999999</v>
          </cell>
          <cell r="Y21">
            <v>117354</v>
          </cell>
          <cell r="Z21">
            <v>28066</v>
          </cell>
          <cell r="AA21">
            <v>200</v>
          </cell>
          <cell r="AB21">
            <v>1800</v>
          </cell>
          <cell r="AC21">
            <v>440.76132899999999</v>
          </cell>
          <cell r="AE21">
            <v>30506.761329000001</v>
          </cell>
          <cell r="AF21">
            <v>97543.145439999993</v>
          </cell>
        </row>
        <row r="22">
          <cell r="C22" t="str">
            <v>BITS-536</v>
          </cell>
          <cell r="D22">
            <v>2108174</v>
          </cell>
          <cell r="E22" t="str">
            <v>Sudhir Perka</v>
          </cell>
          <cell r="F22" t="str">
            <v>Mysore SEZ</v>
          </cell>
          <cell r="G22">
            <v>180000</v>
          </cell>
          <cell r="H22">
            <v>163699</v>
          </cell>
          <cell r="I22">
            <v>31</v>
          </cell>
          <cell r="J22">
            <v>31</v>
          </cell>
          <cell r="L22">
            <v>31</v>
          </cell>
          <cell r="M22">
            <v>98219.4</v>
          </cell>
          <cell r="N22">
            <v>39287.760000000002</v>
          </cell>
          <cell r="O22">
            <v>2083</v>
          </cell>
          <cell r="P22">
            <v>2083</v>
          </cell>
          <cell r="Q22">
            <v>22025.839999999997</v>
          </cell>
          <cell r="R22">
            <v>163699</v>
          </cell>
          <cell r="S22">
            <v>1950</v>
          </cell>
          <cell r="T22">
            <v>1441.6089999999999</v>
          </cell>
          <cell r="U22">
            <v>4724.3531399999993</v>
          </cell>
          <cell r="V22">
            <v>8184.95</v>
          </cell>
          <cell r="W22">
            <v>179999.91214</v>
          </cell>
          <cell r="Y22">
            <v>163699</v>
          </cell>
          <cell r="Z22">
            <v>33988</v>
          </cell>
          <cell r="AA22">
            <v>200</v>
          </cell>
          <cell r="AB22">
            <v>1800</v>
          </cell>
          <cell r="AC22">
            <v>391.787848</v>
          </cell>
          <cell r="AE22">
            <v>36379.787848</v>
          </cell>
          <cell r="AF22">
            <v>141669.91214</v>
          </cell>
        </row>
        <row r="23">
          <cell r="C23" t="str">
            <v>BITS-537</v>
          </cell>
          <cell r="D23">
            <v>2108081</v>
          </cell>
          <cell r="E23" t="str">
            <v>Mahesh babu</v>
          </cell>
          <cell r="F23" t="str">
            <v>PUNE SEZ 1</v>
          </cell>
          <cell r="G23">
            <v>116667</v>
          </cell>
          <cell r="H23">
            <v>104995</v>
          </cell>
          <cell r="I23">
            <v>31</v>
          </cell>
          <cell r="J23">
            <v>31</v>
          </cell>
          <cell r="L23">
            <v>31</v>
          </cell>
          <cell r="M23">
            <v>62997</v>
          </cell>
          <cell r="N23">
            <v>25198.800000000003</v>
          </cell>
          <cell r="O23">
            <v>2083</v>
          </cell>
          <cell r="P23">
            <v>2083</v>
          </cell>
          <cell r="Q23">
            <v>12633.199999999997</v>
          </cell>
          <cell r="R23">
            <v>104995</v>
          </cell>
          <cell r="S23">
            <v>1950</v>
          </cell>
          <cell r="T23">
            <v>1441.6089999999999</v>
          </cell>
          <cell r="U23">
            <v>3030.1556999999993</v>
          </cell>
          <cell r="V23">
            <v>5249.75</v>
          </cell>
          <cell r="W23">
            <v>116666.5147</v>
          </cell>
          <cell r="Y23">
            <v>104995</v>
          </cell>
          <cell r="Z23">
            <v>18487</v>
          </cell>
          <cell r="AA23">
            <v>200</v>
          </cell>
          <cell r="AB23">
            <v>1800</v>
          </cell>
          <cell r="AC23">
            <v>391.787848</v>
          </cell>
          <cell r="AE23">
            <v>20878.787848</v>
          </cell>
          <cell r="AF23">
            <v>93837.5147</v>
          </cell>
        </row>
        <row r="24">
          <cell r="C24" t="str">
            <v>BITS-542</v>
          </cell>
          <cell r="D24">
            <v>2108578</v>
          </cell>
          <cell r="E24" t="str">
            <v>Haneef</v>
          </cell>
          <cell r="F24" t="str">
            <v>PUNE ASC SEZ</v>
          </cell>
          <cell r="G24">
            <v>70000</v>
          </cell>
          <cell r="H24">
            <v>61740</v>
          </cell>
          <cell r="I24">
            <v>31</v>
          </cell>
          <cell r="J24">
            <v>31</v>
          </cell>
          <cell r="L24">
            <v>31</v>
          </cell>
          <cell r="M24">
            <v>37044</v>
          </cell>
          <cell r="N24">
            <v>14817.6</v>
          </cell>
          <cell r="O24">
            <v>2083</v>
          </cell>
          <cell r="P24">
            <v>2083</v>
          </cell>
          <cell r="Q24">
            <v>5712.4000000000015</v>
          </cell>
          <cell r="R24">
            <v>61740</v>
          </cell>
          <cell r="S24">
            <v>1950</v>
          </cell>
          <cell r="T24">
            <v>1441.6089999999999</v>
          </cell>
          <cell r="U24">
            <v>1781.8163999999999</v>
          </cell>
          <cell r="V24">
            <v>3087</v>
          </cell>
          <cell r="W24">
            <v>70000.425400000007</v>
          </cell>
          <cell r="Y24">
            <v>61740</v>
          </cell>
          <cell r="Z24">
            <v>1837</v>
          </cell>
          <cell r="AA24">
            <v>200</v>
          </cell>
          <cell r="AB24">
            <v>1800</v>
          </cell>
          <cell r="AC24">
            <v>391.787848</v>
          </cell>
          <cell r="AE24">
            <v>4228.7878479999999</v>
          </cell>
          <cell r="AF24">
            <v>63821.4254</v>
          </cell>
        </row>
        <row r="25">
          <cell r="C25" t="str">
            <v>BITS-546</v>
          </cell>
          <cell r="D25">
            <v>2108588</v>
          </cell>
          <cell r="E25" t="str">
            <v>DevKant Shukla 20-12-2021</v>
          </cell>
          <cell r="F25" t="str">
            <v>PUNE ASC SEZ</v>
          </cell>
          <cell r="G25">
            <v>90000</v>
          </cell>
          <cell r="H25">
            <v>80278</v>
          </cell>
          <cell r="I25">
            <v>31</v>
          </cell>
          <cell r="J25">
            <v>20</v>
          </cell>
          <cell r="L25">
            <v>20</v>
          </cell>
          <cell r="M25">
            <v>31075.354838709678</v>
          </cell>
          <cell r="N25">
            <v>12430.141935483873</v>
          </cell>
          <cell r="O25">
            <v>1344</v>
          </cell>
          <cell r="P25">
            <v>1344</v>
          </cell>
          <cell r="Q25">
            <v>5598.7612903225745</v>
          </cell>
          <cell r="R25">
            <v>51792.258064516129</v>
          </cell>
          <cell r="S25">
            <v>1950</v>
          </cell>
          <cell r="T25">
            <v>1441.6089999999999</v>
          </cell>
          <cell r="U25">
            <v>1494.7245677419353</v>
          </cell>
          <cell r="V25">
            <v>2589.6129032258063</v>
          </cell>
          <cell r="W25">
            <v>59268.204535483863</v>
          </cell>
          <cell r="Y25">
            <v>51792.258064516129</v>
          </cell>
          <cell r="Z25">
            <v>7741</v>
          </cell>
          <cell r="AA25">
            <v>200</v>
          </cell>
          <cell r="AB25">
            <v>1800</v>
          </cell>
          <cell r="AC25">
            <v>391.787848</v>
          </cell>
          <cell r="AE25">
            <v>10132.787848</v>
          </cell>
          <cell r="AF25">
            <v>47184.946470967734</v>
          </cell>
        </row>
        <row r="26">
          <cell r="C26" t="str">
            <v>BITS-550</v>
          </cell>
          <cell r="D26">
            <v>2108937</v>
          </cell>
          <cell r="E26" t="str">
            <v>Ramesh Baira</v>
          </cell>
          <cell r="F26" t="str">
            <v>HYD SEZ</v>
          </cell>
          <cell r="G26">
            <v>90000</v>
          </cell>
          <cell r="H26">
            <v>80278</v>
          </cell>
          <cell r="I26">
            <v>31</v>
          </cell>
          <cell r="J26">
            <v>31</v>
          </cell>
          <cell r="L26">
            <v>31</v>
          </cell>
          <cell r="M26">
            <v>48166.8</v>
          </cell>
          <cell r="N26">
            <v>19266.72</v>
          </cell>
          <cell r="O26">
            <v>2083</v>
          </cell>
          <cell r="P26">
            <v>2083</v>
          </cell>
          <cell r="Q26">
            <v>8678.4799999999959</v>
          </cell>
          <cell r="R26">
            <v>80278</v>
          </cell>
          <cell r="S26">
            <v>1950</v>
          </cell>
          <cell r="T26">
            <v>1441.6089999999999</v>
          </cell>
          <cell r="U26">
            <v>2316.8230800000001</v>
          </cell>
          <cell r="V26">
            <v>4013.9</v>
          </cell>
          <cell r="W26">
            <v>90000.332079999993</v>
          </cell>
          <cell r="Y26">
            <v>80278</v>
          </cell>
          <cell r="Z26">
            <v>6746</v>
          </cell>
          <cell r="AA26">
            <v>200</v>
          </cell>
          <cell r="AB26">
            <v>1800</v>
          </cell>
          <cell r="AC26">
            <v>391.787848</v>
          </cell>
          <cell r="AE26">
            <v>9137.7878479999999</v>
          </cell>
          <cell r="AF26">
            <v>78912.332079999993</v>
          </cell>
        </row>
        <row r="27">
          <cell r="C27" t="str">
            <v>BITS-553</v>
          </cell>
          <cell r="D27">
            <v>2109857</v>
          </cell>
          <cell r="E27" t="str">
            <v>RAMALAKSHMAIAH </v>
          </cell>
          <cell r="F27" t="str">
            <v>HYD SEZ</v>
          </cell>
          <cell r="G27">
            <v>140000</v>
          </cell>
          <cell r="H27">
            <v>126623</v>
          </cell>
          <cell r="I27">
            <v>31</v>
          </cell>
          <cell r="J27">
            <v>31</v>
          </cell>
          <cell r="L27">
            <v>31</v>
          </cell>
          <cell r="M27">
            <v>75973.8</v>
          </cell>
          <cell r="N27">
            <v>30389.520000000004</v>
          </cell>
          <cell r="O27">
            <v>2083</v>
          </cell>
          <cell r="P27">
            <v>2083</v>
          </cell>
          <cell r="Q27">
            <v>16093.679999999993</v>
          </cell>
          <cell r="R27">
            <v>126623</v>
          </cell>
          <cell r="S27">
            <v>1950</v>
          </cell>
          <cell r="T27">
            <v>1441.6089999999999</v>
          </cell>
          <cell r="U27">
            <v>3654.3397800000002</v>
          </cell>
          <cell r="V27">
            <v>6331.1500000000005</v>
          </cell>
          <cell r="W27">
            <v>140000.09878</v>
          </cell>
          <cell r="Y27">
            <v>126623</v>
          </cell>
          <cell r="Z27">
            <v>26076</v>
          </cell>
          <cell r="AA27">
            <v>200</v>
          </cell>
          <cell r="AB27">
            <v>1800</v>
          </cell>
          <cell r="AC27">
            <v>391.787848</v>
          </cell>
          <cell r="AE27">
            <v>28467.787848</v>
          </cell>
          <cell r="AF27">
            <v>109582.09877999999</v>
          </cell>
        </row>
        <row r="28">
          <cell r="C28" t="str">
            <v>BITS-556</v>
          </cell>
          <cell r="E28" t="str">
            <v>Nilesh Baviskar</v>
          </cell>
          <cell r="F28" t="str">
            <v>PUNE ASC SEZ</v>
          </cell>
          <cell r="G28">
            <v>77000</v>
          </cell>
          <cell r="H28">
            <v>68228</v>
          </cell>
          <cell r="I28">
            <v>31</v>
          </cell>
          <cell r="J28">
            <v>28</v>
          </cell>
          <cell r="K28">
            <v>3</v>
          </cell>
          <cell r="L28">
            <v>29</v>
          </cell>
          <cell r="M28">
            <v>38295.716129032255</v>
          </cell>
          <cell r="N28">
            <v>15318.286451612903</v>
          </cell>
          <cell r="O28">
            <v>1949</v>
          </cell>
          <cell r="P28">
            <v>1949</v>
          </cell>
          <cell r="Q28">
            <v>6314.1909677419389</v>
          </cell>
          <cell r="R28">
            <v>63826.193548387098</v>
          </cell>
          <cell r="S28">
            <v>1950</v>
          </cell>
          <cell r="T28">
            <v>1441.6089999999999</v>
          </cell>
          <cell r="U28">
            <v>1842.0239458064514</v>
          </cell>
          <cell r="V28">
            <v>3191.3096774193546</v>
          </cell>
          <cell r="W28">
            <v>72251.136171612918</v>
          </cell>
          <cell r="Y28">
            <v>63826.193548387098</v>
          </cell>
          <cell r="Z28">
            <v>3232</v>
          </cell>
          <cell r="AA28">
            <v>200</v>
          </cell>
          <cell r="AB28">
            <v>1800</v>
          </cell>
          <cell r="AC28">
            <v>391.787848</v>
          </cell>
          <cell r="AE28">
            <v>5623.7878479999999</v>
          </cell>
          <cell r="AF28">
            <v>64676.942623225805</v>
          </cell>
        </row>
        <row r="29">
          <cell r="C29" t="str">
            <v>BITS-557</v>
          </cell>
          <cell r="D29">
            <v>2109800</v>
          </cell>
          <cell r="E29" t="str">
            <v>Ved Prakash</v>
          </cell>
          <cell r="F29" t="str">
            <v>PUNE ASC SEZ</v>
          </cell>
          <cell r="G29">
            <v>80000</v>
          </cell>
          <cell r="H29">
            <v>71009</v>
          </cell>
          <cell r="I29">
            <v>31</v>
          </cell>
          <cell r="J29">
            <v>30</v>
          </cell>
          <cell r="K29">
            <v>1</v>
          </cell>
          <cell r="L29">
            <v>31</v>
          </cell>
          <cell r="M29">
            <v>42605.4</v>
          </cell>
          <cell r="N29">
            <v>17042.16</v>
          </cell>
          <cell r="O29">
            <v>2083</v>
          </cell>
          <cell r="P29">
            <v>2083</v>
          </cell>
          <cell r="Q29">
            <v>7195.4400000000023</v>
          </cell>
          <cell r="R29">
            <v>71009</v>
          </cell>
          <cell r="S29">
            <v>1950</v>
          </cell>
          <cell r="T29">
            <v>1441.6089999999999</v>
          </cell>
          <cell r="U29">
            <v>2049.3197399999999</v>
          </cell>
          <cell r="V29">
            <v>3550.4500000000003</v>
          </cell>
          <cell r="W29">
            <v>80000.37874</v>
          </cell>
          <cell r="Y29">
            <v>71009</v>
          </cell>
          <cell r="Z29">
            <v>3744</v>
          </cell>
          <cell r="AA29">
            <v>200</v>
          </cell>
          <cell r="AB29">
            <v>1800</v>
          </cell>
          <cell r="AC29">
            <v>440.76132899999999</v>
          </cell>
          <cell r="AE29">
            <v>6184.7613289999999</v>
          </cell>
          <cell r="AF29">
            <v>71865.37874</v>
          </cell>
        </row>
        <row r="30">
          <cell r="C30" t="str">
            <v>BITS-559</v>
          </cell>
          <cell r="D30">
            <v>2110592</v>
          </cell>
          <cell r="E30" t="str">
            <v>GauravVispute</v>
          </cell>
          <cell r="F30" t="str">
            <v>PUNE ASC SEZ</v>
          </cell>
          <cell r="G30">
            <v>50000</v>
          </cell>
          <cell r="H30">
            <v>43202</v>
          </cell>
          <cell r="I30">
            <v>31</v>
          </cell>
          <cell r="J30">
            <v>30</v>
          </cell>
          <cell r="K30">
            <v>1</v>
          </cell>
          <cell r="L30">
            <v>31</v>
          </cell>
          <cell r="M30">
            <v>25921.200000000001</v>
          </cell>
          <cell r="N30">
            <v>10368.480000000001</v>
          </cell>
          <cell r="O30">
            <v>2083</v>
          </cell>
          <cell r="P30">
            <v>2083</v>
          </cell>
          <cell r="Q30">
            <v>2746.3199999999997</v>
          </cell>
          <cell r="R30">
            <v>43202</v>
          </cell>
          <cell r="S30">
            <v>1950</v>
          </cell>
          <cell r="T30">
            <v>1441.6089999999999</v>
          </cell>
          <cell r="U30">
            <v>1246.80972</v>
          </cell>
          <cell r="V30">
            <v>2160.1</v>
          </cell>
          <cell r="W30">
            <v>50000.518719999993</v>
          </cell>
          <cell r="Y30">
            <v>43202</v>
          </cell>
          <cell r="AA30">
            <v>200</v>
          </cell>
          <cell r="AB30">
            <v>1800</v>
          </cell>
          <cell r="AC30">
            <v>391.787848</v>
          </cell>
          <cell r="AE30">
            <v>2391.7878479999999</v>
          </cell>
          <cell r="AF30">
            <v>45658.518719999993</v>
          </cell>
        </row>
        <row r="31">
          <cell r="C31" t="str">
            <v>BITS-560</v>
          </cell>
          <cell r="D31">
            <v>2109818</v>
          </cell>
          <cell r="E31" t="str">
            <v>Naresh Jampala 03-12-2021</v>
          </cell>
          <cell r="F31" t="str">
            <v>BNG STP</v>
          </cell>
          <cell r="G31">
            <v>95000</v>
          </cell>
          <cell r="H31">
            <v>84912</v>
          </cell>
          <cell r="I31">
            <v>31</v>
          </cell>
          <cell r="J31">
            <v>5</v>
          </cell>
          <cell r="L31">
            <v>5</v>
          </cell>
          <cell r="M31">
            <v>8217.290322580644</v>
          </cell>
          <cell r="N31">
            <v>3286.9161290322577</v>
          </cell>
          <cell r="O31">
            <v>336</v>
          </cell>
          <cell r="P31">
            <v>336</v>
          </cell>
          <cell r="Q31">
            <v>1519.2774193548412</v>
          </cell>
          <cell r="R31">
            <v>13695.483870967742</v>
          </cell>
          <cell r="S31">
            <v>1068.2477419354836</v>
          </cell>
          <cell r="T31">
            <v>1441.6089999999999</v>
          </cell>
          <cell r="U31">
            <v>395.25166451612893</v>
          </cell>
          <cell r="V31">
            <v>684.77419354838696</v>
          </cell>
          <cell r="W31">
            <v>17285.36647096774</v>
          </cell>
          <cell r="Y31">
            <v>13695.483870967742</v>
          </cell>
          <cell r="Z31">
            <v>8097</v>
          </cell>
          <cell r="AA31">
            <v>0</v>
          </cell>
          <cell r="AB31">
            <v>986</v>
          </cell>
          <cell r="AC31">
            <v>391.787848</v>
          </cell>
          <cell r="AE31">
            <v>9474.7878479999999</v>
          </cell>
          <cell r="AF31">
            <v>6742.6348580645163</v>
          </cell>
        </row>
        <row r="32">
          <cell r="C32" t="str">
            <v>BITS-564</v>
          </cell>
          <cell r="D32">
            <v>2110635</v>
          </cell>
          <cell r="E32" t="str">
            <v>Amith a</v>
          </cell>
          <cell r="F32" t="str">
            <v>PUNE STP</v>
          </cell>
          <cell r="G32">
            <v>65000</v>
          </cell>
          <cell r="H32">
            <v>57105</v>
          </cell>
          <cell r="I32">
            <v>31</v>
          </cell>
          <cell r="J32">
            <v>30</v>
          </cell>
          <cell r="K32">
            <v>1</v>
          </cell>
          <cell r="L32">
            <v>31</v>
          </cell>
          <cell r="M32">
            <v>34263</v>
          </cell>
          <cell r="N32">
            <v>13705.2</v>
          </cell>
          <cell r="O32">
            <v>2083</v>
          </cell>
          <cell r="P32">
            <v>2083</v>
          </cell>
          <cell r="Q32">
            <v>4970.8000000000029</v>
          </cell>
          <cell r="R32">
            <v>57105</v>
          </cell>
          <cell r="S32">
            <v>1950</v>
          </cell>
          <cell r="T32">
            <v>1441.6089999999999</v>
          </cell>
          <cell r="U32">
            <v>1648.0502999999999</v>
          </cell>
          <cell r="V32">
            <v>2855.25</v>
          </cell>
          <cell r="W32">
            <v>64999.909299999999</v>
          </cell>
          <cell r="Y32">
            <v>57105</v>
          </cell>
          <cell r="AA32">
            <v>200</v>
          </cell>
          <cell r="AB32">
            <v>1800</v>
          </cell>
          <cell r="AC32">
            <v>440.76132899999999</v>
          </cell>
          <cell r="AE32">
            <v>2440.7613289999999</v>
          </cell>
          <cell r="AF32">
            <v>60608.909299999999</v>
          </cell>
        </row>
        <row r="33">
          <cell r="C33" t="str">
            <v>BITS-565</v>
          </cell>
          <cell r="D33">
            <v>2110700</v>
          </cell>
          <cell r="E33" t="str">
            <v>RajasekharReddy KN</v>
          </cell>
          <cell r="F33" t="str">
            <v>BNG STP</v>
          </cell>
          <cell r="G33">
            <v>75000</v>
          </cell>
          <cell r="H33">
            <v>66374</v>
          </cell>
          <cell r="I33">
            <v>31</v>
          </cell>
          <cell r="J33">
            <v>31</v>
          </cell>
          <cell r="K33">
            <v>1</v>
          </cell>
          <cell r="L33">
            <v>31</v>
          </cell>
          <cell r="M33">
            <v>39824.400000000001</v>
          </cell>
          <cell r="N33">
            <v>15929.760000000002</v>
          </cell>
          <cell r="O33">
            <v>2083</v>
          </cell>
          <cell r="P33">
            <v>2083</v>
          </cell>
          <cell r="Q33">
            <v>6453.8399999999965</v>
          </cell>
          <cell r="R33">
            <v>66374</v>
          </cell>
          <cell r="S33">
            <v>1950</v>
          </cell>
          <cell r="T33">
            <v>1441.6089999999999</v>
          </cell>
          <cell r="U33">
            <v>1915.5536400000001</v>
          </cell>
          <cell r="V33">
            <v>3318.7000000000003</v>
          </cell>
          <cell r="W33">
            <v>74999.862639999992</v>
          </cell>
          <cell r="Y33">
            <v>66374</v>
          </cell>
          <cell r="Z33">
            <v>2682</v>
          </cell>
          <cell r="AA33">
            <v>200</v>
          </cell>
          <cell r="AB33">
            <v>1800</v>
          </cell>
          <cell r="AC33">
            <v>391.787848</v>
          </cell>
          <cell r="AE33">
            <v>5073.7878479999999</v>
          </cell>
          <cell r="AF33">
            <v>67975.862639999992</v>
          </cell>
        </row>
        <row r="34">
          <cell r="C34" t="str">
            <v>BITS-566</v>
          </cell>
          <cell r="D34">
            <v>2110684</v>
          </cell>
          <cell r="E34" t="str">
            <v>Moulika GM</v>
          </cell>
          <cell r="F34" t="str">
            <v>BNG STP</v>
          </cell>
          <cell r="G34">
            <v>25000</v>
          </cell>
          <cell r="H34">
            <v>20029</v>
          </cell>
          <cell r="I34">
            <v>31</v>
          </cell>
          <cell r="J34">
            <v>31</v>
          </cell>
          <cell r="L34">
            <v>31</v>
          </cell>
          <cell r="M34">
            <v>12017.4</v>
          </cell>
          <cell r="N34">
            <v>4806.96</v>
          </cell>
          <cell r="O34">
            <v>2083</v>
          </cell>
          <cell r="P34">
            <v>2083</v>
          </cell>
          <cell r="Q34">
            <v>-961.36000000000058</v>
          </cell>
          <cell r="R34">
            <v>20029</v>
          </cell>
          <cell r="S34">
            <v>1562.2619999999999</v>
          </cell>
          <cell r="T34">
            <v>1441.6089999999999</v>
          </cell>
          <cell r="U34">
            <v>578.03693999999996</v>
          </cell>
          <cell r="V34">
            <v>1001.4499999999999</v>
          </cell>
          <cell r="W34">
            <v>24612.357939999998</v>
          </cell>
          <cell r="Y34">
            <v>20029</v>
          </cell>
          <cell r="AA34">
            <v>200</v>
          </cell>
          <cell r="AB34">
            <v>1442</v>
          </cell>
          <cell r="AC34">
            <v>391.787848</v>
          </cell>
          <cell r="AE34">
            <v>2033.7878479999999</v>
          </cell>
          <cell r="AF34">
            <v>21016.095940000003</v>
          </cell>
        </row>
        <row r="35">
          <cell r="C35" t="str">
            <v>BITS-567</v>
          </cell>
          <cell r="D35">
            <v>2110899</v>
          </cell>
          <cell r="E35" t="str">
            <v>AsokKumar J</v>
          </cell>
          <cell r="F35" t="str">
            <v>BNG STP</v>
          </cell>
          <cell r="G35">
            <v>135000</v>
          </cell>
          <cell r="H35">
            <v>121988</v>
          </cell>
          <cell r="I35">
            <v>31</v>
          </cell>
          <cell r="J35">
            <v>30</v>
          </cell>
          <cell r="K35">
            <v>1</v>
          </cell>
          <cell r="L35">
            <v>31</v>
          </cell>
          <cell r="M35">
            <v>73192.800000000003</v>
          </cell>
          <cell r="N35">
            <v>29277.120000000003</v>
          </cell>
          <cell r="O35">
            <v>2083</v>
          </cell>
          <cell r="P35">
            <v>2083</v>
          </cell>
          <cell r="Q35">
            <v>15352.079999999987</v>
          </cell>
          <cell r="R35">
            <v>121988</v>
          </cell>
          <cell r="S35">
            <v>1950</v>
          </cell>
          <cell r="T35">
            <v>1441.6089999999999</v>
          </cell>
          <cell r="U35">
            <v>3520.5736799999995</v>
          </cell>
          <cell r="V35">
            <v>6099.4000000000005</v>
          </cell>
          <cell r="W35">
            <v>134999.58267999999</v>
          </cell>
          <cell r="Y35">
            <v>121988</v>
          </cell>
          <cell r="Z35">
            <v>25607</v>
          </cell>
          <cell r="AA35">
            <v>200</v>
          </cell>
          <cell r="AB35">
            <v>1800</v>
          </cell>
          <cell r="AC35">
            <v>391.787848</v>
          </cell>
          <cell r="AE35">
            <v>27998.787848</v>
          </cell>
          <cell r="AF35">
            <v>105050.58267999999</v>
          </cell>
        </row>
        <row r="36">
          <cell r="C36" t="str">
            <v>BITS-568</v>
          </cell>
          <cell r="D36">
            <v>2110947</v>
          </cell>
          <cell r="E36" t="str">
            <v>RUKNUDEEN S</v>
          </cell>
          <cell r="F36" t="str">
            <v>HYD SEZ</v>
          </cell>
          <cell r="G36">
            <v>100000</v>
          </cell>
          <cell r="H36">
            <v>89547</v>
          </cell>
          <cell r="I36">
            <v>31</v>
          </cell>
          <cell r="J36">
            <v>31</v>
          </cell>
          <cell r="L36">
            <v>31</v>
          </cell>
          <cell r="M36">
            <v>53728.2</v>
          </cell>
          <cell r="N36">
            <v>21491.279999999999</v>
          </cell>
          <cell r="O36">
            <v>2083</v>
          </cell>
          <cell r="P36">
            <v>2083</v>
          </cell>
          <cell r="Q36">
            <v>10161.520000000004</v>
          </cell>
          <cell r="R36">
            <v>89547</v>
          </cell>
          <cell r="S36">
            <v>1950</v>
          </cell>
          <cell r="T36">
            <v>1441.6089999999999</v>
          </cell>
          <cell r="U36">
            <v>2584.3264199999994</v>
          </cell>
          <cell r="V36">
            <v>4477.3499999999995</v>
          </cell>
          <cell r="W36">
            <v>100000.28542</v>
          </cell>
          <cell r="Y36">
            <v>89547</v>
          </cell>
          <cell r="Z36">
            <v>8328</v>
          </cell>
          <cell r="AA36">
            <v>200</v>
          </cell>
          <cell r="AB36">
            <v>1800</v>
          </cell>
          <cell r="AC36">
            <v>391.787848</v>
          </cell>
          <cell r="AE36">
            <v>10719.787848</v>
          </cell>
          <cell r="AF36">
            <v>87330.28542</v>
          </cell>
        </row>
        <row r="37">
          <cell r="C37" t="str">
            <v>BITS-569</v>
          </cell>
          <cell r="D37">
            <v>2110966</v>
          </cell>
          <cell r="E37" t="str">
            <v>Rajesh Kongara</v>
          </cell>
          <cell r="F37" t="str">
            <v>BNG SEZ</v>
          </cell>
          <cell r="G37">
            <v>130000</v>
          </cell>
          <cell r="H37">
            <v>117354</v>
          </cell>
          <cell r="I37">
            <v>31</v>
          </cell>
          <cell r="J37">
            <v>31</v>
          </cell>
          <cell r="L37">
            <v>31</v>
          </cell>
          <cell r="M37">
            <v>70412.399999999994</v>
          </cell>
          <cell r="N37">
            <v>28164.959999999999</v>
          </cell>
          <cell r="O37">
            <v>2083</v>
          </cell>
          <cell r="P37">
            <v>2083</v>
          </cell>
          <cell r="Q37">
            <v>14610.640000000014</v>
          </cell>
          <cell r="R37">
            <v>117354</v>
          </cell>
          <cell r="S37">
            <v>1950</v>
          </cell>
          <cell r="T37">
            <v>1441.6089999999999</v>
          </cell>
          <cell r="U37">
            <v>3386.8364399999996</v>
          </cell>
          <cell r="V37">
            <v>5867.7</v>
          </cell>
          <cell r="W37">
            <v>130000.14543999999</v>
          </cell>
          <cell r="Y37">
            <v>117354</v>
          </cell>
          <cell r="Z37">
            <v>15443</v>
          </cell>
          <cell r="AA37">
            <v>200</v>
          </cell>
          <cell r="AB37">
            <v>1800</v>
          </cell>
          <cell r="AC37">
            <v>391.787848</v>
          </cell>
          <cell r="AE37">
            <v>17834.787848</v>
          </cell>
          <cell r="AF37">
            <v>110215.14543999999</v>
          </cell>
        </row>
        <row r="38">
          <cell r="C38" t="str">
            <v>BITS-570</v>
          </cell>
          <cell r="D38">
            <v>2110969</v>
          </cell>
          <cell r="E38" t="str">
            <v>Dhrubajyoti Goswami</v>
          </cell>
          <cell r="F38" t="str">
            <v>PUNE STP</v>
          </cell>
          <cell r="G38">
            <v>90000</v>
          </cell>
          <cell r="H38">
            <v>80278</v>
          </cell>
          <cell r="I38">
            <v>31</v>
          </cell>
          <cell r="J38">
            <v>30</v>
          </cell>
          <cell r="K38">
            <v>1</v>
          </cell>
          <cell r="L38">
            <v>31</v>
          </cell>
          <cell r="M38">
            <v>48166.8</v>
          </cell>
          <cell r="N38">
            <v>19266.72</v>
          </cell>
          <cell r="O38">
            <v>2083</v>
          </cell>
          <cell r="P38">
            <v>2083</v>
          </cell>
          <cell r="Q38">
            <v>8678.4799999999959</v>
          </cell>
          <cell r="R38">
            <v>80278</v>
          </cell>
          <cell r="S38">
            <v>1950</v>
          </cell>
          <cell r="T38">
            <v>1441.6089999999999</v>
          </cell>
          <cell r="U38">
            <v>2316.8230800000001</v>
          </cell>
          <cell r="V38">
            <v>4013.9</v>
          </cell>
          <cell r="W38">
            <v>90000.332079999993</v>
          </cell>
          <cell r="Y38">
            <v>80278</v>
          </cell>
          <cell r="Z38">
            <v>5748</v>
          </cell>
          <cell r="AA38">
            <v>200</v>
          </cell>
          <cell r="AB38">
            <v>1800</v>
          </cell>
          <cell r="AC38">
            <v>440.76132899999999</v>
          </cell>
          <cell r="AE38">
            <v>8188.7613289999999</v>
          </cell>
          <cell r="AF38">
            <v>79861.332079999993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0"/>
  <sheetViews>
    <sheetView topLeftCell="A19" zoomScale="130" zoomScaleNormal="130" workbookViewId="0">
      <selection activeCell="B23" sqref="B23"/>
    </sheetView>
  </sheetViews>
  <sheetFormatPr defaultRowHeight="15"/>
  <cols>
    <col min="2" max="2" width="28.28515625" customWidth="1"/>
    <col min="3" max="3" width="13.85546875" customWidth="1"/>
    <col min="4" max="4" width="10.85546875" customWidth="1"/>
    <col min="5" max="5" width="25.140625" customWidth="1"/>
    <col min="6" max="6" width="22.85546875" customWidth="1"/>
    <col min="7" max="7" width="31.140625" customWidth="1"/>
    <col min="8" max="8" width="28.85546875" customWidth="1"/>
    <col min="9" max="9" width="17.140625" customWidth="1"/>
    <col min="10" max="10" width="19.42578125" customWidth="1"/>
    <col min="11" max="11" width="12.85546875" customWidth="1"/>
    <col min="12" max="12" width="13.42578125" customWidth="1"/>
    <col min="13" max="13" width="8.85546875" bestFit="1" customWidth="1"/>
  </cols>
  <sheetData>
    <row r="1" spans="1:13" ht="18" customHeight="1">
      <c r="A1" s="701" t="s">
        <v>465</v>
      </c>
      <c r="B1" s="702"/>
      <c r="C1" s="702"/>
      <c r="D1" s="702"/>
      <c r="E1" s="702"/>
      <c r="F1" s="702"/>
      <c r="G1" s="702"/>
      <c r="H1" s="702"/>
      <c r="I1" s="702"/>
      <c r="J1" s="702"/>
      <c r="K1" s="702"/>
      <c r="L1" s="703"/>
      <c r="M1" s="704"/>
    </row>
    <row r="2" spans="1:13" ht="18" customHeight="1">
      <c r="A2" s="705"/>
      <c r="B2" s="706"/>
      <c r="C2" s="706"/>
      <c r="D2" s="707"/>
      <c r="E2" s="706"/>
      <c r="F2" s="706"/>
      <c r="G2" s="706"/>
      <c r="H2" s="706"/>
      <c r="I2" s="706"/>
      <c r="J2" s="706"/>
      <c r="K2" s="706"/>
      <c r="L2" s="708"/>
      <c r="M2" s="709"/>
    </row>
    <row r="3" spans="1:13" ht="18" customHeight="1">
      <c r="A3" s="710" t="s">
        <v>466</v>
      </c>
      <c r="B3" s="711"/>
      <c r="C3" s="711"/>
      <c r="D3" s="712"/>
      <c r="E3" s="711"/>
      <c r="F3" s="711"/>
      <c r="G3" s="711"/>
      <c r="H3" s="711"/>
      <c r="I3" s="711"/>
      <c r="J3" s="711"/>
      <c r="K3" s="711"/>
      <c r="L3" s="713"/>
      <c r="M3" s="714"/>
    </row>
    <row r="4" spans="1:13" ht="18" customHeight="1">
      <c r="A4" s="422" t="s">
        <v>507</v>
      </c>
      <c r="B4" s="393"/>
      <c r="C4" s="393"/>
      <c r="D4" s="417"/>
      <c r="E4" s="394"/>
      <c r="F4" s="715" t="s">
        <v>508</v>
      </c>
      <c r="G4" s="715"/>
      <c r="H4" s="715"/>
      <c r="I4" s="715"/>
      <c r="J4" s="715"/>
      <c r="K4" s="715"/>
      <c r="L4" s="715"/>
      <c r="M4" s="715"/>
    </row>
    <row r="5" spans="1:13" ht="18" customHeight="1">
      <c r="A5" s="395"/>
      <c r="B5" s="423" t="s">
        <v>404</v>
      </c>
      <c r="C5" s="375"/>
      <c r="D5" s="375"/>
      <c r="E5" s="396"/>
      <c r="F5" s="715"/>
      <c r="G5" s="715"/>
      <c r="H5" s="715"/>
      <c r="I5" s="715"/>
      <c r="J5" s="715"/>
      <c r="K5" s="715"/>
      <c r="L5" s="715"/>
      <c r="M5" s="715"/>
    </row>
    <row r="6" spans="1:13" ht="18" customHeight="1" thickBot="1">
      <c r="A6" s="397"/>
      <c r="B6" s="398"/>
      <c r="C6" s="398"/>
      <c r="D6" s="418"/>
      <c r="E6" s="399"/>
      <c r="F6" s="716"/>
      <c r="G6" s="716"/>
      <c r="H6" s="716"/>
      <c r="I6" s="716"/>
      <c r="J6" s="716"/>
      <c r="K6" s="716"/>
      <c r="L6" s="716"/>
      <c r="M6" s="716"/>
    </row>
    <row r="7" spans="1:13" ht="18" customHeight="1">
      <c r="A7" s="717" t="s">
        <v>507</v>
      </c>
      <c r="B7" s="717"/>
      <c r="C7" s="717"/>
      <c r="D7" s="718"/>
      <c r="E7" s="718"/>
      <c r="F7" s="382" t="s">
        <v>65</v>
      </c>
      <c r="G7" s="370"/>
      <c r="H7" s="370"/>
      <c r="I7" s="370"/>
      <c r="J7" s="370"/>
      <c r="K7" s="370"/>
      <c r="L7" s="371"/>
      <c r="M7" s="371"/>
    </row>
    <row r="8" spans="1:13" ht="18" customHeight="1">
      <c r="A8" s="717"/>
      <c r="B8" s="717"/>
      <c r="C8" s="717"/>
      <c r="D8" s="718"/>
      <c r="E8" s="718"/>
      <c r="F8" s="384" t="s">
        <v>467</v>
      </c>
      <c r="G8" s="375"/>
      <c r="H8" s="375"/>
      <c r="I8" s="375"/>
      <c r="J8" s="375"/>
      <c r="K8" s="375"/>
      <c r="L8" s="376"/>
      <c r="M8" s="376"/>
    </row>
    <row r="9" spans="1:13" ht="18" customHeight="1">
      <c r="A9" s="717"/>
      <c r="B9" s="717"/>
      <c r="C9" s="717"/>
      <c r="D9" s="718"/>
      <c r="E9" s="718"/>
      <c r="F9" s="15" t="s">
        <v>495</v>
      </c>
      <c r="G9" s="375"/>
      <c r="H9" s="375"/>
      <c r="I9" s="375"/>
      <c r="J9" s="375"/>
      <c r="K9" s="375"/>
      <c r="L9" s="376"/>
      <c r="M9" s="376"/>
    </row>
    <row r="10" spans="1:13" ht="18" customHeight="1" thickBot="1">
      <c r="A10" s="717"/>
      <c r="B10" s="717"/>
      <c r="C10" s="717"/>
      <c r="D10" s="718"/>
      <c r="E10" s="718"/>
      <c r="F10" s="379"/>
      <c r="G10" s="380"/>
      <c r="H10" s="380"/>
      <c r="I10" s="380"/>
      <c r="J10" s="380"/>
      <c r="K10" s="380"/>
      <c r="L10" s="381"/>
      <c r="M10" s="381"/>
    </row>
    <row r="11" spans="1:13">
      <c r="A11" s="719" t="s">
        <v>5</v>
      </c>
      <c r="B11" s="719" t="s">
        <v>468</v>
      </c>
      <c r="C11" s="719" t="s">
        <v>469</v>
      </c>
      <c r="D11" s="419"/>
      <c r="E11" s="721" t="s">
        <v>470</v>
      </c>
      <c r="F11" s="721" t="s">
        <v>471</v>
      </c>
      <c r="G11" s="721" t="s">
        <v>472</v>
      </c>
      <c r="H11" s="721" t="s">
        <v>43</v>
      </c>
      <c r="I11" s="721" t="s">
        <v>473</v>
      </c>
      <c r="J11" s="721" t="s">
        <v>474</v>
      </c>
      <c r="K11" s="719" t="s">
        <v>475</v>
      </c>
      <c r="L11" s="400"/>
      <c r="M11" s="723" t="s">
        <v>40</v>
      </c>
    </row>
    <row r="12" spans="1:13" ht="12" customHeight="1">
      <c r="A12" s="720"/>
      <c r="B12" s="720"/>
      <c r="C12" s="720"/>
      <c r="D12" s="420"/>
      <c r="E12" s="722"/>
      <c r="F12" s="722"/>
      <c r="G12" s="722"/>
      <c r="H12" s="722"/>
      <c r="I12" s="722"/>
      <c r="J12" s="722"/>
      <c r="K12" s="720"/>
      <c r="L12" s="401" t="s">
        <v>476</v>
      </c>
      <c r="M12" s="719"/>
    </row>
    <row r="13" spans="1:13">
      <c r="A13" s="386">
        <v>1</v>
      </c>
      <c r="B13" s="386">
        <v>2</v>
      </c>
      <c r="C13" s="386">
        <v>3</v>
      </c>
      <c r="D13" s="421"/>
      <c r="E13" s="386">
        <v>4</v>
      </c>
      <c r="F13" s="386">
        <v>5</v>
      </c>
      <c r="G13" s="386">
        <v>6</v>
      </c>
      <c r="H13" s="386">
        <v>7</v>
      </c>
      <c r="I13" s="386">
        <v>8</v>
      </c>
      <c r="J13" s="386">
        <v>9</v>
      </c>
      <c r="K13" s="386">
        <v>10</v>
      </c>
      <c r="L13" s="386"/>
      <c r="M13" s="386">
        <v>11</v>
      </c>
    </row>
    <row r="14" spans="1:13" ht="50.1" customHeight="1">
      <c r="A14" s="557">
        <v>1</v>
      </c>
      <c r="B14" s="558" t="s">
        <v>496</v>
      </c>
      <c r="C14" s="559">
        <v>31356</v>
      </c>
      <c r="D14" s="560" t="s">
        <v>403</v>
      </c>
      <c r="E14" s="561" t="s">
        <v>503</v>
      </c>
      <c r="F14" s="562" t="s">
        <v>511</v>
      </c>
      <c r="G14" s="563" t="s">
        <v>504</v>
      </c>
      <c r="H14" s="563" t="s">
        <v>504</v>
      </c>
      <c r="I14" s="564">
        <v>43222</v>
      </c>
      <c r="J14" s="565"/>
      <c r="K14" s="588">
        <v>43532</v>
      </c>
      <c r="L14" s="567" t="s">
        <v>519</v>
      </c>
      <c r="M14" s="568"/>
    </row>
    <row r="15" spans="1:13" ht="50.1" customHeight="1">
      <c r="A15" s="557">
        <v>2</v>
      </c>
      <c r="B15" s="558" t="s">
        <v>497</v>
      </c>
      <c r="C15" s="559">
        <v>32014</v>
      </c>
      <c r="D15" s="560" t="s">
        <v>403</v>
      </c>
      <c r="E15" s="561" t="s">
        <v>499</v>
      </c>
      <c r="F15" s="562" t="s">
        <v>511</v>
      </c>
      <c r="G15" s="563" t="s">
        <v>500</v>
      </c>
      <c r="H15" s="563" t="s">
        <v>500</v>
      </c>
      <c r="I15" s="564">
        <v>43334</v>
      </c>
      <c r="J15" s="565"/>
      <c r="K15" s="588">
        <v>43714</v>
      </c>
      <c r="L15" s="567" t="s">
        <v>519</v>
      </c>
      <c r="M15" s="568"/>
    </row>
    <row r="16" spans="1:13" ht="50.1" customHeight="1">
      <c r="A16" s="557">
        <v>3</v>
      </c>
      <c r="B16" s="558" t="s">
        <v>498</v>
      </c>
      <c r="C16" s="559">
        <v>33240</v>
      </c>
      <c r="D16" s="560" t="s">
        <v>403</v>
      </c>
      <c r="E16" s="563" t="s">
        <v>501</v>
      </c>
      <c r="F16" s="562" t="s">
        <v>511</v>
      </c>
      <c r="G16" s="569" t="s">
        <v>502</v>
      </c>
      <c r="H16" s="569" t="s">
        <v>502</v>
      </c>
      <c r="I16" s="564">
        <v>43409</v>
      </c>
      <c r="J16" s="565"/>
      <c r="K16" s="566">
        <v>43546</v>
      </c>
      <c r="L16" s="567" t="s">
        <v>519</v>
      </c>
      <c r="M16" s="568"/>
    </row>
    <row r="17" spans="1:13" ht="50.1" customHeight="1">
      <c r="A17" s="570">
        <v>4</v>
      </c>
      <c r="B17" s="571" t="s">
        <v>506</v>
      </c>
      <c r="C17" s="637">
        <v>31783</v>
      </c>
      <c r="D17" s="572" t="s">
        <v>403</v>
      </c>
      <c r="E17" s="573" t="s">
        <v>510</v>
      </c>
      <c r="F17" s="562" t="s">
        <v>511</v>
      </c>
      <c r="G17" s="574" t="s">
        <v>512</v>
      </c>
      <c r="H17" s="575" t="s">
        <v>513</v>
      </c>
      <c r="I17" s="576">
        <v>43472</v>
      </c>
      <c r="J17" s="577"/>
      <c r="K17" s="578">
        <v>43630</v>
      </c>
      <c r="L17" s="567" t="s">
        <v>519</v>
      </c>
      <c r="M17" s="577"/>
    </row>
    <row r="18" spans="1:13" s="635" customFormat="1" ht="46.5" customHeight="1">
      <c r="A18" s="629">
        <v>5</v>
      </c>
      <c r="B18" s="647" t="s">
        <v>624</v>
      </c>
      <c r="C18" s="648" t="s">
        <v>516</v>
      </c>
      <c r="D18" s="649" t="s">
        <v>517</v>
      </c>
      <c r="E18" s="650" t="s">
        <v>514</v>
      </c>
      <c r="F18" s="632" t="s">
        <v>509</v>
      </c>
      <c r="G18" s="651" t="s">
        <v>515</v>
      </c>
      <c r="H18" s="651" t="s">
        <v>515</v>
      </c>
      <c r="I18" s="652" t="s">
        <v>518</v>
      </c>
      <c r="J18" s="653"/>
      <c r="K18" s="653"/>
      <c r="L18" s="653"/>
      <c r="M18" s="653"/>
    </row>
    <row r="19" spans="1:13" s="607" customFormat="1" ht="18" customHeight="1">
      <c r="A19" s="598">
        <v>6</v>
      </c>
      <c r="B19" s="599" t="s">
        <v>617</v>
      </c>
      <c r="C19" s="600">
        <v>30474</v>
      </c>
      <c r="D19" s="601" t="s">
        <v>403</v>
      </c>
      <c r="E19" s="602" t="s">
        <v>521</v>
      </c>
      <c r="F19" s="603" t="s">
        <v>523</v>
      </c>
      <c r="G19" s="604" t="s">
        <v>522</v>
      </c>
      <c r="H19" s="604" t="s">
        <v>522</v>
      </c>
      <c r="I19" s="605">
        <v>44060</v>
      </c>
      <c r="J19" s="606"/>
      <c r="K19" s="606"/>
      <c r="L19" s="606">
        <v>0</v>
      </c>
      <c r="M19" s="606">
        <v>0</v>
      </c>
    </row>
    <row r="20" spans="1:13" s="635" customFormat="1" ht="30" customHeight="1">
      <c r="A20" s="655">
        <v>7</v>
      </c>
      <c r="B20" s="599" t="s">
        <v>524</v>
      </c>
      <c r="C20" s="600" t="s">
        <v>525</v>
      </c>
      <c r="D20" s="601" t="s">
        <v>403</v>
      </c>
      <c r="E20" s="656" t="s">
        <v>526</v>
      </c>
      <c r="F20" s="630" t="s">
        <v>528</v>
      </c>
      <c r="G20" s="654" t="s">
        <v>527</v>
      </c>
      <c r="H20" s="654" t="s">
        <v>527</v>
      </c>
      <c r="I20" s="605">
        <v>44109</v>
      </c>
      <c r="J20" s="657"/>
      <c r="K20" s="657"/>
      <c r="L20" s="657"/>
      <c r="M20" s="657"/>
    </row>
    <row r="21" spans="1:13" s="607" customFormat="1" ht="31.5" customHeight="1">
      <c r="A21" s="608">
        <v>8</v>
      </c>
      <c r="B21" s="609" t="s">
        <v>620</v>
      </c>
      <c r="C21" s="610">
        <v>28740</v>
      </c>
      <c r="D21" s="611" t="s">
        <v>403</v>
      </c>
      <c r="E21" s="612" t="s">
        <v>530</v>
      </c>
      <c r="F21" s="613" t="s">
        <v>529</v>
      </c>
      <c r="G21" s="614" t="s">
        <v>531</v>
      </c>
      <c r="H21" s="614" t="s">
        <v>531</v>
      </c>
      <c r="I21" s="615">
        <v>44158</v>
      </c>
      <c r="J21" s="616"/>
      <c r="K21" s="621">
        <v>44348</v>
      </c>
      <c r="L21" s="567" t="s">
        <v>519</v>
      </c>
      <c r="M21" s="616"/>
    </row>
    <row r="22" spans="1:13" s="635" customFormat="1" ht="38.25" customHeight="1">
      <c r="A22" s="629">
        <v>9</v>
      </c>
      <c r="B22" s="630" t="s">
        <v>532</v>
      </c>
      <c r="C22" s="631" t="s">
        <v>533</v>
      </c>
      <c r="D22" s="601" t="s">
        <v>403</v>
      </c>
      <c r="E22" s="632" t="s">
        <v>534</v>
      </c>
      <c r="F22" s="640" t="s">
        <v>535</v>
      </c>
      <c r="G22" s="633" t="s">
        <v>536</v>
      </c>
      <c r="H22" s="633" t="s">
        <v>536</v>
      </c>
      <c r="I22" s="615">
        <v>44298</v>
      </c>
      <c r="J22" s="634"/>
      <c r="K22" s="634"/>
      <c r="L22" s="634"/>
      <c r="M22" s="634"/>
    </row>
    <row r="23" spans="1:13" s="260" customFormat="1" ht="39" customHeight="1">
      <c r="A23" s="581">
        <v>10</v>
      </c>
      <c r="B23" s="597" t="s">
        <v>601</v>
      </c>
      <c r="C23" s="636">
        <v>29351</v>
      </c>
      <c r="D23" s="580" t="s">
        <v>403</v>
      </c>
      <c r="E23" s="625" t="s">
        <v>614</v>
      </c>
      <c r="F23" s="584" t="s">
        <v>603</v>
      </c>
      <c r="G23" s="663" t="s">
        <v>615</v>
      </c>
      <c r="H23" s="663" t="s">
        <v>616</v>
      </c>
      <c r="I23" s="579">
        <v>44326</v>
      </c>
      <c r="J23" s="582"/>
      <c r="K23" s="582"/>
      <c r="L23" s="582"/>
      <c r="M23" s="582"/>
    </row>
    <row r="24" spans="1:13" s="635" customFormat="1" ht="39" customHeight="1">
      <c r="A24" s="689">
        <v>11</v>
      </c>
      <c r="B24" s="690" t="s">
        <v>602</v>
      </c>
      <c r="C24" s="683">
        <v>30723</v>
      </c>
      <c r="D24" s="601" t="s">
        <v>403</v>
      </c>
      <c r="E24" s="684" t="s">
        <v>607</v>
      </c>
      <c r="F24" s="685" t="s">
        <v>613</v>
      </c>
      <c r="G24" s="686" t="s">
        <v>609</v>
      </c>
      <c r="H24" s="687" t="s">
        <v>611</v>
      </c>
      <c r="I24" s="688">
        <v>44333</v>
      </c>
      <c r="J24" s="691"/>
      <c r="K24" s="691"/>
      <c r="L24" s="691"/>
      <c r="M24" s="691"/>
    </row>
    <row r="25" spans="1:13" s="260" customFormat="1" ht="30" customHeight="1">
      <c r="A25" s="590"/>
      <c r="B25" s="591"/>
      <c r="C25" s="592"/>
      <c r="D25" s="593"/>
      <c r="E25" s="594"/>
      <c r="F25" s="594"/>
      <c r="G25" s="594"/>
      <c r="H25" s="594"/>
      <c r="I25" s="595"/>
      <c r="J25" s="596"/>
      <c r="K25" s="596"/>
      <c r="L25" s="596"/>
      <c r="M25" s="596"/>
    </row>
    <row r="26" spans="1:13" s="260" customFormat="1" ht="30" customHeight="1">
      <c r="A26" s="590"/>
      <c r="B26" s="591"/>
      <c r="C26" s="592"/>
      <c r="D26" s="593"/>
      <c r="E26" s="594"/>
      <c r="F26" s="594"/>
      <c r="G26" s="594"/>
      <c r="H26" s="594"/>
      <c r="I26" s="595"/>
      <c r="J26" s="596"/>
      <c r="K26" s="596"/>
      <c r="L26" s="596"/>
      <c r="M26" s="596"/>
    </row>
    <row r="27" spans="1:13" s="260" customFormat="1" ht="30" customHeight="1">
      <c r="A27" s="590"/>
      <c r="B27" s="591"/>
      <c r="C27" s="592"/>
      <c r="D27" s="593"/>
      <c r="E27" s="594"/>
      <c r="F27" s="594"/>
      <c r="G27" s="594"/>
      <c r="H27" s="594"/>
      <c r="I27" s="595"/>
      <c r="J27" s="596"/>
      <c r="K27" s="596"/>
      <c r="L27" s="596"/>
      <c r="M27" s="596"/>
    </row>
    <row r="28" spans="1:13" ht="50.1" customHeight="1">
      <c r="A28" s="435"/>
      <c r="B28" s="436"/>
      <c r="C28" s="437"/>
      <c r="D28" s="438"/>
      <c r="E28" s="438"/>
      <c r="F28" s="439"/>
      <c r="G28" s="440"/>
      <c r="H28" s="440"/>
      <c r="I28" s="441"/>
      <c r="J28" s="375"/>
      <c r="K28" s="375"/>
      <c r="L28" s="375"/>
      <c r="M28" s="375"/>
    </row>
    <row r="29" spans="1:13" ht="50.1" customHeight="1">
      <c r="A29" s="435"/>
      <c r="B29" s="436"/>
      <c r="C29" s="437"/>
      <c r="D29" s="438"/>
      <c r="E29" s="438"/>
      <c r="F29" s="439"/>
      <c r="G29" s="440"/>
      <c r="H29" s="440"/>
      <c r="I29" s="441"/>
      <c r="J29" s="375"/>
      <c r="K29" s="375"/>
      <c r="L29" s="375"/>
      <c r="M29" s="375"/>
    </row>
    <row r="30" spans="1:13">
      <c r="A30" s="392"/>
      <c r="B30" s="392"/>
      <c r="C30" s="392"/>
      <c r="D30" s="392"/>
      <c r="E30" s="392"/>
      <c r="F30" s="392"/>
      <c r="G30" s="392"/>
      <c r="H30" s="700" t="s">
        <v>38</v>
      </c>
      <c r="I30" s="700"/>
      <c r="J30" s="700"/>
      <c r="K30" s="700"/>
      <c r="L30" s="700"/>
      <c r="M30" s="700"/>
    </row>
  </sheetData>
  <protectedRanges>
    <protectedRange password="CA4D" sqref="A1:M2 A11:M13" name="Range1"/>
    <protectedRange password="CA4D" sqref="A3:M3" name="Range1_6"/>
    <protectedRange password="CA4D" sqref="A6:E6 M7:M10 B4:E4 A5 C5:E5" name="Range1_1"/>
    <protectedRange password="CA4D" sqref="F7:L8 F10:L10 G9:L9" name="Range1_2_1"/>
    <protectedRange password="CA4D" sqref="A4" name="Range1_1_1"/>
    <protectedRange password="CA4D" sqref="B5" name="Range1_1_2"/>
    <protectedRange password="CA4D" sqref="A7:E10" name="Range1_1_2_1"/>
    <protectedRange password="CA4D" sqref="F4:M6" name="Range1_2_2"/>
    <protectedRange password="CA4D" sqref="F9" name="Range1_2_1_1"/>
  </protectedRanges>
  <mergeCells count="16">
    <mergeCell ref="H30:M30"/>
    <mergeCell ref="A1:M2"/>
    <mergeCell ref="A3:M3"/>
    <mergeCell ref="F4:M6"/>
    <mergeCell ref="A7:E10"/>
    <mergeCell ref="A11:A12"/>
    <mergeCell ref="B11:B12"/>
    <mergeCell ref="C11:C12"/>
    <mergeCell ref="E11:E12"/>
    <mergeCell ref="F11:F12"/>
    <mergeCell ref="G11:G12"/>
    <mergeCell ref="H11:H12"/>
    <mergeCell ref="I11:I12"/>
    <mergeCell ref="J11:J12"/>
    <mergeCell ref="K11:K12"/>
    <mergeCell ref="M11:M12"/>
  </mergeCells>
  <pageMargins left="0.70866141732283472" right="0.70866141732283472" top="0.74803149606299213" bottom="0.74803149606299213" header="0.31496062992125984" footer="0.31496062992125984"/>
  <pageSetup paperSize="8" scale="80" orientation="landscape"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C18"/>
  <sheetViews>
    <sheetView topLeftCell="A10" zoomScaleNormal="100" workbookViewId="0">
      <pane xSplit="3" ySplit="8" topLeftCell="D18" activePane="bottomRight" state="frozen"/>
      <selection activeCell="A10" sqref="A10"/>
      <selection pane="topRight" activeCell="D10" sqref="D10"/>
      <selection pane="bottomLeft" activeCell="A18" sqref="A18"/>
      <selection pane="bottomRight" activeCell="A18" sqref="A18"/>
    </sheetView>
  </sheetViews>
  <sheetFormatPr defaultRowHeight="27" customHeight="1"/>
  <cols>
    <col min="1" max="1" width="7.5703125" style="9" customWidth="1"/>
    <col min="2" max="2" width="12" style="353" customWidth="1"/>
    <col min="3" max="3" width="25" customWidth="1"/>
    <col min="4" max="4" width="12.7109375" customWidth="1"/>
    <col min="5" max="5" width="12" customWidth="1"/>
    <col min="6" max="6" width="30.5703125" customWidth="1"/>
    <col min="7" max="7" width="26" customWidth="1"/>
    <col min="8" max="8" width="28.5703125" customWidth="1"/>
    <col min="9" max="9" width="26.5703125" customWidth="1"/>
    <col min="10" max="10" width="25.5703125" customWidth="1"/>
    <col min="11" max="11" width="47.85546875" customWidth="1"/>
    <col min="12" max="12" width="31.140625" customWidth="1"/>
    <col min="13" max="13" width="28.5703125" customWidth="1"/>
    <col min="14" max="14" width="26.7109375" customWidth="1"/>
    <col min="15" max="15" width="23" customWidth="1"/>
    <col min="16" max="16" width="26.5703125" customWidth="1"/>
    <col min="17" max="18" width="23" customWidth="1"/>
    <col min="19" max="20" width="31.42578125" customWidth="1"/>
    <col min="21" max="21" width="0.140625" customWidth="1"/>
    <col min="22" max="22" width="23" customWidth="1"/>
    <col min="23" max="23" width="5.85546875" customWidth="1"/>
    <col min="24" max="24" width="6.5703125" customWidth="1"/>
    <col min="25" max="25" width="6" customWidth="1"/>
    <col min="26" max="26" width="11" style="2" customWidth="1"/>
    <col min="27" max="27" width="10.85546875" customWidth="1"/>
    <col min="28" max="28" width="3.140625" customWidth="1"/>
    <col min="29" max="29" width="3.7109375" customWidth="1"/>
    <col min="30" max="30" width="8" customWidth="1"/>
    <col min="31" max="31" width="8.28515625" customWidth="1"/>
    <col min="32" max="32" width="7.140625" customWidth="1"/>
    <col min="33" max="33" width="7.42578125" customWidth="1"/>
    <col min="34" max="34" width="8.42578125" customWidth="1"/>
    <col min="35" max="35" width="12" customWidth="1"/>
    <col min="36" max="36" width="11.42578125" customWidth="1"/>
    <col min="37" max="37" width="8.42578125" customWidth="1"/>
    <col min="38" max="38" width="10.140625" customWidth="1"/>
    <col min="39" max="39" width="6.140625" customWidth="1"/>
    <col min="40" max="40" width="9.85546875" customWidth="1"/>
    <col min="41" max="41" width="4.85546875" style="9" customWidth="1"/>
    <col min="42" max="42" width="8.7109375" style="9" customWidth="1"/>
    <col min="43" max="43" width="8.28515625" style="9" customWidth="1"/>
    <col min="44" max="44" width="10.85546875" style="9" customWidth="1"/>
    <col min="45" max="45" width="9.28515625" style="9" customWidth="1"/>
    <col min="46" max="46" width="11" style="9" customWidth="1"/>
    <col min="47" max="47" width="12.5703125" customWidth="1"/>
    <col min="48" max="48" width="13.85546875" bestFit="1" customWidth="1"/>
    <col min="49" max="49" width="21.7109375" customWidth="1"/>
    <col min="50" max="50" width="32.85546875" bestFit="1" customWidth="1"/>
    <col min="51" max="51" width="11.7109375" customWidth="1"/>
  </cols>
  <sheetData>
    <row r="1" spans="1:55" ht="33.75" customHeight="1"/>
    <row r="2" spans="1:55" ht="33.75" customHeight="1"/>
    <row r="3" spans="1:55" ht="33.75" customHeight="1">
      <c r="A3" t="s">
        <v>48</v>
      </c>
      <c r="B3"/>
      <c r="L3" s="22"/>
      <c r="Z3"/>
      <c r="AO3"/>
      <c r="AP3"/>
      <c r="AQ3"/>
      <c r="AR3"/>
      <c r="AS3"/>
      <c r="AT3"/>
    </row>
    <row r="4" spans="1:55" ht="33.75" customHeight="1">
      <c r="C4" t="s">
        <v>398</v>
      </c>
    </row>
    <row r="5" spans="1:55" ht="33.75" customHeight="1">
      <c r="A5" s="725" t="s">
        <v>0</v>
      </c>
      <c r="B5" s="725"/>
      <c r="C5" s="725"/>
      <c r="D5" s="725"/>
      <c r="E5" s="14"/>
      <c r="F5" s="14"/>
      <c r="G5" s="1" t="s">
        <v>402</v>
      </c>
      <c r="H5" s="4"/>
      <c r="I5" s="4"/>
      <c r="J5" s="1"/>
      <c r="K5" s="1"/>
      <c r="L5" s="1"/>
      <c r="M5" s="1"/>
      <c r="N5" s="1"/>
      <c r="O5" s="1"/>
      <c r="P5" s="1"/>
      <c r="Q5" s="1"/>
      <c r="R5" s="1"/>
      <c r="S5" s="1"/>
      <c r="T5" s="1"/>
      <c r="U5" s="1"/>
      <c r="V5" s="1"/>
      <c r="W5" s="1"/>
      <c r="AC5" s="732" t="s">
        <v>1</v>
      </c>
      <c r="AD5" s="732"/>
      <c r="AE5" s="732"/>
      <c r="AF5" s="732"/>
      <c r="AG5" s="732"/>
      <c r="AH5" s="732"/>
      <c r="AI5" s="732"/>
      <c r="AJ5" s="732"/>
      <c r="AK5" s="732"/>
      <c r="AL5" s="732"/>
      <c r="AM5" s="732"/>
      <c r="AN5" s="732"/>
      <c r="AO5" s="732"/>
      <c r="AP5" s="732"/>
      <c r="AQ5" s="3" t="str">
        <f>G5</f>
        <v>Burgeon IT Services Pvt.Ltd.</v>
      </c>
      <c r="AR5" s="4"/>
      <c r="AS5" s="4"/>
      <c r="AT5" s="4"/>
      <c r="AU5" s="4"/>
      <c r="AV5" s="4"/>
      <c r="AW5" s="4"/>
      <c r="AX5" s="4"/>
      <c r="AY5" s="4"/>
      <c r="AZ5" s="5"/>
      <c r="BA5" s="5"/>
      <c r="BB5" s="5"/>
      <c r="BC5" s="5"/>
    </row>
    <row r="6" spans="1:55" ht="33.75" customHeight="1">
      <c r="A6" s="6"/>
      <c r="B6" s="6"/>
      <c r="G6" s="7" t="s">
        <v>404</v>
      </c>
      <c r="J6" s="7"/>
      <c r="K6" s="7"/>
      <c r="L6" s="7"/>
      <c r="M6" s="7"/>
      <c r="N6" s="7"/>
      <c r="O6" s="7"/>
      <c r="P6" s="7"/>
      <c r="Q6" s="7"/>
      <c r="R6" s="7"/>
      <c r="S6" s="7"/>
      <c r="T6" s="7"/>
      <c r="U6" s="7"/>
      <c r="V6" s="7"/>
      <c r="W6" s="7"/>
      <c r="AD6" s="8"/>
      <c r="AE6" s="8"/>
      <c r="AF6" s="8"/>
      <c r="AG6" s="8"/>
      <c r="AH6" s="8"/>
      <c r="AI6" s="8"/>
      <c r="AJ6" s="8"/>
      <c r="AK6" s="8"/>
      <c r="AL6" s="8"/>
      <c r="AM6" s="8"/>
      <c r="AN6" s="8"/>
      <c r="AQ6" s="7" t="str">
        <f>G6</f>
        <v>Siri Mansion LIGB 436 Dr.A S Rao Nagar,Hyderabad</v>
      </c>
      <c r="AR6"/>
      <c r="AS6"/>
      <c r="AT6" s="10"/>
      <c r="AU6" s="10"/>
      <c r="AV6" s="10"/>
      <c r="AW6" s="10"/>
      <c r="AX6" s="10"/>
      <c r="AY6" s="10"/>
      <c r="AZ6" s="10"/>
      <c r="BA6" s="10"/>
      <c r="BB6" s="10"/>
      <c r="BC6" s="10"/>
    </row>
    <row r="7" spans="1:55" ht="27" customHeight="1">
      <c r="A7" s="6"/>
      <c r="B7" s="6"/>
      <c r="G7" s="342"/>
      <c r="J7" s="7"/>
      <c r="K7" s="7"/>
      <c r="L7" s="7"/>
      <c r="M7" s="7"/>
      <c r="N7" s="7"/>
      <c r="O7" s="7"/>
      <c r="P7" s="7"/>
      <c r="Q7" s="7"/>
      <c r="R7" s="7"/>
      <c r="S7" s="7"/>
      <c r="T7" s="7"/>
      <c r="U7" s="7"/>
      <c r="V7" s="7"/>
      <c r="W7" s="7"/>
      <c r="AD7" s="8"/>
      <c r="AE7" s="8"/>
      <c r="AF7" s="8"/>
      <c r="AG7" s="8"/>
      <c r="AH7" s="8"/>
      <c r="AI7" s="8"/>
      <c r="AJ7" s="8"/>
      <c r="AK7" s="8"/>
      <c r="AL7" s="8"/>
      <c r="AM7" s="8"/>
      <c r="AN7" s="8"/>
      <c r="AQ7" s="7">
        <f>G7</f>
        <v>0</v>
      </c>
      <c r="AR7"/>
      <c r="AS7"/>
      <c r="AT7" s="10"/>
      <c r="AU7" s="10"/>
      <c r="AV7" s="10"/>
      <c r="AW7" s="10"/>
      <c r="AX7" s="10"/>
      <c r="AY7" s="10"/>
      <c r="AZ7" s="10"/>
      <c r="BA7" s="10"/>
      <c r="BB7" s="10"/>
      <c r="BC7" s="10"/>
    </row>
    <row r="8" spans="1:55" ht="27" customHeight="1">
      <c r="A8" s="725" t="s">
        <v>2</v>
      </c>
      <c r="B8" s="725"/>
      <c r="C8" s="725"/>
      <c r="D8" s="725"/>
      <c r="E8" s="14"/>
      <c r="F8" s="14"/>
      <c r="G8" s="11" t="s">
        <v>622</v>
      </c>
      <c r="H8" s="11"/>
      <c r="I8" s="11"/>
      <c r="J8" s="11"/>
      <c r="K8" s="11"/>
      <c r="L8" s="11"/>
      <c r="M8" s="11"/>
      <c r="N8" s="11"/>
      <c r="O8" s="11"/>
      <c r="P8" s="11"/>
      <c r="Q8" s="11"/>
      <c r="R8" s="11"/>
      <c r="S8" s="11"/>
      <c r="T8" s="11"/>
      <c r="U8" s="11"/>
      <c r="V8" s="11"/>
      <c r="W8" s="11"/>
      <c r="AD8" s="8"/>
      <c r="AE8" s="8"/>
      <c r="AF8" s="8"/>
      <c r="AG8" s="8"/>
      <c r="AH8" s="8"/>
      <c r="AI8" s="8"/>
      <c r="AJ8" s="8"/>
      <c r="AK8" s="8"/>
      <c r="AL8" s="8"/>
      <c r="AM8" s="8"/>
      <c r="AN8" s="8"/>
      <c r="AQ8" s="12"/>
      <c r="AR8" s="12"/>
      <c r="AS8" s="12"/>
      <c r="AT8" s="12"/>
      <c r="AU8" s="12"/>
      <c r="AV8" s="12"/>
      <c r="AW8" s="12"/>
      <c r="AX8" s="12"/>
      <c r="AY8" s="12"/>
      <c r="AZ8" s="12"/>
      <c r="BA8" s="12"/>
      <c r="BB8" s="12"/>
      <c r="BC8" s="12"/>
    </row>
    <row r="9" spans="1:55" ht="27" customHeight="1">
      <c r="A9" s="6"/>
      <c r="B9" s="6"/>
      <c r="AD9" s="8"/>
      <c r="AE9" s="8"/>
      <c r="AF9" s="8"/>
      <c r="AG9" s="8"/>
      <c r="AH9" s="8"/>
      <c r="AI9" s="8"/>
      <c r="AJ9" s="8"/>
      <c r="AK9" s="8"/>
      <c r="AL9" s="8"/>
      <c r="AM9" s="8"/>
      <c r="AN9" s="8"/>
      <c r="AQ9" s="724"/>
      <c r="AR9" s="724"/>
      <c r="AS9" s="724"/>
      <c r="AT9" s="724"/>
      <c r="AU9" s="724"/>
      <c r="AV9" s="724"/>
      <c r="AW9" s="724"/>
      <c r="AX9" s="724"/>
      <c r="AY9" s="724"/>
    </row>
    <row r="10" spans="1:55" ht="28.5" customHeight="1">
      <c r="A10" s="725" t="s">
        <v>3</v>
      </c>
      <c r="B10" s="725"/>
      <c r="C10" s="725"/>
      <c r="D10" s="725"/>
      <c r="E10" s="664">
        <v>44652</v>
      </c>
      <c r="F10" s="14"/>
      <c r="H10" s="13"/>
      <c r="I10" s="13"/>
      <c r="J10" s="13"/>
      <c r="K10" s="13"/>
      <c r="L10" s="13"/>
      <c r="M10" s="13"/>
      <c r="N10" s="13"/>
      <c r="O10" s="13"/>
      <c r="P10" s="13"/>
      <c r="Q10" s="13"/>
      <c r="R10" s="13"/>
      <c r="S10" s="13"/>
      <c r="T10" s="13"/>
      <c r="U10" s="13"/>
      <c r="V10" s="13"/>
      <c r="W10" s="13"/>
      <c r="AD10" s="14"/>
      <c r="AE10" s="14"/>
      <c r="AF10" s="14"/>
      <c r="AG10" s="14"/>
      <c r="AH10" s="14"/>
      <c r="AJ10" s="6"/>
      <c r="AK10" s="6"/>
      <c r="AL10" s="14" t="s">
        <v>4</v>
      </c>
      <c r="AM10" s="6"/>
      <c r="AN10" s="6"/>
      <c r="AO10" s="6"/>
      <c r="AP10" s="6"/>
      <c r="AQ10" s="411" t="s">
        <v>494</v>
      </c>
      <c r="AR10" s="4"/>
      <c r="AS10" s="4"/>
      <c r="AT10" s="4"/>
      <c r="AU10" s="4"/>
      <c r="AV10" s="4"/>
      <c r="AW10" s="4"/>
      <c r="AX10" s="5"/>
      <c r="AY10" s="5"/>
      <c r="AZ10" s="5"/>
      <c r="BA10" s="5"/>
    </row>
    <row r="11" spans="1:55" ht="27" customHeight="1">
      <c r="AQ11" s="15" t="s">
        <v>495</v>
      </c>
      <c r="AR11" s="16"/>
      <c r="AS11" s="16"/>
      <c r="AT11" s="10"/>
      <c r="AU11" s="10"/>
      <c r="AV11" s="10"/>
      <c r="AW11" s="10"/>
      <c r="AX11" s="10"/>
      <c r="AY11" s="10"/>
      <c r="AZ11" s="10"/>
      <c r="BA11" s="10"/>
    </row>
    <row r="12" spans="1:55" ht="27" customHeight="1">
      <c r="D12" s="17"/>
      <c r="E12" s="17"/>
      <c r="F12" s="17"/>
    </row>
    <row r="13" spans="1:55" ht="27" customHeight="1">
      <c r="A13" s="668"/>
      <c r="B13" s="668"/>
      <c r="C13" s="514"/>
      <c r="D13" s="514"/>
      <c r="E13" s="514"/>
      <c r="F13" s="514"/>
      <c r="G13" s="514"/>
      <c r="H13" s="514"/>
      <c r="I13" s="514"/>
      <c r="J13" s="514"/>
      <c r="K13" s="514"/>
      <c r="L13" s="514"/>
      <c r="M13" s="514"/>
      <c r="N13" s="514"/>
      <c r="O13" s="514"/>
      <c r="P13" s="514"/>
      <c r="Q13" s="514"/>
      <c r="R13" s="514"/>
      <c r="S13" s="514"/>
      <c r="T13" s="514"/>
      <c r="U13" s="514"/>
      <c r="V13" s="514"/>
      <c r="W13" s="514"/>
      <c r="X13" s="514"/>
      <c r="Y13" s="514"/>
      <c r="Z13" s="669"/>
      <c r="AA13" s="514"/>
      <c r="AB13" s="514"/>
      <c r="AC13" s="514"/>
      <c r="AD13" s="514"/>
      <c r="AE13" s="514"/>
      <c r="AF13" s="514"/>
      <c r="AG13" s="514"/>
      <c r="AH13" s="514"/>
      <c r="AI13" s="514"/>
      <c r="AJ13" s="514"/>
      <c r="AK13" s="514"/>
      <c r="AL13" s="514"/>
      <c r="AM13" s="514"/>
      <c r="AN13" s="514"/>
      <c r="AO13" s="668"/>
      <c r="AP13" s="668"/>
      <c r="AQ13" s="668"/>
      <c r="AR13" s="668"/>
      <c r="AS13" s="668"/>
      <c r="AT13" s="668"/>
      <c r="AU13" s="514"/>
      <c r="AV13" s="514"/>
      <c r="AW13" s="514"/>
      <c r="AX13" s="514"/>
      <c r="AY13" s="514"/>
    </row>
    <row r="14" spans="1:55" s="392" customFormat="1" ht="44.25" customHeight="1">
      <c r="A14" s="726" t="s">
        <v>7</v>
      </c>
      <c r="B14" s="730" t="s">
        <v>477</v>
      </c>
      <c r="C14" s="730" t="s">
        <v>6</v>
      </c>
      <c r="D14" s="670" t="s">
        <v>49</v>
      </c>
      <c r="E14" s="670" t="s">
        <v>39</v>
      </c>
      <c r="F14" s="670" t="s">
        <v>41</v>
      </c>
      <c r="G14" s="730" t="s">
        <v>8</v>
      </c>
      <c r="H14" s="671" t="s">
        <v>42</v>
      </c>
      <c r="I14" s="672"/>
      <c r="J14" s="672"/>
      <c r="K14" s="672" t="s">
        <v>43</v>
      </c>
      <c r="L14" s="673"/>
      <c r="M14" s="673"/>
      <c r="N14" s="673"/>
      <c r="O14" s="671" t="s">
        <v>44</v>
      </c>
      <c r="P14" s="671" t="s">
        <v>45</v>
      </c>
      <c r="Q14" s="671" t="s">
        <v>46</v>
      </c>
      <c r="R14" s="671" t="s">
        <v>47</v>
      </c>
      <c r="S14" s="671" t="s">
        <v>40</v>
      </c>
      <c r="T14" s="671" t="s">
        <v>149</v>
      </c>
      <c r="U14" s="671" t="s">
        <v>150</v>
      </c>
      <c r="V14" s="726" t="s">
        <v>6</v>
      </c>
      <c r="W14" s="730" t="s">
        <v>505</v>
      </c>
      <c r="X14" s="726" t="s">
        <v>9</v>
      </c>
      <c r="Y14" s="726" t="s">
        <v>10</v>
      </c>
      <c r="Z14" s="735" t="s">
        <v>198</v>
      </c>
      <c r="AA14" s="726" t="s">
        <v>11</v>
      </c>
      <c r="AB14" s="726" t="s">
        <v>12</v>
      </c>
      <c r="AC14" s="726" t="s">
        <v>13</v>
      </c>
      <c r="AD14" s="733" t="s">
        <v>14</v>
      </c>
      <c r="AE14" s="728" t="s">
        <v>15</v>
      </c>
      <c r="AF14" s="728" t="s">
        <v>16</v>
      </c>
      <c r="AG14" s="728" t="s">
        <v>17</v>
      </c>
      <c r="AH14" s="728" t="s">
        <v>18</v>
      </c>
      <c r="AI14" s="734" t="s">
        <v>19</v>
      </c>
      <c r="AJ14" s="729" t="s">
        <v>20</v>
      </c>
      <c r="AK14" s="729" t="s">
        <v>21</v>
      </c>
      <c r="AL14" s="729" t="s">
        <v>22</v>
      </c>
      <c r="AM14" s="730" t="s">
        <v>23</v>
      </c>
      <c r="AN14" s="731" t="s">
        <v>24</v>
      </c>
      <c r="AO14" s="730" t="s">
        <v>25</v>
      </c>
      <c r="AP14" s="730"/>
      <c r="AQ14" s="730"/>
      <c r="AR14" s="730"/>
      <c r="AS14" s="730"/>
      <c r="AT14" s="730"/>
      <c r="AU14" s="726" t="s">
        <v>26</v>
      </c>
      <c r="AV14" s="730" t="s">
        <v>27</v>
      </c>
      <c r="AW14" s="730" t="s">
        <v>28</v>
      </c>
      <c r="AX14" s="730" t="s">
        <v>29</v>
      </c>
      <c r="AY14" s="726" t="s">
        <v>30</v>
      </c>
    </row>
    <row r="15" spans="1:55" s="667" customFormat="1" ht="51.75" customHeight="1">
      <c r="A15" s="727"/>
      <c r="B15" s="730"/>
      <c r="C15" s="729"/>
      <c r="D15" s="674"/>
      <c r="E15" s="674"/>
      <c r="F15" s="674"/>
      <c r="G15" s="730"/>
      <c r="H15" s="675"/>
      <c r="I15" s="676"/>
      <c r="J15" s="676"/>
      <c r="K15" s="676"/>
      <c r="L15" s="677"/>
      <c r="M15" s="677"/>
      <c r="N15" s="677"/>
      <c r="O15" s="675"/>
      <c r="P15" s="675"/>
      <c r="Q15" s="675"/>
      <c r="R15" s="675"/>
      <c r="S15" s="675"/>
      <c r="T15" s="675"/>
      <c r="U15" s="675"/>
      <c r="V15" s="734"/>
      <c r="W15" s="730"/>
      <c r="X15" s="726"/>
      <c r="Y15" s="726"/>
      <c r="Z15" s="735"/>
      <c r="AA15" s="726"/>
      <c r="AB15" s="726"/>
      <c r="AC15" s="726"/>
      <c r="AD15" s="733"/>
      <c r="AE15" s="728"/>
      <c r="AF15" s="728"/>
      <c r="AG15" s="728"/>
      <c r="AH15" s="728"/>
      <c r="AI15" s="734"/>
      <c r="AJ15" s="729"/>
      <c r="AK15" s="729"/>
      <c r="AL15" s="729"/>
      <c r="AM15" s="730"/>
      <c r="AN15" s="731"/>
      <c r="AO15" s="678" t="s">
        <v>31</v>
      </c>
      <c r="AP15" s="678" t="s">
        <v>32</v>
      </c>
      <c r="AQ15" s="678" t="s">
        <v>33</v>
      </c>
      <c r="AR15" s="678" t="s">
        <v>34</v>
      </c>
      <c r="AS15" s="678" t="s">
        <v>35</v>
      </c>
      <c r="AT15" s="675" t="s">
        <v>36</v>
      </c>
      <c r="AU15" s="726"/>
      <c r="AV15" s="730"/>
      <c r="AW15" s="730"/>
      <c r="AX15" s="730"/>
      <c r="AY15" s="726"/>
    </row>
    <row r="16" spans="1:55" s="665" customFormat="1" ht="51.75" hidden="1" customHeight="1"/>
    <row r="17" spans="1:51" ht="27" hidden="1" customHeight="1">
      <c r="D17" s="22"/>
    </row>
    <row r="18" spans="1:51" s="17" customFormat="1" ht="50.25" customHeight="1">
      <c r="A18" s="586">
        <v>10</v>
      </c>
      <c r="B18" s="556" t="s">
        <v>623</v>
      </c>
      <c r="C18" s="628" t="s">
        <v>601</v>
      </c>
      <c r="D18" s="587">
        <v>29351</v>
      </c>
      <c r="E18" s="583" t="s">
        <v>520</v>
      </c>
      <c r="F18" s="583" t="s">
        <v>606</v>
      </c>
      <c r="G18" s="584" t="s">
        <v>603</v>
      </c>
      <c r="H18" s="585" t="s">
        <v>608</v>
      </c>
      <c r="I18" s="20" t="s">
        <v>612</v>
      </c>
      <c r="J18" s="622" t="s">
        <v>612</v>
      </c>
      <c r="K18" s="626" t="s">
        <v>610</v>
      </c>
      <c r="L18" s="20" t="s">
        <v>612</v>
      </c>
      <c r="M18" s="20" t="s">
        <v>612</v>
      </c>
      <c r="N18" s="20" t="s">
        <v>612</v>
      </c>
      <c r="O18" s="364">
        <v>44326</v>
      </c>
      <c r="P18" s="20" t="s">
        <v>612</v>
      </c>
      <c r="Q18" s="20" t="s">
        <v>612</v>
      </c>
      <c r="R18" s="20" t="s">
        <v>612</v>
      </c>
      <c r="S18" s="20" t="s">
        <v>612</v>
      </c>
      <c r="T18" s="496">
        <v>100081114505</v>
      </c>
      <c r="U18" s="412" t="s">
        <v>37</v>
      </c>
      <c r="V18" s="413" t="str">
        <f t="shared" ref="V18" si="0">C18</f>
        <v>Amith a</v>
      </c>
      <c r="W18" s="495">
        <v>31</v>
      </c>
      <c r="X18" s="666">
        <v>30</v>
      </c>
      <c r="Y18" s="414" t="s">
        <v>37</v>
      </c>
      <c r="Z18" s="410">
        <v>57105</v>
      </c>
      <c r="AA18" s="679">
        <v>34263</v>
      </c>
      <c r="AB18" s="17">
        <v>0</v>
      </c>
      <c r="AC18" s="415">
        <v>0</v>
      </c>
      <c r="AD18" s="416">
        <f t="shared" ref="AD18" si="1">AE18+AF18+AG18+AH18</f>
        <v>22955.200000000001</v>
      </c>
      <c r="AE18" s="627">
        <v>13705.2</v>
      </c>
      <c r="AF18" s="627">
        <v>2083</v>
      </c>
      <c r="AG18" s="627">
        <v>2083</v>
      </c>
      <c r="AH18" s="627">
        <v>5084</v>
      </c>
      <c r="AI18" s="639">
        <f t="shared" ref="AI18" si="2">AA18+AD18</f>
        <v>57218.2</v>
      </c>
      <c r="AJ18" s="680">
        <v>1555</v>
      </c>
      <c r="AK18" s="680">
        <v>1648.0502999999999</v>
      </c>
      <c r="AL18" s="679">
        <v>2855.25</v>
      </c>
      <c r="AM18" s="623"/>
      <c r="AN18" s="416">
        <f t="shared" ref="AN18" si="3">AI18+AJ18+AK18+AL18+AM18</f>
        <v>63276.5003</v>
      </c>
      <c r="AO18" s="351">
        <v>0</v>
      </c>
      <c r="AP18" s="627">
        <f>VLOOKUP(B18,'[1]Pay sheet-Dec- 2021'!$C$5:$AF$38,26,0)</f>
        <v>1800</v>
      </c>
      <c r="AQ18" s="627">
        <f>VLOOKUP(B18,'[1]Pay sheet-Dec- 2021'!$C$5:$AF$38,25,0)</f>
        <v>200</v>
      </c>
      <c r="AR18" s="627">
        <v>0</v>
      </c>
      <c r="AS18" s="627">
        <f>VLOOKUP(B18,'[1]Pay sheet-Dec- 2021'!$C$5:$AF$38,27,0)</f>
        <v>440.76132899999999</v>
      </c>
      <c r="AT18" s="638">
        <f t="shared" ref="AT18" si="4">AO18+AP18+AQ18+AR18+AS18</f>
        <v>2440.7613289999999</v>
      </c>
      <c r="AU18" s="589">
        <f>ROUND((AI18-AT18),0)+AJ18+AK18+AL18</f>
        <v>60835.300300000003</v>
      </c>
      <c r="AV18" s="1028" t="s">
        <v>630</v>
      </c>
      <c r="AW18" s="617" t="s">
        <v>604</v>
      </c>
      <c r="AX18" s="659" t="s">
        <v>605</v>
      </c>
      <c r="AY18" s="21"/>
    </row>
  </sheetData>
  <mergeCells count="34">
    <mergeCell ref="AW14:AW15"/>
    <mergeCell ref="AV14:AV15"/>
    <mergeCell ref="A5:D5"/>
    <mergeCell ref="AC5:AP5"/>
    <mergeCell ref="A8:D8"/>
    <mergeCell ref="AY14:AY15"/>
    <mergeCell ref="B14:B15"/>
    <mergeCell ref="AD14:AD15"/>
    <mergeCell ref="AI14:AI15"/>
    <mergeCell ref="C14:C15"/>
    <mergeCell ref="AO14:AT14"/>
    <mergeCell ref="AU14:AU15"/>
    <mergeCell ref="V14:V15"/>
    <mergeCell ref="Z14:Z15"/>
    <mergeCell ref="AA14:AA15"/>
    <mergeCell ref="AB14:AB15"/>
    <mergeCell ref="AC14:AC15"/>
    <mergeCell ref="W14:W15"/>
    <mergeCell ref="AQ9:AY9"/>
    <mergeCell ref="A10:D10"/>
    <mergeCell ref="A14:A15"/>
    <mergeCell ref="Y14:Y15"/>
    <mergeCell ref="AG14:AG15"/>
    <mergeCell ref="AH14:AH15"/>
    <mergeCell ref="AJ14:AJ15"/>
    <mergeCell ref="G14:G15"/>
    <mergeCell ref="X14:X15"/>
    <mergeCell ref="AE14:AE15"/>
    <mergeCell ref="AF14:AF15"/>
    <mergeCell ref="AK14:AK15"/>
    <mergeCell ref="AL14:AL15"/>
    <mergeCell ref="AM14:AM15"/>
    <mergeCell ref="AN14:AN15"/>
    <mergeCell ref="AX14:AX15"/>
  </mergeCells>
  <printOptions horizontalCentered="1" verticalCentered="1"/>
  <pageMargins left="0" right="0" top="0" bottom="0" header="0.31496062992126" footer="0.31496062992126"/>
  <pageSetup paperSize="9" scale="65" orientation="landscape" horizontalDpi="4294967293"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5"/>
  <sheetViews>
    <sheetView topLeftCell="A13" workbookViewId="0">
      <selection activeCell="A20" sqref="A20"/>
    </sheetView>
  </sheetViews>
  <sheetFormatPr defaultRowHeight="15"/>
  <cols>
    <col min="1" max="1" width="26.28515625" customWidth="1"/>
    <col min="2" max="2" width="23.7109375" customWidth="1"/>
    <col min="3" max="3" width="11.28515625" customWidth="1"/>
    <col min="4" max="4" width="11.85546875" customWidth="1"/>
    <col min="10" max="10" width="15" customWidth="1"/>
    <col min="11" max="11" width="12.85546875" customWidth="1"/>
  </cols>
  <sheetData>
    <row r="1" spans="1:11">
      <c r="A1" s="744" t="s">
        <v>175</v>
      </c>
      <c r="B1" s="745"/>
      <c r="C1" s="745"/>
      <c r="D1" s="745"/>
      <c r="E1" s="745"/>
      <c r="F1" s="745"/>
      <c r="G1" s="745"/>
      <c r="H1" s="745"/>
      <c r="I1" s="745"/>
      <c r="J1" s="155"/>
      <c r="K1" s="156"/>
    </row>
    <row r="2" spans="1:11">
      <c r="A2" s="746" t="s">
        <v>176</v>
      </c>
      <c r="B2" s="747"/>
      <c r="C2" s="747"/>
      <c r="D2" s="747"/>
      <c r="E2" s="747"/>
      <c r="F2" s="747"/>
      <c r="G2" s="747"/>
      <c r="H2" s="747"/>
      <c r="I2" s="747"/>
      <c r="J2" s="157"/>
      <c r="K2" s="158"/>
    </row>
    <row r="3" spans="1:11">
      <c r="A3" s="748"/>
      <c r="B3" s="749"/>
      <c r="C3" s="749"/>
      <c r="D3" s="749"/>
      <c r="E3" s="749"/>
      <c r="F3" s="749"/>
      <c r="G3" s="749"/>
      <c r="H3" s="749"/>
      <c r="I3" s="749"/>
      <c r="J3" s="159"/>
      <c r="K3" s="160"/>
    </row>
    <row r="4" spans="1:11">
      <c r="A4" s="750" t="s">
        <v>177</v>
      </c>
      <c r="B4" s="751"/>
      <c r="C4" s="751"/>
      <c r="D4" s="751"/>
      <c r="E4" s="751"/>
      <c r="F4" s="751"/>
      <c r="G4" s="751"/>
      <c r="H4" s="751"/>
      <c r="I4" s="751"/>
      <c r="J4" s="161"/>
      <c r="K4" s="162"/>
    </row>
    <row r="5" spans="1:11">
      <c r="A5" s="163"/>
      <c r="B5" s="161"/>
      <c r="C5" s="161"/>
      <c r="D5" s="161"/>
      <c r="E5" s="161"/>
      <c r="F5" s="161"/>
      <c r="G5" s="161"/>
      <c r="H5" s="161"/>
      <c r="I5" s="161"/>
      <c r="J5" s="161"/>
      <c r="K5" s="162"/>
    </row>
    <row r="6" spans="1:11" ht="18.75">
      <c r="A6" s="164"/>
      <c r="B6" s="165"/>
      <c r="C6" s="165"/>
      <c r="D6" s="752">
        <f>'4-22Master'!E10</f>
        <v>44652</v>
      </c>
      <c r="E6" s="752"/>
      <c r="F6" s="165"/>
      <c r="G6" s="165"/>
      <c r="H6" s="165"/>
      <c r="I6" s="165"/>
      <c r="J6" s="165"/>
      <c r="K6" s="166"/>
    </row>
    <row r="7" spans="1:11">
      <c r="A7" s="163"/>
      <c r="B7" s="161"/>
      <c r="C7" s="161"/>
      <c r="D7" s="161"/>
      <c r="E7" s="161"/>
      <c r="F7" s="161"/>
      <c r="G7" s="161"/>
      <c r="H7" s="161"/>
      <c r="I7" s="161"/>
      <c r="J7" s="161"/>
      <c r="K7" s="162"/>
    </row>
    <row r="8" spans="1:11">
      <c r="A8" s="167" t="s">
        <v>178</v>
      </c>
      <c r="B8" s="168"/>
      <c r="C8" s="168"/>
      <c r="D8" s="168"/>
      <c r="E8" s="169"/>
      <c r="F8" s="738" t="str">
        <f>'4-22Master'!G5</f>
        <v>Burgeon IT Services Pvt.Ltd.</v>
      </c>
      <c r="G8" s="738"/>
      <c r="H8" s="738"/>
      <c r="I8" s="738"/>
      <c r="J8" s="738"/>
      <c r="K8" s="739"/>
    </row>
    <row r="9" spans="1:11">
      <c r="A9" s="170"/>
      <c r="B9" s="171"/>
      <c r="C9" s="172"/>
      <c r="D9" s="173"/>
      <c r="E9" s="173"/>
      <c r="F9" s="174"/>
      <c r="G9" s="171"/>
      <c r="H9" s="171"/>
      <c r="I9" s="171"/>
      <c r="J9" s="175"/>
      <c r="K9" s="176"/>
    </row>
    <row r="10" spans="1:11">
      <c r="A10" s="167" t="s">
        <v>179</v>
      </c>
      <c r="B10" s="168"/>
      <c r="C10" s="168"/>
      <c r="D10" s="168"/>
      <c r="E10" s="169"/>
      <c r="F10" s="738" t="str">
        <f>'4-22Master'!AQ5</f>
        <v>Burgeon IT Services Pvt.Ltd.</v>
      </c>
      <c r="G10" s="738"/>
      <c r="H10" s="738"/>
      <c r="I10" s="738"/>
      <c r="J10" s="738"/>
      <c r="K10" s="739"/>
    </row>
    <row r="11" spans="1:11">
      <c r="A11" s="170"/>
      <c r="B11" s="171"/>
      <c r="C11" s="171"/>
      <c r="D11" s="171"/>
      <c r="E11" s="175"/>
      <c r="F11" s="175" t="str">
        <f>'4-22Master'!AQ6</f>
        <v>Siri Mansion LIGB 436 Dr.A S Rao Nagar,Hyderabad</v>
      </c>
      <c r="G11" s="171"/>
      <c r="H11" s="171"/>
      <c r="I11" s="171"/>
      <c r="J11" s="175"/>
      <c r="K11" s="176"/>
    </row>
    <row r="12" spans="1:11">
      <c r="A12" s="167" t="s">
        <v>180</v>
      </c>
      <c r="B12" s="168"/>
      <c r="C12" s="168"/>
      <c r="D12" s="168"/>
      <c r="E12" s="169"/>
      <c r="F12" s="738" t="str">
        <f>'4-22Master'!AQ10</f>
        <v>INFOSYS  LTD.IL Pune STP Unit,Plot No.1</v>
      </c>
      <c r="G12" s="738"/>
      <c r="H12" s="738"/>
      <c r="I12" s="738"/>
      <c r="J12" s="738"/>
      <c r="K12" s="739"/>
    </row>
    <row r="13" spans="1:11" ht="21">
      <c r="A13" s="177"/>
      <c r="B13" s="178"/>
      <c r="C13" s="178"/>
      <c r="D13" s="178"/>
      <c r="E13" s="179"/>
      <c r="F13" s="15" t="str">
        <f>'4-22Master'!AQ11</f>
        <v>Rajiv gandhi Info tech park,Hinjawadi,Taluk Mulshi,Pune,Maharashtra 411057</v>
      </c>
      <c r="G13" s="178"/>
      <c r="H13" s="178"/>
      <c r="I13" s="178"/>
      <c r="J13" s="180"/>
      <c r="K13" s="181"/>
    </row>
    <row r="14" spans="1:11">
      <c r="A14" s="740" t="s">
        <v>181</v>
      </c>
      <c r="B14" s="741"/>
      <c r="C14" s="660">
        <f>D22</f>
        <v>1</v>
      </c>
      <c r="D14" s="182"/>
      <c r="E14" s="182"/>
      <c r="F14" s="182"/>
      <c r="G14" s="182"/>
      <c r="H14" s="182"/>
      <c r="I14" s="182"/>
      <c r="J14" s="183"/>
      <c r="K14" s="184"/>
    </row>
    <row r="15" spans="1:11">
      <c r="A15" s="185"/>
      <c r="B15" s="186"/>
      <c r="C15" s="661"/>
      <c r="D15" s="182"/>
      <c r="E15" s="182"/>
      <c r="F15" s="182"/>
      <c r="G15" s="182"/>
      <c r="H15" s="182"/>
      <c r="I15" s="182"/>
      <c r="J15" s="183"/>
      <c r="K15" s="184"/>
    </row>
    <row r="16" spans="1:11">
      <c r="A16" s="740" t="s">
        <v>182</v>
      </c>
      <c r="B16" s="741"/>
      <c r="C16" s="660">
        <f>C22</f>
        <v>0</v>
      </c>
      <c r="D16" s="182"/>
      <c r="E16" s="182"/>
      <c r="F16" s="182"/>
      <c r="G16" s="182"/>
      <c r="H16" s="182"/>
      <c r="I16" s="182"/>
      <c r="J16" s="183"/>
      <c r="K16" s="184"/>
    </row>
    <row r="17" spans="1:11">
      <c r="A17" s="742"/>
      <c r="B17" s="743"/>
      <c r="C17" s="743"/>
      <c r="D17" s="743"/>
      <c r="E17" s="743"/>
      <c r="F17" s="743"/>
      <c r="G17" s="743"/>
      <c r="H17" s="743"/>
      <c r="I17" s="743"/>
      <c r="J17" s="187"/>
      <c r="K17" s="188"/>
    </row>
    <row r="18" spans="1:11">
      <c r="A18" s="189"/>
      <c r="B18" s="190"/>
      <c r="C18" s="736" t="s">
        <v>183</v>
      </c>
      <c r="D18" s="736"/>
      <c r="E18" s="736"/>
      <c r="F18" s="736"/>
      <c r="G18" s="736"/>
      <c r="H18" s="736"/>
      <c r="I18" s="737"/>
      <c r="J18" s="190"/>
      <c r="K18" s="191"/>
    </row>
    <row r="19" spans="1:11" ht="105">
      <c r="A19" s="192" t="s">
        <v>184</v>
      </c>
      <c r="B19" s="193" t="s">
        <v>185</v>
      </c>
      <c r="C19" s="193" t="s">
        <v>186</v>
      </c>
      <c r="D19" s="193" t="s">
        <v>187</v>
      </c>
      <c r="E19" s="193" t="s">
        <v>188</v>
      </c>
      <c r="F19" s="193" t="s">
        <v>189</v>
      </c>
      <c r="G19" s="193" t="s">
        <v>190</v>
      </c>
      <c r="H19" s="193" t="s">
        <v>191</v>
      </c>
      <c r="I19" s="193" t="s">
        <v>192</v>
      </c>
      <c r="J19" s="193" t="s">
        <v>193</v>
      </c>
      <c r="K19" s="194" t="s">
        <v>194</v>
      </c>
    </row>
    <row r="20" spans="1:11" ht="23.25" customHeight="1">
      <c r="A20" s="195" t="str">
        <f>'4-22Master'!G18</f>
        <v>Technology Consultant</v>
      </c>
      <c r="B20" s="196" t="s">
        <v>391</v>
      </c>
      <c r="C20" s="196">
        <v>0</v>
      </c>
      <c r="D20" s="196">
        <v>1</v>
      </c>
      <c r="E20" s="197">
        <f>'4-22Master'!AN18</f>
        <v>63276.5003</v>
      </c>
      <c r="F20" s="197">
        <f>'4-22Master'!AA18</f>
        <v>34263</v>
      </c>
      <c r="G20" s="197">
        <f>'4-22Master'!AE18</f>
        <v>13705.2</v>
      </c>
      <c r="H20" s="197">
        <f t="shared" ref="H20" si="0">E20-(F20+G20)</f>
        <v>15308.300300000003</v>
      </c>
      <c r="I20" s="198">
        <v>0</v>
      </c>
      <c r="J20" s="619" t="s">
        <v>618</v>
      </c>
      <c r="K20" s="619" t="s">
        <v>619</v>
      </c>
    </row>
    <row r="21" spans="1:11" ht="23.25" customHeight="1">
      <c r="A21" s="195"/>
      <c r="B21" s="196"/>
      <c r="C21" s="196"/>
      <c r="D21" s="196"/>
      <c r="E21" s="197"/>
      <c r="F21" s="197"/>
      <c r="G21" s="197"/>
      <c r="H21" s="197"/>
      <c r="I21" s="198"/>
      <c r="J21" s="619"/>
      <c r="K21" s="619" t="s">
        <v>633</v>
      </c>
    </row>
    <row r="22" spans="1:11" ht="21.95" customHeight="1">
      <c r="A22" s="23"/>
      <c r="C22" s="199">
        <f>SUM(C20:C21)</f>
        <v>0</v>
      </c>
      <c r="D22" s="199">
        <f>SUM(D20:D21)</f>
        <v>1</v>
      </c>
      <c r="E22" s="197">
        <f>SUM(E20:E21)</f>
        <v>63276.5003</v>
      </c>
      <c r="F22" s="197">
        <f>SUM(F20:F21)</f>
        <v>34263</v>
      </c>
      <c r="G22" s="197">
        <f>SUM(G20:G21)</f>
        <v>13705.2</v>
      </c>
      <c r="H22" s="197">
        <f>SUM(H20:H21)</f>
        <v>15308.300300000003</v>
      </c>
      <c r="K22" s="24"/>
    </row>
    <row r="23" spans="1:11">
      <c r="A23" s="23"/>
      <c r="H23" s="350"/>
      <c r="K23" s="24"/>
    </row>
    <row r="24" spans="1:11">
      <c r="A24" s="23"/>
      <c r="K24" s="24"/>
    </row>
    <row r="25" spans="1:11">
      <c r="A25" s="23"/>
      <c r="K25" s="24"/>
    </row>
    <row r="26" spans="1:11">
      <c r="A26" s="23"/>
      <c r="E26" s="4"/>
      <c r="K26" s="24"/>
    </row>
    <row r="27" spans="1:11">
      <c r="A27" s="23"/>
      <c r="K27" s="24"/>
    </row>
    <row r="28" spans="1:11">
      <c r="A28" s="23"/>
      <c r="K28" s="24"/>
    </row>
    <row r="29" spans="1:11">
      <c r="A29" s="23"/>
      <c r="E29" s="4" t="s">
        <v>38</v>
      </c>
      <c r="K29" s="24"/>
    </row>
    <row r="30" spans="1:11" ht="15.75" thickBot="1">
      <c r="A30" s="35"/>
      <c r="B30" s="33"/>
      <c r="C30" s="33"/>
      <c r="D30" s="33"/>
      <c r="E30" s="33"/>
      <c r="F30" s="33"/>
      <c r="G30" s="33"/>
      <c r="H30" s="33"/>
      <c r="I30" s="33"/>
      <c r="J30" s="33"/>
      <c r="K30" s="34"/>
    </row>
    <row r="35" spans="1:11">
      <c r="A35" s="195" t="e">
        <f>'4-22Master'!#REF!</f>
        <v>#REF!</v>
      </c>
      <c r="B35" s="196" t="e">
        <f>'4-22Master'!#REF!</f>
        <v>#REF!</v>
      </c>
      <c r="C35" s="196">
        <v>0</v>
      </c>
      <c r="D35" s="196">
        <v>0</v>
      </c>
      <c r="E35" s="196">
        <v>0</v>
      </c>
      <c r="F35" s="196">
        <v>0</v>
      </c>
      <c r="G35" s="196">
        <v>0</v>
      </c>
      <c r="H35" s="196">
        <v>0</v>
      </c>
      <c r="I35" s="196">
        <v>0</v>
      </c>
      <c r="J35" s="196">
        <v>0</v>
      </c>
      <c r="K35" s="196">
        <v>0</v>
      </c>
    </row>
  </sheetData>
  <mergeCells count="12">
    <mergeCell ref="F8:K8"/>
    <mergeCell ref="A1:I1"/>
    <mergeCell ref="A2:I2"/>
    <mergeCell ref="A3:I3"/>
    <mergeCell ref="A4:I4"/>
    <mergeCell ref="D6:E6"/>
    <mergeCell ref="C18:I18"/>
    <mergeCell ref="F10:K10"/>
    <mergeCell ref="F12:K12"/>
    <mergeCell ref="A14:B14"/>
    <mergeCell ref="A16:B16"/>
    <mergeCell ref="A17:I17"/>
  </mergeCells>
  <pageMargins left="0.88" right="0.7" top="0.75" bottom="0.75" header="0.3" footer="0.3"/>
  <pageSetup scale="80" orientation="landscape"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Q15"/>
  <sheetViews>
    <sheetView topLeftCell="M1" workbookViewId="0">
      <selection activeCell="Q8" sqref="Q8"/>
    </sheetView>
  </sheetViews>
  <sheetFormatPr defaultColWidth="8.7109375" defaultRowHeight="15"/>
  <cols>
    <col min="1" max="1" width="5" style="17" customWidth="1"/>
    <col min="2" max="2" width="7.140625" style="17" customWidth="1"/>
    <col min="3" max="3" width="10.140625" style="17" customWidth="1"/>
    <col min="4" max="4" width="23.42578125" style="17" customWidth="1"/>
    <col min="5" max="6" width="8.7109375" style="17" customWidth="1"/>
    <col min="7" max="7" width="14.5703125" style="17" customWidth="1"/>
    <col min="8" max="12" width="8.7109375" style="17" customWidth="1"/>
    <col min="13" max="42" width="3.7109375" style="17" customWidth="1"/>
    <col min="43" max="16384" width="8.7109375" style="17"/>
  </cols>
  <sheetData>
    <row r="1" spans="1:43" ht="18.75" customHeight="1">
      <c r="A1" s="354"/>
      <c r="B1" s="354"/>
      <c r="C1" s="354"/>
      <c r="D1" s="354"/>
      <c r="E1" s="354"/>
      <c r="F1" s="354"/>
      <c r="G1" s="354"/>
      <c r="H1" s="354"/>
      <c r="I1" s="354"/>
      <c r="J1" s="354"/>
      <c r="K1" s="354"/>
      <c r="L1" s="354"/>
      <c r="M1" s="355"/>
      <c r="N1" s="355"/>
      <c r="O1" s="355"/>
      <c r="P1" s="355"/>
      <c r="Q1" s="355"/>
      <c r="R1" s="355"/>
      <c r="S1" s="355"/>
      <c r="T1" s="355"/>
      <c r="U1" s="355"/>
      <c r="V1" s="355"/>
      <c r="W1" s="355"/>
      <c r="X1" s="355"/>
      <c r="Y1" s="355"/>
      <c r="Z1" s="355"/>
      <c r="AA1" s="355"/>
      <c r="AB1" s="355"/>
      <c r="AC1" s="355"/>
      <c r="AD1" s="355"/>
      <c r="AE1" s="355"/>
      <c r="AF1" s="355"/>
      <c r="AG1" s="355"/>
      <c r="AH1" s="355"/>
      <c r="AI1" s="355"/>
      <c r="AJ1" s="355"/>
      <c r="AK1" s="355"/>
      <c r="AL1" s="355"/>
      <c r="AM1" s="355"/>
      <c r="AN1" s="355"/>
      <c r="AO1" s="692"/>
      <c r="AP1" s="692"/>
      <c r="AQ1" s="355"/>
    </row>
    <row r="2" spans="1:43" ht="18.75" customHeight="1">
      <c r="A2" s="754" t="s">
        <v>406</v>
      </c>
      <c r="B2" s="754"/>
      <c r="C2" s="754"/>
      <c r="D2" s="754"/>
      <c r="E2" s="754"/>
      <c r="F2" s="754"/>
      <c r="G2" s="754"/>
      <c r="H2" s="754"/>
      <c r="I2" s="754"/>
      <c r="J2" s="754"/>
      <c r="K2" s="754"/>
      <c r="L2" s="754"/>
      <c r="M2" s="754"/>
      <c r="N2" s="754"/>
      <c r="O2" s="754"/>
      <c r="P2" s="754"/>
      <c r="Q2" s="754"/>
      <c r="R2" s="754"/>
      <c r="S2" s="754"/>
      <c r="T2" s="754"/>
      <c r="U2" s="754"/>
      <c r="V2" s="754"/>
      <c r="W2" s="754"/>
      <c r="X2" s="754"/>
      <c r="Y2" s="754"/>
      <c r="Z2" s="754"/>
      <c r="AA2" s="754"/>
      <c r="AB2" s="754"/>
      <c r="AC2" s="754"/>
      <c r="AD2" s="754"/>
      <c r="AE2" s="754"/>
      <c r="AF2" s="754"/>
      <c r="AG2" s="754"/>
      <c r="AH2" s="754"/>
      <c r="AI2" s="754"/>
      <c r="AJ2" s="754"/>
      <c r="AK2" s="754"/>
      <c r="AL2" s="754"/>
      <c r="AM2" s="754"/>
      <c r="AN2" s="754"/>
      <c r="AO2" s="755"/>
      <c r="AP2" s="755"/>
      <c r="AQ2" s="754"/>
    </row>
    <row r="3" spans="1:43" ht="18.75" customHeight="1">
      <c r="A3" s="756" t="s">
        <v>407</v>
      </c>
      <c r="B3" s="756"/>
      <c r="C3" s="756"/>
      <c r="D3" s="756"/>
      <c r="E3" s="756"/>
      <c r="F3" s="756"/>
      <c r="G3" s="756"/>
      <c r="H3" s="756"/>
      <c r="I3" s="756"/>
      <c r="J3" s="756"/>
      <c r="K3" s="756"/>
      <c r="L3" s="756"/>
      <c r="M3" s="756"/>
      <c r="N3" s="756"/>
      <c r="O3" s="756"/>
      <c r="P3" s="756"/>
      <c r="Q3" s="756"/>
      <c r="R3" s="756"/>
      <c r="S3" s="756"/>
      <c r="T3" s="756"/>
      <c r="U3" s="756"/>
      <c r="V3" s="756"/>
      <c r="W3" s="756"/>
      <c r="X3" s="756"/>
      <c r="Y3" s="756"/>
      <c r="Z3" s="756"/>
      <c r="AA3" s="756"/>
      <c r="AB3" s="756"/>
      <c r="AC3" s="756"/>
      <c r="AD3" s="756"/>
      <c r="AE3" s="756"/>
      <c r="AF3" s="756"/>
      <c r="AG3" s="756"/>
      <c r="AH3" s="756"/>
      <c r="AI3" s="756"/>
      <c r="AJ3" s="756"/>
      <c r="AK3" s="756"/>
      <c r="AL3" s="756"/>
      <c r="AM3" s="756"/>
      <c r="AN3" s="756"/>
      <c r="AO3" s="757"/>
      <c r="AP3" s="757"/>
      <c r="AQ3" s="756"/>
    </row>
    <row r="4" spans="1:43" ht="18.75" customHeight="1">
      <c r="A4" s="758" t="s">
        <v>628</v>
      </c>
      <c r="B4" s="758"/>
      <c r="C4" s="758"/>
      <c r="D4" s="758"/>
      <c r="E4" s="758"/>
      <c r="F4" s="758"/>
      <c r="G4" s="758"/>
      <c r="H4" s="758"/>
      <c r="I4" s="758"/>
      <c r="J4" s="758"/>
      <c r="K4" s="758"/>
      <c r="L4" s="758"/>
      <c r="M4" s="758"/>
      <c r="N4" s="758"/>
      <c r="O4" s="758"/>
      <c r="P4" s="758"/>
      <c r="Q4" s="758"/>
      <c r="R4" s="758"/>
      <c r="S4" s="758"/>
      <c r="T4" s="758"/>
      <c r="U4" s="758"/>
      <c r="V4" s="758"/>
      <c r="W4" s="758"/>
      <c r="X4" s="758"/>
      <c r="Y4" s="758"/>
      <c r="Z4" s="758"/>
      <c r="AA4" s="758"/>
      <c r="AB4" s="758"/>
      <c r="AC4" s="758"/>
      <c r="AD4" s="758"/>
      <c r="AE4" s="758"/>
      <c r="AF4" s="758"/>
      <c r="AG4" s="758"/>
      <c r="AH4" s="758"/>
      <c r="AI4" s="758"/>
      <c r="AJ4" s="758"/>
      <c r="AK4" s="758"/>
      <c r="AL4" s="758"/>
      <c r="AM4" s="758"/>
      <c r="AN4" s="758"/>
      <c r="AO4" s="759"/>
      <c r="AP4" s="759"/>
      <c r="AQ4" s="758"/>
    </row>
    <row r="5" spans="1:43" ht="18.75" customHeight="1">
      <c r="A5" s="761" t="s">
        <v>408</v>
      </c>
      <c r="B5" s="762"/>
      <c r="C5" s="762"/>
      <c r="D5" s="762"/>
      <c r="E5" s="762"/>
      <c r="F5" s="762"/>
      <c r="G5" s="762"/>
      <c r="H5" s="762"/>
      <c r="I5" s="762"/>
      <c r="J5" s="762"/>
      <c r="K5" s="762"/>
      <c r="L5" s="762"/>
      <c r="M5" s="762"/>
      <c r="N5" s="762"/>
      <c r="O5" s="762"/>
      <c r="P5" s="762"/>
      <c r="Q5" s="762"/>
      <c r="R5" s="762"/>
      <c r="S5" s="762"/>
      <c r="T5" s="762"/>
      <c r="U5" s="762"/>
      <c r="V5" s="762"/>
      <c r="W5" s="762"/>
      <c r="X5" s="762"/>
      <c r="Y5" s="762"/>
      <c r="Z5" s="762"/>
      <c r="AA5" s="762"/>
      <c r="AB5" s="762"/>
      <c r="AC5" s="762"/>
      <c r="AD5" s="762"/>
      <c r="AE5" s="762"/>
      <c r="AF5" s="762"/>
      <c r="AG5" s="762"/>
      <c r="AH5" s="762"/>
      <c r="AI5" s="762"/>
      <c r="AJ5" s="762"/>
      <c r="AK5" s="762"/>
      <c r="AL5" s="762"/>
      <c r="AM5" s="762"/>
      <c r="AN5" s="762"/>
      <c r="AO5" s="762"/>
      <c r="AP5" s="762"/>
      <c r="AQ5" s="763"/>
    </row>
    <row r="6" spans="1:43" ht="18.75" customHeight="1">
      <c r="A6" s="356"/>
      <c r="B6" s="356"/>
      <c r="C6" s="356"/>
      <c r="D6" s="356"/>
      <c r="E6" s="356"/>
      <c r="F6" s="356"/>
      <c r="G6" s="356"/>
      <c r="H6" s="356"/>
      <c r="I6" s="754" t="s">
        <v>409</v>
      </c>
      <c r="J6" s="754"/>
      <c r="K6" s="754" t="s">
        <v>410</v>
      </c>
      <c r="L6" s="754"/>
      <c r="M6" s="760" t="s">
        <v>411</v>
      </c>
      <c r="N6" s="760"/>
      <c r="O6" s="760"/>
      <c r="P6" s="760"/>
      <c r="Q6" s="760"/>
      <c r="R6" s="760"/>
      <c r="S6" s="760"/>
      <c r="T6" s="760"/>
      <c r="U6" s="760"/>
      <c r="V6" s="760"/>
      <c r="W6" s="760"/>
      <c r="X6" s="760"/>
      <c r="Y6" s="760"/>
      <c r="Z6" s="760"/>
      <c r="AA6" s="760"/>
      <c r="AB6" s="760"/>
      <c r="AC6" s="760"/>
      <c r="AD6" s="760"/>
      <c r="AE6" s="760"/>
      <c r="AF6" s="760"/>
      <c r="AG6" s="760"/>
      <c r="AH6" s="760"/>
      <c r="AI6" s="760"/>
      <c r="AJ6" s="760"/>
      <c r="AK6" s="760"/>
      <c r="AL6" s="760"/>
      <c r="AM6" s="760"/>
      <c r="AN6" s="760"/>
      <c r="AO6" s="693"/>
      <c r="AP6" s="693"/>
      <c r="AQ6" s="357"/>
    </row>
    <row r="7" spans="1:43" ht="45">
      <c r="A7" s="358" t="s">
        <v>373</v>
      </c>
      <c r="B7" s="359" t="s">
        <v>412</v>
      </c>
      <c r="C7" s="359" t="s">
        <v>413</v>
      </c>
      <c r="D7" s="360" t="s">
        <v>414</v>
      </c>
      <c r="E7" s="359" t="s">
        <v>219</v>
      </c>
      <c r="F7" s="359" t="s">
        <v>415</v>
      </c>
      <c r="G7" s="360" t="s">
        <v>416</v>
      </c>
      <c r="H7" s="359" t="s">
        <v>417</v>
      </c>
      <c r="I7" s="359" t="s">
        <v>377</v>
      </c>
      <c r="J7" s="359" t="s">
        <v>151</v>
      </c>
      <c r="K7" s="359" t="s">
        <v>377</v>
      </c>
      <c r="L7" s="359" t="s">
        <v>151</v>
      </c>
      <c r="M7" s="361">
        <v>1</v>
      </c>
      <c r="N7" s="361">
        <v>2</v>
      </c>
      <c r="O7" s="361">
        <v>3</v>
      </c>
      <c r="P7" s="361">
        <v>4</v>
      </c>
      <c r="Q7" s="361">
        <v>5</v>
      </c>
      <c r="R7" s="361">
        <v>6</v>
      </c>
      <c r="S7" s="361">
        <v>7</v>
      </c>
      <c r="T7" s="361">
        <v>8</v>
      </c>
      <c r="U7" s="361">
        <v>9</v>
      </c>
      <c r="V7" s="361">
        <v>10</v>
      </c>
      <c r="W7" s="361">
        <v>11</v>
      </c>
      <c r="X7" s="361">
        <v>12</v>
      </c>
      <c r="Y7" s="361">
        <v>13</v>
      </c>
      <c r="Z7" s="361">
        <v>14</v>
      </c>
      <c r="AA7" s="361">
        <v>15</v>
      </c>
      <c r="AB7" s="361">
        <v>16</v>
      </c>
      <c r="AC7" s="361">
        <v>17</v>
      </c>
      <c r="AD7" s="361">
        <v>18</v>
      </c>
      <c r="AE7" s="361">
        <v>19</v>
      </c>
      <c r="AF7" s="361">
        <v>20</v>
      </c>
      <c r="AG7" s="361">
        <v>21</v>
      </c>
      <c r="AH7" s="361">
        <v>22</v>
      </c>
      <c r="AI7" s="361">
        <v>23</v>
      </c>
      <c r="AJ7" s="361">
        <v>24</v>
      </c>
      <c r="AK7" s="361">
        <v>25</v>
      </c>
      <c r="AL7" s="361">
        <v>26</v>
      </c>
      <c r="AM7" s="361">
        <v>27</v>
      </c>
      <c r="AN7" s="361">
        <v>28</v>
      </c>
      <c r="AO7" s="361">
        <v>29</v>
      </c>
      <c r="AP7" s="361">
        <v>30</v>
      </c>
      <c r="AQ7" s="357" t="s">
        <v>418</v>
      </c>
    </row>
    <row r="8" spans="1:43" ht="31.5" customHeight="1">
      <c r="A8" s="434">
        <v>3</v>
      </c>
      <c r="B8" s="497"/>
      <c r="C8" s="362" t="str">
        <f>'4-22Master'!B18</f>
        <v>BITS-564</v>
      </c>
      <c r="D8" s="658" t="str">
        <f>'4-22Master'!C18</f>
        <v>Amith a</v>
      </c>
      <c r="E8" s="494">
        <f>'4-22Master'!D18</f>
        <v>29351</v>
      </c>
      <c r="F8" s="403" t="str">
        <f>'4-22Master'!E18</f>
        <v>Male</v>
      </c>
      <c r="G8" s="362">
        <f>'4-22Master'!O18</f>
        <v>44326</v>
      </c>
      <c r="H8" s="363" t="str">
        <f>'4-22Master'!G18</f>
        <v>Technology Consultant</v>
      </c>
      <c r="I8" s="497"/>
      <c r="J8" s="499"/>
      <c r="K8" s="499"/>
      <c r="L8" s="499"/>
      <c r="M8" s="681" t="s">
        <v>401</v>
      </c>
      <c r="N8" s="681" t="s">
        <v>621</v>
      </c>
      <c r="O8" s="681" t="s">
        <v>621</v>
      </c>
      <c r="P8" s="681" t="s">
        <v>401</v>
      </c>
      <c r="Q8" s="681" t="s">
        <v>401</v>
      </c>
      <c r="R8" s="681" t="s">
        <v>401</v>
      </c>
      <c r="S8" s="681" t="s">
        <v>401</v>
      </c>
      <c r="T8" s="681" t="s">
        <v>401</v>
      </c>
      <c r="U8" s="681" t="s">
        <v>621</v>
      </c>
      <c r="V8" s="681" t="s">
        <v>621</v>
      </c>
      <c r="W8" s="681" t="s">
        <v>401</v>
      </c>
      <c r="X8" s="681" t="s">
        <v>401</v>
      </c>
      <c r="Y8" s="681" t="s">
        <v>401</v>
      </c>
      <c r="Z8" s="681" t="s">
        <v>401</v>
      </c>
      <c r="AA8" s="681" t="s">
        <v>634</v>
      </c>
      <c r="AB8" s="681" t="s">
        <v>621</v>
      </c>
      <c r="AC8" s="681" t="s">
        <v>621</v>
      </c>
      <c r="AD8" s="681" t="s">
        <v>401</v>
      </c>
      <c r="AE8" s="681" t="s">
        <v>401</v>
      </c>
      <c r="AF8" s="681" t="s">
        <v>401</v>
      </c>
      <c r="AG8" s="681" t="s">
        <v>401</v>
      </c>
      <c r="AH8" s="681" t="s">
        <v>401</v>
      </c>
      <c r="AI8" s="681" t="s">
        <v>621</v>
      </c>
      <c r="AJ8" s="681" t="s">
        <v>621</v>
      </c>
      <c r="AK8" s="681" t="s">
        <v>401</v>
      </c>
      <c r="AL8" s="681" t="s">
        <v>401</v>
      </c>
      <c r="AM8" s="681" t="s">
        <v>401</v>
      </c>
      <c r="AN8" s="681" t="s">
        <v>401</v>
      </c>
      <c r="AO8" s="681" t="s">
        <v>401</v>
      </c>
      <c r="AP8" s="681" t="s">
        <v>621</v>
      </c>
      <c r="AQ8" s="500">
        <f>'4-22Master'!X18</f>
        <v>30</v>
      </c>
    </row>
    <row r="9" spans="1:43" ht="31.5" customHeight="1">
      <c r="A9" s="434"/>
      <c r="B9" s="497"/>
      <c r="C9" s="362"/>
      <c r="D9" s="404"/>
      <c r="E9" s="646"/>
      <c r="F9" s="403"/>
      <c r="G9" s="362"/>
      <c r="H9" s="363"/>
      <c r="I9" s="497"/>
      <c r="J9" s="499"/>
      <c r="K9" s="499"/>
      <c r="L9" s="499"/>
      <c r="M9" s="449"/>
      <c r="N9" s="449"/>
      <c r="O9" s="449"/>
      <c r="P9" s="449"/>
      <c r="Q9" s="449"/>
      <c r="R9" s="449"/>
      <c r="S9" s="449"/>
      <c r="T9" s="449"/>
      <c r="U9" s="449"/>
      <c r="V9" s="449"/>
      <c r="W9" s="449"/>
      <c r="X9" s="449"/>
      <c r="Y9" s="449"/>
      <c r="Z9" s="449"/>
      <c r="AA9" s="449"/>
      <c r="AB9" s="449"/>
      <c r="AC9" s="449"/>
      <c r="AD9" s="449"/>
      <c r="AE9" s="624"/>
      <c r="AF9" s="449"/>
      <c r="AG9" s="449"/>
      <c r="AH9" s="624"/>
      <c r="AI9" s="624"/>
      <c r="AJ9" s="624"/>
      <c r="AK9" s="624"/>
      <c r="AL9" s="449"/>
      <c r="AM9" s="449"/>
      <c r="AN9" s="449"/>
      <c r="AO9" s="694"/>
      <c r="AP9" s="694"/>
      <c r="AQ9" s="500"/>
    </row>
    <row r="10" spans="1:43" ht="15.75">
      <c r="A10" s="442"/>
      <c r="B10" s="442"/>
      <c r="C10" s="443"/>
      <c r="D10" s="444"/>
      <c r="E10" s="442"/>
      <c r="F10" s="445"/>
      <c r="G10" s="443"/>
      <c r="H10" s="442"/>
      <c r="I10" s="442"/>
      <c r="J10" s="446"/>
      <c r="K10" s="446"/>
      <c r="L10" s="446"/>
      <c r="M10" s="447"/>
      <c r="N10" s="447"/>
      <c r="O10" s="447"/>
      <c r="P10" s="447"/>
      <c r="Q10" s="447"/>
      <c r="R10" s="447"/>
      <c r="S10" s="447"/>
      <c r="T10" s="447"/>
      <c r="U10" s="447"/>
      <c r="V10" s="447"/>
      <c r="W10" s="447"/>
      <c r="X10" s="447"/>
      <c r="Y10" s="447"/>
      <c r="Z10" s="447"/>
      <c r="AA10" s="447"/>
      <c r="AB10" s="447"/>
      <c r="AC10" s="447"/>
      <c r="AD10" s="447"/>
      <c r="AE10" s="447"/>
      <c r="AF10" s="447"/>
      <c r="AG10" s="447"/>
      <c r="AH10" s="447"/>
      <c r="AI10" s="447"/>
      <c r="AJ10" s="447"/>
      <c r="AK10" s="447"/>
      <c r="AL10" s="447"/>
      <c r="AM10" s="447"/>
      <c r="AN10" s="447"/>
      <c r="AO10" s="447"/>
      <c r="AP10" s="447"/>
      <c r="AQ10" s="448"/>
    </row>
    <row r="11" spans="1:43" ht="15.75">
      <c r="A11" s="442"/>
      <c r="B11" s="442"/>
      <c r="C11" s="443"/>
      <c r="D11" s="444"/>
      <c r="E11" s="442"/>
      <c r="F11" s="445"/>
      <c r="G11" s="443"/>
      <c r="H11" s="442"/>
      <c r="I11" s="442"/>
      <c r="J11" s="446"/>
      <c r="K11" s="446"/>
      <c r="L11" s="446"/>
      <c r="M11" s="447"/>
      <c r="N11" s="447"/>
      <c r="O11" s="447"/>
      <c r="P11" s="447"/>
      <c r="Q11" s="447"/>
      <c r="R11" s="447"/>
      <c r="S11" s="447"/>
      <c r="T11" s="447"/>
      <c r="U11" s="447"/>
      <c r="V11" s="447"/>
      <c r="W11" s="447"/>
      <c r="X11" s="447"/>
      <c r="Y11" s="447"/>
      <c r="Z11" s="447"/>
      <c r="AA11" s="447"/>
      <c r="AB11" s="447"/>
      <c r="AC11" s="447"/>
      <c r="AD11" s="447"/>
      <c r="AE11" s="447"/>
      <c r="AF11" s="447"/>
      <c r="AG11" s="447"/>
      <c r="AH11" s="447"/>
      <c r="AI11" s="447"/>
      <c r="AJ11" s="447"/>
      <c r="AK11" s="447"/>
      <c r="AL11" s="447"/>
      <c r="AM11" s="447"/>
      <c r="AN11" s="447"/>
      <c r="AO11" s="447"/>
      <c r="AP11" s="447"/>
      <c r="AQ11" s="448"/>
    </row>
    <row r="12" spans="1:43" ht="15.75">
      <c r="A12" s="442"/>
      <c r="B12" s="442"/>
      <c r="C12" s="443"/>
      <c r="D12" s="444"/>
      <c r="E12" s="442"/>
      <c r="F12" s="445"/>
      <c r="G12" s="443"/>
      <c r="H12" s="442"/>
      <c r="I12" s="442"/>
      <c r="J12" s="446"/>
      <c r="K12" s="446"/>
      <c r="L12" s="446"/>
      <c r="M12" s="447"/>
      <c r="N12" s="447"/>
      <c r="O12" s="447"/>
      <c r="P12" s="447"/>
      <c r="Q12" s="447"/>
      <c r="R12" s="447"/>
      <c r="S12" s="447"/>
      <c r="T12" s="447"/>
      <c r="U12" s="447"/>
      <c r="V12" s="447"/>
      <c r="W12" s="447"/>
      <c r="X12" s="447"/>
      <c r="Y12" s="447"/>
      <c r="Z12" s="447"/>
      <c r="AA12" s="447"/>
      <c r="AB12" s="447"/>
      <c r="AC12" s="447"/>
      <c r="AD12" s="447"/>
      <c r="AE12" s="447"/>
      <c r="AF12" s="447"/>
      <c r="AG12" s="447"/>
      <c r="AH12" s="447"/>
      <c r="AI12" s="447"/>
      <c r="AJ12" s="447"/>
      <c r="AK12" s="447"/>
      <c r="AL12" s="447"/>
      <c r="AM12" s="447"/>
      <c r="AN12" s="447"/>
      <c r="AO12" s="447"/>
      <c r="AP12" s="447"/>
      <c r="AQ12" s="448"/>
    </row>
    <row r="13" spans="1:43" ht="15.75">
      <c r="A13" s="442"/>
      <c r="B13" s="442"/>
      <c r="C13" s="443"/>
      <c r="D13" s="444"/>
      <c r="E13" s="442"/>
      <c r="F13" s="445"/>
      <c r="G13" s="443"/>
      <c r="H13" s="442"/>
      <c r="I13" s="442"/>
      <c r="J13" s="446"/>
      <c r="K13" s="446"/>
      <c r="L13" s="446"/>
      <c r="M13" s="447"/>
      <c r="N13" s="447"/>
      <c r="O13" s="447"/>
      <c r="P13" s="447"/>
      <c r="Q13" s="447"/>
      <c r="R13" s="447"/>
      <c r="S13" s="447"/>
      <c r="T13" s="447"/>
      <c r="U13" s="447"/>
      <c r="V13" s="447"/>
      <c r="W13" s="447"/>
      <c r="X13" s="447"/>
      <c r="Y13" s="447"/>
      <c r="Z13" s="447"/>
      <c r="AA13" s="447"/>
      <c r="AB13" s="447"/>
      <c r="AC13" s="447"/>
      <c r="AD13" s="447"/>
      <c r="AE13" s="447"/>
      <c r="AF13" s="447"/>
      <c r="AG13" s="447"/>
      <c r="AH13" s="447"/>
      <c r="AI13" s="447"/>
      <c r="AJ13" s="447"/>
      <c r="AK13" s="447"/>
      <c r="AL13" s="447"/>
      <c r="AM13" s="447"/>
      <c r="AN13" s="447"/>
      <c r="AO13" s="447"/>
      <c r="AP13" s="447"/>
      <c r="AQ13" s="448"/>
    </row>
    <row r="15" spans="1:43">
      <c r="P15" s="753" t="s">
        <v>38</v>
      </c>
      <c r="Q15" s="753"/>
      <c r="R15" s="753"/>
      <c r="S15" s="753"/>
      <c r="T15" s="753"/>
      <c r="U15" s="753"/>
      <c r="V15" s="753"/>
      <c r="W15" s="753"/>
    </row>
  </sheetData>
  <mergeCells count="8">
    <mergeCell ref="P15:W15"/>
    <mergeCell ref="A2:AQ2"/>
    <mergeCell ref="A3:AQ3"/>
    <mergeCell ref="A4:AQ4"/>
    <mergeCell ref="I6:J6"/>
    <mergeCell ref="K6:L6"/>
    <mergeCell ref="M6:AN6"/>
    <mergeCell ref="A5:AQ5"/>
  </mergeCells>
  <pageMargins left="0.70866141732283472" right="0.70866141732283472" top="0.74803149606299213" bottom="0.74803149606299213" header="0.31496062992125984" footer="0.31496062992125984"/>
  <pageSetup paperSize="8" scale="90" orientation="landscape"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98"/>
  <sheetViews>
    <sheetView zoomScaleNormal="100" workbookViewId="0">
      <selection activeCell="C21" sqref="C21"/>
    </sheetView>
  </sheetViews>
  <sheetFormatPr defaultRowHeight="15"/>
  <cols>
    <col min="1" max="1" width="10.28515625" bestFit="1" customWidth="1"/>
    <col min="2" max="2" width="10.140625" bestFit="1" customWidth="1"/>
    <col min="4" max="4" width="39.5703125" customWidth="1"/>
    <col min="5" max="5" width="11" customWidth="1"/>
    <col min="7" max="7" width="11.140625" customWidth="1"/>
    <col min="15" max="15" width="27.140625" customWidth="1"/>
  </cols>
  <sheetData>
    <row r="1" spans="1:16" ht="23.25">
      <c r="A1" s="764" t="s">
        <v>443</v>
      </c>
      <c r="B1" s="765"/>
      <c r="C1" s="765"/>
      <c r="D1" s="765"/>
      <c r="E1" s="765"/>
      <c r="F1" s="765"/>
      <c r="G1" s="765"/>
      <c r="H1" s="765"/>
      <c r="I1" s="765"/>
      <c r="J1" s="765"/>
      <c r="K1" s="765"/>
      <c r="L1" s="765"/>
      <c r="M1" s="765"/>
      <c r="N1" s="765"/>
      <c r="O1" s="551"/>
      <c r="P1" s="554"/>
    </row>
    <row r="2" spans="1:16" ht="24" thickBot="1">
      <c r="A2" s="766"/>
      <c r="B2" s="767"/>
      <c r="C2" s="767"/>
      <c r="D2" s="767"/>
      <c r="E2" s="767"/>
      <c r="F2" s="767"/>
      <c r="G2" s="767"/>
      <c r="H2" s="767"/>
      <c r="I2" s="767"/>
      <c r="J2" s="767"/>
      <c r="K2" s="767"/>
      <c r="L2" s="767"/>
      <c r="M2" s="767"/>
      <c r="N2" s="767"/>
      <c r="O2" s="552"/>
      <c r="P2" s="555"/>
    </row>
    <row r="3" spans="1:16" ht="15.75" thickBot="1">
      <c r="A3" s="768" t="s">
        <v>444</v>
      </c>
      <c r="B3" s="769"/>
      <c r="C3" s="769"/>
      <c r="D3" s="769"/>
      <c r="E3" s="769"/>
      <c r="F3" s="769"/>
      <c r="G3" s="769"/>
      <c r="H3" s="769"/>
      <c r="I3" s="769"/>
      <c r="J3" s="769"/>
      <c r="K3" s="769"/>
      <c r="L3" s="769"/>
      <c r="M3" s="769"/>
      <c r="N3" s="769"/>
      <c r="O3" s="553"/>
      <c r="P3" s="368"/>
    </row>
    <row r="4" spans="1:16">
      <c r="A4" s="369" t="s">
        <v>479</v>
      </c>
      <c r="B4" s="370"/>
      <c r="C4" s="370"/>
      <c r="D4" s="371"/>
      <c r="E4" s="770" t="s">
        <v>480</v>
      </c>
      <c r="F4" s="771"/>
      <c r="G4" s="771"/>
      <c r="H4" s="405"/>
      <c r="I4" s="405"/>
      <c r="J4" s="405"/>
      <c r="K4" s="405"/>
      <c r="L4" s="405"/>
      <c r="M4" s="405"/>
      <c r="N4" s="405"/>
      <c r="O4" s="372"/>
      <c r="P4" s="373"/>
    </row>
    <row r="5" spans="1:16">
      <c r="A5" s="374"/>
      <c r="B5" s="375" t="str">
        <f>'4-22Master'!G5</f>
        <v>Burgeon IT Services Pvt.Ltd.</v>
      </c>
      <c r="C5" s="375"/>
      <c r="D5" s="376"/>
      <c r="E5" s="406"/>
      <c r="F5" s="407"/>
      <c r="G5" s="772" t="str">
        <f>'4-22Master'!C18</f>
        <v>Amith a</v>
      </c>
      <c r="H5" s="772"/>
      <c r="I5" s="772"/>
      <c r="J5" s="407"/>
      <c r="K5" s="407"/>
      <c r="L5" s="407"/>
      <c r="M5" s="407"/>
      <c r="N5" s="407"/>
      <c r="O5" s="377"/>
      <c r="P5" s="378"/>
    </row>
    <row r="6" spans="1:16" ht="15.75" thickBot="1">
      <c r="A6" s="379"/>
      <c r="B6" s="380" t="str">
        <f>'4-22Master'!G6</f>
        <v>Siri Mansion LIGB 436 Dr.A S Rao Nagar,Hyderabad</v>
      </c>
      <c r="C6" s="380"/>
      <c r="D6" s="381"/>
      <c r="E6" s="406"/>
      <c r="F6" s="407"/>
      <c r="G6" s="407"/>
      <c r="H6" s="407"/>
      <c r="I6" s="407"/>
      <c r="J6" s="407"/>
      <c r="K6" s="407"/>
      <c r="L6" s="407"/>
      <c r="M6" s="407"/>
      <c r="N6" s="407"/>
      <c r="O6" s="377"/>
      <c r="P6" s="378"/>
    </row>
    <row r="7" spans="1:16">
      <c r="A7" s="408" t="s">
        <v>481</v>
      </c>
      <c r="B7" s="370"/>
      <c r="C7" s="370"/>
      <c r="D7" s="371"/>
      <c r="E7" s="382" t="s">
        <v>445</v>
      </c>
      <c r="F7" s="370"/>
      <c r="G7" s="383">
        <f>'4-22Master'!O18</f>
        <v>44326</v>
      </c>
      <c r="H7" s="370"/>
      <c r="I7" s="370"/>
      <c r="J7" s="370"/>
      <c r="K7" s="370"/>
      <c r="L7" s="370"/>
      <c r="M7" s="370"/>
      <c r="N7" s="370"/>
      <c r="O7" s="370"/>
      <c r="P7" s="371"/>
    </row>
    <row r="8" spans="1:16">
      <c r="A8" s="395"/>
      <c r="B8" s="375"/>
      <c r="C8" s="375">
        <f>'4-22Master'!G40</f>
        <v>0</v>
      </c>
      <c r="D8" s="376"/>
      <c r="E8" s="384"/>
      <c r="F8" s="375"/>
      <c r="G8" s="375"/>
      <c r="H8" s="375"/>
      <c r="I8" s="375"/>
      <c r="J8" s="375"/>
      <c r="K8" s="375"/>
      <c r="L8" s="375"/>
      <c r="M8" s="375"/>
      <c r="N8" s="375"/>
      <c r="O8" s="375"/>
      <c r="P8" s="376"/>
    </row>
    <row r="9" spans="1:16">
      <c r="A9" s="395"/>
      <c r="B9" s="375"/>
      <c r="C9" s="375"/>
      <c r="D9" s="376"/>
      <c r="E9" s="385"/>
      <c r="F9" s="375"/>
      <c r="G9" s="375"/>
      <c r="H9" s="375"/>
      <c r="I9" s="375"/>
      <c r="J9" s="375"/>
      <c r="K9" s="375"/>
      <c r="L9" s="375"/>
      <c r="M9" s="375"/>
      <c r="N9" s="375"/>
      <c r="O9" s="375"/>
      <c r="P9" s="376"/>
    </row>
    <row r="10" spans="1:16" ht="15.75" thickBot="1">
      <c r="A10" s="397"/>
      <c r="B10" s="398"/>
      <c r="C10" s="398"/>
      <c r="D10" s="409"/>
      <c r="E10" s="379"/>
      <c r="F10" s="380"/>
      <c r="G10" s="380"/>
      <c r="H10" s="380"/>
      <c r="I10" s="380"/>
      <c r="J10" s="380"/>
      <c r="K10" s="380"/>
      <c r="L10" s="380"/>
      <c r="M10" s="380"/>
      <c r="N10" s="380"/>
      <c r="O10" s="380"/>
      <c r="P10" s="381"/>
    </row>
    <row r="11" spans="1:16">
      <c r="A11" s="719" t="s">
        <v>5</v>
      </c>
      <c r="B11" s="773" t="s">
        <v>446</v>
      </c>
      <c r="C11" s="774"/>
      <c r="D11" s="773" t="s">
        <v>447</v>
      </c>
      <c r="E11" s="776"/>
      <c r="F11" s="723" t="s">
        <v>448</v>
      </c>
      <c r="G11" s="775" t="s">
        <v>449</v>
      </c>
      <c r="H11" s="779"/>
      <c r="I11" s="780" t="s">
        <v>450</v>
      </c>
      <c r="J11" s="779"/>
      <c r="K11" s="781"/>
      <c r="L11" s="780" t="s">
        <v>451</v>
      </c>
      <c r="M11" s="779"/>
      <c r="N11" s="779"/>
      <c r="O11" s="785" t="s">
        <v>452</v>
      </c>
      <c r="P11" s="785" t="s">
        <v>40</v>
      </c>
    </row>
    <row r="12" spans="1:16" ht="15.75" thickBot="1">
      <c r="A12" s="720"/>
      <c r="B12" s="775"/>
      <c r="C12" s="776"/>
      <c r="D12" s="775"/>
      <c r="E12" s="776"/>
      <c r="F12" s="719"/>
      <c r="G12" s="775"/>
      <c r="H12" s="779"/>
      <c r="I12" s="782"/>
      <c r="J12" s="783"/>
      <c r="K12" s="784"/>
      <c r="L12" s="782"/>
      <c r="M12" s="783"/>
      <c r="N12" s="783"/>
      <c r="O12" s="786"/>
      <c r="P12" s="786"/>
    </row>
    <row r="13" spans="1:16">
      <c r="A13" s="386">
        <v>1</v>
      </c>
      <c r="B13" s="777"/>
      <c r="C13" s="778"/>
      <c r="D13" s="777"/>
      <c r="E13" s="778"/>
      <c r="F13" s="386">
        <v>6</v>
      </c>
      <c r="G13" s="777"/>
      <c r="H13" s="778"/>
      <c r="I13" s="387">
        <v>9</v>
      </c>
      <c r="J13" s="387"/>
      <c r="K13" s="387"/>
      <c r="L13" s="387">
        <v>9</v>
      </c>
      <c r="M13" s="387"/>
      <c r="N13" s="387"/>
      <c r="O13" s="388" t="s">
        <v>453</v>
      </c>
      <c r="P13" s="388"/>
    </row>
    <row r="14" spans="1:16" ht="89.25">
      <c r="A14" s="389"/>
      <c r="B14" s="389" t="s">
        <v>454</v>
      </c>
      <c r="C14" s="389" t="s">
        <v>455</v>
      </c>
      <c r="D14" s="389" t="s">
        <v>456</v>
      </c>
      <c r="E14" s="389" t="s">
        <v>151</v>
      </c>
      <c r="F14" s="389"/>
      <c r="G14" s="389" t="s">
        <v>457</v>
      </c>
      <c r="H14" s="389" t="s">
        <v>458</v>
      </c>
      <c r="I14" s="389" t="s">
        <v>459</v>
      </c>
      <c r="J14" s="389" t="s">
        <v>460</v>
      </c>
      <c r="K14" s="389" t="s">
        <v>461</v>
      </c>
      <c r="L14" s="389" t="s">
        <v>462</v>
      </c>
      <c r="M14" s="389" t="s">
        <v>463</v>
      </c>
      <c r="N14" s="390" t="s">
        <v>464</v>
      </c>
      <c r="O14" s="390"/>
      <c r="P14" s="390"/>
    </row>
    <row r="15" spans="1:16">
      <c r="A15" s="389"/>
      <c r="B15" s="391"/>
      <c r="C15" s="389"/>
      <c r="D15" s="389"/>
      <c r="E15" s="389"/>
      <c r="F15" s="389"/>
      <c r="G15" s="389"/>
      <c r="H15" s="389"/>
      <c r="I15" s="389"/>
      <c r="J15" s="389"/>
      <c r="K15" s="389"/>
      <c r="L15" s="389"/>
      <c r="M15" s="389"/>
      <c r="N15" s="389"/>
      <c r="O15" s="389"/>
      <c r="P15" s="389"/>
    </row>
    <row r="16" spans="1:16">
      <c r="A16" s="391"/>
      <c r="B16" s="389"/>
      <c r="C16" s="389"/>
      <c r="D16" s="402"/>
      <c r="E16" s="402"/>
      <c r="F16" s="389"/>
      <c r="G16" s="389"/>
      <c r="H16" s="389"/>
      <c r="I16" s="389"/>
      <c r="J16" s="389"/>
      <c r="K16" s="389"/>
      <c r="L16" s="389"/>
      <c r="M16" s="389"/>
      <c r="N16" s="389"/>
      <c r="O16" s="389"/>
      <c r="P16" s="389"/>
    </row>
    <row r="17" spans="1:16">
      <c r="A17" s="391"/>
      <c r="B17" s="389"/>
      <c r="C17" s="389"/>
      <c r="D17" s="389"/>
      <c r="E17" s="389"/>
      <c r="F17" s="389"/>
      <c r="G17" s="389"/>
      <c r="H17" s="389"/>
      <c r="I17" s="389"/>
      <c r="J17" s="389"/>
      <c r="K17" s="389"/>
      <c r="L17" s="389"/>
      <c r="M17" s="389"/>
      <c r="N17" s="389"/>
      <c r="O17" s="389"/>
      <c r="P17" s="389"/>
    </row>
    <row r="18" spans="1:16">
      <c r="A18" s="391" t="s">
        <v>625</v>
      </c>
      <c r="B18" s="389">
        <v>1.5</v>
      </c>
      <c r="C18" s="389">
        <v>0</v>
      </c>
      <c r="D18" s="389">
        <v>0</v>
      </c>
      <c r="E18" s="389">
        <v>0</v>
      </c>
      <c r="F18" s="389">
        <v>7.5</v>
      </c>
      <c r="G18" s="389"/>
      <c r="H18" s="389"/>
      <c r="I18" s="389" t="s">
        <v>491</v>
      </c>
      <c r="J18" s="389" t="s">
        <v>491</v>
      </c>
      <c r="K18" s="389" t="s">
        <v>491</v>
      </c>
      <c r="L18" s="389"/>
      <c r="M18" s="389"/>
      <c r="N18" s="389"/>
      <c r="O18" s="389"/>
      <c r="P18" s="389"/>
    </row>
    <row r="19" spans="1:16">
      <c r="A19" s="682" t="s">
        <v>626</v>
      </c>
      <c r="B19" s="389">
        <v>1.5</v>
      </c>
      <c r="C19" s="389">
        <v>1</v>
      </c>
      <c r="D19" s="402">
        <v>44596</v>
      </c>
      <c r="E19" s="402">
        <v>44596</v>
      </c>
      <c r="F19" s="389">
        <f>F18+B19-C19</f>
        <v>8</v>
      </c>
      <c r="G19" s="389"/>
      <c r="H19" s="389"/>
      <c r="I19" s="389" t="s">
        <v>491</v>
      </c>
      <c r="J19" s="389" t="s">
        <v>491</v>
      </c>
      <c r="K19" s="389" t="s">
        <v>491</v>
      </c>
      <c r="L19" s="389"/>
      <c r="M19" s="389"/>
      <c r="N19" s="389"/>
      <c r="O19" s="389"/>
      <c r="P19" s="389"/>
    </row>
    <row r="20" spans="1:16">
      <c r="A20" s="682" t="s">
        <v>627</v>
      </c>
      <c r="B20" s="389">
        <v>1.5</v>
      </c>
      <c r="C20" s="389">
        <v>1</v>
      </c>
      <c r="D20" s="402">
        <v>44624</v>
      </c>
      <c r="E20" s="402">
        <v>44624</v>
      </c>
      <c r="F20" s="389">
        <f>F19+B20-C20</f>
        <v>8.5</v>
      </c>
      <c r="G20" s="389"/>
      <c r="H20" s="389"/>
      <c r="I20" s="389" t="s">
        <v>491</v>
      </c>
      <c r="J20" s="389" t="s">
        <v>491</v>
      </c>
      <c r="K20" s="389" t="s">
        <v>491</v>
      </c>
      <c r="L20" s="389"/>
      <c r="M20" s="389"/>
      <c r="N20" s="389"/>
      <c r="O20" s="389"/>
      <c r="P20" s="389"/>
    </row>
    <row r="21" spans="1:16">
      <c r="A21" s="391" t="s">
        <v>631</v>
      </c>
      <c r="B21" s="389">
        <v>1.5</v>
      </c>
      <c r="C21" s="389">
        <v>0</v>
      </c>
      <c r="D21" s="389">
        <v>0</v>
      </c>
      <c r="E21" s="389">
        <v>0</v>
      </c>
      <c r="F21" s="389">
        <f>F20+B21-C21</f>
        <v>10</v>
      </c>
      <c r="G21" s="389"/>
      <c r="H21" s="389"/>
      <c r="I21" s="389" t="s">
        <v>491</v>
      </c>
      <c r="J21" s="389" t="s">
        <v>491</v>
      </c>
      <c r="K21" s="389" t="s">
        <v>491</v>
      </c>
      <c r="L21" s="389"/>
      <c r="M21" s="389"/>
      <c r="N21" s="389"/>
      <c r="O21" s="389"/>
      <c r="P21" s="389"/>
    </row>
    <row r="22" spans="1:16">
      <c r="A22" s="389"/>
      <c r="B22" s="389"/>
      <c r="C22" s="389"/>
      <c r="D22" s="402"/>
      <c r="E22" s="402"/>
      <c r="F22" s="389"/>
      <c r="G22" s="389"/>
      <c r="H22" s="389"/>
      <c r="I22" s="389"/>
      <c r="J22" s="389"/>
      <c r="K22" s="389"/>
      <c r="L22" s="389"/>
      <c r="M22" s="389"/>
      <c r="N22" s="389"/>
      <c r="O22" s="389"/>
      <c r="P22" s="389"/>
    </row>
    <row r="23" spans="1:16">
      <c r="A23" s="389"/>
      <c r="B23" s="389"/>
      <c r="C23" s="389"/>
      <c r="D23" s="389"/>
      <c r="E23" s="389"/>
      <c r="F23" s="389"/>
      <c r="G23" s="389"/>
      <c r="H23" s="389"/>
      <c r="I23" s="389"/>
      <c r="J23" s="389"/>
      <c r="K23" s="389"/>
      <c r="L23" s="389"/>
      <c r="M23" s="389"/>
      <c r="N23" s="389"/>
      <c r="O23" s="389"/>
      <c r="P23" s="389"/>
    </row>
    <row r="24" spans="1:16">
      <c r="A24" s="402"/>
      <c r="B24" s="389"/>
      <c r="C24" s="389"/>
      <c r="D24" s="402"/>
      <c r="E24" s="402"/>
      <c r="F24" s="389"/>
      <c r="G24" s="389"/>
      <c r="H24" s="389"/>
      <c r="I24" s="389"/>
      <c r="J24" s="389"/>
      <c r="K24" s="389"/>
      <c r="L24" s="389"/>
      <c r="M24" s="389"/>
      <c r="N24" s="389"/>
      <c r="O24" s="389"/>
      <c r="P24" s="389"/>
    </row>
    <row r="25" spans="1:16">
      <c r="A25" s="402"/>
      <c r="B25" s="389"/>
      <c r="C25" s="389"/>
      <c r="D25" s="402"/>
      <c r="E25" s="402"/>
      <c r="F25" s="389"/>
      <c r="G25" s="389"/>
      <c r="H25" s="389"/>
      <c r="I25" s="389"/>
      <c r="J25" s="389"/>
      <c r="K25" s="389"/>
      <c r="L25" s="389"/>
      <c r="M25" s="389"/>
      <c r="N25" s="389"/>
      <c r="O25" s="389"/>
      <c r="P25" s="389"/>
    </row>
    <row r="26" spans="1:16">
      <c r="A26" s="391"/>
      <c r="B26" s="389"/>
      <c r="C26" s="389"/>
      <c r="D26" s="402"/>
      <c r="E26" s="389"/>
      <c r="F26" s="389"/>
      <c r="G26" s="389"/>
      <c r="H26" s="389"/>
      <c r="I26" s="389"/>
      <c r="J26" s="389"/>
      <c r="K26" s="389"/>
      <c r="L26" s="389"/>
      <c r="M26" s="389"/>
      <c r="N26" s="389"/>
      <c r="O26" s="389"/>
      <c r="P26" s="389"/>
    </row>
    <row r="27" spans="1:16">
      <c r="A27" s="391"/>
      <c r="B27" s="389"/>
      <c r="C27" s="389"/>
      <c r="D27" s="402"/>
      <c r="E27" s="402"/>
      <c r="F27" s="389"/>
      <c r="G27" s="389"/>
      <c r="H27" s="389"/>
      <c r="I27" s="389"/>
      <c r="J27" s="389"/>
      <c r="K27" s="389"/>
      <c r="L27" s="389"/>
      <c r="M27" s="389"/>
      <c r="N27" s="389"/>
      <c r="O27" s="389"/>
      <c r="P27" s="389"/>
    </row>
    <row r="28" spans="1:16">
      <c r="A28" s="391"/>
      <c r="B28" s="389"/>
      <c r="C28" s="389"/>
      <c r="D28" s="402"/>
      <c r="E28" s="402"/>
      <c r="F28" s="389"/>
      <c r="G28" s="389"/>
      <c r="H28" s="389"/>
      <c r="I28" s="389"/>
      <c r="J28" s="389"/>
      <c r="K28" s="389"/>
      <c r="L28" s="389"/>
      <c r="M28" s="389"/>
      <c r="N28" s="389"/>
      <c r="O28" s="389"/>
      <c r="P28" s="389"/>
    </row>
    <row r="29" spans="1:16">
      <c r="A29" s="391"/>
      <c r="B29" s="642"/>
      <c r="C29" s="389"/>
      <c r="D29" s="402"/>
      <c r="E29" s="402"/>
      <c r="F29" s="389"/>
      <c r="G29" s="389"/>
      <c r="H29" s="389"/>
      <c r="I29" s="389"/>
      <c r="J29" s="389"/>
      <c r="K29" s="389"/>
      <c r="L29" s="642"/>
      <c r="M29" s="642"/>
      <c r="N29" s="642"/>
      <c r="O29" s="642"/>
      <c r="P29" s="642"/>
    </row>
    <row r="30" spans="1:16">
      <c r="A30" s="641"/>
      <c r="B30" s="642"/>
      <c r="C30" s="389"/>
      <c r="D30" s="389"/>
      <c r="E30" s="389"/>
      <c r="F30" s="389"/>
      <c r="G30" s="389"/>
      <c r="H30" s="389"/>
      <c r="I30" s="389"/>
      <c r="J30" s="389"/>
      <c r="K30" s="389"/>
      <c r="L30" s="642"/>
      <c r="M30" s="642"/>
      <c r="N30" s="642"/>
      <c r="O30" s="642"/>
      <c r="P30" s="642"/>
    </row>
    <row r="31" spans="1:16">
      <c r="A31" s="389"/>
      <c r="B31" s="389"/>
      <c r="C31" s="389"/>
      <c r="D31" s="389"/>
      <c r="E31" s="389"/>
      <c r="F31" s="389"/>
      <c r="G31" s="389"/>
      <c r="H31" s="389"/>
      <c r="I31" s="389"/>
      <c r="J31" s="389"/>
      <c r="K31" s="389"/>
      <c r="L31" s="389"/>
      <c r="M31" s="389"/>
      <c r="N31" s="389"/>
      <c r="O31" s="389"/>
      <c r="P31" s="389"/>
    </row>
    <row r="32" spans="1:16">
      <c r="A32" s="389"/>
      <c r="B32" s="389"/>
      <c r="C32" s="389"/>
      <c r="D32" s="389"/>
      <c r="E32" s="389"/>
      <c r="F32" s="389"/>
      <c r="G32" s="389"/>
      <c r="H32" s="389"/>
      <c r="I32" s="389"/>
      <c r="J32" s="389"/>
      <c r="K32" s="389"/>
      <c r="L32" s="389"/>
      <c r="M32" s="389"/>
      <c r="N32" s="389"/>
      <c r="O32" s="389"/>
      <c r="P32" s="389"/>
    </row>
    <row r="33" spans="1:16">
      <c r="A33" s="389"/>
      <c r="B33" s="389"/>
      <c r="C33" s="389"/>
      <c r="D33" s="389"/>
      <c r="E33" s="389"/>
      <c r="F33" s="389"/>
      <c r="G33" s="389"/>
      <c r="H33" s="389"/>
      <c r="I33" s="389"/>
      <c r="J33" s="389"/>
      <c r="K33" s="389"/>
      <c r="L33" s="389"/>
      <c r="M33" s="389"/>
      <c r="N33" s="389"/>
      <c r="O33" s="389"/>
      <c r="P33" s="389"/>
    </row>
    <row r="34" spans="1:16">
      <c r="A34" s="389"/>
      <c r="B34" s="389"/>
      <c r="C34" s="389"/>
      <c r="D34" s="389"/>
      <c r="E34" s="389"/>
      <c r="F34" s="389"/>
      <c r="G34" s="389"/>
      <c r="H34" s="389"/>
      <c r="I34" s="389"/>
      <c r="J34" s="389"/>
      <c r="K34" s="389"/>
      <c r="L34" s="389"/>
      <c r="M34" s="389"/>
      <c r="N34" s="389"/>
      <c r="O34" s="389"/>
      <c r="P34" s="389"/>
    </row>
    <row r="35" spans="1:16">
      <c r="A35" s="389"/>
      <c r="B35" s="389"/>
      <c r="C35" s="389"/>
      <c r="D35" s="389"/>
      <c r="E35" s="389"/>
      <c r="F35" s="389"/>
      <c r="G35" s="389"/>
      <c r="H35" s="389"/>
      <c r="I35" s="389"/>
      <c r="J35" s="389"/>
      <c r="K35" s="389"/>
      <c r="L35" s="389"/>
      <c r="M35" s="389"/>
      <c r="N35" s="389"/>
      <c r="O35" s="389"/>
      <c r="P35" s="389"/>
    </row>
    <row r="36" spans="1:16">
      <c r="A36" s="389"/>
      <c r="B36" s="389"/>
      <c r="C36" s="389"/>
      <c r="D36" s="389"/>
      <c r="E36" s="389"/>
      <c r="F36" s="389"/>
      <c r="G36" s="389"/>
      <c r="H36" s="389"/>
      <c r="I36" s="389"/>
      <c r="J36" s="389"/>
      <c r="K36" s="389"/>
      <c r="L36" s="389"/>
      <c r="M36" s="389"/>
      <c r="N36" s="389"/>
      <c r="O36" s="389"/>
      <c r="P36" s="389"/>
    </row>
    <row r="37" spans="1:16">
      <c r="A37" s="389"/>
      <c r="B37" s="389"/>
      <c r="C37" s="389"/>
      <c r="D37" s="389"/>
      <c r="E37" s="389"/>
      <c r="F37" s="389"/>
      <c r="G37" s="389"/>
      <c r="H37" s="389"/>
      <c r="I37" s="389"/>
      <c r="J37" s="389"/>
      <c r="K37" s="389"/>
      <c r="L37" s="389"/>
      <c r="M37" s="389"/>
      <c r="N37" s="389"/>
      <c r="O37" s="389"/>
      <c r="P37" s="389"/>
    </row>
    <row r="38" spans="1:16">
      <c r="A38" s="389"/>
      <c r="B38" s="389"/>
      <c r="C38" s="389"/>
      <c r="D38" s="389"/>
      <c r="E38" s="389"/>
      <c r="F38" s="389"/>
      <c r="G38" s="389"/>
      <c r="H38" s="389"/>
      <c r="I38" s="389"/>
      <c r="J38" s="389"/>
      <c r="K38" s="389"/>
      <c r="L38" s="389"/>
      <c r="M38" s="389"/>
      <c r="N38" s="389"/>
      <c r="O38" s="389"/>
      <c r="P38" s="389"/>
    </row>
    <row r="39" spans="1:16">
      <c r="A39" s="389"/>
      <c r="B39" s="389"/>
      <c r="C39" s="389"/>
      <c r="D39" s="389"/>
      <c r="E39" s="389"/>
      <c r="F39" s="389"/>
      <c r="G39" s="389"/>
      <c r="H39" s="389"/>
      <c r="I39" s="389"/>
      <c r="J39" s="389"/>
      <c r="K39" s="389"/>
      <c r="L39" s="389"/>
      <c r="M39" s="389"/>
      <c r="N39" s="389"/>
      <c r="O39" s="389"/>
      <c r="P39" s="389"/>
    </row>
    <row r="40" spans="1:16">
      <c r="A40" s="389"/>
      <c r="B40" s="389"/>
      <c r="C40" s="389"/>
      <c r="D40" s="389"/>
      <c r="E40" s="389"/>
      <c r="F40" s="389"/>
      <c r="G40" s="389"/>
      <c r="H40" s="389"/>
      <c r="I40" s="389"/>
      <c r="J40" s="389"/>
      <c r="K40" s="389"/>
      <c r="L40" s="389"/>
      <c r="M40" s="389"/>
      <c r="N40" s="389"/>
      <c r="O40" s="389"/>
      <c r="P40" s="389"/>
    </row>
    <row r="41" spans="1:16">
      <c r="A41" s="375"/>
      <c r="B41" s="375"/>
      <c r="C41" s="375"/>
      <c r="D41" s="375"/>
      <c r="E41" s="375"/>
      <c r="F41" s="375"/>
      <c r="G41" s="375"/>
      <c r="H41" s="375"/>
      <c r="I41" s="375"/>
      <c r="J41" s="375"/>
      <c r="K41" s="375"/>
      <c r="L41" s="375"/>
      <c r="M41" s="375"/>
      <c r="N41" s="375"/>
      <c r="O41" s="375"/>
      <c r="P41" s="375"/>
    </row>
    <row r="42" spans="1:16">
      <c r="A42" s="375"/>
      <c r="B42" s="375"/>
      <c r="C42" s="375"/>
      <c r="D42" s="375"/>
      <c r="E42" s="375"/>
      <c r="F42" s="375"/>
      <c r="G42" s="375"/>
      <c r="H42" s="375"/>
      <c r="I42" s="375"/>
      <c r="J42" s="375"/>
      <c r="K42" s="375"/>
      <c r="L42" s="375"/>
      <c r="M42" s="375"/>
      <c r="N42" s="375"/>
      <c r="O42" s="375"/>
      <c r="P42" s="375"/>
    </row>
    <row r="43" spans="1:16">
      <c r="A43" s="375"/>
      <c r="B43" s="375"/>
      <c r="C43" s="375"/>
      <c r="D43" s="375"/>
      <c r="E43" s="375"/>
      <c r="F43" s="375"/>
      <c r="G43" s="375"/>
      <c r="H43" s="375"/>
      <c r="I43" s="375"/>
      <c r="J43" s="375"/>
      <c r="K43" s="375"/>
      <c r="L43" s="375"/>
      <c r="M43" s="375"/>
      <c r="N43" s="375"/>
      <c r="O43" s="375"/>
      <c r="P43" s="375"/>
    </row>
    <row r="44" spans="1:16">
      <c r="A44" s="375"/>
      <c r="B44" s="375"/>
      <c r="C44" s="375"/>
      <c r="D44" s="375"/>
      <c r="E44" s="375"/>
      <c r="F44" s="375"/>
      <c r="G44" s="375"/>
      <c r="H44" s="375"/>
      <c r="I44" s="375"/>
      <c r="J44" s="375"/>
      <c r="K44" s="375"/>
      <c r="L44" s="375"/>
      <c r="M44" s="375"/>
      <c r="N44" s="375"/>
      <c r="O44" s="375"/>
      <c r="P44" s="375"/>
    </row>
    <row r="45" spans="1:16">
      <c r="A45" s="375"/>
      <c r="B45" s="375"/>
      <c r="C45" s="375"/>
      <c r="D45" s="375"/>
      <c r="E45" s="375"/>
      <c r="F45" s="375"/>
      <c r="G45" s="620" t="s">
        <v>38</v>
      </c>
      <c r="H45" s="620"/>
      <c r="I45" s="620"/>
      <c r="J45" s="620"/>
      <c r="K45" s="620"/>
      <c r="L45" s="620"/>
      <c r="M45" s="620"/>
      <c r="N45" s="620"/>
      <c r="O45" s="375"/>
      <c r="P45" s="375"/>
    </row>
    <row r="46" spans="1:16">
      <c r="A46" s="375"/>
      <c r="B46" s="375"/>
      <c r="C46" s="375"/>
      <c r="D46" s="375"/>
      <c r="E46" s="375"/>
      <c r="F46" s="375"/>
      <c r="G46" s="375"/>
      <c r="H46" s="375"/>
      <c r="I46" s="375"/>
      <c r="J46" s="375"/>
      <c r="K46" s="375"/>
      <c r="L46" s="375"/>
      <c r="M46" s="375"/>
      <c r="N46" s="375"/>
      <c r="O46" s="375"/>
      <c r="P46" s="375"/>
    </row>
    <row r="47" spans="1:16" ht="15.75" thickBot="1"/>
    <row r="48" spans="1:16" s="15" customFormat="1" ht="23.25">
      <c r="A48" s="764" t="s">
        <v>443</v>
      </c>
      <c r="B48" s="765"/>
      <c r="C48" s="765"/>
      <c r="D48" s="765"/>
      <c r="E48" s="765"/>
      <c r="F48" s="765"/>
      <c r="G48" s="765"/>
      <c r="H48" s="765"/>
      <c r="I48" s="765"/>
      <c r="J48" s="765"/>
      <c r="K48" s="765"/>
      <c r="L48" s="765"/>
      <c r="M48" s="765"/>
      <c r="N48" s="765"/>
      <c r="O48" s="695"/>
      <c r="P48" s="554"/>
    </row>
    <row r="49" spans="1:16" s="15" customFormat="1" ht="24" thickBot="1">
      <c r="A49" s="766"/>
      <c r="B49" s="767"/>
      <c r="C49" s="767"/>
      <c r="D49" s="767"/>
      <c r="E49" s="767"/>
      <c r="F49" s="767"/>
      <c r="G49" s="767"/>
      <c r="H49" s="767"/>
      <c r="I49" s="767"/>
      <c r="J49" s="767"/>
      <c r="K49" s="767"/>
      <c r="L49" s="767"/>
      <c r="M49" s="767"/>
      <c r="N49" s="767"/>
      <c r="O49" s="696"/>
      <c r="P49" s="555"/>
    </row>
    <row r="50" spans="1:16" s="15" customFormat="1" ht="15.75" thickBot="1">
      <c r="A50" s="768" t="s">
        <v>444</v>
      </c>
      <c r="B50" s="769"/>
      <c r="C50" s="769"/>
      <c r="D50" s="769"/>
      <c r="E50" s="769"/>
      <c r="F50" s="769"/>
      <c r="G50" s="769"/>
      <c r="H50" s="769"/>
      <c r="I50" s="769"/>
      <c r="J50" s="769"/>
      <c r="K50" s="769"/>
      <c r="L50" s="769"/>
      <c r="M50" s="769"/>
      <c r="N50" s="769"/>
      <c r="O50" s="697"/>
      <c r="P50" s="368"/>
    </row>
    <row r="51" spans="1:16" s="15" customFormat="1">
      <c r="A51" s="369" t="s">
        <v>479</v>
      </c>
      <c r="B51" s="370"/>
      <c r="C51" s="370"/>
      <c r="D51" s="371"/>
      <c r="E51" s="770" t="s">
        <v>480</v>
      </c>
      <c r="F51" s="771"/>
      <c r="G51" s="771"/>
      <c r="H51" s="405"/>
      <c r="I51" s="405"/>
      <c r="J51" s="405"/>
      <c r="K51" s="405"/>
      <c r="L51" s="405"/>
      <c r="M51" s="405"/>
      <c r="N51" s="405"/>
      <c r="O51" s="372"/>
      <c r="P51" s="373"/>
    </row>
    <row r="52" spans="1:16" s="15" customFormat="1">
      <c r="A52" s="374"/>
      <c r="B52" s="375" t="str">
        <f>'4-22Master'!G5</f>
        <v>Burgeon IT Services Pvt.Ltd.</v>
      </c>
      <c r="C52" s="375"/>
      <c r="D52" s="376"/>
      <c r="E52" s="406"/>
      <c r="F52" s="407"/>
      <c r="G52" s="772"/>
      <c r="H52" s="772"/>
      <c r="I52" s="772"/>
      <c r="J52" s="407"/>
      <c r="K52" s="407"/>
      <c r="L52" s="407"/>
      <c r="M52" s="407"/>
      <c r="N52" s="407"/>
      <c r="O52" s="377"/>
      <c r="P52" s="378"/>
    </row>
    <row r="53" spans="1:16" s="15" customFormat="1" ht="15.75" thickBot="1">
      <c r="A53" s="379"/>
      <c r="B53" s="380" t="str">
        <f>'4-22Master'!G6</f>
        <v>Siri Mansion LIGB 436 Dr.A S Rao Nagar,Hyderabad</v>
      </c>
      <c r="C53" s="380"/>
      <c r="D53" s="381"/>
      <c r="E53" s="406"/>
      <c r="F53" s="407"/>
      <c r="G53" s="407"/>
      <c r="H53" s="407"/>
      <c r="I53" s="407"/>
      <c r="J53" s="407"/>
      <c r="K53" s="407"/>
      <c r="L53" s="407"/>
      <c r="M53" s="407"/>
      <c r="N53" s="407"/>
      <c r="O53" s="377"/>
      <c r="P53" s="378"/>
    </row>
    <row r="54" spans="1:16" s="15" customFormat="1">
      <c r="A54" s="408" t="s">
        <v>481</v>
      </c>
      <c r="B54" s="370"/>
      <c r="C54" s="370"/>
      <c r="D54" s="371"/>
      <c r="E54" s="382" t="s">
        <v>445</v>
      </c>
      <c r="F54" s="370"/>
      <c r="G54" s="383"/>
      <c r="H54" s="370"/>
      <c r="I54" s="370"/>
      <c r="J54" s="370"/>
      <c r="K54" s="370"/>
      <c r="L54" s="370"/>
      <c r="M54" s="370"/>
      <c r="N54" s="370"/>
      <c r="O54" s="370"/>
      <c r="P54" s="371"/>
    </row>
    <row r="55" spans="1:16" s="15" customFormat="1">
      <c r="A55" s="395"/>
      <c r="B55" s="375"/>
      <c r="C55" s="375">
        <f>'4-22Master'!G92</f>
        <v>0</v>
      </c>
      <c r="D55" s="376"/>
      <c r="E55" s="384"/>
      <c r="F55" s="375"/>
      <c r="G55" s="375"/>
      <c r="H55" s="375"/>
      <c r="I55" s="375"/>
      <c r="J55" s="375"/>
      <c r="K55" s="375"/>
      <c r="L55" s="375"/>
      <c r="M55" s="375"/>
      <c r="N55" s="375"/>
      <c r="O55" s="375"/>
      <c r="P55" s="376"/>
    </row>
    <row r="56" spans="1:16" s="15" customFormat="1">
      <c r="A56" s="395"/>
      <c r="B56" s="375"/>
      <c r="C56" s="375"/>
      <c r="D56" s="376"/>
      <c r="E56" s="698"/>
      <c r="F56" s="375"/>
      <c r="G56" s="375"/>
      <c r="H56" s="375"/>
      <c r="I56" s="375"/>
      <c r="J56" s="375"/>
      <c r="K56" s="375"/>
      <c r="L56" s="375"/>
      <c r="M56" s="375"/>
      <c r="N56" s="375"/>
      <c r="O56" s="375"/>
      <c r="P56" s="376"/>
    </row>
    <row r="57" spans="1:16" s="15" customFormat="1" ht="15.75" thickBot="1">
      <c r="A57" s="397"/>
      <c r="B57" s="398"/>
      <c r="C57" s="398"/>
      <c r="D57" s="409"/>
      <c r="E57" s="379"/>
      <c r="F57" s="380"/>
      <c r="G57" s="380"/>
      <c r="H57" s="380"/>
      <c r="I57" s="380"/>
      <c r="J57" s="380"/>
      <c r="K57" s="380"/>
      <c r="L57" s="380"/>
      <c r="M57" s="380"/>
      <c r="N57" s="380"/>
      <c r="O57" s="380"/>
      <c r="P57" s="381"/>
    </row>
    <row r="58" spans="1:16" s="15" customFormat="1">
      <c r="A58" s="719" t="s">
        <v>5</v>
      </c>
      <c r="B58" s="773" t="s">
        <v>446</v>
      </c>
      <c r="C58" s="774"/>
      <c r="D58" s="773" t="s">
        <v>447</v>
      </c>
      <c r="E58" s="776"/>
      <c r="F58" s="723" t="s">
        <v>448</v>
      </c>
      <c r="G58" s="775" t="s">
        <v>449</v>
      </c>
      <c r="H58" s="779"/>
      <c r="I58" s="780" t="s">
        <v>450</v>
      </c>
      <c r="J58" s="779"/>
      <c r="K58" s="781"/>
      <c r="L58" s="780" t="s">
        <v>451</v>
      </c>
      <c r="M58" s="779"/>
      <c r="N58" s="779"/>
      <c r="O58" s="785" t="s">
        <v>452</v>
      </c>
      <c r="P58" s="785" t="s">
        <v>40</v>
      </c>
    </row>
    <row r="59" spans="1:16" s="15" customFormat="1" ht="15.75" thickBot="1">
      <c r="A59" s="720"/>
      <c r="B59" s="775"/>
      <c r="C59" s="776"/>
      <c r="D59" s="775"/>
      <c r="E59" s="776"/>
      <c r="F59" s="719"/>
      <c r="G59" s="775"/>
      <c r="H59" s="779"/>
      <c r="I59" s="782"/>
      <c r="J59" s="783"/>
      <c r="K59" s="784"/>
      <c r="L59" s="782"/>
      <c r="M59" s="783"/>
      <c r="N59" s="783"/>
      <c r="O59" s="786"/>
      <c r="P59" s="786"/>
    </row>
    <row r="60" spans="1:16" s="15" customFormat="1">
      <c r="A60" s="386">
        <v>1</v>
      </c>
      <c r="B60" s="777"/>
      <c r="C60" s="778"/>
      <c r="D60" s="777"/>
      <c r="E60" s="778"/>
      <c r="F60" s="386">
        <v>6</v>
      </c>
      <c r="G60" s="777"/>
      <c r="H60" s="778"/>
      <c r="I60" s="387">
        <v>9</v>
      </c>
      <c r="J60" s="387"/>
      <c r="K60" s="387"/>
      <c r="L60" s="387">
        <v>9</v>
      </c>
      <c r="M60" s="387"/>
      <c r="N60" s="387"/>
      <c r="O60" s="388" t="s">
        <v>453</v>
      </c>
      <c r="P60" s="388"/>
    </row>
    <row r="61" spans="1:16" s="15" customFormat="1" ht="89.25">
      <c r="A61" s="389"/>
      <c r="B61" s="389" t="s">
        <v>454</v>
      </c>
      <c r="C61" s="389" t="s">
        <v>455</v>
      </c>
      <c r="D61" s="389" t="s">
        <v>456</v>
      </c>
      <c r="E61" s="389" t="s">
        <v>151</v>
      </c>
      <c r="F61" s="389"/>
      <c r="G61" s="389" t="s">
        <v>457</v>
      </c>
      <c r="H61" s="389" t="s">
        <v>458</v>
      </c>
      <c r="I61" s="389" t="s">
        <v>459</v>
      </c>
      <c r="J61" s="389" t="s">
        <v>460</v>
      </c>
      <c r="K61" s="389" t="s">
        <v>461</v>
      </c>
      <c r="L61" s="389" t="s">
        <v>462</v>
      </c>
      <c r="M61" s="389" t="s">
        <v>463</v>
      </c>
      <c r="N61" s="390" t="s">
        <v>464</v>
      </c>
      <c r="O61" s="390"/>
      <c r="P61" s="390"/>
    </row>
    <row r="62" spans="1:16" s="15" customFormat="1">
      <c r="A62" s="389"/>
      <c r="B62" s="391"/>
      <c r="C62" s="389"/>
      <c r="D62" s="389"/>
      <c r="E62" s="389"/>
      <c r="F62" s="389"/>
      <c r="G62" s="389"/>
      <c r="H62" s="389"/>
      <c r="I62" s="389"/>
      <c r="J62" s="389"/>
      <c r="K62" s="389"/>
      <c r="L62" s="389"/>
      <c r="M62" s="389"/>
      <c r="N62" s="389"/>
      <c r="O62" s="389"/>
      <c r="P62" s="389"/>
    </row>
    <row r="63" spans="1:16" s="15" customFormat="1">
      <c r="A63" s="391"/>
      <c r="B63" s="389"/>
      <c r="C63" s="389"/>
      <c r="D63" s="402"/>
      <c r="E63" s="402"/>
      <c r="F63" s="389"/>
      <c r="G63" s="389"/>
      <c r="H63" s="389"/>
      <c r="I63" s="389"/>
      <c r="J63" s="389"/>
      <c r="K63" s="389"/>
      <c r="L63" s="389"/>
      <c r="M63" s="389"/>
      <c r="N63" s="389"/>
      <c r="O63" s="389"/>
      <c r="P63" s="389"/>
    </row>
    <row r="64" spans="1:16" s="15" customFormat="1">
      <c r="A64" s="391"/>
      <c r="B64" s="389"/>
      <c r="C64" s="389"/>
      <c r="D64" s="389"/>
      <c r="E64" s="389"/>
      <c r="F64" s="389"/>
      <c r="G64" s="389"/>
      <c r="H64" s="389"/>
      <c r="I64" s="389"/>
      <c r="J64" s="389"/>
      <c r="K64" s="389"/>
      <c r="L64" s="389"/>
      <c r="M64" s="389"/>
      <c r="N64" s="389"/>
      <c r="O64" s="389"/>
      <c r="P64" s="389"/>
    </row>
    <row r="65" spans="1:16" s="15" customFormat="1">
      <c r="A65" s="391"/>
      <c r="B65" s="389"/>
      <c r="C65" s="389"/>
      <c r="D65" s="389"/>
      <c r="E65" s="389"/>
      <c r="F65" s="389"/>
      <c r="G65" s="389"/>
      <c r="H65" s="389"/>
      <c r="I65" s="389"/>
      <c r="J65" s="389"/>
      <c r="K65" s="389"/>
      <c r="L65" s="389"/>
      <c r="M65" s="389"/>
      <c r="N65" s="389"/>
      <c r="O65" s="389"/>
      <c r="P65" s="389"/>
    </row>
    <row r="66" spans="1:16" s="15" customFormat="1">
      <c r="A66" s="391"/>
      <c r="B66" s="389"/>
      <c r="C66" s="389"/>
      <c r="D66" s="389"/>
      <c r="E66" s="389"/>
      <c r="F66" s="389"/>
      <c r="G66" s="389"/>
      <c r="H66" s="389"/>
      <c r="I66" s="389"/>
      <c r="J66" s="389"/>
      <c r="K66" s="389"/>
      <c r="L66" s="389"/>
      <c r="M66" s="389"/>
      <c r="N66" s="389"/>
      <c r="O66" s="389"/>
      <c r="P66" s="389"/>
    </row>
    <row r="67" spans="1:16" s="15" customFormat="1">
      <c r="A67" s="391"/>
      <c r="B67" s="389"/>
      <c r="C67" s="389"/>
      <c r="D67" s="402"/>
      <c r="E67" s="402"/>
      <c r="F67" s="389"/>
      <c r="G67" s="389"/>
      <c r="H67" s="389"/>
      <c r="I67" s="389"/>
      <c r="J67" s="389"/>
      <c r="K67" s="389"/>
      <c r="L67" s="389"/>
      <c r="M67" s="389"/>
      <c r="N67" s="389"/>
      <c r="O67" s="389"/>
      <c r="P67" s="389"/>
    </row>
    <row r="68" spans="1:16" s="15" customFormat="1">
      <c r="A68" s="389"/>
      <c r="B68" s="389"/>
      <c r="C68" s="389"/>
      <c r="D68" s="389"/>
      <c r="E68" s="389"/>
      <c r="F68" s="389"/>
      <c r="G68" s="389"/>
      <c r="H68" s="389"/>
      <c r="I68" s="389"/>
      <c r="J68" s="389"/>
      <c r="K68" s="389"/>
      <c r="L68" s="389"/>
      <c r="M68" s="389"/>
      <c r="N68" s="389"/>
      <c r="O68" s="389"/>
      <c r="P68" s="389"/>
    </row>
    <row r="69" spans="1:16" s="15" customFormat="1">
      <c r="A69" s="389"/>
      <c r="B69" s="389"/>
      <c r="C69" s="389"/>
      <c r="D69" s="389"/>
      <c r="E69" s="389"/>
      <c r="F69" s="389"/>
      <c r="G69" s="389"/>
      <c r="H69" s="389"/>
      <c r="I69" s="389"/>
      <c r="J69" s="389"/>
      <c r="K69" s="389"/>
      <c r="L69" s="389"/>
      <c r="M69" s="389"/>
      <c r="N69" s="389"/>
      <c r="O69" s="389"/>
      <c r="P69" s="389"/>
    </row>
    <row r="70" spans="1:16" s="15" customFormat="1">
      <c r="A70" s="682"/>
      <c r="B70" s="389"/>
      <c r="C70" s="389"/>
      <c r="D70" s="389"/>
      <c r="E70" s="389"/>
      <c r="F70" s="389"/>
      <c r="G70" s="389"/>
      <c r="H70" s="389"/>
      <c r="I70" s="389"/>
      <c r="J70" s="389"/>
      <c r="K70" s="389"/>
      <c r="L70" s="389"/>
      <c r="M70" s="389"/>
      <c r="N70" s="389"/>
      <c r="O70" s="389"/>
      <c r="P70" s="389"/>
    </row>
    <row r="71" spans="1:16" s="15" customFormat="1">
      <c r="A71" s="402"/>
      <c r="B71" s="389"/>
      <c r="C71" s="389"/>
      <c r="D71" s="699"/>
      <c r="F71" s="389"/>
      <c r="G71" s="389"/>
      <c r="H71" s="389"/>
      <c r="I71" s="389"/>
      <c r="J71" s="389"/>
      <c r="K71" s="389"/>
      <c r="L71" s="389"/>
      <c r="M71" s="389"/>
      <c r="N71" s="389"/>
      <c r="O71" s="389"/>
      <c r="P71" s="389"/>
    </row>
    <row r="72" spans="1:16" s="15" customFormat="1">
      <c r="A72" s="402"/>
      <c r="B72" s="389"/>
      <c r="C72" s="389"/>
      <c r="D72" s="402"/>
      <c r="E72" s="402"/>
      <c r="F72" s="389"/>
      <c r="G72" s="389"/>
      <c r="H72" s="389"/>
      <c r="I72" s="389"/>
      <c r="J72" s="389"/>
      <c r="K72" s="389"/>
      <c r="L72" s="389"/>
      <c r="M72" s="389"/>
      <c r="N72" s="389"/>
      <c r="O72" s="389"/>
      <c r="P72" s="389"/>
    </row>
    <row r="73" spans="1:16" s="15" customFormat="1">
      <c r="A73" s="391"/>
      <c r="B73" s="389"/>
      <c r="C73" s="389"/>
      <c r="D73" s="402"/>
      <c r="E73" s="402"/>
      <c r="F73" s="389"/>
      <c r="G73" s="389"/>
      <c r="H73" s="389"/>
      <c r="I73" s="389"/>
      <c r="J73" s="389"/>
      <c r="K73" s="389"/>
      <c r="L73" s="389"/>
      <c r="M73" s="389"/>
      <c r="N73" s="389"/>
      <c r="O73" s="389"/>
      <c r="P73" s="389"/>
    </row>
    <row r="74" spans="1:16" s="15" customFormat="1">
      <c r="A74" s="391"/>
      <c r="B74" s="389"/>
      <c r="C74" s="389"/>
      <c r="D74" s="402"/>
      <c r="E74" s="402"/>
      <c r="F74" s="389"/>
      <c r="G74" s="389"/>
      <c r="H74" s="389"/>
      <c r="I74" s="389"/>
      <c r="J74" s="389"/>
      <c r="K74" s="389"/>
      <c r="L74" s="389"/>
      <c r="M74" s="389"/>
      <c r="N74" s="389"/>
      <c r="O74" s="389"/>
      <c r="P74" s="389"/>
    </row>
    <row r="75" spans="1:16" s="15" customFormat="1">
      <c r="A75" s="391"/>
      <c r="B75" s="389"/>
      <c r="C75" s="389"/>
      <c r="D75" s="402"/>
      <c r="E75" s="402"/>
      <c r="F75" s="389"/>
      <c r="G75" s="389"/>
      <c r="H75" s="389"/>
      <c r="I75" s="389"/>
      <c r="J75" s="389"/>
      <c r="K75" s="389"/>
      <c r="L75" s="389"/>
      <c r="M75" s="389"/>
      <c r="N75" s="389"/>
      <c r="O75" s="389"/>
      <c r="P75" s="389"/>
    </row>
    <row r="76" spans="1:16" s="15" customFormat="1">
      <c r="A76" s="391"/>
      <c r="B76" s="642"/>
      <c r="C76" s="389"/>
      <c r="D76" s="402"/>
      <c r="E76" s="402"/>
      <c r="F76" s="389"/>
      <c r="G76" s="389"/>
      <c r="H76" s="389"/>
      <c r="I76" s="389"/>
      <c r="J76" s="389"/>
      <c r="K76" s="389"/>
      <c r="L76" s="642"/>
      <c r="M76" s="642"/>
      <c r="N76" s="642"/>
      <c r="O76" s="642"/>
      <c r="P76" s="642"/>
    </row>
    <row r="77" spans="1:16" s="15" customFormat="1">
      <c r="A77" s="641"/>
      <c r="B77" s="642"/>
      <c r="C77" s="389"/>
      <c r="D77" s="389"/>
      <c r="E77" s="389"/>
      <c r="F77" s="389"/>
      <c r="G77" s="389"/>
      <c r="H77" s="389"/>
      <c r="I77" s="389"/>
      <c r="J77" s="389"/>
      <c r="K77" s="389"/>
      <c r="L77" s="642"/>
      <c r="M77" s="642"/>
      <c r="N77" s="642"/>
      <c r="O77" s="642"/>
      <c r="P77" s="642"/>
    </row>
    <row r="78" spans="1:16" s="15" customFormat="1">
      <c r="A78" s="389"/>
      <c r="B78" s="389"/>
      <c r="C78" s="389"/>
      <c r="D78" s="389"/>
      <c r="E78" s="389"/>
      <c r="F78" s="389"/>
      <c r="G78" s="389"/>
      <c r="H78" s="389"/>
      <c r="I78" s="389"/>
      <c r="J78" s="389"/>
      <c r="K78" s="389"/>
      <c r="L78" s="389"/>
      <c r="M78" s="389"/>
      <c r="N78" s="389"/>
      <c r="O78" s="389"/>
      <c r="P78" s="389"/>
    </row>
    <row r="79" spans="1:16" s="15" customFormat="1">
      <c r="A79" s="389"/>
      <c r="B79" s="389"/>
      <c r="C79" s="389"/>
      <c r="D79" s="389"/>
      <c r="E79" s="389"/>
      <c r="F79" s="389"/>
      <c r="G79" s="389"/>
      <c r="H79" s="389"/>
      <c r="I79" s="389"/>
      <c r="J79" s="389"/>
      <c r="K79" s="389"/>
      <c r="L79" s="389"/>
      <c r="M79" s="389"/>
      <c r="N79" s="389"/>
      <c r="O79" s="389"/>
      <c r="P79" s="389"/>
    </row>
    <row r="80" spans="1:16" s="15" customFormat="1">
      <c r="A80" s="389"/>
      <c r="B80" s="389"/>
      <c r="C80" s="389"/>
      <c r="D80" s="389"/>
      <c r="E80" s="389"/>
      <c r="F80" s="389"/>
      <c r="G80" s="389"/>
      <c r="H80" s="389"/>
      <c r="I80" s="389"/>
      <c r="J80" s="389"/>
      <c r="K80" s="389"/>
      <c r="L80" s="389"/>
      <c r="M80" s="389"/>
      <c r="N80" s="389"/>
      <c r="O80" s="389"/>
      <c r="P80" s="389"/>
    </row>
    <row r="81" spans="1:16" s="15" customFormat="1">
      <c r="A81" s="389"/>
      <c r="B81" s="389"/>
      <c r="C81" s="389"/>
      <c r="D81" s="389"/>
      <c r="E81" s="389"/>
      <c r="F81" s="389"/>
      <c r="G81" s="389"/>
      <c r="H81" s="389"/>
      <c r="I81" s="389"/>
      <c r="J81" s="389"/>
      <c r="K81" s="389"/>
      <c r="L81" s="389"/>
      <c r="M81" s="389"/>
      <c r="N81" s="389"/>
      <c r="O81" s="389"/>
      <c r="P81" s="389"/>
    </row>
    <row r="82" spans="1:16" s="15" customFormat="1">
      <c r="A82" s="389"/>
      <c r="B82" s="389"/>
      <c r="C82" s="389"/>
      <c r="D82" s="389"/>
      <c r="E82" s="389"/>
      <c r="F82" s="389"/>
      <c r="G82" s="389"/>
      <c r="H82" s="389"/>
      <c r="I82" s="389"/>
      <c r="J82" s="389"/>
      <c r="K82" s="389"/>
      <c r="L82" s="389"/>
      <c r="M82" s="389"/>
      <c r="N82" s="389"/>
      <c r="O82" s="389"/>
      <c r="P82" s="389"/>
    </row>
    <row r="83" spans="1:16" s="15" customFormat="1">
      <c r="A83" s="389"/>
      <c r="B83" s="389"/>
      <c r="C83" s="389"/>
      <c r="D83" s="389"/>
      <c r="E83" s="389"/>
      <c r="F83" s="389"/>
      <c r="G83" s="389"/>
      <c r="H83" s="389"/>
      <c r="I83" s="389"/>
      <c r="J83" s="389"/>
      <c r="K83" s="389"/>
      <c r="L83" s="389"/>
      <c r="M83" s="389"/>
      <c r="N83" s="389"/>
      <c r="O83" s="389"/>
      <c r="P83" s="389"/>
    </row>
    <row r="84" spans="1:16" s="15" customFormat="1">
      <c r="A84" s="389"/>
      <c r="B84" s="389"/>
      <c r="C84" s="389"/>
      <c r="D84" s="389"/>
      <c r="E84" s="389"/>
      <c r="F84" s="389"/>
      <c r="G84" s="389"/>
      <c r="H84" s="389"/>
      <c r="I84" s="389"/>
      <c r="J84" s="389"/>
      <c r="K84" s="389"/>
      <c r="L84" s="389"/>
      <c r="M84" s="389"/>
      <c r="N84" s="389"/>
      <c r="O84" s="389"/>
      <c r="P84" s="389"/>
    </row>
    <row r="85" spans="1:16">
      <c r="A85" s="389"/>
      <c r="B85" s="389"/>
      <c r="C85" s="389"/>
      <c r="D85" s="389"/>
      <c r="E85" s="389"/>
      <c r="F85" s="389"/>
      <c r="G85" s="389"/>
      <c r="H85" s="389"/>
      <c r="I85" s="389"/>
      <c r="J85" s="389"/>
      <c r="K85" s="389"/>
      <c r="L85" s="389"/>
      <c r="M85" s="389"/>
      <c r="N85" s="389"/>
      <c r="O85" s="389"/>
      <c r="P85" s="389"/>
    </row>
    <row r="86" spans="1:16">
      <c r="A86" s="389"/>
      <c r="B86" s="389"/>
      <c r="C86" s="389"/>
      <c r="D86" s="389"/>
      <c r="E86" s="389"/>
      <c r="F86" s="389"/>
      <c r="G86" s="389"/>
      <c r="H86" s="389"/>
      <c r="I86" s="389"/>
      <c r="J86" s="389"/>
      <c r="K86" s="389"/>
      <c r="L86" s="389"/>
      <c r="M86" s="389"/>
      <c r="N86" s="389"/>
      <c r="O86" s="389"/>
      <c r="P86" s="389"/>
    </row>
    <row r="87" spans="1:16">
      <c r="A87" s="389"/>
      <c r="B87" s="389"/>
      <c r="C87" s="389"/>
      <c r="D87" s="389"/>
      <c r="E87" s="389"/>
      <c r="F87" s="389"/>
      <c r="G87" s="389"/>
      <c r="H87" s="389"/>
      <c r="I87" s="389"/>
      <c r="J87" s="389"/>
      <c r="K87" s="389"/>
      <c r="L87" s="389"/>
      <c r="M87" s="389"/>
      <c r="N87" s="389"/>
      <c r="O87" s="389"/>
      <c r="P87" s="389"/>
    </row>
    <row r="88" spans="1:16">
      <c r="A88" s="375"/>
      <c r="B88" s="375"/>
      <c r="C88" s="375"/>
      <c r="D88" s="375"/>
      <c r="E88" s="375"/>
      <c r="F88" s="375"/>
      <c r="G88" s="700" t="s">
        <v>38</v>
      </c>
      <c r="H88" s="700"/>
      <c r="I88" s="700"/>
      <c r="J88" s="700"/>
      <c r="K88" s="700"/>
      <c r="L88" s="700"/>
      <c r="M88" s="700"/>
      <c r="N88" s="700"/>
      <c r="O88" s="375"/>
      <c r="P88" s="375"/>
    </row>
    <row r="89" spans="1:16">
      <c r="A89" s="375"/>
      <c r="B89" s="375"/>
      <c r="C89" s="375"/>
      <c r="D89" s="375"/>
      <c r="E89" s="375"/>
      <c r="F89" s="375"/>
      <c r="G89" s="375"/>
      <c r="H89" s="375"/>
      <c r="I89" s="375"/>
      <c r="J89" s="375"/>
      <c r="K89" s="375"/>
      <c r="L89" s="375"/>
      <c r="M89" s="375"/>
      <c r="N89" s="375"/>
      <c r="O89" s="375"/>
      <c r="P89" s="375"/>
    </row>
    <row r="90" spans="1:16">
      <c r="A90" s="375"/>
      <c r="B90" s="375"/>
      <c r="C90" s="375"/>
      <c r="D90" s="375"/>
      <c r="E90" s="375"/>
      <c r="F90" s="375"/>
      <c r="G90" s="375"/>
      <c r="H90" s="375"/>
      <c r="I90" s="375"/>
      <c r="J90" s="375"/>
      <c r="K90" s="375"/>
      <c r="L90" s="375"/>
      <c r="M90" s="375"/>
      <c r="N90" s="375"/>
      <c r="O90" s="375"/>
      <c r="P90" s="375"/>
    </row>
    <row r="91" spans="1:16">
      <c r="A91" s="375"/>
      <c r="B91" s="375"/>
      <c r="C91" s="375"/>
      <c r="D91" s="375"/>
      <c r="E91" s="375"/>
      <c r="F91" s="375"/>
      <c r="G91" s="375"/>
      <c r="H91" s="375"/>
      <c r="I91" s="375"/>
      <c r="J91" s="375"/>
      <c r="K91" s="375"/>
      <c r="L91" s="375"/>
      <c r="M91" s="375"/>
      <c r="N91" s="375"/>
      <c r="O91" s="375"/>
      <c r="P91" s="375"/>
    </row>
    <row r="92" spans="1:16">
      <c r="A92" s="375"/>
      <c r="B92" s="375"/>
      <c r="C92" s="375"/>
      <c r="D92" s="375"/>
      <c r="E92" s="375"/>
      <c r="F92" s="375"/>
      <c r="G92" s="375"/>
      <c r="H92" s="375"/>
      <c r="I92" s="375"/>
      <c r="J92" s="375"/>
      <c r="K92" s="375"/>
      <c r="L92" s="375"/>
      <c r="M92" s="375"/>
      <c r="N92" s="375"/>
      <c r="O92" s="375"/>
      <c r="P92" s="375"/>
    </row>
    <row r="93" spans="1:16">
      <c r="A93" s="375"/>
      <c r="B93" s="375"/>
      <c r="C93" s="375"/>
      <c r="D93" s="375"/>
      <c r="E93" s="375"/>
      <c r="F93" s="375"/>
      <c r="G93" s="375"/>
      <c r="H93" s="375"/>
      <c r="I93" s="375"/>
      <c r="J93" s="375"/>
      <c r="K93" s="375"/>
      <c r="L93" s="375"/>
      <c r="M93" s="375"/>
      <c r="N93" s="375"/>
      <c r="O93" s="375"/>
      <c r="P93" s="375"/>
    </row>
    <row r="94" spans="1:16">
      <c r="A94" s="375"/>
      <c r="B94" s="375"/>
      <c r="C94" s="375"/>
      <c r="D94" s="375"/>
      <c r="E94" s="375"/>
      <c r="F94" s="375"/>
      <c r="G94" s="375"/>
      <c r="H94" s="375"/>
      <c r="I94" s="375"/>
      <c r="J94" s="375"/>
      <c r="K94" s="375"/>
      <c r="L94" s="375"/>
      <c r="M94" s="375"/>
      <c r="N94" s="375"/>
      <c r="O94" s="375"/>
      <c r="P94" s="375"/>
    </row>
    <row r="95" spans="1:16">
      <c r="A95" s="375"/>
      <c r="B95" s="375"/>
      <c r="C95" s="375"/>
      <c r="D95" s="375"/>
      <c r="E95" s="375"/>
      <c r="F95" s="375"/>
      <c r="G95" s="375"/>
      <c r="H95" s="375"/>
      <c r="I95" s="375"/>
      <c r="J95" s="375"/>
      <c r="K95" s="375"/>
      <c r="L95" s="375"/>
      <c r="M95" s="375"/>
      <c r="N95" s="375"/>
      <c r="O95" s="375"/>
      <c r="P95" s="375"/>
    </row>
    <row r="96" spans="1:16">
      <c r="A96" s="375"/>
      <c r="B96" s="375"/>
      <c r="C96" s="375"/>
      <c r="D96" s="375"/>
      <c r="E96" s="375"/>
      <c r="F96" s="375"/>
      <c r="G96" s="375"/>
      <c r="H96" s="375"/>
      <c r="I96" s="375"/>
      <c r="J96" s="375"/>
      <c r="K96" s="375"/>
      <c r="L96" s="375"/>
      <c r="M96" s="375"/>
      <c r="N96" s="375"/>
      <c r="O96" s="375"/>
      <c r="P96" s="375"/>
    </row>
    <row r="97" spans="1:16">
      <c r="A97" s="392"/>
      <c r="B97" s="392"/>
      <c r="C97" s="392"/>
      <c r="D97" s="392"/>
      <c r="E97" s="392"/>
      <c r="F97" s="392"/>
      <c r="G97" s="392"/>
      <c r="H97" s="392"/>
      <c r="I97" s="392"/>
      <c r="J97" s="392"/>
      <c r="K97" s="392"/>
      <c r="L97" s="392"/>
      <c r="M97" s="392"/>
      <c r="N97" s="392"/>
      <c r="O97" s="392"/>
      <c r="P97" s="392"/>
    </row>
    <row r="98" spans="1:16">
      <c r="A98" s="392"/>
      <c r="B98" s="392"/>
      <c r="C98" s="392"/>
      <c r="D98" s="392"/>
      <c r="E98" s="392"/>
      <c r="F98" s="392"/>
      <c r="G98" s="700"/>
      <c r="H98" s="700"/>
      <c r="I98" s="700"/>
      <c r="J98" s="700"/>
      <c r="K98" s="700"/>
      <c r="L98" s="700"/>
      <c r="M98" s="700"/>
      <c r="N98" s="700"/>
      <c r="O98" s="550"/>
      <c r="P98" s="550"/>
    </row>
  </sheetData>
  <protectedRanges>
    <protectedRange password="CA4D" sqref="A1:P2 A11:P13 A48:P49 A58:P60" name="Range1"/>
    <protectedRange password="CA4D" sqref="A3:P3 A50:P50" name="Range1_6"/>
    <protectedRange password="CA4D" sqref="N7:P10 A4:D10 N54:P57 A51:D57" name="Range1_1"/>
    <protectedRange password="CA4D" sqref="E4:P6 E51:P53" name="Range1_2"/>
    <protectedRange password="CA4D" sqref="E7:M10 E54:M57" name="Range1_2_1"/>
  </protectedRanges>
  <mergeCells count="28">
    <mergeCell ref="G98:N98"/>
    <mergeCell ref="E51:G51"/>
    <mergeCell ref="G52:I52"/>
    <mergeCell ref="I58:K59"/>
    <mergeCell ref="G88:N88"/>
    <mergeCell ref="O11:O12"/>
    <mergeCell ref="P11:P12"/>
    <mergeCell ref="A48:N49"/>
    <mergeCell ref="A50:N50"/>
    <mergeCell ref="A58:A59"/>
    <mergeCell ref="B58:C60"/>
    <mergeCell ref="D58:E60"/>
    <mergeCell ref="F58:F59"/>
    <mergeCell ref="G58:H60"/>
    <mergeCell ref="L58:N59"/>
    <mergeCell ref="O58:O59"/>
    <mergeCell ref="P58:P59"/>
    <mergeCell ref="A1:N2"/>
    <mergeCell ref="A3:N3"/>
    <mergeCell ref="E4:G4"/>
    <mergeCell ref="G5:I5"/>
    <mergeCell ref="A11:A12"/>
    <mergeCell ref="B11:C13"/>
    <mergeCell ref="D11:E13"/>
    <mergeCell ref="F11:F12"/>
    <mergeCell ref="G11:H13"/>
    <mergeCell ref="I11:K12"/>
    <mergeCell ref="L11:N12"/>
  </mergeCells>
  <pageMargins left="0.55000000000000004" right="0.46" top="0.75" bottom="0.75" header="0.3" footer="0.3"/>
  <pageSetup scale="65" orientation="landscape"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17"/>
  <sheetViews>
    <sheetView tabSelected="1" topLeftCell="L1" workbookViewId="0">
      <selection activeCell="T8" sqref="T8"/>
    </sheetView>
  </sheetViews>
  <sheetFormatPr defaultRowHeight="15"/>
  <cols>
    <col min="1" max="1" width="7.42578125" customWidth="1"/>
    <col min="2" max="2" width="6.42578125" customWidth="1"/>
    <col min="4" max="4" width="9.85546875" customWidth="1"/>
    <col min="5" max="5" width="31.85546875" customWidth="1"/>
    <col min="6" max="6" width="10.7109375" customWidth="1"/>
    <col min="9" max="9" width="9.42578125" bestFit="1" customWidth="1"/>
    <col min="13" max="13" width="10.85546875" customWidth="1"/>
    <col min="15" max="15" width="10.42578125" customWidth="1"/>
    <col min="16" max="16" width="9.85546875" bestFit="1" customWidth="1"/>
    <col min="22" max="22" width="11.85546875" customWidth="1"/>
    <col min="29" max="29" width="18.7109375" bestFit="1" customWidth="1"/>
  </cols>
  <sheetData>
    <row r="1" spans="1:29" ht="29.25" customHeight="1" thickBot="1">
      <c r="E1" s="309"/>
      <c r="M1" s="365"/>
      <c r="O1" s="365"/>
    </row>
    <row r="2" spans="1:29" ht="29.25" customHeight="1">
      <c r="B2" s="794" t="s">
        <v>406</v>
      </c>
      <c r="C2" s="795"/>
      <c r="D2" s="795"/>
      <c r="E2" s="795"/>
      <c r="F2" s="795"/>
      <c r="G2" s="795"/>
      <c r="H2" s="795"/>
      <c r="I2" s="795"/>
      <c r="J2" s="795"/>
      <c r="K2" s="795"/>
      <c r="L2" s="795"/>
      <c r="M2" s="795"/>
      <c r="N2" s="795"/>
      <c r="O2" s="795"/>
      <c r="P2" s="795"/>
      <c r="Q2" s="795"/>
      <c r="R2" s="795"/>
      <c r="S2" s="795"/>
      <c r="T2" s="795"/>
      <c r="U2" s="795"/>
      <c r="V2" s="795"/>
      <c r="W2" s="795"/>
      <c r="X2" s="795"/>
      <c r="Y2" s="795"/>
      <c r="Z2" s="795"/>
      <c r="AA2" s="795"/>
      <c r="AB2" s="795"/>
      <c r="AC2" s="796"/>
    </row>
    <row r="3" spans="1:29" ht="29.25" customHeight="1">
      <c r="B3" s="787" t="s">
        <v>407</v>
      </c>
      <c r="C3" s="788"/>
      <c r="D3" s="788"/>
      <c r="E3" s="788"/>
      <c r="F3" s="788"/>
      <c r="G3" s="788"/>
      <c r="H3" s="788"/>
      <c r="I3" s="788"/>
      <c r="J3" s="788"/>
      <c r="K3" s="788"/>
      <c r="L3" s="788"/>
      <c r="M3" s="788"/>
      <c r="N3" s="788"/>
      <c r="O3" s="788"/>
      <c r="P3" s="788"/>
      <c r="Q3" s="788"/>
      <c r="R3" s="788"/>
      <c r="S3" s="788"/>
      <c r="T3" s="788"/>
      <c r="U3" s="788"/>
      <c r="V3" s="788"/>
      <c r="W3" s="788"/>
      <c r="X3" s="788"/>
      <c r="Y3" s="788"/>
      <c r="Z3" s="788"/>
      <c r="AA3" s="788"/>
      <c r="AB3" s="788"/>
      <c r="AC3" s="789"/>
    </row>
    <row r="4" spans="1:29" ht="29.25" customHeight="1">
      <c r="B4" s="790" t="s">
        <v>629</v>
      </c>
      <c r="C4" s="791"/>
      <c r="D4" s="791"/>
      <c r="E4" s="791"/>
      <c r="F4" s="791"/>
      <c r="G4" s="791"/>
      <c r="H4" s="791"/>
      <c r="I4" s="791"/>
      <c r="J4" s="791"/>
      <c r="K4" s="791"/>
      <c r="L4" s="791"/>
      <c r="M4" s="791"/>
      <c r="N4" s="791"/>
      <c r="O4" s="791"/>
      <c r="P4" s="791"/>
      <c r="Q4" s="791"/>
      <c r="R4" s="791"/>
      <c r="S4" s="791"/>
      <c r="T4" s="791"/>
      <c r="U4" s="791"/>
      <c r="V4" s="791"/>
      <c r="W4" s="791"/>
      <c r="X4" s="791"/>
      <c r="Y4" s="791"/>
      <c r="Z4" s="791"/>
      <c r="AA4" s="791"/>
      <c r="AB4" s="791"/>
      <c r="AC4" s="792"/>
    </row>
    <row r="5" spans="1:29" ht="29.25" customHeight="1">
      <c r="B5" s="790" t="s">
        <v>408</v>
      </c>
      <c r="C5" s="791"/>
      <c r="D5" s="791"/>
      <c r="E5" s="791"/>
      <c r="F5" s="791"/>
      <c r="G5" s="791"/>
      <c r="H5" s="791"/>
      <c r="I5" s="791"/>
      <c r="J5" s="791"/>
      <c r="K5" s="791"/>
      <c r="L5" s="791"/>
      <c r="M5" s="791"/>
      <c r="N5" s="791"/>
      <c r="O5" s="791"/>
      <c r="P5" s="791"/>
      <c r="Q5" s="791"/>
      <c r="R5" s="791"/>
      <c r="S5" s="791"/>
      <c r="T5" s="791"/>
      <c r="U5" s="791"/>
      <c r="V5" s="791"/>
      <c r="W5" s="791"/>
      <c r="X5" s="791"/>
      <c r="Y5" s="791"/>
      <c r="Z5" s="791"/>
      <c r="AA5" s="791"/>
      <c r="AB5" s="791"/>
      <c r="AC5" s="792"/>
    </row>
    <row r="6" spans="1:29" ht="29.25" customHeight="1">
      <c r="B6" s="460"/>
      <c r="C6" s="461"/>
      <c r="D6" s="461"/>
      <c r="E6" s="461"/>
      <c r="F6" s="461"/>
      <c r="G6" s="461"/>
      <c r="H6" s="461"/>
      <c r="I6" s="461"/>
      <c r="J6" s="461"/>
      <c r="K6" s="461"/>
      <c r="L6" s="461"/>
      <c r="M6" s="461"/>
      <c r="N6" s="461"/>
      <c r="O6" s="461"/>
      <c r="P6" s="462" t="s">
        <v>397</v>
      </c>
      <c r="Q6" s="461"/>
      <c r="R6" s="461"/>
      <c r="S6" s="461"/>
      <c r="T6" s="461"/>
      <c r="U6" s="461"/>
      <c r="V6" s="463"/>
      <c r="W6" s="462" t="s">
        <v>419</v>
      </c>
      <c r="X6" s="461"/>
      <c r="Y6" s="461"/>
      <c r="Z6" s="461"/>
      <c r="AA6" s="463"/>
      <c r="AB6" s="464"/>
      <c r="AC6" s="465"/>
    </row>
    <row r="7" spans="1:29" ht="90.75">
      <c r="B7" s="460" t="s">
        <v>373</v>
      </c>
      <c r="C7" s="463" t="s">
        <v>412</v>
      </c>
      <c r="D7" s="463" t="s">
        <v>420</v>
      </c>
      <c r="E7" s="466" t="s">
        <v>421</v>
      </c>
      <c r="F7" s="467" t="s">
        <v>422</v>
      </c>
      <c r="G7" s="467" t="s">
        <v>423</v>
      </c>
      <c r="H7" s="467" t="s">
        <v>424</v>
      </c>
      <c r="I7" s="467" t="s">
        <v>425</v>
      </c>
      <c r="J7" s="467" t="s">
        <v>426</v>
      </c>
      <c r="K7" s="618" t="s">
        <v>427</v>
      </c>
      <c r="L7" s="467" t="s">
        <v>428</v>
      </c>
      <c r="M7" s="467" t="s">
        <v>429</v>
      </c>
      <c r="N7" s="467" t="s">
        <v>430</v>
      </c>
      <c r="O7" s="467" t="s">
        <v>431</v>
      </c>
      <c r="P7" s="467" t="s">
        <v>432</v>
      </c>
      <c r="Q7" s="467" t="s">
        <v>478</v>
      </c>
      <c r="R7" s="467" t="s">
        <v>433</v>
      </c>
      <c r="S7" s="467" t="s">
        <v>32</v>
      </c>
      <c r="T7" s="467" t="s">
        <v>434</v>
      </c>
      <c r="U7" s="467" t="s">
        <v>435</v>
      </c>
      <c r="V7" s="467" t="s">
        <v>436</v>
      </c>
      <c r="W7" s="467" t="s">
        <v>437</v>
      </c>
      <c r="X7" s="467" t="s">
        <v>438</v>
      </c>
      <c r="Y7" s="467" t="s">
        <v>439</v>
      </c>
      <c r="Z7" s="467" t="s">
        <v>440</v>
      </c>
      <c r="AA7" s="467" t="s">
        <v>441</v>
      </c>
      <c r="AB7" s="468" t="s">
        <v>442</v>
      </c>
      <c r="AC7" s="468" t="s">
        <v>173</v>
      </c>
    </row>
    <row r="8" spans="1:29" ht="21" customHeight="1">
      <c r="B8" s="501">
        <v>1</v>
      </c>
      <c r="C8" s="501"/>
      <c r="D8" s="498" t="str">
        <f>'4-22Master'!B18</f>
        <v>BITS-564</v>
      </c>
      <c r="E8" s="502" t="str">
        <f>'4-22Master'!C18</f>
        <v>Amith a</v>
      </c>
      <c r="F8" s="503">
        <f>'4-22Master'!AA18</f>
        <v>34263</v>
      </c>
      <c r="G8" s="425">
        <f>'4-22Master'!AE18</f>
        <v>13705.2</v>
      </c>
      <c r="H8" s="366">
        <f>'4-22Master'!AF18</f>
        <v>2083</v>
      </c>
      <c r="I8" s="427">
        <f>'4-22Master'!AJ18</f>
        <v>1555</v>
      </c>
      <c r="J8" s="427">
        <f>'4-22Master'!AH18</f>
        <v>5084</v>
      </c>
      <c r="K8" s="427">
        <f>'4-22Master'!AG18</f>
        <v>2083</v>
      </c>
      <c r="L8" s="428"/>
      <c r="M8" s="367">
        <f>'4-22Master'!AN18</f>
        <v>63276.5003</v>
      </c>
      <c r="N8" s="429">
        <v>0</v>
      </c>
      <c r="O8" s="367">
        <f>'4-22Master'!AN18</f>
        <v>63276.5003</v>
      </c>
      <c r="P8" s="426">
        <f>'4-22Master'!AR18</f>
        <v>0</v>
      </c>
      <c r="Q8" s="426">
        <f>'4-22Master'!AS18</f>
        <v>440.76132899999999</v>
      </c>
      <c r="R8" s="426">
        <f>'4-22Master'!AQ18</f>
        <v>200</v>
      </c>
      <c r="S8" s="426">
        <f>'4-22Master'!AP18</f>
        <v>1800</v>
      </c>
      <c r="T8" s="430">
        <f>'4-22Master'!AO18</f>
        <v>0</v>
      </c>
      <c r="U8" s="430">
        <f>'4-22Master'!AT18</f>
        <v>2440.7613289999999</v>
      </c>
      <c r="V8" s="425">
        <f>'4-22Master'!AU18</f>
        <v>60835.300300000003</v>
      </c>
      <c r="W8" s="469">
        <v>8</v>
      </c>
      <c r="X8" s="431">
        <v>1</v>
      </c>
      <c r="Y8" s="431">
        <v>0</v>
      </c>
      <c r="Z8" s="469">
        <v>8.5</v>
      </c>
      <c r="AA8" s="432" t="str">
        <f>'4-22Master'!AV18</f>
        <v>5-05-2022</v>
      </c>
      <c r="AB8" s="493" t="str">
        <f>'4-22Master'!AW18</f>
        <v>ICICI Bank</v>
      </c>
      <c r="AC8" s="492" t="str">
        <f>'4-22Master'!AX18</f>
        <v>115601503688</v>
      </c>
    </row>
    <row r="9" spans="1:29" ht="15.75">
      <c r="B9" s="501"/>
      <c r="C9" s="501"/>
      <c r="D9" s="498"/>
      <c r="E9" s="502"/>
      <c r="F9" s="503"/>
      <c r="G9" s="425"/>
      <c r="H9" s="366"/>
      <c r="I9" s="427"/>
      <c r="J9" s="427"/>
      <c r="K9" s="427"/>
      <c r="L9" s="428"/>
      <c r="M9" s="367"/>
      <c r="N9" s="429"/>
      <c r="O9" s="367"/>
      <c r="P9" s="426"/>
      <c r="Q9" s="426"/>
      <c r="R9" s="426"/>
      <c r="S9" s="426"/>
      <c r="T9" s="430"/>
      <c r="U9" s="430"/>
      <c r="V9" s="425"/>
      <c r="W9" s="469"/>
      <c r="X9" s="431"/>
      <c r="Y9" s="431"/>
      <c r="Z9" s="469"/>
      <c r="AA9" s="432"/>
      <c r="AB9" s="493"/>
      <c r="AC9" s="492"/>
    </row>
    <row r="10" spans="1:29" ht="19.5" customHeight="1">
      <c r="A10" s="439"/>
      <c r="B10" s="501"/>
      <c r="C10" s="501"/>
      <c r="D10" s="498"/>
      <c r="E10" s="502"/>
      <c r="F10" s="643">
        <f t="shared" ref="F10:K10" si="0">SUM(F8:F9)</f>
        <v>34263</v>
      </c>
      <c r="G10" s="504">
        <f t="shared" si="0"/>
        <v>13705.2</v>
      </c>
      <c r="H10" s="504">
        <f t="shared" si="0"/>
        <v>2083</v>
      </c>
      <c r="I10" s="504">
        <f t="shared" si="0"/>
        <v>1555</v>
      </c>
      <c r="J10" s="644">
        <f t="shared" si="0"/>
        <v>5084</v>
      </c>
      <c r="K10" s="504">
        <f t="shared" si="0"/>
        <v>2083</v>
      </c>
      <c r="L10" s="504"/>
      <c r="M10" s="504">
        <f t="shared" ref="M10:V10" si="1">SUM(M8:M9)</f>
        <v>63276.5003</v>
      </c>
      <c r="N10" s="504">
        <f t="shared" si="1"/>
        <v>0</v>
      </c>
      <c r="O10" s="504">
        <f t="shared" si="1"/>
        <v>63276.5003</v>
      </c>
      <c r="P10" s="504">
        <f t="shared" si="1"/>
        <v>0</v>
      </c>
      <c r="Q10" s="504">
        <f t="shared" si="1"/>
        <v>440.76132899999999</v>
      </c>
      <c r="R10" s="504">
        <f t="shared" si="1"/>
        <v>200</v>
      </c>
      <c r="S10" s="504">
        <f t="shared" si="1"/>
        <v>1800</v>
      </c>
      <c r="T10" s="504">
        <f t="shared" si="1"/>
        <v>0</v>
      </c>
      <c r="U10" s="504">
        <f t="shared" si="1"/>
        <v>2440.7613289999999</v>
      </c>
      <c r="V10" s="504">
        <f t="shared" si="1"/>
        <v>60835.300300000003</v>
      </c>
      <c r="W10" s="431"/>
      <c r="X10" s="431"/>
      <c r="Y10" s="431"/>
      <c r="Z10" s="424"/>
      <c r="AA10" s="432"/>
      <c r="AB10" s="432"/>
      <c r="AC10" s="470"/>
    </row>
    <row r="11" spans="1:29" ht="15.75">
      <c r="B11" s="450"/>
      <c r="C11" s="450"/>
      <c r="D11" s="443"/>
      <c r="E11" s="451"/>
      <c r="F11" s="452"/>
      <c r="G11" s="452"/>
      <c r="H11" s="453"/>
      <c r="I11" s="454"/>
      <c r="J11" s="454"/>
      <c r="K11" s="454"/>
      <c r="L11" s="455"/>
      <c r="M11" s="452"/>
      <c r="N11" s="456"/>
      <c r="O11" s="452"/>
      <c r="P11" s="453"/>
      <c r="Q11" s="453"/>
      <c r="R11" s="453"/>
      <c r="S11" s="453"/>
      <c r="T11" s="457"/>
      <c r="U11" s="457"/>
      <c r="V11" s="452"/>
      <c r="W11" s="458"/>
      <c r="X11" s="458"/>
      <c r="Y11" s="458"/>
      <c r="Z11" s="450"/>
      <c r="AA11" s="459"/>
      <c r="AB11" s="459"/>
      <c r="AC11" s="472"/>
    </row>
    <row r="12" spans="1:29" ht="15.75">
      <c r="B12" s="450"/>
      <c r="C12" s="450"/>
      <c r="D12" s="443"/>
      <c r="E12" s="451"/>
      <c r="F12" s="452"/>
      <c r="G12" s="452"/>
      <c r="H12" s="453"/>
      <c r="I12" s="454">
        <f>243055+I10</f>
        <v>244610</v>
      </c>
      <c r="J12" s="454"/>
      <c r="K12" s="454"/>
      <c r="L12" s="455"/>
      <c r="M12" s="452"/>
      <c r="N12" s="456"/>
      <c r="O12" s="452"/>
      <c r="P12" s="453"/>
      <c r="Q12" s="453"/>
      <c r="R12" s="453"/>
      <c r="S12" s="453"/>
      <c r="T12" s="457"/>
      <c r="U12" s="457"/>
      <c r="V12" s="452"/>
      <c r="W12" s="458"/>
      <c r="X12" s="458"/>
      <c r="Y12" s="458"/>
      <c r="Z12" s="450"/>
      <c r="AA12" s="459"/>
      <c r="AB12" s="459"/>
      <c r="AC12" s="472"/>
    </row>
    <row r="13" spans="1:29" ht="15.75">
      <c r="B13" s="450"/>
      <c r="C13" s="450"/>
      <c r="D13" s="443"/>
      <c r="E13" s="451"/>
      <c r="F13" s="452"/>
      <c r="G13" s="452"/>
      <c r="H13" s="453"/>
      <c r="I13" s="454"/>
      <c r="J13" s="454"/>
      <c r="K13" s="454"/>
      <c r="L13" s="455"/>
      <c r="M13" s="452"/>
      <c r="N13" s="456"/>
      <c r="O13" s="452"/>
      <c r="P13" s="453"/>
      <c r="Q13" s="453"/>
      <c r="R13" s="453"/>
      <c r="S13" s="453"/>
      <c r="T13" s="457"/>
      <c r="U13" s="457"/>
      <c r="V13" s="452"/>
      <c r="W13" s="458"/>
      <c r="X13" s="458"/>
      <c r="Y13" s="458"/>
      <c r="Z13" s="450"/>
      <c r="AA13" s="459"/>
      <c r="AB13" s="459"/>
      <c r="AC13" s="472"/>
    </row>
    <row r="14" spans="1:29" ht="15.75">
      <c r="B14" s="471"/>
      <c r="C14" s="450"/>
      <c r="D14" s="443"/>
      <c r="E14" s="451"/>
      <c r="F14" s="452"/>
      <c r="G14" s="452"/>
      <c r="H14" s="453"/>
      <c r="I14" s="454"/>
      <c r="J14" s="454"/>
      <c r="K14" s="454"/>
      <c r="L14" s="455"/>
      <c r="M14" s="452"/>
      <c r="N14" s="456"/>
      <c r="O14" s="452"/>
      <c r="P14" s="453"/>
      <c r="Q14" s="453"/>
      <c r="R14" s="453"/>
      <c r="S14" s="453"/>
      <c r="T14" s="457"/>
      <c r="U14" s="457"/>
      <c r="V14" s="452"/>
      <c r="W14" s="458"/>
      <c r="X14" s="458"/>
      <c r="Y14" s="458"/>
      <c r="Z14" s="450"/>
      <c r="AA14" s="459"/>
      <c r="AB14" s="459"/>
      <c r="AC14" s="472"/>
    </row>
    <row r="15" spans="1:29" ht="15.75">
      <c r="B15" s="471"/>
      <c r="C15" s="450"/>
      <c r="D15" s="443"/>
      <c r="E15" s="451"/>
      <c r="F15" s="452"/>
      <c r="G15" s="452"/>
      <c r="H15" s="453"/>
      <c r="I15" s="454"/>
      <c r="J15" s="454"/>
      <c r="K15" s="454"/>
      <c r="L15" s="455"/>
      <c r="M15" s="452"/>
      <c r="N15" s="456"/>
      <c r="O15" s="452"/>
      <c r="P15" s="453"/>
      <c r="Q15" s="453"/>
      <c r="R15" s="453"/>
      <c r="S15" s="453"/>
      <c r="T15" s="457"/>
      <c r="U15" s="457"/>
      <c r="V15" s="452"/>
      <c r="W15" s="458"/>
      <c r="X15" s="458"/>
      <c r="Y15" s="458"/>
      <c r="Z15" s="450"/>
      <c r="AA15" s="459"/>
      <c r="AB15" s="459"/>
      <c r="AC15" s="472"/>
    </row>
    <row r="16" spans="1:29" ht="15.75">
      <c r="B16" s="471"/>
      <c r="C16" s="450"/>
      <c r="D16" s="443"/>
      <c r="E16" s="451"/>
      <c r="F16" s="452"/>
      <c r="G16" s="452"/>
      <c r="H16" s="453"/>
      <c r="I16" s="454"/>
      <c r="J16" s="454"/>
      <c r="K16" s="454"/>
      <c r="L16" s="455"/>
      <c r="M16" s="452"/>
      <c r="N16" s="456"/>
      <c r="O16" s="452"/>
      <c r="P16" s="453"/>
      <c r="Q16" s="453"/>
      <c r="R16" s="453"/>
      <c r="S16" s="453"/>
      <c r="T16" s="457"/>
      <c r="U16" s="457"/>
      <c r="V16" s="452"/>
      <c r="W16" s="458"/>
      <c r="X16" s="458"/>
      <c r="Y16" s="458"/>
      <c r="Z16" s="450"/>
      <c r="AA16" s="459"/>
      <c r="AB16" s="459"/>
      <c r="AC16" s="472"/>
    </row>
    <row r="17" spans="2:29" ht="15.75" thickBot="1">
      <c r="B17" s="35"/>
      <c r="C17" s="33"/>
      <c r="D17" s="33"/>
      <c r="E17" s="33"/>
      <c r="F17" s="33"/>
      <c r="G17" s="33"/>
      <c r="H17" s="33"/>
      <c r="I17" s="33"/>
      <c r="J17" s="33"/>
      <c r="K17" s="33"/>
      <c r="L17" s="33"/>
      <c r="M17" s="33"/>
      <c r="N17" s="33"/>
      <c r="O17" s="33"/>
      <c r="P17" s="33"/>
      <c r="Q17" s="33"/>
      <c r="R17" s="33"/>
      <c r="S17" s="33"/>
      <c r="T17" s="33"/>
      <c r="U17" s="793" t="s">
        <v>38</v>
      </c>
      <c r="V17" s="793"/>
      <c r="W17" s="793"/>
      <c r="X17" s="793"/>
      <c r="Y17" s="793"/>
      <c r="Z17" s="793"/>
      <c r="AA17" s="793"/>
      <c r="AB17" s="793"/>
      <c r="AC17" s="34"/>
    </row>
  </sheetData>
  <mergeCells count="5">
    <mergeCell ref="B3:AC3"/>
    <mergeCell ref="B4:AC4"/>
    <mergeCell ref="B5:AC5"/>
    <mergeCell ref="U17:AB17"/>
    <mergeCell ref="B2:AC2"/>
  </mergeCells>
  <pageMargins left="0.70866141732283472" right="0.70866141732283472" top="0.74803149606299213" bottom="0.74803149606299213" header="0.31496062992125984" footer="0.31496062992125984"/>
  <pageSetup paperSize="8" scale="6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362"/>
  <sheetViews>
    <sheetView zoomScale="90" zoomScaleNormal="90" workbookViewId="0">
      <selection activeCell="H7" sqref="H7"/>
    </sheetView>
  </sheetViews>
  <sheetFormatPr defaultRowHeight="15"/>
  <cols>
    <col min="10" max="10" width="14.5703125" customWidth="1"/>
    <col min="12" max="12" width="22.7109375" customWidth="1"/>
  </cols>
  <sheetData>
    <row r="1" spans="1:12" ht="32.25">
      <c r="A1" s="94"/>
      <c r="B1" s="797" t="s">
        <v>492</v>
      </c>
      <c r="C1" s="798"/>
      <c r="D1" s="798"/>
      <c r="E1" s="798"/>
      <c r="F1" s="798"/>
      <c r="G1" s="798"/>
      <c r="H1" s="798"/>
      <c r="I1" s="798"/>
      <c r="J1" s="798"/>
      <c r="K1" s="798"/>
      <c r="L1" s="799"/>
    </row>
    <row r="2" spans="1:12" ht="23.25">
      <c r="A2" s="23"/>
      <c r="B2" s="800" t="s">
        <v>125</v>
      </c>
      <c r="C2" s="800"/>
      <c r="D2" s="800"/>
      <c r="E2" s="800"/>
      <c r="F2" s="800"/>
      <c r="G2" s="800"/>
      <c r="H2" s="800"/>
      <c r="I2" s="800"/>
      <c r="J2" s="800"/>
      <c r="K2" s="800"/>
      <c r="L2" s="801"/>
    </row>
    <row r="3" spans="1:12" ht="16.5" thickBot="1">
      <c r="A3" s="35"/>
      <c r="B3" s="802" t="s">
        <v>493</v>
      </c>
      <c r="C3" s="802"/>
      <c r="D3" s="802"/>
      <c r="E3" s="802"/>
      <c r="F3" s="802"/>
      <c r="G3" s="802"/>
      <c r="H3" s="802"/>
      <c r="I3" s="802"/>
      <c r="J3" s="802"/>
      <c r="K3" s="802"/>
      <c r="L3" s="803"/>
    </row>
    <row r="4" spans="1:12">
      <c r="A4" s="23"/>
      <c r="B4" s="804" t="s">
        <v>126</v>
      </c>
      <c r="C4" s="804"/>
      <c r="D4" s="804"/>
      <c r="E4" s="804"/>
      <c r="F4" s="804"/>
      <c r="H4" s="805" t="s">
        <v>127</v>
      </c>
      <c r="I4" s="805"/>
      <c r="J4" s="805"/>
      <c r="K4" s="805"/>
      <c r="L4" s="806"/>
    </row>
    <row r="5" spans="1:12" ht="15.75" thickBot="1">
      <c r="A5" s="23"/>
      <c r="B5" s="804"/>
      <c r="C5" s="804"/>
      <c r="D5" s="804"/>
      <c r="E5" s="804"/>
      <c r="F5" s="804"/>
      <c r="H5" s="805"/>
      <c r="I5" s="805"/>
      <c r="J5" s="805"/>
      <c r="K5" s="805"/>
      <c r="L5" s="806"/>
    </row>
    <row r="6" spans="1:12">
      <c r="A6" s="23"/>
      <c r="B6" s="94"/>
      <c r="C6" s="95"/>
      <c r="D6" s="95"/>
      <c r="E6" s="95"/>
      <c r="F6" s="96"/>
      <c r="H6" s="94"/>
      <c r="I6" s="95"/>
      <c r="J6" s="95"/>
      <c r="K6" s="95"/>
      <c r="L6" s="96"/>
    </row>
    <row r="7" spans="1:12">
      <c r="A7" s="23"/>
      <c r="B7" s="97" t="str">
        <f>'4-22Master'!G5</f>
        <v>Burgeon IT Services Pvt.Ltd.</v>
      </c>
      <c r="F7" s="24"/>
      <c r="H7" s="97" t="str">
        <f>'4-22Master'!AQ5</f>
        <v>Burgeon IT Services Pvt.Ltd.</v>
      </c>
      <c r="L7" s="24"/>
    </row>
    <row r="8" spans="1:12">
      <c r="A8" s="23"/>
      <c r="B8" s="23"/>
      <c r="F8" s="24"/>
      <c r="H8" s="23"/>
      <c r="L8" s="24"/>
    </row>
    <row r="9" spans="1:12">
      <c r="A9" s="23"/>
      <c r="B9" s="97" t="str">
        <f>'4-22Master'!G6</f>
        <v>Siri Mansion LIGB 436 Dr.A S Rao Nagar,Hyderabad</v>
      </c>
      <c r="F9" s="24"/>
      <c r="H9" s="97" t="str">
        <f>B9</f>
        <v>Siri Mansion LIGB 436 Dr.A S Rao Nagar,Hyderabad</v>
      </c>
      <c r="L9" s="24"/>
    </row>
    <row r="10" spans="1:12" ht="15.75" thickBot="1">
      <c r="A10" s="23"/>
      <c r="B10" s="35"/>
      <c r="C10" s="33"/>
      <c r="D10" s="33"/>
      <c r="E10" s="33"/>
      <c r="F10" s="34"/>
      <c r="H10" s="35"/>
      <c r="I10" s="33"/>
      <c r="J10" s="33"/>
      <c r="K10" s="33"/>
      <c r="L10" s="34"/>
    </row>
    <row r="11" spans="1:12">
      <c r="A11" s="23"/>
      <c r="J11" t="s">
        <v>128</v>
      </c>
      <c r="L11" s="24"/>
    </row>
    <row r="12" spans="1:12">
      <c r="A12" s="23"/>
      <c r="B12" s="725" t="s">
        <v>129</v>
      </c>
      <c r="C12" s="725"/>
      <c r="D12" s="725"/>
      <c r="E12" s="725"/>
      <c r="F12" s="725"/>
      <c r="H12" s="725" t="s">
        <v>4</v>
      </c>
      <c r="I12" s="725"/>
      <c r="J12" s="725"/>
      <c r="K12" s="725"/>
      <c r="L12" s="815"/>
    </row>
    <row r="13" spans="1:12" ht="15.75" thickBot="1">
      <c r="A13" s="23"/>
      <c r="L13" s="24"/>
    </row>
    <row r="14" spans="1:12">
      <c r="A14" s="23"/>
      <c r="B14" s="94"/>
      <c r="C14" s="95"/>
      <c r="D14" s="95"/>
      <c r="E14" s="95"/>
      <c r="F14" s="96"/>
      <c r="H14" s="98"/>
      <c r="I14" s="99"/>
      <c r="J14" s="99"/>
      <c r="K14" s="99"/>
      <c r="L14" s="100"/>
    </row>
    <row r="15" spans="1:12">
      <c r="A15" s="23"/>
      <c r="B15" s="23"/>
      <c r="F15" s="24"/>
      <c r="H15" s="97" t="str">
        <f>'4-22Master'!AQ10</f>
        <v>INFOSYS  LTD.IL Pune STP Unit,Plot No.1</v>
      </c>
      <c r="I15" s="4"/>
      <c r="J15" s="4"/>
      <c r="K15" s="4"/>
      <c r="L15" s="101"/>
    </row>
    <row r="16" spans="1:12">
      <c r="A16" s="23"/>
      <c r="B16" s="97" t="str">
        <f>'4-22Master'!G8</f>
        <v>IT SUPPORTIVE SERVICES&amp; PUNE STP</v>
      </c>
      <c r="F16" s="24"/>
      <c r="H16" s="97"/>
      <c r="I16" s="4"/>
      <c r="J16" s="4"/>
      <c r="K16" s="4"/>
      <c r="L16" s="101"/>
    </row>
    <row r="17" spans="1:12">
      <c r="A17" s="23"/>
      <c r="B17" s="23"/>
      <c r="F17" s="24"/>
      <c r="H17" s="97" t="str">
        <f>'4-22Master'!AQ11</f>
        <v>Rajiv gandhi Info tech park,Hinjawadi,Taluk Mulshi,Pune,Maharashtra 411057</v>
      </c>
      <c r="I17" s="4"/>
      <c r="J17" s="4"/>
      <c r="K17" s="4"/>
      <c r="L17" s="101"/>
    </row>
    <row r="18" spans="1:12" ht="15.75" thickBot="1">
      <c r="A18" s="23"/>
      <c r="B18" s="35"/>
      <c r="C18" s="33"/>
      <c r="D18" s="33"/>
      <c r="E18" s="33"/>
      <c r="F18" s="34"/>
      <c r="H18" s="102"/>
      <c r="I18" s="103"/>
      <c r="J18" s="103"/>
      <c r="K18" s="103"/>
      <c r="L18" s="104"/>
    </row>
    <row r="19" spans="1:12" ht="27.95" customHeight="1">
      <c r="A19" s="105"/>
      <c r="B19" s="807" t="s">
        <v>130</v>
      </c>
      <c r="C19" s="807"/>
      <c r="D19" s="807"/>
      <c r="E19" s="807"/>
      <c r="F19" s="807"/>
      <c r="G19" s="807"/>
      <c r="H19" s="816" t="str">
        <f>'4-22Master'!C18</f>
        <v>Amith a</v>
      </c>
      <c r="I19" s="809"/>
      <c r="J19" s="809"/>
      <c r="K19" s="809"/>
      <c r="L19" s="810"/>
    </row>
    <row r="20" spans="1:12" ht="27.95" customHeight="1">
      <c r="A20" s="105"/>
      <c r="B20" s="817" t="s">
        <v>131</v>
      </c>
      <c r="C20" s="817"/>
      <c r="D20" s="817"/>
      <c r="E20" s="817"/>
      <c r="F20" s="817"/>
      <c r="G20" s="817"/>
      <c r="H20" s="816">
        <f>'4-22Master'!A18</f>
        <v>10</v>
      </c>
      <c r="I20" s="809"/>
      <c r="J20" s="809"/>
      <c r="K20" s="809"/>
      <c r="L20" s="810"/>
    </row>
    <row r="21" spans="1:12" ht="27.95" customHeight="1">
      <c r="A21" s="105"/>
      <c r="B21" s="807" t="s">
        <v>132</v>
      </c>
      <c r="C21" s="807"/>
      <c r="D21" s="807"/>
      <c r="E21" s="807"/>
      <c r="F21" s="807"/>
      <c r="G21" s="807"/>
      <c r="H21" s="816" t="str">
        <f>'4-22Master'!G18</f>
        <v>Technology Consultant</v>
      </c>
      <c r="I21" s="809"/>
      <c r="J21" s="809"/>
      <c r="K21" s="809"/>
      <c r="L21" s="810"/>
    </row>
    <row r="22" spans="1:12" ht="27.95" customHeight="1">
      <c r="A22" s="105"/>
      <c r="B22" s="807" t="s">
        <v>133</v>
      </c>
      <c r="C22" s="807"/>
      <c r="D22" s="807"/>
      <c r="E22" s="807"/>
      <c r="F22" s="807"/>
      <c r="G22" s="807"/>
      <c r="H22" s="818">
        <f>'4-22Master'!O18</f>
        <v>44326</v>
      </c>
      <c r="I22" s="819"/>
      <c r="J22" s="819"/>
      <c r="K22" s="819"/>
      <c r="L22" s="820"/>
    </row>
    <row r="23" spans="1:12" ht="27.95" customHeight="1">
      <c r="A23" s="105"/>
      <c r="B23" s="106" t="s">
        <v>134</v>
      </c>
      <c r="C23" s="107"/>
      <c r="D23" s="107"/>
      <c r="E23" s="107"/>
      <c r="F23" s="107"/>
      <c r="G23" s="107"/>
      <c r="H23" s="108"/>
      <c r="I23" s="109"/>
      <c r="J23" s="37" t="str">
        <f>'4-22Master'!U18</f>
        <v>N/A</v>
      </c>
      <c r="K23" s="110"/>
      <c r="L23" s="115"/>
    </row>
    <row r="24" spans="1:12" ht="27.95" customHeight="1">
      <c r="A24" s="105"/>
      <c r="B24" s="106" t="s">
        <v>135</v>
      </c>
      <c r="C24" s="107"/>
      <c r="D24" s="107"/>
      <c r="E24" s="107"/>
      <c r="F24" s="107"/>
      <c r="G24" s="111"/>
      <c r="H24" s="112"/>
      <c r="I24" s="113"/>
      <c r="J24" s="37">
        <f>'4-22Master'!T18</f>
        <v>100081114505</v>
      </c>
      <c r="K24" s="113"/>
      <c r="L24" s="114"/>
    </row>
    <row r="25" spans="1:12" ht="27.95" customHeight="1">
      <c r="A25" s="105"/>
      <c r="B25" s="811" t="s">
        <v>136</v>
      </c>
      <c r="C25" s="811"/>
      <c r="D25" s="811"/>
      <c r="E25" s="811"/>
      <c r="F25" s="811"/>
      <c r="G25" s="811"/>
      <c r="H25" s="812">
        <f>'4-22Master'!Z18</f>
        <v>57105</v>
      </c>
      <c r="I25" s="813"/>
      <c r="J25" s="813"/>
      <c r="K25" s="813"/>
      <c r="L25" s="814"/>
    </row>
    <row r="26" spans="1:12" ht="27.95" customHeight="1">
      <c r="A26" s="105"/>
      <c r="B26" s="807" t="s">
        <v>137</v>
      </c>
      <c r="C26" s="807"/>
      <c r="D26" s="807"/>
      <c r="E26" s="807"/>
      <c r="F26" s="807"/>
      <c r="G26" s="807"/>
      <c r="H26" s="808">
        <f>'4-22Master'!E10</f>
        <v>44652</v>
      </c>
      <c r="I26" s="809"/>
      <c r="J26" s="809"/>
      <c r="K26" s="809"/>
      <c r="L26" s="810"/>
    </row>
    <row r="27" spans="1:12" ht="27.95" customHeight="1">
      <c r="A27" s="23"/>
      <c r="B27" s="807" t="s">
        <v>138</v>
      </c>
      <c r="C27" s="807"/>
      <c r="D27" s="807"/>
      <c r="E27" s="807"/>
      <c r="F27" s="807"/>
      <c r="G27" s="807"/>
      <c r="H27" s="809" t="s">
        <v>139</v>
      </c>
      <c r="I27" s="809"/>
      <c r="J27" s="809"/>
      <c r="K27" s="809"/>
      <c r="L27" s="810"/>
    </row>
    <row r="28" spans="1:12" ht="27.95" customHeight="1">
      <c r="A28" s="23"/>
      <c r="B28" s="106" t="s">
        <v>140</v>
      </c>
      <c r="C28" s="107"/>
      <c r="D28" s="107"/>
      <c r="E28" s="107"/>
      <c r="F28" s="107"/>
      <c r="G28" s="111"/>
      <c r="H28" s="108"/>
      <c r="I28" s="110"/>
      <c r="J28" s="110">
        <f>'4-22Master'!X18</f>
        <v>30</v>
      </c>
      <c r="K28" s="110"/>
      <c r="L28" s="115"/>
    </row>
    <row r="29" spans="1:12" ht="27.95" customHeight="1">
      <c r="A29" s="23"/>
      <c r="B29" s="106" t="s">
        <v>141</v>
      </c>
      <c r="C29" s="107"/>
      <c r="D29" s="107"/>
      <c r="E29" s="107"/>
      <c r="F29" s="107"/>
      <c r="G29" s="111"/>
      <c r="H29" s="108"/>
      <c r="I29" s="110"/>
      <c r="J29" s="110" t="s">
        <v>37</v>
      </c>
      <c r="K29" s="110"/>
      <c r="L29" s="115"/>
    </row>
    <row r="30" spans="1:12" ht="27.95" customHeight="1">
      <c r="A30" s="23"/>
      <c r="B30" s="106" t="s">
        <v>142</v>
      </c>
      <c r="C30" s="107"/>
      <c r="D30" s="107"/>
      <c r="E30" s="107"/>
      <c r="F30" s="107"/>
      <c r="G30" s="111"/>
      <c r="H30" s="108"/>
      <c r="I30" s="110"/>
      <c r="J30" s="116">
        <v>0</v>
      </c>
      <c r="K30" s="110"/>
      <c r="L30" s="115"/>
    </row>
    <row r="31" spans="1:12" ht="27.95" customHeight="1">
      <c r="A31" s="23"/>
      <c r="B31" s="106" t="s">
        <v>143</v>
      </c>
      <c r="C31" s="107"/>
      <c r="D31" s="107"/>
      <c r="E31" s="107"/>
      <c r="F31" s="107"/>
      <c r="G31" s="111"/>
      <c r="H31" s="108"/>
      <c r="I31" s="110"/>
      <c r="J31" s="110">
        <v>0</v>
      </c>
      <c r="K31" s="110"/>
      <c r="L31" s="115"/>
    </row>
    <row r="32" spans="1:12" ht="27.95" customHeight="1">
      <c r="A32" s="23"/>
      <c r="B32" s="106" t="s">
        <v>144</v>
      </c>
      <c r="C32" s="107"/>
      <c r="D32" s="107"/>
      <c r="E32" s="107"/>
      <c r="F32" s="107"/>
      <c r="G32" s="111"/>
      <c r="H32" s="108"/>
      <c r="I32" s="110"/>
      <c r="J32" s="116">
        <f>'4-22Master'!AN18</f>
        <v>63276.5003</v>
      </c>
      <c r="K32" s="110"/>
      <c r="L32" s="115" t="s">
        <v>35</v>
      </c>
    </row>
    <row r="33" spans="1:12" ht="27.95" customHeight="1">
      <c r="A33" s="23"/>
      <c r="B33" s="106" t="s">
        <v>145</v>
      </c>
      <c r="C33" s="107"/>
      <c r="D33" s="128" t="s">
        <v>32</v>
      </c>
      <c r="E33" s="129">
        <f>'4-22Master'!AP18</f>
        <v>1800</v>
      </c>
      <c r="F33" s="128" t="s">
        <v>31</v>
      </c>
      <c r="G33" s="129">
        <f>'4-22Master'!AO18</f>
        <v>0</v>
      </c>
      <c r="H33" s="128" t="s">
        <v>33</v>
      </c>
      <c r="I33" s="129">
        <f>'4-22Master'!AQ18</f>
        <v>200</v>
      </c>
      <c r="J33" s="128" t="s">
        <v>34</v>
      </c>
      <c r="K33" s="129">
        <f>'4-22Master'!AR18</f>
        <v>0</v>
      </c>
      <c r="L33" s="130">
        <f>'4-22Master'!AS18</f>
        <v>440.76132899999999</v>
      </c>
    </row>
    <row r="34" spans="1:12" ht="27.95" customHeight="1">
      <c r="A34" s="23"/>
      <c r="B34" s="106" t="s">
        <v>146</v>
      </c>
      <c r="C34" s="107"/>
      <c r="D34" s="107"/>
      <c r="E34" s="107"/>
      <c r="F34" s="107"/>
      <c r="G34" s="111"/>
      <c r="H34" s="108"/>
      <c r="I34" s="110"/>
      <c r="J34" s="116">
        <f>J32-(E33+G33+I33+K33+L33)</f>
        <v>60835.738970999999</v>
      </c>
      <c r="K34" s="110"/>
      <c r="L34" s="115"/>
    </row>
    <row r="35" spans="1:12" ht="27.95" customHeight="1">
      <c r="A35" s="23"/>
      <c r="B35" s="118" t="s">
        <v>147</v>
      </c>
      <c r="C35" s="119"/>
      <c r="D35" s="119"/>
      <c r="E35" s="119"/>
      <c r="F35" s="119"/>
      <c r="G35" s="120"/>
      <c r="H35" s="121"/>
      <c r="I35" s="122"/>
      <c r="J35" s="122"/>
      <c r="K35" s="122"/>
      <c r="L35" s="123"/>
    </row>
    <row r="36" spans="1:12" ht="27.95" customHeight="1">
      <c r="A36" s="23"/>
      <c r="B36" s="124" t="s">
        <v>148</v>
      </c>
      <c r="C36" s="125"/>
      <c r="D36" s="125"/>
      <c r="E36" s="125"/>
      <c r="F36" s="125"/>
      <c r="G36" s="126"/>
      <c r="H36" s="85"/>
      <c r="I36" s="27"/>
      <c r="J36" s="27"/>
      <c r="K36" s="27"/>
      <c r="L36" s="127"/>
    </row>
    <row r="37" spans="1:12">
      <c r="A37" s="23"/>
      <c r="L37" s="24"/>
    </row>
    <row r="38" spans="1:12" ht="15.75" thickBot="1">
      <c r="A38" s="35"/>
      <c r="B38" s="33"/>
      <c r="C38" s="33"/>
      <c r="D38" s="33"/>
      <c r="E38" s="33"/>
      <c r="F38" s="33"/>
      <c r="G38" s="33"/>
      <c r="H38" s="33"/>
      <c r="I38" s="33"/>
      <c r="J38" s="33"/>
      <c r="K38" s="33"/>
      <c r="L38" s="34"/>
    </row>
    <row r="54" spans="1:12" ht="15.75" thickBot="1"/>
    <row r="55" spans="1:12" ht="32.25">
      <c r="A55" s="94"/>
      <c r="B55" s="797" t="s">
        <v>124</v>
      </c>
      <c r="C55" s="798"/>
      <c r="D55" s="798"/>
      <c r="E55" s="798"/>
      <c r="F55" s="798"/>
      <c r="G55" s="798"/>
      <c r="H55" s="798"/>
      <c r="I55" s="798"/>
      <c r="J55" s="798"/>
      <c r="K55" s="798"/>
      <c r="L55" s="799"/>
    </row>
    <row r="56" spans="1:12" ht="23.25">
      <c r="A56" s="23"/>
      <c r="B56" s="800" t="s">
        <v>125</v>
      </c>
      <c r="C56" s="800"/>
      <c r="D56" s="800"/>
      <c r="E56" s="800"/>
      <c r="F56" s="800"/>
      <c r="G56" s="800"/>
      <c r="H56" s="800"/>
      <c r="I56" s="800"/>
      <c r="J56" s="800"/>
      <c r="K56" s="800"/>
      <c r="L56" s="801"/>
    </row>
    <row r="57" spans="1:12" ht="16.5" thickBot="1">
      <c r="A57" s="35"/>
      <c r="B57" s="802" t="s">
        <v>399</v>
      </c>
      <c r="C57" s="802"/>
      <c r="D57" s="802"/>
      <c r="E57" s="802"/>
      <c r="F57" s="802"/>
      <c r="G57" s="802"/>
      <c r="H57" s="802"/>
      <c r="I57" s="802"/>
      <c r="J57" s="802"/>
      <c r="K57" s="802"/>
      <c r="L57" s="803"/>
    </row>
    <row r="58" spans="1:12" ht="15" customHeight="1">
      <c r="A58" s="23"/>
      <c r="B58" s="804" t="s">
        <v>126</v>
      </c>
      <c r="C58" s="804"/>
      <c r="D58" s="804"/>
      <c r="E58" s="804"/>
      <c r="F58" s="804"/>
      <c r="H58" s="805" t="s">
        <v>127</v>
      </c>
      <c r="I58" s="805"/>
      <c r="J58" s="805"/>
      <c r="K58" s="805"/>
      <c r="L58" s="806"/>
    </row>
    <row r="59" spans="1:12" ht="15.75" thickBot="1">
      <c r="A59" s="23"/>
      <c r="B59" s="804"/>
      <c r="C59" s="804"/>
      <c r="D59" s="804"/>
      <c r="E59" s="804"/>
      <c r="F59" s="804"/>
      <c r="H59" s="805"/>
      <c r="I59" s="805"/>
      <c r="J59" s="805"/>
      <c r="K59" s="805"/>
      <c r="L59" s="806"/>
    </row>
    <row r="60" spans="1:12">
      <c r="A60" s="23"/>
      <c r="B60" s="94"/>
      <c r="C60" s="95"/>
      <c r="D60" s="95"/>
      <c r="E60" s="95"/>
      <c r="F60" s="96"/>
      <c r="H60" s="94"/>
      <c r="I60" s="95"/>
      <c r="J60" s="95"/>
      <c r="K60" s="95"/>
      <c r="L60" s="96"/>
    </row>
    <row r="61" spans="1:12">
      <c r="A61" s="23"/>
      <c r="B61" s="97" t="e">
        <f>#REF!</f>
        <v>#REF!</v>
      </c>
      <c r="F61" s="24"/>
      <c r="H61" s="97" t="e">
        <f>#REF!</f>
        <v>#REF!</v>
      </c>
      <c r="L61" s="24"/>
    </row>
    <row r="62" spans="1:12">
      <c r="A62" s="23"/>
      <c r="B62" s="23"/>
      <c r="F62" s="24"/>
      <c r="H62" s="23"/>
      <c r="L62" s="24"/>
    </row>
    <row r="63" spans="1:12">
      <c r="A63" s="23"/>
      <c r="B63" s="97" t="e">
        <f>#REF!</f>
        <v>#REF!</v>
      </c>
      <c r="F63" s="24"/>
      <c r="H63" s="97" t="e">
        <f>#REF!</f>
        <v>#REF!</v>
      </c>
      <c r="L63" s="24"/>
    </row>
    <row r="64" spans="1:12" ht="15.75" thickBot="1">
      <c r="A64" s="23"/>
      <c r="B64" s="35"/>
      <c r="C64" s="33"/>
      <c r="D64" s="33"/>
      <c r="E64" s="33"/>
      <c r="F64" s="34"/>
      <c r="H64" s="35"/>
      <c r="I64" s="33"/>
      <c r="J64" s="33"/>
      <c r="K64" s="33"/>
      <c r="L64" s="34"/>
    </row>
    <row r="65" spans="1:12">
      <c r="A65" s="23"/>
      <c r="J65" t="s">
        <v>128</v>
      </c>
      <c r="L65" s="24"/>
    </row>
    <row r="66" spans="1:12">
      <c r="A66" s="23"/>
      <c r="B66" s="725" t="s">
        <v>129</v>
      </c>
      <c r="C66" s="725"/>
      <c r="D66" s="725"/>
      <c r="E66" s="725"/>
      <c r="F66" s="725"/>
      <c r="H66" s="725" t="s">
        <v>4</v>
      </c>
      <c r="I66" s="725"/>
      <c r="J66" s="725"/>
      <c r="K66" s="725"/>
      <c r="L66" s="815"/>
    </row>
    <row r="67" spans="1:12" ht="15.75" thickBot="1">
      <c r="A67" s="23"/>
      <c r="L67" s="24"/>
    </row>
    <row r="68" spans="1:12">
      <c r="A68" s="23"/>
      <c r="B68" s="94"/>
      <c r="C68" s="95"/>
      <c r="D68" s="95"/>
      <c r="E68" s="95"/>
      <c r="F68" s="96"/>
      <c r="H68" s="98"/>
      <c r="I68" s="99"/>
      <c r="J68" s="99"/>
      <c r="K68" s="99"/>
      <c r="L68" s="100"/>
    </row>
    <row r="69" spans="1:12">
      <c r="A69" s="23"/>
      <c r="B69" s="23"/>
      <c r="F69" s="24"/>
      <c r="H69" s="97" t="e">
        <f>#REF!</f>
        <v>#REF!</v>
      </c>
      <c r="I69" s="4"/>
      <c r="J69" s="4"/>
      <c r="K69" s="4"/>
      <c r="L69" s="101"/>
    </row>
    <row r="70" spans="1:12">
      <c r="A70" s="23"/>
      <c r="B70" s="97" t="e">
        <f>#REF!</f>
        <v>#REF!</v>
      </c>
      <c r="F70" s="24"/>
      <c r="H70" s="97"/>
      <c r="I70" s="4"/>
      <c r="J70" s="4"/>
      <c r="K70" s="4"/>
      <c r="L70" s="101"/>
    </row>
    <row r="71" spans="1:12">
      <c r="A71" s="23"/>
      <c r="B71" s="23"/>
      <c r="F71" s="24"/>
      <c r="H71" s="97" t="e">
        <f>#REF!</f>
        <v>#REF!</v>
      </c>
      <c r="I71" s="4"/>
      <c r="J71" s="4"/>
      <c r="K71" s="4"/>
      <c r="L71" s="101"/>
    </row>
    <row r="72" spans="1:12" ht="15.75" thickBot="1">
      <c r="A72" s="23"/>
      <c r="B72" s="35"/>
      <c r="C72" s="33"/>
      <c r="D72" s="33"/>
      <c r="E72" s="33"/>
      <c r="F72" s="34"/>
      <c r="H72" s="102"/>
      <c r="I72" s="103"/>
      <c r="J72" s="103"/>
      <c r="K72" s="103"/>
      <c r="L72" s="104"/>
    </row>
    <row r="73" spans="1:12" ht="27.95" customHeight="1">
      <c r="A73" s="105"/>
      <c r="B73" s="807" t="s">
        <v>130</v>
      </c>
      <c r="C73" s="807"/>
      <c r="D73" s="807"/>
      <c r="E73" s="807"/>
      <c r="F73" s="807"/>
      <c r="G73" s="807"/>
      <c r="H73" s="816">
        <f>'4-22Master'!C408</f>
        <v>0</v>
      </c>
      <c r="I73" s="809"/>
      <c r="J73" s="809"/>
      <c r="K73" s="809"/>
      <c r="L73" s="810"/>
    </row>
    <row r="74" spans="1:12" ht="27.95" customHeight="1">
      <c r="A74" s="105"/>
      <c r="B74" s="817" t="s">
        <v>131</v>
      </c>
      <c r="C74" s="817"/>
      <c r="D74" s="817"/>
      <c r="E74" s="817"/>
      <c r="F74" s="817"/>
      <c r="G74" s="817"/>
      <c r="H74" s="816">
        <f>'4-22Master'!A408</f>
        <v>0</v>
      </c>
      <c r="I74" s="809"/>
      <c r="J74" s="809"/>
      <c r="K74" s="809"/>
      <c r="L74" s="810"/>
    </row>
    <row r="75" spans="1:12" ht="27.95" customHeight="1">
      <c r="A75" s="105"/>
      <c r="B75" s="807" t="s">
        <v>132</v>
      </c>
      <c r="C75" s="807"/>
      <c r="D75" s="807"/>
      <c r="E75" s="807"/>
      <c r="F75" s="807"/>
      <c r="G75" s="807"/>
      <c r="H75" s="816">
        <f>'4-22Master'!G408</f>
        <v>0</v>
      </c>
      <c r="I75" s="809"/>
      <c r="J75" s="809"/>
      <c r="K75" s="809"/>
      <c r="L75" s="810"/>
    </row>
    <row r="76" spans="1:12" ht="27.95" customHeight="1">
      <c r="A76" s="105"/>
      <c r="B76" s="807" t="s">
        <v>133</v>
      </c>
      <c r="C76" s="807"/>
      <c r="D76" s="807"/>
      <c r="E76" s="807"/>
      <c r="F76" s="807"/>
      <c r="G76" s="807"/>
      <c r="H76" s="818">
        <f>'4-22Master'!O408</f>
        <v>0</v>
      </c>
      <c r="I76" s="819"/>
      <c r="J76" s="819"/>
      <c r="K76" s="819"/>
      <c r="L76" s="820"/>
    </row>
    <row r="77" spans="1:12" ht="27.95" customHeight="1">
      <c r="A77" s="105"/>
      <c r="B77" s="106" t="s">
        <v>134</v>
      </c>
      <c r="C77" s="107"/>
      <c r="D77" s="107"/>
      <c r="E77" s="107"/>
      <c r="F77" s="107"/>
      <c r="G77" s="107"/>
      <c r="H77" s="108"/>
      <c r="I77" s="109"/>
      <c r="J77" s="37">
        <f>'4-22Master'!U408</f>
        <v>0</v>
      </c>
      <c r="K77" s="110"/>
      <c r="L77" s="115"/>
    </row>
    <row r="78" spans="1:12" ht="27.95" customHeight="1">
      <c r="A78" s="105"/>
      <c r="B78" s="106" t="s">
        <v>135</v>
      </c>
      <c r="C78" s="107"/>
      <c r="D78" s="107"/>
      <c r="E78" s="107"/>
      <c r="F78" s="107"/>
      <c r="G78" s="111"/>
      <c r="H78" s="112"/>
      <c r="I78" s="113"/>
      <c r="J78" s="37">
        <f>'4-22Master'!T408</f>
        <v>0</v>
      </c>
      <c r="K78" s="113"/>
      <c r="L78" s="114"/>
    </row>
    <row r="79" spans="1:12" ht="27.95" customHeight="1">
      <c r="A79" s="105"/>
      <c r="B79" s="811" t="s">
        <v>136</v>
      </c>
      <c r="C79" s="811"/>
      <c r="D79" s="811"/>
      <c r="E79" s="811"/>
      <c r="F79" s="811"/>
      <c r="G79" s="811"/>
      <c r="H79" s="812">
        <v>11322</v>
      </c>
      <c r="I79" s="813"/>
      <c r="J79" s="813"/>
      <c r="K79" s="813"/>
      <c r="L79" s="814"/>
    </row>
    <row r="80" spans="1:12" ht="27.95" customHeight="1">
      <c r="A80" s="105"/>
      <c r="B80" s="807" t="s">
        <v>137</v>
      </c>
      <c r="C80" s="807"/>
      <c r="D80" s="807"/>
      <c r="E80" s="807"/>
      <c r="F80" s="807"/>
      <c r="G80" s="807"/>
      <c r="H80" s="808">
        <f>'4-22Master'!E402</f>
        <v>0</v>
      </c>
      <c r="I80" s="809"/>
      <c r="J80" s="809"/>
      <c r="K80" s="809"/>
      <c r="L80" s="810"/>
    </row>
    <row r="81" spans="1:12" ht="27.95" customHeight="1">
      <c r="A81" s="23"/>
      <c r="B81" s="807" t="s">
        <v>138</v>
      </c>
      <c r="C81" s="807"/>
      <c r="D81" s="807"/>
      <c r="E81" s="807"/>
      <c r="F81" s="807"/>
      <c r="G81" s="807"/>
      <c r="H81" s="809" t="s">
        <v>139</v>
      </c>
      <c r="I81" s="809"/>
      <c r="J81" s="809"/>
      <c r="K81" s="809"/>
      <c r="L81" s="810"/>
    </row>
    <row r="82" spans="1:12" ht="27.95" customHeight="1">
      <c r="A82" s="23"/>
      <c r="B82" s="106" t="s">
        <v>140</v>
      </c>
      <c r="C82" s="107"/>
      <c r="D82" s="107"/>
      <c r="E82" s="107"/>
      <c r="F82" s="107"/>
      <c r="G82" s="111"/>
      <c r="H82" s="108"/>
      <c r="I82" s="110"/>
      <c r="J82" s="110">
        <f>'4-22Master'!X408</f>
        <v>0</v>
      </c>
      <c r="K82" s="110"/>
      <c r="L82" s="115"/>
    </row>
    <row r="83" spans="1:12" ht="27.95" customHeight="1">
      <c r="A83" s="23"/>
      <c r="B83" s="106" t="s">
        <v>141</v>
      </c>
      <c r="C83" s="107"/>
      <c r="D83" s="107"/>
      <c r="E83" s="107"/>
      <c r="F83" s="107"/>
      <c r="G83" s="111"/>
      <c r="H83" s="108"/>
      <c r="I83" s="110"/>
      <c r="J83" s="110" t="s">
        <v>37</v>
      </c>
      <c r="K83" s="110"/>
      <c r="L83" s="115"/>
    </row>
    <row r="84" spans="1:12" ht="27.95" customHeight="1">
      <c r="A84" s="23"/>
      <c r="B84" s="106" t="s">
        <v>142</v>
      </c>
      <c r="C84" s="107"/>
      <c r="D84" s="107"/>
      <c r="E84" s="107"/>
      <c r="F84" s="107"/>
      <c r="G84" s="111"/>
      <c r="H84" s="108"/>
      <c r="I84" s="110"/>
      <c r="J84" s="116">
        <v>0</v>
      </c>
      <c r="K84" s="110"/>
      <c r="L84" s="115"/>
    </row>
    <row r="85" spans="1:12" ht="27.95" customHeight="1">
      <c r="A85" s="23"/>
      <c r="B85" s="106" t="s">
        <v>143</v>
      </c>
      <c r="C85" s="107"/>
      <c r="D85" s="107"/>
      <c r="E85" s="107"/>
      <c r="F85" s="107"/>
      <c r="G85" s="111"/>
      <c r="H85" s="108"/>
      <c r="I85" s="110"/>
      <c r="J85" s="110">
        <v>0</v>
      </c>
      <c r="K85" s="110"/>
      <c r="L85" s="115"/>
    </row>
    <row r="86" spans="1:12" ht="27.95" customHeight="1">
      <c r="A86" s="23"/>
      <c r="B86" s="106" t="s">
        <v>144</v>
      </c>
      <c r="C86" s="107"/>
      <c r="D86" s="107"/>
      <c r="E86" s="107"/>
      <c r="F86" s="107"/>
      <c r="G86" s="111"/>
      <c r="H86" s="108"/>
      <c r="I86" s="110"/>
      <c r="J86" s="116">
        <f>'4-22Master'!AN408</f>
        <v>0</v>
      </c>
      <c r="K86" s="110"/>
      <c r="L86" s="115" t="s">
        <v>35</v>
      </c>
    </row>
    <row r="87" spans="1:12" ht="27.95" customHeight="1">
      <c r="A87" s="23"/>
      <c r="B87" s="106" t="s">
        <v>145</v>
      </c>
      <c r="C87" s="107"/>
      <c r="D87" s="128" t="s">
        <v>32</v>
      </c>
      <c r="E87" s="129">
        <f>'4-22Master'!AP408</f>
        <v>0</v>
      </c>
      <c r="F87" s="128" t="s">
        <v>31</v>
      </c>
      <c r="G87" s="129">
        <f>'4-22Master'!AO408</f>
        <v>0</v>
      </c>
      <c r="H87" s="128" t="s">
        <v>33</v>
      </c>
      <c r="I87" s="129">
        <f>'4-22Master'!AQ408</f>
        <v>0</v>
      </c>
      <c r="J87" s="128" t="s">
        <v>34</v>
      </c>
      <c r="K87" s="129">
        <f>'4-22Master'!AR408</f>
        <v>0</v>
      </c>
      <c r="L87" s="130">
        <f>'4-22Master'!AS408</f>
        <v>0</v>
      </c>
    </row>
    <row r="88" spans="1:12" ht="27.95" customHeight="1">
      <c r="A88" s="23"/>
      <c r="B88" s="106" t="s">
        <v>146</v>
      </c>
      <c r="C88" s="107"/>
      <c r="D88" s="107"/>
      <c r="E88" s="107"/>
      <c r="F88" s="107"/>
      <c r="G88" s="111"/>
      <c r="H88" s="108"/>
      <c r="I88" s="110"/>
      <c r="J88" s="117">
        <f>J86-(E87+G87+I87+K87+L87)</f>
        <v>0</v>
      </c>
      <c r="K88" s="110"/>
      <c r="L88" s="115"/>
    </row>
    <row r="89" spans="1:12" ht="27.95" customHeight="1">
      <c r="A89" s="23"/>
      <c r="B89" s="118" t="s">
        <v>147</v>
      </c>
      <c r="C89" s="119"/>
      <c r="D89" s="119"/>
      <c r="E89" s="119"/>
      <c r="F89" s="119"/>
      <c r="G89" s="120"/>
      <c r="H89" s="121"/>
      <c r="I89" s="122"/>
      <c r="J89" s="122"/>
      <c r="K89" s="122"/>
      <c r="L89" s="123"/>
    </row>
    <row r="90" spans="1:12" ht="27.95" customHeight="1">
      <c r="A90" s="23"/>
      <c r="B90" s="124" t="s">
        <v>148</v>
      </c>
      <c r="C90" s="125"/>
      <c r="D90" s="125"/>
      <c r="E90" s="125"/>
      <c r="F90" s="125"/>
      <c r="G90" s="126"/>
      <c r="H90" s="85"/>
      <c r="I90" s="27"/>
      <c r="J90" s="27"/>
      <c r="K90" s="27"/>
      <c r="L90" s="127"/>
    </row>
    <row r="91" spans="1:12">
      <c r="A91" s="23"/>
      <c r="L91" s="24"/>
    </row>
    <row r="92" spans="1:12" ht="15.75" thickBot="1">
      <c r="A92" s="35"/>
      <c r="B92" s="33"/>
      <c r="C92" s="33"/>
      <c r="D92" s="33"/>
      <c r="E92" s="33"/>
      <c r="F92" s="33"/>
      <c r="G92" s="33"/>
      <c r="H92" s="33"/>
      <c r="I92" s="33"/>
      <c r="J92" s="33"/>
      <c r="K92" s="33"/>
      <c r="L92" s="34"/>
    </row>
    <row r="93" spans="1:12" ht="32.25">
      <c r="A93" s="94"/>
      <c r="B93" s="797" t="s">
        <v>124</v>
      </c>
      <c r="C93" s="798"/>
      <c r="D93" s="798"/>
      <c r="E93" s="798"/>
      <c r="F93" s="798"/>
      <c r="G93" s="798"/>
      <c r="H93" s="798"/>
      <c r="I93" s="798"/>
      <c r="J93" s="798"/>
      <c r="K93" s="798"/>
      <c r="L93" s="799"/>
    </row>
    <row r="94" spans="1:12" ht="23.25">
      <c r="A94" s="23"/>
      <c r="B94" s="800" t="s">
        <v>125</v>
      </c>
      <c r="C94" s="800"/>
      <c r="D94" s="800"/>
      <c r="E94" s="800"/>
      <c r="F94" s="800"/>
      <c r="G94" s="800"/>
      <c r="H94" s="800"/>
      <c r="I94" s="800"/>
      <c r="J94" s="800"/>
      <c r="K94" s="800"/>
      <c r="L94" s="801"/>
    </row>
    <row r="95" spans="1:12" ht="16.5" thickBot="1">
      <c r="A95" s="35"/>
      <c r="B95" s="802" t="s">
        <v>400</v>
      </c>
      <c r="C95" s="802"/>
      <c r="D95" s="802"/>
      <c r="E95" s="802"/>
      <c r="F95" s="802"/>
      <c r="G95" s="802"/>
      <c r="H95" s="802"/>
      <c r="I95" s="802"/>
      <c r="J95" s="802"/>
      <c r="K95" s="802"/>
      <c r="L95" s="803"/>
    </row>
    <row r="96" spans="1:12" ht="15" customHeight="1">
      <c r="A96" s="23"/>
      <c r="B96" s="804" t="s">
        <v>126</v>
      </c>
      <c r="C96" s="804"/>
      <c r="D96" s="804"/>
      <c r="E96" s="804"/>
      <c r="F96" s="804"/>
      <c r="H96" s="805" t="s">
        <v>127</v>
      </c>
      <c r="I96" s="805"/>
      <c r="J96" s="805"/>
      <c r="K96" s="805"/>
      <c r="L96" s="806"/>
    </row>
    <row r="97" spans="1:12" ht="15.75" thickBot="1">
      <c r="A97" s="23"/>
      <c r="B97" s="804"/>
      <c r="C97" s="804"/>
      <c r="D97" s="804"/>
      <c r="E97" s="804"/>
      <c r="F97" s="804"/>
      <c r="H97" s="805"/>
      <c r="I97" s="805"/>
      <c r="J97" s="805"/>
      <c r="K97" s="805"/>
      <c r="L97" s="806"/>
    </row>
    <row r="98" spans="1:12">
      <c r="A98" s="23"/>
      <c r="B98" s="94"/>
      <c r="C98" s="95"/>
      <c r="D98" s="95"/>
      <c r="E98" s="95"/>
      <c r="F98" s="96"/>
      <c r="H98" s="94"/>
      <c r="I98" s="95"/>
      <c r="J98" s="95"/>
      <c r="K98" s="95"/>
      <c r="L98" s="96"/>
    </row>
    <row r="99" spans="1:12">
      <c r="A99" s="23"/>
      <c r="B99" s="97" t="e">
        <f>#REF!</f>
        <v>#REF!</v>
      </c>
      <c r="F99" s="24"/>
      <c r="H99" s="97" t="e">
        <f>#REF!</f>
        <v>#REF!</v>
      </c>
      <c r="L99" s="24"/>
    </row>
    <row r="100" spans="1:12">
      <c r="A100" s="23"/>
      <c r="B100" s="23"/>
      <c r="F100" s="24"/>
      <c r="H100" s="23"/>
      <c r="L100" s="24"/>
    </row>
    <row r="101" spans="1:12">
      <c r="A101" s="23"/>
      <c r="B101" s="97" t="e">
        <f>#REF!</f>
        <v>#REF!</v>
      </c>
      <c r="F101" s="24"/>
      <c r="H101" s="97" t="e">
        <f>#REF!</f>
        <v>#REF!</v>
      </c>
      <c r="L101" s="24"/>
    </row>
    <row r="102" spans="1:12" ht="15.75" thickBot="1">
      <c r="A102" s="23"/>
      <c r="B102" s="35"/>
      <c r="C102" s="33"/>
      <c r="D102" s="33"/>
      <c r="E102" s="33"/>
      <c r="F102" s="34"/>
      <c r="H102" s="35"/>
      <c r="I102" s="33"/>
      <c r="J102" s="33"/>
      <c r="K102" s="33"/>
      <c r="L102" s="34"/>
    </row>
    <row r="103" spans="1:12">
      <c r="A103" s="23"/>
      <c r="J103" t="s">
        <v>128</v>
      </c>
      <c r="L103" s="24"/>
    </row>
    <row r="104" spans="1:12">
      <c r="A104" s="23"/>
      <c r="B104" s="725" t="s">
        <v>129</v>
      </c>
      <c r="C104" s="725"/>
      <c r="D104" s="725"/>
      <c r="E104" s="725"/>
      <c r="F104" s="725"/>
      <c r="H104" s="725" t="s">
        <v>4</v>
      </c>
      <c r="I104" s="725"/>
      <c r="J104" s="725"/>
      <c r="K104" s="725"/>
      <c r="L104" s="815"/>
    </row>
    <row r="105" spans="1:12" ht="15.75" thickBot="1">
      <c r="A105" s="23"/>
      <c r="L105" s="24"/>
    </row>
    <row r="106" spans="1:12">
      <c r="A106" s="23"/>
      <c r="B106" s="94"/>
      <c r="C106" s="95"/>
      <c r="D106" s="95"/>
      <c r="E106" s="95"/>
      <c r="F106" s="96"/>
      <c r="H106" s="98"/>
      <c r="I106" s="99"/>
      <c r="J106" s="99"/>
      <c r="K106" s="99"/>
      <c r="L106" s="100"/>
    </row>
    <row r="107" spans="1:12">
      <c r="A107" s="23"/>
      <c r="B107" s="23"/>
      <c r="F107" s="24"/>
      <c r="H107" s="97" t="e">
        <f>#REF!</f>
        <v>#REF!</v>
      </c>
      <c r="I107" s="4"/>
      <c r="J107" s="4"/>
      <c r="K107" s="4"/>
      <c r="L107" s="101"/>
    </row>
    <row r="108" spans="1:12">
      <c r="A108" s="23"/>
      <c r="B108" s="97" t="e">
        <f>#REF!</f>
        <v>#REF!</v>
      </c>
      <c r="F108" s="24"/>
      <c r="H108" s="97"/>
      <c r="I108" s="4"/>
      <c r="J108" s="4"/>
      <c r="K108" s="4"/>
      <c r="L108" s="101"/>
    </row>
    <row r="109" spans="1:12">
      <c r="A109" s="23"/>
      <c r="B109" s="23"/>
      <c r="F109" s="24"/>
      <c r="H109" s="97" t="e">
        <f>#REF!</f>
        <v>#REF!</v>
      </c>
      <c r="I109" s="4"/>
      <c r="J109" s="4"/>
      <c r="K109" s="4"/>
      <c r="L109" s="101"/>
    </row>
    <row r="110" spans="1:12" ht="15.75" thickBot="1">
      <c r="A110" s="23"/>
      <c r="B110" s="35"/>
      <c r="C110" s="33"/>
      <c r="D110" s="33"/>
      <c r="E110" s="33"/>
      <c r="F110" s="34"/>
      <c r="H110" s="102"/>
      <c r="I110" s="103"/>
      <c r="J110" s="103"/>
      <c r="K110" s="103"/>
      <c r="L110" s="104"/>
    </row>
    <row r="111" spans="1:12" ht="27.95" customHeight="1">
      <c r="A111" s="105"/>
      <c r="B111" s="807" t="s">
        <v>130</v>
      </c>
      <c r="C111" s="807"/>
      <c r="D111" s="807"/>
      <c r="E111" s="807"/>
      <c r="F111" s="807"/>
      <c r="G111" s="807"/>
      <c r="H111" s="816">
        <f>'4-22Master'!C446</f>
        <v>0</v>
      </c>
      <c r="I111" s="809"/>
      <c r="J111" s="809"/>
      <c r="K111" s="809"/>
      <c r="L111" s="810"/>
    </row>
    <row r="112" spans="1:12" ht="27.95" customHeight="1">
      <c r="A112" s="105"/>
      <c r="B112" s="817" t="s">
        <v>131</v>
      </c>
      <c r="C112" s="817"/>
      <c r="D112" s="817"/>
      <c r="E112" s="817"/>
      <c r="F112" s="817"/>
      <c r="G112" s="817"/>
      <c r="H112" s="816">
        <f>'4-22Master'!A446</f>
        <v>0</v>
      </c>
      <c r="I112" s="809"/>
      <c r="J112" s="809"/>
      <c r="K112" s="809"/>
      <c r="L112" s="810"/>
    </row>
    <row r="113" spans="1:12" ht="27.95" customHeight="1">
      <c r="A113" s="105"/>
      <c r="B113" s="807" t="s">
        <v>132</v>
      </c>
      <c r="C113" s="807"/>
      <c r="D113" s="807"/>
      <c r="E113" s="807"/>
      <c r="F113" s="807"/>
      <c r="G113" s="807"/>
      <c r="H113" s="816">
        <f>'4-22Master'!G446</f>
        <v>0</v>
      </c>
      <c r="I113" s="809"/>
      <c r="J113" s="809"/>
      <c r="K113" s="809"/>
      <c r="L113" s="810"/>
    </row>
    <row r="114" spans="1:12" ht="27.95" customHeight="1">
      <c r="A114" s="105"/>
      <c r="B114" s="807" t="s">
        <v>133</v>
      </c>
      <c r="C114" s="807"/>
      <c r="D114" s="807"/>
      <c r="E114" s="807"/>
      <c r="F114" s="807"/>
      <c r="G114" s="807"/>
      <c r="H114" s="818">
        <f>'4-22Master'!O446</f>
        <v>0</v>
      </c>
      <c r="I114" s="819"/>
      <c r="J114" s="819"/>
      <c r="K114" s="819"/>
      <c r="L114" s="820"/>
    </row>
    <row r="115" spans="1:12" ht="27.95" customHeight="1">
      <c r="A115" s="105"/>
      <c r="B115" s="106" t="s">
        <v>134</v>
      </c>
      <c r="C115" s="107"/>
      <c r="D115" s="107"/>
      <c r="E115" s="107"/>
      <c r="F115" s="107"/>
      <c r="G115" s="107"/>
      <c r="H115" s="108"/>
      <c r="I115" s="109"/>
      <c r="J115" s="37">
        <f>'4-22Master'!U446</f>
        <v>0</v>
      </c>
      <c r="K115" s="110"/>
      <c r="L115" s="115"/>
    </row>
    <row r="116" spans="1:12" ht="27.95" customHeight="1">
      <c r="A116" s="105"/>
      <c r="B116" s="106" t="s">
        <v>135</v>
      </c>
      <c r="C116" s="107"/>
      <c r="D116" s="107"/>
      <c r="E116" s="107"/>
      <c r="F116" s="107"/>
      <c r="G116" s="111"/>
      <c r="H116" s="112"/>
      <c r="I116" s="113"/>
      <c r="J116" s="37">
        <f>'4-22Master'!T446</f>
        <v>0</v>
      </c>
      <c r="K116" s="113"/>
      <c r="L116" s="114"/>
    </row>
    <row r="117" spans="1:12" ht="27.95" customHeight="1">
      <c r="A117" s="105"/>
      <c r="B117" s="811" t="s">
        <v>136</v>
      </c>
      <c r="C117" s="811"/>
      <c r="D117" s="811"/>
      <c r="E117" s="811"/>
      <c r="F117" s="811"/>
      <c r="G117" s="811"/>
      <c r="H117" s="812">
        <v>11322</v>
      </c>
      <c r="I117" s="813"/>
      <c r="J117" s="813"/>
      <c r="K117" s="813"/>
      <c r="L117" s="814"/>
    </row>
    <row r="118" spans="1:12" ht="27.95" customHeight="1">
      <c r="A118" s="105"/>
      <c r="B118" s="807" t="s">
        <v>137</v>
      </c>
      <c r="C118" s="807"/>
      <c r="D118" s="807"/>
      <c r="E118" s="807"/>
      <c r="F118" s="807"/>
      <c r="G118" s="807"/>
      <c r="H118" s="808">
        <f>'4-22Master'!E440</f>
        <v>0</v>
      </c>
      <c r="I118" s="809"/>
      <c r="J118" s="809"/>
      <c r="K118" s="809"/>
      <c r="L118" s="810"/>
    </row>
    <row r="119" spans="1:12" ht="27.95" customHeight="1">
      <c r="A119" s="23"/>
      <c r="B119" s="807" t="s">
        <v>138</v>
      </c>
      <c r="C119" s="807"/>
      <c r="D119" s="807"/>
      <c r="E119" s="807"/>
      <c r="F119" s="807"/>
      <c r="G119" s="807"/>
      <c r="H119" s="809" t="s">
        <v>139</v>
      </c>
      <c r="I119" s="809"/>
      <c r="J119" s="809"/>
      <c r="K119" s="809"/>
      <c r="L119" s="810"/>
    </row>
    <row r="120" spans="1:12" ht="27.95" customHeight="1">
      <c r="A120" s="23"/>
      <c r="B120" s="106" t="s">
        <v>140</v>
      </c>
      <c r="C120" s="107"/>
      <c r="D120" s="107"/>
      <c r="E120" s="107"/>
      <c r="F120" s="107"/>
      <c r="G120" s="111"/>
      <c r="H120" s="108"/>
      <c r="I120" s="110"/>
      <c r="J120" s="110">
        <f>'4-22Master'!X446</f>
        <v>0</v>
      </c>
      <c r="K120" s="110"/>
      <c r="L120" s="115"/>
    </row>
    <row r="121" spans="1:12" ht="27.95" customHeight="1">
      <c r="A121" s="23"/>
      <c r="B121" s="106" t="s">
        <v>141</v>
      </c>
      <c r="C121" s="107"/>
      <c r="D121" s="107"/>
      <c r="E121" s="107"/>
      <c r="F121" s="107"/>
      <c r="G121" s="111"/>
      <c r="H121" s="108"/>
      <c r="I121" s="110"/>
      <c r="J121" s="110" t="s">
        <v>37</v>
      </c>
      <c r="K121" s="110"/>
      <c r="L121" s="115"/>
    </row>
    <row r="122" spans="1:12" ht="27.95" customHeight="1">
      <c r="A122" s="23"/>
      <c r="B122" s="106" t="s">
        <v>142</v>
      </c>
      <c r="C122" s="107"/>
      <c r="D122" s="107"/>
      <c r="E122" s="107"/>
      <c r="F122" s="107"/>
      <c r="G122" s="111"/>
      <c r="H122" s="108"/>
      <c r="I122" s="110"/>
      <c r="J122" s="116">
        <v>0</v>
      </c>
      <c r="K122" s="110"/>
      <c r="L122" s="115"/>
    </row>
    <row r="123" spans="1:12" ht="27.95" customHeight="1">
      <c r="A123" s="23"/>
      <c r="B123" s="106" t="s">
        <v>143</v>
      </c>
      <c r="C123" s="107"/>
      <c r="D123" s="107"/>
      <c r="E123" s="107"/>
      <c r="F123" s="107"/>
      <c r="G123" s="111"/>
      <c r="H123" s="108"/>
      <c r="I123" s="110"/>
      <c r="J123" s="110">
        <v>0</v>
      </c>
      <c r="K123" s="110"/>
      <c r="L123" s="115"/>
    </row>
    <row r="124" spans="1:12" ht="27.95" customHeight="1">
      <c r="A124" s="23"/>
      <c r="B124" s="106" t="s">
        <v>144</v>
      </c>
      <c r="C124" s="107"/>
      <c r="D124" s="107"/>
      <c r="E124" s="107"/>
      <c r="F124" s="107"/>
      <c r="G124" s="111"/>
      <c r="H124" s="108"/>
      <c r="I124" s="110"/>
      <c r="J124" s="116">
        <f>'4-22Master'!AN446</f>
        <v>0</v>
      </c>
      <c r="K124" s="110"/>
      <c r="L124" s="115" t="s">
        <v>35</v>
      </c>
    </row>
    <row r="125" spans="1:12" ht="27.95" customHeight="1">
      <c r="A125" s="23"/>
      <c r="B125" s="106" t="s">
        <v>145</v>
      </c>
      <c r="C125" s="107"/>
      <c r="D125" s="128" t="s">
        <v>32</v>
      </c>
      <c r="E125" s="129">
        <f>'4-22Master'!AP446</f>
        <v>0</v>
      </c>
      <c r="F125" s="128" t="s">
        <v>31</v>
      </c>
      <c r="G125" s="129">
        <f>'4-22Master'!AO446</f>
        <v>0</v>
      </c>
      <c r="H125" s="128" t="s">
        <v>33</v>
      </c>
      <c r="I125" s="129">
        <f>'4-22Master'!AQ446</f>
        <v>0</v>
      </c>
      <c r="J125" s="128" t="s">
        <v>34</v>
      </c>
      <c r="K125" s="129">
        <f>'4-22Master'!AR446</f>
        <v>0</v>
      </c>
      <c r="L125" s="130">
        <f>'4-22Master'!AS446</f>
        <v>0</v>
      </c>
    </row>
    <row r="126" spans="1:12" ht="27.95" customHeight="1">
      <c r="A126" s="23"/>
      <c r="B126" s="106" t="s">
        <v>146</v>
      </c>
      <c r="C126" s="107"/>
      <c r="D126" s="107"/>
      <c r="E126" s="107"/>
      <c r="F126" s="107"/>
      <c r="G126" s="111"/>
      <c r="H126" s="108"/>
      <c r="I126" s="110"/>
      <c r="J126" s="117">
        <f>J124-(E125+G125+I125+K125+L125)</f>
        <v>0</v>
      </c>
      <c r="K126" s="110"/>
      <c r="L126" s="115"/>
    </row>
    <row r="127" spans="1:12" ht="27.95" customHeight="1">
      <c r="A127" s="23"/>
      <c r="B127" s="118" t="s">
        <v>147</v>
      </c>
      <c r="C127" s="119"/>
      <c r="D127" s="119"/>
      <c r="E127" s="119"/>
      <c r="F127" s="119"/>
      <c r="G127" s="120"/>
      <c r="H127" s="121"/>
      <c r="I127" s="122"/>
      <c r="J127" s="122"/>
      <c r="K127" s="122"/>
      <c r="L127" s="123"/>
    </row>
    <row r="128" spans="1:12" ht="27.95" customHeight="1">
      <c r="A128" s="23"/>
      <c r="B128" s="124" t="s">
        <v>148</v>
      </c>
      <c r="C128" s="125"/>
      <c r="D128" s="125"/>
      <c r="E128" s="125"/>
      <c r="F128" s="125"/>
      <c r="G128" s="126"/>
      <c r="H128" s="85"/>
      <c r="I128" s="27"/>
      <c r="J128" s="27"/>
      <c r="K128" s="27"/>
      <c r="L128" s="127"/>
    </row>
    <row r="129" spans="1:12">
      <c r="A129" s="23"/>
      <c r="L129" s="24"/>
    </row>
    <row r="130" spans="1:12" ht="15.75" thickBot="1">
      <c r="A130" s="35"/>
      <c r="B130" s="33"/>
      <c r="C130" s="33"/>
      <c r="D130" s="33"/>
      <c r="E130" s="33"/>
      <c r="F130" s="33"/>
      <c r="G130" s="33"/>
      <c r="H130" s="33"/>
      <c r="I130" s="33"/>
      <c r="J130" s="33"/>
      <c r="K130" s="33"/>
      <c r="L130" s="34"/>
    </row>
    <row r="131" spans="1:12" ht="32.25">
      <c r="A131" s="94"/>
      <c r="B131" s="797" t="s">
        <v>124</v>
      </c>
      <c r="C131" s="798"/>
      <c r="D131" s="798"/>
      <c r="E131" s="798"/>
      <c r="F131" s="798"/>
      <c r="G131" s="798"/>
      <c r="H131" s="798"/>
      <c r="I131" s="798"/>
      <c r="J131" s="798"/>
      <c r="K131" s="798"/>
      <c r="L131" s="799"/>
    </row>
    <row r="132" spans="1:12" ht="23.25">
      <c r="A132" s="23"/>
      <c r="B132" s="800" t="s">
        <v>125</v>
      </c>
      <c r="C132" s="800"/>
      <c r="D132" s="800"/>
      <c r="E132" s="800"/>
      <c r="F132" s="800"/>
      <c r="G132" s="800"/>
      <c r="H132" s="800"/>
      <c r="I132" s="800"/>
      <c r="J132" s="800"/>
      <c r="K132" s="800"/>
      <c r="L132" s="801"/>
    </row>
    <row r="133" spans="1:12" ht="16.5" thickBot="1">
      <c r="A133" s="35"/>
      <c r="B133" s="802" t="s">
        <v>400</v>
      </c>
      <c r="C133" s="802"/>
      <c r="D133" s="802"/>
      <c r="E133" s="802"/>
      <c r="F133" s="802"/>
      <c r="G133" s="802"/>
      <c r="H133" s="802"/>
      <c r="I133" s="802"/>
      <c r="J133" s="802"/>
      <c r="K133" s="802"/>
      <c r="L133" s="803"/>
    </row>
    <row r="134" spans="1:12" ht="15" customHeight="1">
      <c r="A134" s="23"/>
      <c r="B134" s="804" t="s">
        <v>126</v>
      </c>
      <c r="C134" s="804"/>
      <c r="D134" s="804"/>
      <c r="E134" s="804"/>
      <c r="F134" s="804"/>
      <c r="H134" s="805" t="s">
        <v>127</v>
      </c>
      <c r="I134" s="805"/>
      <c r="J134" s="805"/>
      <c r="K134" s="805"/>
      <c r="L134" s="806"/>
    </row>
    <row r="135" spans="1:12" ht="15.75" thickBot="1">
      <c r="A135" s="23"/>
      <c r="B135" s="804"/>
      <c r="C135" s="804"/>
      <c r="D135" s="804"/>
      <c r="E135" s="804"/>
      <c r="F135" s="804"/>
      <c r="H135" s="805"/>
      <c r="I135" s="805"/>
      <c r="J135" s="805"/>
      <c r="K135" s="805"/>
      <c r="L135" s="806"/>
    </row>
    <row r="136" spans="1:12">
      <c r="A136" s="23"/>
      <c r="B136" s="94"/>
      <c r="C136" s="95"/>
      <c r="D136" s="95"/>
      <c r="E136" s="95"/>
      <c r="F136" s="96"/>
      <c r="H136" s="94"/>
      <c r="I136" s="95"/>
      <c r="J136" s="95"/>
      <c r="K136" s="95"/>
      <c r="L136" s="96"/>
    </row>
    <row r="137" spans="1:12">
      <c r="A137" s="23"/>
      <c r="B137" s="97" t="e">
        <f>#REF!</f>
        <v>#REF!</v>
      </c>
      <c r="F137" s="24"/>
      <c r="H137" s="97" t="e">
        <f>#REF!</f>
        <v>#REF!</v>
      </c>
      <c r="L137" s="24"/>
    </row>
    <row r="138" spans="1:12">
      <c r="A138" s="23"/>
      <c r="B138" s="23"/>
      <c r="F138" s="24"/>
      <c r="H138" s="23"/>
      <c r="L138" s="24"/>
    </row>
    <row r="139" spans="1:12">
      <c r="A139" s="23"/>
      <c r="B139" s="97" t="e">
        <f>#REF!</f>
        <v>#REF!</v>
      </c>
      <c r="F139" s="24"/>
      <c r="H139" s="97" t="e">
        <f>#REF!</f>
        <v>#REF!</v>
      </c>
      <c r="L139" s="24"/>
    </row>
    <row r="140" spans="1:12" ht="15.75" thickBot="1">
      <c r="A140" s="23"/>
      <c r="B140" s="35"/>
      <c r="C140" s="33"/>
      <c r="D140" s="33"/>
      <c r="E140" s="33"/>
      <c r="F140" s="34"/>
      <c r="H140" s="35"/>
      <c r="I140" s="33"/>
      <c r="J140" s="33"/>
      <c r="K140" s="33"/>
      <c r="L140" s="34"/>
    </row>
    <row r="141" spans="1:12">
      <c r="A141" s="23"/>
      <c r="J141" t="s">
        <v>128</v>
      </c>
      <c r="L141" s="24"/>
    </row>
    <row r="142" spans="1:12">
      <c r="A142" s="23"/>
      <c r="B142" s="725" t="s">
        <v>129</v>
      </c>
      <c r="C142" s="725"/>
      <c r="D142" s="725"/>
      <c r="E142" s="725"/>
      <c r="F142" s="725"/>
      <c r="H142" s="725" t="s">
        <v>4</v>
      </c>
      <c r="I142" s="725"/>
      <c r="J142" s="725"/>
      <c r="K142" s="725"/>
      <c r="L142" s="815"/>
    </row>
    <row r="143" spans="1:12" ht="15.75" thickBot="1">
      <c r="A143" s="23"/>
      <c r="L143" s="24"/>
    </row>
    <row r="144" spans="1:12">
      <c r="A144" s="23"/>
      <c r="B144" s="94"/>
      <c r="C144" s="95"/>
      <c r="D144" s="95"/>
      <c r="E144" s="95"/>
      <c r="F144" s="96"/>
      <c r="H144" s="98"/>
      <c r="I144" s="99"/>
      <c r="J144" s="99"/>
      <c r="K144" s="99"/>
      <c r="L144" s="100"/>
    </row>
    <row r="145" spans="1:12">
      <c r="A145" s="23"/>
      <c r="B145" s="23"/>
      <c r="F145" s="24"/>
      <c r="H145" s="97" t="e">
        <f>#REF!</f>
        <v>#REF!</v>
      </c>
      <c r="I145" s="4"/>
      <c r="J145" s="4"/>
      <c r="K145" s="4"/>
      <c r="L145" s="101"/>
    </row>
    <row r="146" spans="1:12">
      <c r="A146" s="23"/>
      <c r="B146" s="97" t="e">
        <f>#REF!</f>
        <v>#REF!</v>
      </c>
      <c r="F146" s="24"/>
      <c r="H146" s="97"/>
      <c r="I146" s="4"/>
      <c r="J146" s="4"/>
      <c r="K146" s="4"/>
      <c r="L146" s="101"/>
    </row>
    <row r="147" spans="1:12">
      <c r="A147" s="23"/>
      <c r="B147" s="23"/>
      <c r="F147" s="24"/>
      <c r="H147" s="97" t="e">
        <f>#REF!</f>
        <v>#REF!</v>
      </c>
      <c r="I147" s="4"/>
      <c r="J147" s="4"/>
      <c r="K147" s="4"/>
      <c r="L147" s="101"/>
    </row>
    <row r="148" spans="1:12" ht="15.75" thickBot="1">
      <c r="A148" s="23"/>
      <c r="B148" s="35"/>
      <c r="C148" s="33"/>
      <c r="D148" s="33"/>
      <c r="E148" s="33"/>
      <c r="F148" s="34"/>
      <c r="H148" s="102"/>
      <c r="I148" s="103"/>
      <c r="J148" s="103"/>
      <c r="K148" s="103"/>
      <c r="L148" s="104"/>
    </row>
    <row r="149" spans="1:12" ht="27.95" customHeight="1">
      <c r="A149" s="105"/>
      <c r="B149" s="807" t="s">
        <v>130</v>
      </c>
      <c r="C149" s="807"/>
      <c r="D149" s="807"/>
      <c r="E149" s="807"/>
      <c r="F149" s="807"/>
      <c r="G149" s="807"/>
      <c r="H149" s="816">
        <f>'4-22Master'!C484</f>
        <v>0</v>
      </c>
      <c r="I149" s="809"/>
      <c r="J149" s="809"/>
      <c r="K149" s="809"/>
      <c r="L149" s="810"/>
    </row>
    <row r="150" spans="1:12" ht="27.95" customHeight="1">
      <c r="A150" s="105"/>
      <c r="B150" s="817" t="s">
        <v>131</v>
      </c>
      <c r="C150" s="817"/>
      <c r="D150" s="817"/>
      <c r="E150" s="817"/>
      <c r="F150" s="817"/>
      <c r="G150" s="817"/>
      <c r="H150" s="816">
        <f>'4-22Master'!A484</f>
        <v>0</v>
      </c>
      <c r="I150" s="809"/>
      <c r="J150" s="809"/>
      <c r="K150" s="809"/>
      <c r="L150" s="810"/>
    </row>
    <row r="151" spans="1:12" ht="27.95" customHeight="1">
      <c r="A151" s="105"/>
      <c r="B151" s="807" t="s">
        <v>132</v>
      </c>
      <c r="C151" s="807"/>
      <c r="D151" s="807"/>
      <c r="E151" s="807"/>
      <c r="F151" s="807"/>
      <c r="G151" s="807"/>
      <c r="H151" s="816">
        <f>'4-22Master'!G484</f>
        <v>0</v>
      </c>
      <c r="I151" s="809"/>
      <c r="J151" s="809"/>
      <c r="K151" s="809"/>
      <c r="L151" s="810"/>
    </row>
    <row r="152" spans="1:12" ht="27.95" customHeight="1">
      <c r="A152" s="105"/>
      <c r="B152" s="807" t="s">
        <v>133</v>
      </c>
      <c r="C152" s="807"/>
      <c r="D152" s="807"/>
      <c r="E152" s="807"/>
      <c r="F152" s="807"/>
      <c r="G152" s="807"/>
      <c r="H152" s="818">
        <f>'4-22Master'!O484</f>
        <v>0</v>
      </c>
      <c r="I152" s="819"/>
      <c r="J152" s="819"/>
      <c r="K152" s="819"/>
      <c r="L152" s="820"/>
    </row>
    <row r="153" spans="1:12" ht="27.95" customHeight="1">
      <c r="A153" s="105"/>
      <c r="B153" s="106" t="s">
        <v>134</v>
      </c>
      <c r="C153" s="107"/>
      <c r="D153" s="107"/>
      <c r="E153" s="107"/>
      <c r="F153" s="107"/>
      <c r="G153" s="107"/>
      <c r="H153" s="108"/>
      <c r="I153" s="109"/>
      <c r="J153" s="37">
        <f>'4-22Master'!U484</f>
        <v>0</v>
      </c>
      <c r="K153" s="110"/>
      <c r="L153" s="115"/>
    </row>
    <row r="154" spans="1:12" ht="27.95" customHeight="1">
      <c r="A154" s="105"/>
      <c r="B154" s="106" t="s">
        <v>135</v>
      </c>
      <c r="C154" s="107"/>
      <c r="D154" s="107"/>
      <c r="E154" s="107"/>
      <c r="F154" s="107"/>
      <c r="G154" s="111"/>
      <c r="H154" s="112"/>
      <c r="I154" s="113"/>
      <c r="J154" s="37">
        <f>'4-22Master'!T484</f>
        <v>0</v>
      </c>
      <c r="K154" s="113"/>
      <c r="L154" s="114"/>
    </row>
    <row r="155" spans="1:12" ht="27.95" customHeight="1">
      <c r="A155" s="105"/>
      <c r="B155" s="811" t="s">
        <v>136</v>
      </c>
      <c r="C155" s="811"/>
      <c r="D155" s="811"/>
      <c r="E155" s="811"/>
      <c r="F155" s="811"/>
      <c r="G155" s="811"/>
      <c r="H155" s="812">
        <v>11322</v>
      </c>
      <c r="I155" s="813"/>
      <c r="J155" s="813"/>
      <c r="K155" s="813"/>
      <c r="L155" s="814"/>
    </row>
    <row r="156" spans="1:12" ht="27.95" customHeight="1">
      <c r="A156" s="105"/>
      <c r="B156" s="807" t="s">
        <v>137</v>
      </c>
      <c r="C156" s="807"/>
      <c r="D156" s="807"/>
      <c r="E156" s="807"/>
      <c r="F156" s="807"/>
      <c r="G156" s="807"/>
      <c r="H156" s="808">
        <f>'4-22Master'!E478</f>
        <v>0</v>
      </c>
      <c r="I156" s="809"/>
      <c r="J156" s="809"/>
      <c r="K156" s="809"/>
      <c r="L156" s="810"/>
    </row>
    <row r="157" spans="1:12" ht="27.95" customHeight="1">
      <c r="A157" s="23"/>
      <c r="B157" s="807" t="s">
        <v>138</v>
      </c>
      <c r="C157" s="807"/>
      <c r="D157" s="807"/>
      <c r="E157" s="807"/>
      <c r="F157" s="807"/>
      <c r="G157" s="807"/>
      <c r="H157" s="809" t="s">
        <v>139</v>
      </c>
      <c r="I157" s="809"/>
      <c r="J157" s="809"/>
      <c r="K157" s="809"/>
      <c r="L157" s="810"/>
    </row>
    <row r="158" spans="1:12" ht="27.95" customHeight="1">
      <c r="A158" s="23"/>
      <c r="B158" s="106" t="s">
        <v>140</v>
      </c>
      <c r="C158" s="107"/>
      <c r="D158" s="107"/>
      <c r="E158" s="107"/>
      <c r="F158" s="107"/>
      <c r="G158" s="111"/>
      <c r="H158" s="108"/>
      <c r="I158" s="110"/>
      <c r="J158" s="110">
        <f>'4-22Master'!X484</f>
        <v>0</v>
      </c>
      <c r="K158" s="110"/>
      <c r="L158" s="115"/>
    </row>
    <row r="159" spans="1:12" ht="27.95" customHeight="1">
      <c r="A159" s="23"/>
      <c r="B159" s="106" t="s">
        <v>141</v>
      </c>
      <c r="C159" s="107"/>
      <c r="D159" s="107"/>
      <c r="E159" s="107"/>
      <c r="F159" s="107"/>
      <c r="G159" s="111"/>
      <c r="H159" s="108"/>
      <c r="I159" s="110"/>
      <c r="J159" s="110" t="s">
        <v>37</v>
      </c>
      <c r="K159" s="110"/>
      <c r="L159" s="115"/>
    </row>
    <row r="160" spans="1:12" ht="27.95" customHeight="1">
      <c r="A160" s="23"/>
      <c r="B160" s="106" t="s">
        <v>142</v>
      </c>
      <c r="C160" s="107"/>
      <c r="D160" s="107"/>
      <c r="E160" s="107"/>
      <c r="F160" s="107"/>
      <c r="G160" s="111"/>
      <c r="H160" s="108"/>
      <c r="I160" s="110"/>
      <c r="J160" s="116">
        <v>0</v>
      </c>
      <c r="K160" s="110"/>
      <c r="L160" s="115"/>
    </row>
    <row r="161" spans="1:12" ht="27.95" customHeight="1">
      <c r="A161" s="23"/>
      <c r="B161" s="106" t="s">
        <v>143</v>
      </c>
      <c r="C161" s="107"/>
      <c r="D161" s="107"/>
      <c r="E161" s="107"/>
      <c r="F161" s="107"/>
      <c r="G161" s="111"/>
      <c r="H161" s="108"/>
      <c r="I161" s="110"/>
      <c r="J161" s="110">
        <v>0</v>
      </c>
      <c r="K161" s="110"/>
      <c r="L161" s="115"/>
    </row>
    <row r="162" spans="1:12" ht="27.95" customHeight="1">
      <c r="A162" s="23"/>
      <c r="B162" s="106" t="s">
        <v>144</v>
      </c>
      <c r="C162" s="107"/>
      <c r="D162" s="107"/>
      <c r="E162" s="107"/>
      <c r="F162" s="107"/>
      <c r="G162" s="111"/>
      <c r="H162" s="108"/>
      <c r="I162" s="110"/>
      <c r="J162" s="116">
        <f>'4-22Master'!AN484</f>
        <v>0</v>
      </c>
      <c r="K162" s="110"/>
      <c r="L162" s="115" t="s">
        <v>35</v>
      </c>
    </row>
    <row r="163" spans="1:12" ht="27.95" customHeight="1">
      <c r="A163" s="23"/>
      <c r="B163" s="106" t="s">
        <v>145</v>
      </c>
      <c r="C163" s="107"/>
      <c r="D163" s="128" t="s">
        <v>32</v>
      </c>
      <c r="E163" s="129">
        <f>'4-22Master'!AP484</f>
        <v>0</v>
      </c>
      <c r="F163" s="128" t="s">
        <v>31</v>
      </c>
      <c r="G163" s="129">
        <f>'4-22Master'!AO484</f>
        <v>0</v>
      </c>
      <c r="H163" s="128" t="s">
        <v>33</v>
      </c>
      <c r="I163" s="129">
        <f>'4-22Master'!AQ484</f>
        <v>0</v>
      </c>
      <c r="J163" s="128" t="s">
        <v>34</v>
      </c>
      <c r="K163" s="129">
        <f>'4-22Master'!AR484</f>
        <v>0</v>
      </c>
      <c r="L163" s="130">
        <f>'4-22Master'!AS484</f>
        <v>0</v>
      </c>
    </row>
    <row r="164" spans="1:12" ht="27.95" customHeight="1">
      <c r="A164" s="23"/>
      <c r="B164" s="106" t="s">
        <v>146</v>
      </c>
      <c r="C164" s="107"/>
      <c r="D164" s="107"/>
      <c r="E164" s="107"/>
      <c r="F164" s="107"/>
      <c r="G164" s="111"/>
      <c r="H164" s="108"/>
      <c r="I164" s="110"/>
      <c r="J164" s="117">
        <f>J162-(E163+G163+I163+K163+L163)</f>
        <v>0</v>
      </c>
      <c r="K164" s="110"/>
      <c r="L164" s="115"/>
    </row>
    <row r="165" spans="1:12" ht="27.95" customHeight="1">
      <c r="A165" s="23"/>
      <c r="B165" s="118" t="s">
        <v>147</v>
      </c>
      <c r="C165" s="119"/>
      <c r="D165" s="119"/>
      <c r="E165" s="119"/>
      <c r="F165" s="119"/>
      <c r="G165" s="120"/>
      <c r="H165" s="121"/>
      <c r="I165" s="122"/>
      <c r="J165" s="122"/>
      <c r="K165" s="122"/>
      <c r="L165" s="123"/>
    </row>
    <row r="166" spans="1:12" ht="27.95" customHeight="1">
      <c r="A166" s="23"/>
      <c r="B166" s="124" t="s">
        <v>148</v>
      </c>
      <c r="C166" s="125"/>
      <c r="D166" s="125"/>
      <c r="E166" s="125"/>
      <c r="F166" s="125"/>
      <c r="G166" s="126"/>
      <c r="H166" s="85"/>
      <c r="I166" s="27"/>
      <c r="J166" s="27"/>
      <c r="K166" s="27"/>
      <c r="L166" s="127"/>
    </row>
    <row r="167" spans="1:12">
      <c r="A167" s="23"/>
      <c r="L167" s="24"/>
    </row>
    <row r="168" spans="1:12" ht="15.75" thickBot="1">
      <c r="A168" s="35"/>
      <c r="B168" s="33"/>
      <c r="C168" s="33"/>
      <c r="D168" s="33"/>
      <c r="E168" s="33"/>
      <c r="F168" s="33"/>
      <c r="G168" s="33"/>
      <c r="H168" s="33"/>
      <c r="I168" s="33"/>
      <c r="J168" s="33"/>
      <c r="K168" s="33"/>
      <c r="L168" s="34"/>
    </row>
    <row r="169" spans="1:12" ht="15.75" thickBot="1"/>
    <row r="170" spans="1:12" ht="32.25">
      <c r="A170" s="94"/>
      <c r="B170" s="797" t="s">
        <v>124</v>
      </c>
      <c r="C170" s="798"/>
      <c r="D170" s="798"/>
      <c r="E170" s="798"/>
      <c r="F170" s="798"/>
      <c r="G170" s="798"/>
      <c r="H170" s="798"/>
      <c r="I170" s="798"/>
      <c r="J170" s="798"/>
      <c r="K170" s="798"/>
      <c r="L170" s="799"/>
    </row>
    <row r="171" spans="1:12" ht="23.25">
      <c r="A171" s="23"/>
      <c r="B171" s="800" t="s">
        <v>125</v>
      </c>
      <c r="C171" s="800"/>
      <c r="D171" s="800"/>
      <c r="E171" s="800"/>
      <c r="F171" s="800"/>
      <c r="G171" s="800"/>
      <c r="H171" s="800"/>
      <c r="I171" s="800"/>
      <c r="J171" s="800"/>
      <c r="K171" s="800"/>
      <c r="L171" s="801"/>
    </row>
    <row r="172" spans="1:12" ht="16.5" thickBot="1">
      <c r="A172" s="35"/>
      <c r="B172" s="802" t="s">
        <v>399</v>
      </c>
      <c r="C172" s="802"/>
      <c r="D172" s="802"/>
      <c r="E172" s="802"/>
      <c r="F172" s="802"/>
      <c r="G172" s="802"/>
      <c r="H172" s="802"/>
      <c r="I172" s="802"/>
      <c r="J172" s="802"/>
      <c r="K172" s="802"/>
      <c r="L172" s="803"/>
    </row>
    <row r="173" spans="1:12" ht="15" customHeight="1">
      <c r="A173" s="23"/>
      <c r="B173" s="804" t="s">
        <v>126</v>
      </c>
      <c r="C173" s="804"/>
      <c r="D173" s="804"/>
      <c r="E173" s="804"/>
      <c r="F173" s="804"/>
      <c r="H173" s="805" t="s">
        <v>127</v>
      </c>
      <c r="I173" s="805"/>
      <c r="J173" s="805"/>
      <c r="K173" s="805"/>
      <c r="L173" s="806"/>
    </row>
    <row r="174" spans="1:12" ht="15.75" thickBot="1">
      <c r="A174" s="23"/>
      <c r="B174" s="804"/>
      <c r="C174" s="804"/>
      <c r="D174" s="804"/>
      <c r="E174" s="804"/>
      <c r="F174" s="804"/>
      <c r="H174" s="805"/>
      <c r="I174" s="805"/>
      <c r="J174" s="805"/>
      <c r="K174" s="805"/>
      <c r="L174" s="806"/>
    </row>
    <row r="175" spans="1:12">
      <c r="A175" s="23"/>
      <c r="B175" s="94"/>
      <c r="C175" s="95"/>
      <c r="D175" s="95"/>
      <c r="E175" s="95"/>
      <c r="F175" s="96"/>
      <c r="H175" s="94"/>
      <c r="I175" s="95"/>
      <c r="J175" s="95"/>
      <c r="K175" s="95"/>
      <c r="L175" s="96"/>
    </row>
    <row r="176" spans="1:12">
      <c r="A176" s="23"/>
      <c r="B176" s="97" t="e">
        <f>#REF!</f>
        <v>#REF!</v>
      </c>
      <c r="F176" s="24"/>
      <c r="H176" s="97" t="e">
        <f>#REF!</f>
        <v>#REF!</v>
      </c>
      <c r="L176" s="24"/>
    </row>
    <row r="177" spans="1:12">
      <c r="A177" s="23"/>
      <c r="B177" s="23"/>
      <c r="F177" s="24"/>
      <c r="H177" s="23"/>
      <c r="L177" s="24"/>
    </row>
    <row r="178" spans="1:12">
      <c r="A178" s="23"/>
      <c r="B178" s="97" t="e">
        <f>#REF!</f>
        <v>#REF!</v>
      </c>
      <c r="F178" s="24"/>
      <c r="H178" s="97" t="e">
        <f>#REF!</f>
        <v>#REF!</v>
      </c>
      <c r="L178" s="24"/>
    </row>
    <row r="179" spans="1:12" ht="15.75" thickBot="1">
      <c r="A179" s="23"/>
      <c r="B179" s="35"/>
      <c r="C179" s="33"/>
      <c r="D179" s="33"/>
      <c r="E179" s="33"/>
      <c r="F179" s="34"/>
      <c r="H179" s="35"/>
      <c r="I179" s="33"/>
      <c r="J179" s="33"/>
      <c r="K179" s="33"/>
      <c r="L179" s="34"/>
    </row>
    <row r="180" spans="1:12">
      <c r="A180" s="23"/>
      <c r="J180" t="s">
        <v>128</v>
      </c>
      <c r="L180" s="24"/>
    </row>
    <row r="181" spans="1:12">
      <c r="A181" s="23"/>
      <c r="B181" s="725" t="s">
        <v>129</v>
      </c>
      <c r="C181" s="725"/>
      <c r="D181" s="725"/>
      <c r="E181" s="725"/>
      <c r="F181" s="725"/>
      <c r="H181" s="725" t="s">
        <v>4</v>
      </c>
      <c r="I181" s="725"/>
      <c r="J181" s="725"/>
      <c r="K181" s="725"/>
      <c r="L181" s="815"/>
    </row>
    <row r="182" spans="1:12" ht="15.75" thickBot="1">
      <c r="A182" s="23"/>
      <c r="L182" s="24"/>
    </row>
    <row r="183" spans="1:12">
      <c r="A183" s="23"/>
      <c r="B183" s="94"/>
      <c r="C183" s="95"/>
      <c r="D183" s="95"/>
      <c r="E183" s="95"/>
      <c r="F183" s="96"/>
      <c r="H183" s="98"/>
      <c r="I183" s="99"/>
      <c r="J183" s="99"/>
      <c r="K183" s="99"/>
      <c r="L183" s="100"/>
    </row>
    <row r="184" spans="1:12">
      <c r="A184" s="23"/>
      <c r="B184" s="23"/>
      <c r="F184" s="24"/>
      <c r="H184" s="97" t="e">
        <f>#REF!</f>
        <v>#REF!</v>
      </c>
      <c r="I184" s="4"/>
      <c r="J184" s="4"/>
      <c r="K184" s="4"/>
      <c r="L184" s="101"/>
    </row>
    <row r="185" spans="1:12">
      <c r="A185" s="23"/>
      <c r="B185" s="97" t="e">
        <f>#REF!</f>
        <v>#REF!</v>
      </c>
      <c r="F185" s="24"/>
      <c r="H185" s="97"/>
      <c r="I185" s="4"/>
      <c r="J185" s="4"/>
      <c r="K185" s="4"/>
      <c r="L185" s="101"/>
    </row>
    <row r="186" spans="1:12">
      <c r="A186" s="23"/>
      <c r="B186" s="23"/>
      <c r="F186" s="24"/>
      <c r="H186" s="97" t="e">
        <f>#REF!</f>
        <v>#REF!</v>
      </c>
      <c r="I186" s="4"/>
      <c r="J186" s="4"/>
      <c r="K186" s="4"/>
      <c r="L186" s="101"/>
    </row>
    <row r="187" spans="1:12" ht="15.75" thickBot="1">
      <c r="A187" s="23"/>
      <c r="B187" s="35"/>
      <c r="C187" s="33"/>
      <c r="D187" s="33"/>
      <c r="E187" s="33"/>
      <c r="F187" s="34"/>
      <c r="H187" s="102"/>
      <c r="I187" s="103"/>
      <c r="J187" s="103"/>
      <c r="K187" s="103"/>
      <c r="L187" s="104"/>
    </row>
    <row r="188" spans="1:12" ht="27.95" customHeight="1">
      <c r="A188" s="105"/>
      <c r="B188" s="807" t="s">
        <v>130</v>
      </c>
      <c r="C188" s="807"/>
      <c r="D188" s="807"/>
      <c r="E188" s="807"/>
      <c r="F188" s="807"/>
      <c r="G188" s="807"/>
      <c r="H188" s="816">
        <f>'4-22Master'!C523</f>
        <v>0</v>
      </c>
      <c r="I188" s="809"/>
      <c r="J188" s="809"/>
      <c r="K188" s="809"/>
      <c r="L188" s="810"/>
    </row>
    <row r="189" spans="1:12" ht="27.95" customHeight="1">
      <c r="A189" s="105"/>
      <c r="B189" s="817" t="s">
        <v>131</v>
      </c>
      <c r="C189" s="817"/>
      <c r="D189" s="817"/>
      <c r="E189" s="817"/>
      <c r="F189" s="817"/>
      <c r="G189" s="817"/>
      <c r="H189" s="816">
        <f>'4-22Master'!A523</f>
        <v>0</v>
      </c>
      <c r="I189" s="809"/>
      <c r="J189" s="809"/>
      <c r="K189" s="809"/>
      <c r="L189" s="810"/>
    </row>
    <row r="190" spans="1:12" ht="27.95" customHeight="1">
      <c r="A190" s="105"/>
      <c r="B190" s="807" t="s">
        <v>132</v>
      </c>
      <c r="C190" s="807"/>
      <c r="D190" s="807"/>
      <c r="E190" s="807"/>
      <c r="F190" s="807"/>
      <c r="G190" s="807"/>
      <c r="H190" s="816">
        <f>'4-22Master'!G523</f>
        <v>0</v>
      </c>
      <c r="I190" s="809"/>
      <c r="J190" s="809"/>
      <c r="K190" s="809"/>
      <c r="L190" s="810"/>
    </row>
    <row r="191" spans="1:12" ht="27.95" customHeight="1">
      <c r="A191" s="105"/>
      <c r="B191" s="807" t="s">
        <v>133</v>
      </c>
      <c r="C191" s="807"/>
      <c r="D191" s="807"/>
      <c r="E191" s="807"/>
      <c r="F191" s="807"/>
      <c r="G191" s="807"/>
      <c r="H191" s="818">
        <f>'4-22Master'!O523</f>
        <v>0</v>
      </c>
      <c r="I191" s="819"/>
      <c r="J191" s="819"/>
      <c r="K191" s="819"/>
      <c r="L191" s="820"/>
    </row>
    <row r="192" spans="1:12" ht="27.95" customHeight="1">
      <c r="A192" s="105"/>
      <c r="B192" s="106" t="s">
        <v>134</v>
      </c>
      <c r="C192" s="107"/>
      <c r="D192" s="107"/>
      <c r="E192" s="107"/>
      <c r="F192" s="107"/>
      <c r="G192" s="107"/>
      <c r="H192" s="108"/>
      <c r="I192" s="109"/>
      <c r="J192" s="37">
        <f>'4-22Master'!U523</f>
        <v>0</v>
      </c>
      <c r="K192" s="110"/>
      <c r="L192" s="115"/>
    </row>
    <row r="193" spans="1:12" ht="27.95" customHeight="1">
      <c r="A193" s="105"/>
      <c r="B193" s="106" t="s">
        <v>135</v>
      </c>
      <c r="C193" s="107"/>
      <c r="D193" s="107"/>
      <c r="E193" s="107"/>
      <c r="F193" s="107"/>
      <c r="G193" s="111"/>
      <c r="H193" s="112"/>
      <c r="I193" s="113"/>
      <c r="J193" s="37">
        <f>'4-22Master'!T523</f>
        <v>0</v>
      </c>
      <c r="K193" s="113"/>
      <c r="L193" s="114"/>
    </row>
    <row r="194" spans="1:12" ht="27.95" customHeight="1">
      <c r="A194" s="105"/>
      <c r="B194" s="811" t="s">
        <v>136</v>
      </c>
      <c r="C194" s="811"/>
      <c r="D194" s="811"/>
      <c r="E194" s="811"/>
      <c r="F194" s="811"/>
      <c r="G194" s="811"/>
      <c r="H194" s="812">
        <v>11322</v>
      </c>
      <c r="I194" s="813"/>
      <c r="J194" s="813"/>
      <c r="K194" s="813"/>
      <c r="L194" s="814"/>
    </row>
    <row r="195" spans="1:12" ht="27.95" customHeight="1">
      <c r="A195" s="105"/>
      <c r="B195" s="807" t="s">
        <v>137</v>
      </c>
      <c r="C195" s="807"/>
      <c r="D195" s="807"/>
      <c r="E195" s="807"/>
      <c r="F195" s="807"/>
      <c r="G195" s="807"/>
      <c r="H195" s="808">
        <f>'4-22Master'!E517</f>
        <v>0</v>
      </c>
      <c r="I195" s="809"/>
      <c r="J195" s="809"/>
      <c r="K195" s="809"/>
      <c r="L195" s="810"/>
    </row>
    <row r="196" spans="1:12" ht="27.95" customHeight="1">
      <c r="A196" s="23"/>
      <c r="B196" s="807" t="s">
        <v>138</v>
      </c>
      <c r="C196" s="807"/>
      <c r="D196" s="807"/>
      <c r="E196" s="807"/>
      <c r="F196" s="807"/>
      <c r="G196" s="807"/>
      <c r="H196" s="809" t="s">
        <v>139</v>
      </c>
      <c r="I196" s="809"/>
      <c r="J196" s="809"/>
      <c r="K196" s="809"/>
      <c r="L196" s="810"/>
    </row>
    <row r="197" spans="1:12" ht="27.95" customHeight="1">
      <c r="A197" s="23"/>
      <c r="B197" s="106" t="s">
        <v>140</v>
      </c>
      <c r="C197" s="107"/>
      <c r="D197" s="107"/>
      <c r="E197" s="107"/>
      <c r="F197" s="107"/>
      <c r="G197" s="111"/>
      <c r="H197" s="108"/>
      <c r="I197" s="110"/>
      <c r="J197" s="110">
        <f>'4-22Master'!X523</f>
        <v>0</v>
      </c>
      <c r="K197" s="110"/>
      <c r="L197" s="115"/>
    </row>
    <row r="198" spans="1:12" ht="27.95" customHeight="1">
      <c r="A198" s="23"/>
      <c r="B198" s="106" t="s">
        <v>141</v>
      </c>
      <c r="C198" s="107"/>
      <c r="D198" s="107"/>
      <c r="E198" s="107"/>
      <c r="F198" s="107"/>
      <c r="G198" s="111"/>
      <c r="H198" s="108"/>
      <c r="I198" s="110"/>
      <c r="J198" s="110" t="s">
        <v>37</v>
      </c>
      <c r="K198" s="110"/>
      <c r="L198" s="115"/>
    </row>
    <row r="199" spans="1:12" ht="27.95" customHeight="1">
      <c r="A199" s="23"/>
      <c r="B199" s="106" t="s">
        <v>142</v>
      </c>
      <c r="C199" s="107"/>
      <c r="D199" s="107"/>
      <c r="E199" s="107"/>
      <c r="F199" s="107"/>
      <c r="G199" s="111"/>
      <c r="H199" s="108"/>
      <c r="I199" s="110"/>
      <c r="J199" s="116">
        <v>0</v>
      </c>
      <c r="K199" s="110"/>
      <c r="L199" s="115"/>
    </row>
    <row r="200" spans="1:12" ht="27.95" customHeight="1">
      <c r="A200" s="23"/>
      <c r="B200" s="106" t="s">
        <v>143</v>
      </c>
      <c r="C200" s="107"/>
      <c r="D200" s="107"/>
      <c r="E200" s="107"/>
      <c r="F200" s="107"/>
      <c r="G200" s="111"/>
      <c r="H200" s="108"/>
      <c r="I200" s="110"/>
      <c r="J200" s="110">
        <v>0</v>
      </c>
      <c r="K200" s="110"/>
      <c r="L200" s="115"/>
    </row>
    <row r="201" spans="1:12" ht="27.95" customHeight="1">
      <c r="A201" s="23"/>
      <c r="B201" s="106" t="s">
        <v>144</v>
      </c>
      <c r="C201" s="107"/>
      <c r="D201" s="107"/>
      <c r="E201" s="107"/>
      <c r="F201" s="107"/>
      <c r="G201" s="111"/>
      <c r="H201" s="108"/>
      <c r="I201" s="110"/>
      <c r="J201" s="116">
        <f>'4-22Master'!AN523</f>
        <v>0</v>
      </c>
      <c r="K201" s="110"/>
      <c r="L201" s="115" t="s">
        <v>35</v>
      </c>
    </row>
    <row r="202" spans="1:12" ht="27.95" customHeight="1">
      <c r="A202" s="23"/>
      <c r="B202" s="106" t="s">
        <v>145</v>
      </c>
      <c r="C202" s="107"/>
      <c r="D202" s="128" t="s">
        <v>32</v>
      </c>
      <c r="E202" s="129">
        <f>'4-22Master'!AP523</f>
        <v>0</v>
      </c>
      <c r="F202" s="128" t="s">
        <v>31</v>
      </c>
      <c r="G202" s="129">
        <f>'4-22Master'!AO523</f>
        <v>0</v>
      </c>
      <c r="H202" s="128" t="s">
        <v>33</v>
      </c>
      <c r="I202" s="129">
        <f>'4-22Master'!AQ523</f>
        <v>0</v>
      </c>
      <c r="J202" s="128" t="s">
        <v>34</v>
      </c>
      <c r="K202" s="129">
        <f>'4-22Master'!AR523</f>
        <v>0</v>
      </c>
      <c r="L202" s="130">
        <f>'4-22Master'!AS523</f>
        <v>0</v>
      </c>
    </row>
    <row r="203" spans="1:12" ht="27.95" customHeight="1">
      <c r="A203" s="23"/>
      <c r="B203" s="106" t="s">
        <v>146</v>
      </c>
      <c r="C203" s="107"/>
      <c r="D203" s="107"/>
      <c r="E203" s="107"/>
      <c r="F203" s="107"/>
      <c r="G203" s="111"/>
      <c r="H203" s="108"/>
      <c r="I203" s="110"/>
      <c r="J203" s="117">
        <f>J201-(E202+G202+I202+K202+L202)</f>
        <v>0</v>
      </c>
      <c r="K203" s="110"/>
      <c r="L203" s="115"/>
    </row>
    <row r="204" spans="1:12" ht="27.95" customHeight="1">
      <c r="A204" s="23"/>
      <c r="B204" s="118" t="s">
        <v>147</v>
      </c>
      <c r="C204" s="119"/>
      <c r="D204" s="119"/>
      <c r="E204" s="119"/>
      <c r="F204" s="119"/>
      <c r="G204" s="120"/>
      <c r="H204" s="121"/>
      <c r="I204" s="122"/>
      <c r="J204" s="122"/>
      <c r="K204" s="122"/>
      <c r="L204" s="123"/>
    </row>
    <row r="205" spans="1:12" ht="27.95" customHeight="1">
      <c r="A205" s="23"/>
      <c r="B205" s="124" t="s">
        <v>148</v>
      </c>
      <c r="C205" s="125"/>
      <c r="D205" s="125"/>
      <c r="E205" s="125"/>
      <c r="F205" s="125"/>
      <c r="G205" s="126"/>
      <c r="H205" s="85"/>
      <c r="I205" s="27"/>
      <c r="J205" s="27"/>
      <c r="K205" s="27"/>
      <c r="L205" s="127"/>
    </row>
    <row r="206" spans="1:12">
      <c r="A206" s="23"/>
      <c r="L206" s="24"/>
    </row>
    <row r="207" spans="1:12" ht="15.75" thickBot="1">
      <c r="A207" s="35"/>
      <c r="B207" s="33"/>
      <c r="C207" s="33"/>
      <c r="D207" s="33"/>
      <c r="E207" s="33"/>
      <c r="F207" s="33"/>
      <c r="G207" s="33"/>
      <c r="H207" s="33"/>
      <c r="I207" s="33"/>
      <c r="J207" s="33"/>
      <c r="K207" s="33"/>
      <c r="L207" s="34"/>
    </row>
    <row r="208" spans="1:12" ht="32.25">
      <c r="A208" s="94"/>
      <c r="B208" s="797" t="s">
        <v>124</v>
      </c>
      <c r="C208" s="798"/>
      <c r="D208" s="798"/>
      <c r="E208" s="798"/>
      <c r="F208" s="798"/>
      <c r="G208" s="798"/>
      <c r="H208" s="798"/>
      <c r="I208" s="798"/>
      <c r="J208" s="798"/>
      <c r="K208" s="798"/>
      <c r="L208" s="799"/>
    </row>
    <row r="209" spans="1:12" ht="23.25">
      <c r="A209" s="23"/>
      <c r="B209" s="800" t="s">
        <v>125</v>
      </c>
      <c r="C209" s="800"/>
      <c r="D209" s="800"/>
      <c r="E209" s="800"/>
      <c r="F209" s="800"/>
      <c r="G209" s="800"/>
      <c r="H209" s="800"/>
      <c r="I209" s="800"/>
      <c r="J209" s="800"/>
      <c r="K209" s="800"/>
      <c r="L209" s="801"/>
    </row>
    <row r="210" spans="1:12" ht="16.5" thickBot="1">
      <c r="A210" s="35"/>
      <c r="B210" s="802" t="s">
        <v>399</v>
      </c>
      <c r="C210" s="802"/>
      <c r="D210" s="802"/>
      <c r="E210" s="802"/>
      <c r="F210" s="802"/>
      <c r="G210" s="802"/>
      <c r="H210" s="802"/>
      <c r="I210" s="802"/>
      <c r="J210" s="802"/>
      <c r="K210" s="802"/>
      <c r="L210" s="803"/>
    </row>
    <row r="211" spans="1:12" ht="15" customHeight="1">
      <c r="A211" s="23"/>
      <c r="B211" s="804" t="s">
        <v>126</v>
      </c>
      <c r="C211" s="804"/>
      <c r="D211" s="804"/>
      <c r="E211" s="804"/>
      <c r="F211" s="804"/>
      <c r="H211" s="805" t="s">
        <v>127</v>
      </c>
      <c r="I211" s="805"/>
      <c r="J211" s="805"/>
      <c r="K211" s="805"/>
      <c r="L211" s="806"/>
    </row>
    <row r="212" spans="1:12" ht="15.75" thickBot="1">
      <c r="A212" s="23"/>
      <c r="B212" s="804"/>
      <c r="C212" s="804"/>
      <c r="D212" s="804"/>
      <c r="E212" s="804"/>
      <c r="F212" s="804"/>
      <c r="H212" s="805"/>
      <c r="I212" s="805"/>
      <c r="J212" s="805"/>
      <c r="K212" s="805"/>
      <c r="L212" s="806"/>
    </row>
    <row r="213" spans="1:12">
      <c r="A213" s="23"/>
      <c r="B213" s="94"/>
      <c r="C213" s="95"/>
      <c r="D213" s="95"/>
      <c r="E213" s="95"/>
      <c r="F213" s="96"/>
      <c r="H213" s="94"/>
      <c r="I213" s="95"/>
      <c r="J213" s="95"/>
      <c r="K213" s="95"/>
      <c r="L213" s="96"/>
    </row>
    <row r="214" spans="1:12">
      <c r="A214" s="23"/>
      <c r="B214" s="97" t="e">
        <f>#REF!</f>
        <v>#REF!</v>
      </c>
      <c r="F214" s="24"/>
      <c r="H214" s="97" t="e">
        <f>#REF!</f>
        <v>#REF!</v>
      </c>
      <c r="L214" s="24"/>
    </row>
    <row r="215" spans="1:12">
      <c r="A215" s="23"/>
      <c r="B215" s="23"/>
      <c r="F215" s="24"/>
      <c r="H215" s="23"/>
      <c r="L215" s="24"/>
    </row>
    <row r="216" spans="1:12">
      <c r="A216" s="23"/>
      <c r="B216" s="97" t="e">
        <f>#REF!</f>
        <v>#REF!</v>
      </c>
      <c r="F216" s="24"/>
      <c r="H216" s="97" t="e">
        <f>#REF!</f>
        <v>#REF!</v>
      </c>
      <c r="L216" s="24"/>
    </row>
    <row r="217" spans="1:12" ht="15.75" thickBot="1">
      <c r="A217" s="23"/>
      <c r="B217" s="35"/>
      <c r="C217" s="33"/>
      <c r="D217" s="33"/>
      <c r="E217" s="33"/>
      <c r="F217" s="34"/>
      <c r="H217" s="35"/>
      <c r="I217" s="33"/>
      <c r="J217" s="33"/>
      <c r="K217" s="33"/>
      <c r="L217" s="34"/>
    </row>
    <row r="218" spans="1:12">
      <c r="A218" s="23"/>
      <c r="J218" t="s">
        <v>128</v>
      </c>
      <c r="L218" s="24"/>
    </row>
    <row r="219" spans="1:12">
      <c r="A219" s="23"/>
      <c r="B219" s="725" t="s">
        <v>129</v>
      </c>
      <c r="C219" s="725"/>
      <c r="D219" s="725"/>
      <c r="E219" s="725"/>
      <c r="F219" s="725"/>
      <c r="H219" s="725" t="s">
        <v>4</v>
      </c>
      <c r="I219" s="725"/>
      <c r="J219" s="725"/>
      <c r="K219" s="725"/>
      <c r="L219" s="815"/>
    </row>
    <row r="220" spans="1:12" ht="15.75" thickBot="1">
      <c r="A220" s="23"/>
      <c r="L220" s="24"/>
    </row>
    <row r="221" spans="1:12">
      <c r="A221" s="23"/>
      <c r="B221" s="94"/>
      <c r="C221" s="95"/>
      <c r="D221" s="95"/>
      <c r="E221" s="95"/>
      <c r="F221" s="96"/>
      <c r="H221" s="98"/>
      <c r="I221" s="99"/>
      <c r="J221" s="99"/>
      <c r="K221" s="99"/>
      <c r="L221" s="100"/>
    </row>
    <row r="222" spans="1:12">
      <c r="A222" s="23"/>
      <c r="B222" s="23"/>
      <c r="F222" s="24"/>
      <c r="H222" s="97" t="e">
        <f>#REF!</f>
        <v>#REF!</v>
      </c>
      <c r="I222" s="4"/>
      <c r="J222" s="4"/>
      <c r="K222" s="4"/>
      <c r="L222" s="101"/>
    </row>
    <row r="223" spans="1:12">
      <c r="A223" s="23"/>
      <c r="B223" s="97" t="e">
        <f>#REF!</f>
        <v>#REF!</v>
      </c>
      <c r="F223" s="24"/>
      <c r="H223" s="97"/>
      <c r="I223" s="4"/>
      <c r="J223" s="4"/>
      <c r="K223" s="4"/>
      <c r="L223" s="101"/>
    </row>
    <row r="224" spans="1:12">
      <c r="A224" s="23"/>
      <c r="B224" s="23"/>
      <c r="F224" s="24"/>
      <c r="H224" s="97" t="e">
        <f>#REF!</f>
        <v>#REF!</v>
      </c>
      <c r="I224" s="4"/>
      <c r="J224" s="4"/>
      <c r="K224" s="4"/>
      <c r="L224" s="101"/>
    </row>
    <row r="225" spans="1:12" ht="15.75" thickBot="1">
      <c r="A225" s="23"/>
      <c r="B225" s="35"/>
      <c r="C225" s="33"/>
      <c r="D225" s="33"/>
      <c r="E225" s="33"/>
      <c r="F225" s="34"/>
      <c r="H225" s="102"/>
      <c r="I225" s="103"/>
      <c r="J225" s="103"/>
      <c r="K225" s="103"/>
      <c r="L225" s="104"/>
    </row>
    <row r="226" spans="1:12" ht="27.95" customHeight="1">
      <c r="A226" s="105"/>
      <c r="B226" s="807" t="s">
        <v>130</v>
      </c>
      <c r="C226" s="807"/>
      <c r="D226" s="807"/>
      <c r="E226" s="807"/>
      <c r="F226" s="807"/>
      <c r="G226" s="807"/>
      <c r="H226" s="816">
        <f>'4-22Master'!C561</f>
        <v>0</v>
      </c>
      <c r="I226" s="809"/>
      <c r="J226" s="809"/>
      <c r="K226" s="809"/>
      <c r="L226" s="810"/>
    </row>
    <row r="227" spans="1:12" ht="27.95" customHeight="1">
      <c r="A227" s="105"/>
      <c r="B227" s="817" t="s">
        <v>131</v>
      </c>
      <c r="C227" s="817"/>
      <c r="D227" s="817"/>
      <c r="E227" s="817"/>
      <c r="F227" s="817"/>
      <c r="G227" s="817"/>
      <c r="H227" s="816">
        <f>'4-22Master'!A561</f>
        <v>0</v>
      </c>
      <c r="I227" s="809"/>
      <c r="J227" s="809"/>
      <c r="K227" s="809"/>
      <c r="L227" s="810"/>
    </row>
    <row r="228" spans="1:12" ht="27.95" customHeight="1">
      <c r="A228" s="105"/>
      <c r="B228" s="807" t="s">
        <v>132</v>
      </c>
      <c r="C228" s="807"/>
      <c r="D228" s="807"/>
      <c r="E228" s="807"/>
      <c r="F228" s="807"/>
      <c r="G228" s="807"/>
      <c r="H228" s="816">
        <f>'4-22Master'!G561</f>
        <v>0</v>
      </c>
      <c r="I228" s="809"/>
      <c r="J228" s="809"/>
      <c r="K228" s="809"/>
      <c r="L228" s="810"/>
    </row>
    <row r="229" spans="1:12" ht="27.95" customHeight="1">
      <c r="A229" s="105"/>
      <c r="B229" s="807" t="s">
        <v>133</v>
      </c>
      <c r="C229" s="807"/>
      <c r="D229" s="807"/>
      <c r="E229" s="807"/>
      <c r="F229" s="807"/>
      <c r="G229" s="807"/>
      <c r="H229" s="818">
        <f>'4-22Master'!O561</f>
        <v>0</v>
      </c>
      <c r="I229" s="819"/>
      <c r="J229" s="819"/>
      <c r="K229" s="819"/>
      <c r="L229" s="820"/>
    </row>
    <row r="230" spans="1:12" ht="27.95" customHeight="1">
      <c r="A230" s="105"/>
      <c r="B230" s="106" t="s">
        <v>134</v>
      </c>
      <c r="C230" s="107"/>
      <c r="D230" s="107"/>
      <c r="E230" s="107"/>
      <c r="F230" s="107"/>
      <c r="G230" s="107"/>
      <c r="H230" s="108"/>
      <c r="I230" s="109"/>
      <c r="J230" s="37">
        <f>'4-22Master'!U561</f>
        <v>0</v>
      </c>
      <c r="K230" s="110"/>
      <c r="L230" s="115"/>
    </row>
    <row r="231" spans="1:12" ht="27.95" customHeight="1">
      <c r="A231" s="105"/>
      <c r="B231" s="106" t="s">
        <v>135</v>
      </c>
      <c r="C231" s="107"/>
      <c r="D231" s="107"/>
      <c r="E231" s="107"/>
      <c r="F231" s="107"/>
      <c r="G231" s="111"/>
      <c r="H231" s="112"/>
      <c r="I231" s="113"/>
      <c r="J231" s="37">
        <f>'4-22Master'!T561</f>
        <v>0</v>
      </c>
      <c r="K231" s="113"/>
      <c r="L231" s="114"/>
    </row>
    <row r="232" spans="1:12" ht="27.95" customHeight="1">
      <c r="A232" s="105"/>
      <c r="B232" s="811" t="s">
        <v>136</v>
      </c>
      <c r="C232" s="811"/>
      <c r="D232" s="811"/>
      <c r="E232" s="811"/>
      <c r="F232" s="811"/>
      <c r="G232" s="811"/>
      <c r="H232" s="812">
        <v>11322</v>
      </c>
      <c r="I232" s="813"/>
      <c r="J232" s="813"/>
      <c r="K232" s="813"/>
      <c r="L232" s="814"/>
    </row>
    <row r="233" spans="1:12" ht="27.95" customHeight="1">
      <c r="A233" s="105"/>
      <c r="B233" s="807" t="s">
        <v>137</v>
      </c>
      <c r="C233" s="807"/>
      <c r="D233" s="807"/>
      <c r="E233" s="807"/>
      <c r="F233" s="807"/>
      <c r="G233" s="807"/>
      <c r="H233" s="808">
        <f>'4-22Master'!E555</f>
        <v>0</v>
      </c>
      <c r="I233" s="809"/>
      <c r="J233" s="809"/>
      <c r="K233" s="809"/>
      <c r="L233" s="810"/>
    </row>
    <row r="234" spans="1:12" ht="27.95" customHeight="1">
      <c r="A234" s="23"/>
      <c r="B234" s="807" t="s">
        <v>138</v>
      </c>
      <c r="C234" s="807"/>
      <c r="D234" s="807"/>
      <c r="E234" s="807"/>
      <c r="F234" s="807"/>
      <c r="G234" s="807"/>
      <c r="H234" s="809" t="s">
        <v>139</v>
      </c>
      <c r="I234" s="809"/>
      <c r="J234" s="809"/>
      <c r="K234" s="809"/>
      <c r="L234" s="810"/>
    </row>
    <row r="235" spans="1:12" ht="27.95" customHeight="1">
      <c r="A235" s="23"/>
      <c r="B235" s="106" t="s">
        <v>140</v>
      </c>
      <c r="C235" s="107"/>
      <c r="D235" s="107"/>
      <c r="E235" s="107"/>
      <c r="F235" s="107"/>
      <c r="G235" s="111"/>
      <c r="H235" s="108"/>
      <c r="I235" s="110"/>
      <c r="J235" s="110">
        <f>'4-22Master'!X561</f>
        <v>0</v>
      </c>
      <c r="K235" s="110"/>
      <c r="L235" s="115"/>
    </row>
    <row r="236" spans="1:12" ht="27.95" customHeight="1">
      <c r="A236" s="23"/>
      <c r="B236" s="106" t="s">
        <v>141</v>
      </c>
      <c r="C236" s="107"/>
      <c r="D236" s="107"/>
      <c r="E236" s="107"/>
      <c r="F236" s="107"/>
      <c r="G236" s="111"/>
      <c r="H236" s="108"/>
      <c r="I236" s="110"/>
      <c r="J236" s="110" t="s">
        <v>37</v>
      </c>
      <c r="K236" s="110"/>
      <c r="L236" s="115"/>
    </row>
    <row r="237" spans="1:12" ht="27.95" customHeight="1">
      <c r="A237" s="23"/>
      <c r="B237" s="106" t="s">
        <v>142</v>
      </c>
      <c r="C237" s="107"/>
      <c r="D237" s="107"/>
      <c r="E237" s="107"/>
      <c r="F237" s="107"/>
      <c r="G237" s="111"/>
      <c r="H237" s="108"/>
      <c r="I237" s="110"/>
      <c r="J237" s="116">
        <v>0</v>
      </c>
      <c r="K237" s="110"/>
      <c r="L237" s="115"/>
    </row>
    <row r="238" spans="1:12" ht="27.95" customHeight="1">
      <c r="A238" s="23"/>
      <c r="B238" s="106" t="s">
        <v>143</v>
      </c>
      <c r="C238" s="107"/>
      <c r="D238" s="107"/>
      <c r="E238" s="107"/>
      <c r="F238" s="107"/>
      <c r="G238" s="111"/>
      <c r="H238" s="108"/>
      <c r="I238" s="110"/>
      <c r="J238" s="110">
        <v>0</v>
      </c>
      <c r="K238" s="110"/>
      <c r="L238" s="115"/>
    </row>
    <row r="239" spans="1:12" ht="27.95" customHeight="1">
      <c r="A239" s="23"/>
      <c r="B239" s="106" t="s">
        <v>144</v>
      </c>
      <c r="C239" s="107"/>
      <c r="D239" s="107"/>
      <c r="E239" s="107"/>
      <c r="F239" s="107"/>
      <c r="G239" s="111"/>
      <c r="H239" s="108"/>
      <c r="I239" s="110"/>
      <c r="J239" s="116">
        <f>'4-22Master'!AN561</f>
        <v>0</v>
      </c>
      <c r="K239" s="110"/>
      <c r="L239" s="115" t="s">
        <v>35</v>
      </c>
    </row>
    <row r="240" spans="1:12" ht="27.95" customHeight="1">
      <c r="A240" s="23"/>
      <c r="B240" s="106" t="s">
        <v>145</v>
      </c>
      <c r="C240" s="107"/>
      <c r="D240" s="128" t="s">
        <v>32</v>
      </c>
      <c r="E240" s="129">
        <f>'4-22Master'!AP561</f>
        <v>0</v>
      </c>
      <c r="F240" s="128" t="s">
        <v>31</v>
      </c>
      <c r="G240" s="129">
        <f>'4-22Master'!AO561</f>
        <v>0</v>
      </c>
      <c r="H240" s="128" t="s">
        <v>33</v>
      </c>
      <c r="I240" s="129">
        <f>'4-22Master'!AQ561</f>
        <v>0</v>
      </c>
      <c r="J240" s="128" t="s">
        <v>34</v>
      </c>
      <c r="K240" s="129">
        <f>'4-22Master'!AR561</f>
        <v>0</v>
      </c>
      <c r="L240" s="130">
        <f>'4-22Master'!AS561</f>
        <v>0</v>
      </c>
    </row>
    <row r="241" spans="1:12" ht="27.95" customHeight="1">
      <c r="A241" s="23"/>
      <c r="B241" s="106" t="s">
        <v>146</v>
      </c>
      <c r="C241" s="107"/>
      <c r="D241" s="107"/>
      <c r="E241" s="107"/>
      <c r="F241" s="107"/>
      <c r="G241" s="111"/>
      <c r="H241" s="108"/>
      <c r="I241" s="110"/>
      <c r="J241" s="117">
        <f>J239-(E240+G240+I240+K240+L240)</f>
        <v>0</v>
      </c>
      <c r="K241" s="110"/>
      <c r="L241" s="115"/>
    </row>
    <row r="242" spans="1:12" ht="27.95" customHeight="1">
      <c r="A242" s="23"/>
      <c r="B242" s="118" t="s">
        <v>147</v>
      </c>
      <c r="C242" s="119"/>
      <c r="D242" s="119"/>
      <c r="E242" s="119"/>
      <c r="F242" s="119"/>
      <c r="G242" s="120"/>
      <c r="H242" s="121"/>
      <c r="I242" s="122"/>
      <c r="J242" s="122"/>
      <c r="K242" s="122"/>
      <c r="L242" s="123"/>
    </row>
    <row r="243" spans="1:12" ht="27.95" customHeight="1">
      <c r="A243" s="23"/>
      <c r="B243" s="124" t="s">
        <v>148</v>
      </c>
      <c r="C243" s="125"/>
      <c r="D243" s="125"/>
      <c r="E243" s="125"/>
      <c r="F243" s="125"/>
      <c r="G243" s="126"/>
      <c r="H243" s="85"/>
      <c r="I243" s="27"/>
      <c r="J243" s="27"/>
      <c r="K243" s="27"/>
      <c r="L243" s="127"/>
    </row>
    <row r="244" spans="1:12">
      <c r="A244" s="23"/>
      <c r="L244" s="24"/>
    </row>
    <row r="245" spans="1:12" ht="15.75" thickBot="1">
      <c r="A245" s="35"/>
      <c r="B245" s="33"/>
      <c r="C245" s="33"/>
      <c r="D245" s="33"/>
      <c r="E245" s="33"/>
      <c r="F245" s="33"/>
      <c r="G245" s="33"/>
      <c r="H245" s="33"/>
      <c r="I245" s="33"/>
      <c r="J245" s="33"/>
      <c r="K245" s="33"/>
      <c r="L245" s="34"/>
    </row>
    <row r="246" spans="1:12" ht="15.75" thickBot="1"/>
    <row r="247" spans="1:12" ht="32.25">
      <c r="A247" s="94"/>
      <c r="B247" s="797" t="s">
        <v>124</v>
      </c>
      <c r="C247" s="798"/>
      <c r="D247" s="798"/>
      <c r="E247" s="798"/>
      <c r="F247" s="798"/>
      <c r="G247" s="798"/>
      <c r="H247" s="798"/>
      <c r="I247" s="798"/>
      <c r="J247" s="798"/>
      <c r="K247" s="798"/>
      <c r="L247" s="799"/>
    </row>
    <row r="248" spans="1:12" ht="23.25">
      <c r="A248" s="23"/>
      <c r="B248" s="800" t="s">
        <v>125</v>
      </c>
      <c r="C248" s="800"/>
      <c r="D248" s="800"/>
      <c r="E248" s="800"/>
      <c r="F248" s="800"/>
      <c r="G248" s="800"/>
      <c r="H248" s="800"/>
      <c r="I248" s="800"/>
      <c r="J248" s="800"/>
      <c r="K248" s="800"/>
      <c r="L248" s="801"/>
    </row>
    <row r="249" spans="1:12" ht="16.5" thickBot="1">
      <c r="A249" s="35"/>
      <c r="B249" s="802" t="s">
        <v>399</v>
      </c>
      <c r="C249" s="802"/>
      <c r="D249" s="802"/>
      <c r="E249" s="802"/>
      <c r="F249" s="802"/>
      <c r="G249" s="802"/>
      <c r="H249" s="802"/>
      <c r="I249" s="802"/>
      <c r="J249" s="802"/>
      <c r="K249" s="802"/>
      <c r="L249" s="803"/>
    </row>
    <row r="250" spans="1:12" ht="15" customHeight="1">
      <c r="A250" s="23"/>
      <c r="B250" s="804" t="s">
        <v>126</v>
      </c>
      <c r="C250" s="804"/>
      <c r="D250" s="804"/>
      <c r="E250" s="804"/>
      <c r="F250" s="804"/>
      <c r="H250" s="805" t="s">
        <v>127</v>
      </c>
      <c r="I250" s="805"/>
      <c r="J250" s="805"/>
      <c r="K250" s="805"/>
      <c r="L250" s="806"/>
    </row>
    <row r="251" spans="1:12" ht="15.75" thickBot="1">
      <c r="A251" s="23"/>
      <c r="B251" s="804"/>
      <c r="C251" s="804"/>
      <c r="D251" s="804"/>
      <c r="E251" s="804"/>
      <c r="F251" s="804"/>
      <c r="H251" s="805"/>
      <c r="I251" s="805"/>
      <c r="J251" s="805"/>
      <c r="K251" s="805"/>
      <c r="L251" s="806"/>
    </row>
    <row r="252" spans="1:12">
      <c r="A252" s="23"/>
      <c r="B252" s="94"/>
      <c r="C252" s="95"/>
      <c r="D252" s="95"/>
      <c r="E252" s="95"/>
      <c r="F252" s="96"/>
      <c r="H252" s="94"/>
      <c r="I252" s="95"/>
      <c r="J252" s="95"/>
      <c r="K252" s="95"/>
      <c r="L252" s="96"/>
    </row>
    <row r="253" spans="1:12">
      <c r="A253" s="23"/>
      <c r="B253" s="97" t="e">
        <f>#REF!</f>
        <v>#REF!</v>
      </c>
      <c r="F253" s="24"/>
      <c r="H253" s="97" t="e">
        <f>#REF!</f>
        <v>#REF!</v>
      </c>
      <c r="L253" s="24"/>
    </row>
    <row r="254" spans="1:12">
      <c r="A254" s="23"/>
      <c r="B254" s="23"/>
      <c r="F254" s="24"/>
      <c r="H254" s="23"/>
      <c r="L254" s="24"/>
    </row>
    <row r="255" spans="1:12">
      <c r="A255" s="23"/>
      <c r="B255" s="97" t="e">
        <f>#REF!</f>
        <v>#REF!</v>
      </c>
      <c r="F255" s="24"/>
      <c r="H255" s="97" t="e">
        <f>#REF!</f>
        <v>#REF!</v>
      </c>
      <c r="L255" s="24"/>
    </row>
    <row r="256" spans="1:12" ht="15.75" thickBot="1">
      <c r="A256" s="23"/>
      <c r="B256" s="35"/>
      <c r="C256" s="33"/>
      <c r="D256" s="33"/>
      <c r="E256" s="33"/>
      <c r="F256" s="34"/>
      <c r="H256" s="35"/>
      <c r="I256" s="33"/>
      <c r="J256" s="33"/>
      <c r="K256" s="33"/>
      <c r="L256" s="34"/>
    </row>
    <row r="257" spans="1:12">
      <c r="A257" s="23"/>
      <c r="J257" t="s">
        <v>128</v>
      </c>
      <c r="L257" s="24"/>
    </row>
    <row r="258" spans="1:12">
      <c r="A258" s="23"/>
      <c r="B258" s="725" t="s">
        <v>129</v>
      </c>
      <c r="C258" s="725"/>
      <c r="D258" s="725"/>
      <c r="E258" s="725"/>
      <c r="F258" s="725"/>
      <c r="H258" s="725" t="s">
        <v>4</v>
      </c>
      <c r="I258" s="725"/>
      <c r="J258" s="725"/>
      <c r="K258" s="725"/>
      <c r="L258" s="815"/>
    </row>
    <row r="259" spans="1:12" ht="15.75" thickBot="1">
      <c r="A259" s="23"/>
      <c r="L259" s="24"/>
    </row>
    <row r="260" spans="1:12">
      <c r="A260" s="23"/>
      <c r="B260" s="94"/>
      <c r="C260" s="95"/>
      <c r="D260" s="95"/>
      <c r="E260" s="95"/>
      <c r="F260" s="96"/>
      <c r="H260" s="98"/>
      <c r="I260" s="99"/>
      <c r="J260" s="99"/>
      <c r="K260" s="99"/>
      <c r="L260" s="100"/>
    </row>
    <row r="261" spans="1:12">
      <c r="A261" s="23"/>
      <c r="B261" s="23"/>
      <c r="F261" s="24"/>
      <c r="H261" s="97" t="e">
        <f>#REF!</f>
        <v>#REF!</v>
      </c>
      <c r="I261" s="4"/>
      <c r="J261" s="4"/>
      <c r="K261" s="4"/>
      <c r="L261" s="101"/>
    </row>
    <row r="262" spans="1:12">
      <c r="A262" s="23"/>
      <c r="B262" s="97" t="e">
        <f>#REF!</f>
        <v>#REF!</v>
      </c>
      <c r="F262" s="24"/>
      <c r="H262" s="97"/>
      <c r="I262" s="4"/>
      <c r="J262" s="4"/>
      <c r="K262" s="4"/>
      <c r="L262" s="101"/>
    </row>
    <row r="263" spans="1:12">
      <c r="A263" s="23"/>
      <c r="B263" s="23"/>
      <c r="F263" s="24"/>
      <c r="H263" s="97" t="e">
        <f>#REF!</f>
        <v>#REF!</v>
      </c>
      <c r="I263" s="4"/>
      <c r="J263" s="4"/>
      <c r="K263" s="4"/>
      <c r="L263" s="101"/>
    </row>
    <row r="264" spans="1:12" ht="15.75" thickBot="1">
      <c r="A264" s="23"/>
      <c r="B264" s="35"/>
      <c r="C264" s="33"/>
      <c r="D264" s="33"/>
      <c r="E264" s="33"/>
      <c r="F264" s="34"/>
      <c r="H264" s="102"/>
      <c r="I264" s="103"/>
      <c r="J264" s="103"/>
      <c r="K264" s="103"/>
      <c r="L264" s="104"/>
    </row>
    <row r="265" spans="1:12" ht="27.95" customHeight="1">
      <c r="A265" s="105"/>
      <c r="B265" s="807" t="s">
        <v>130</v>
      </c>
      <c r="C265" s="807"/>
      <c r="D265" s="807"/>
      <c r="E265" s="807"/>
      <c r="F265" s="807"/>
      <c r="G265" s="807"/>
      <c r="H265" s="816">
        <f>'4-22Master'!C600</f>
        <v>0</v>
      </c>
      <c r="I265" s="809"/>
      <c r="J265" s="809"/>
      <c r="K265" s="809"/>
      <c r="L265" s="810"/>
    </row>
    <row r="266" spans="1:12" ht="27.95" customHeight="1">
      <c r="A266" s="105"/>
      <c r="B266" s="817" t="s">
        <v>131</v>
      </c>
      <c r="C266" s="817"/>
      <c r="D266" s="817"/>
      <c r="E266" s="817"/>
      <c r="F266" s="817"/>
      <c r="G266" s="817"/>
      <c r="H266" s="816">
        <f>'4-22Master'!A600</f>
        <v>0</v>
      </c>
      <c r="I266" s="809"/>
      <c r="J266" s="809"/>
      <c r="K266" s="809"/>
      <c r="L266" s="810"/>
    </row>
    <row r="267" spans="1:12" ht="27.95" customHeight="1">
      <c r="A267" s="105"/>
      <c r="B267" s="807" t="s">
        <v>132</v>
      </c>
      <c r="C267" s="807"/>
      <c r="D267" s="807"/>
      <c r="E267" s="807"/>
      <c r="F267" s="807"/>
      <c r="G267" s="807"/>
      <c r="H267" s="816">
        <f>'4-22Master'!G600</f>
        <v>0</v>
      </c>
      <c r="I267" s="809"/>
      <c r="J267" s="809"/>
      <c r="K267" s="809"/>
      <c r="L267" s="810"/>
    </row>
    <row r="268" spans="1:12" ht="27.95" customHeight="1">
      <c r="A268" s="105"/>
      <c r="B268" s="807" t="s">
        <v>133</v>
      </c>
      <c r="C268" s="807"/>
      <c r="D268" s="807"/>
      <c r="E268" s="807"/>
      <c r="F268" s="807"/>
      <c r="G268" s="807"/>
      <c r="H268" s="818">
        <f>'4-22Master'!O600</f>
        <v>0</v>
      </c>
      <c r="I268" s="819"/>
      <c r="J268" s="819"/>
      <c r="K268" s="819"/>
      <c r="L268" s="820"/>
    </row>
    <row r="269" spans="1:12" ht="27.95" customHeight="1">
      <c r="A269" s="105"/>
      <c r="B269" s="106" t="s">
        <v>134</v>
      </c>
      <c r="C269" s="107"/>
      <c r="D269" s="107"/>
      <c r="E269" s="107"/>
      <c r="F269" s="107"/>
      <c r="G269" s="107"/>
      <c r="H269" s="108"/>
      <c r="I269" s="109"/>
      <c r="J269" s="37">
        <f>'4-22Master'!U600</f>
        <v>0</v>
      </c>
      <c r="K269" s="110"/>
      <c r="L269" s="115"/>
    </row>
    <row r="270" spans="1:12" ht="27.95" customHeight="1">
      <c r="A270" s="105"/>
      <c r="B270" s="106" t="s">
        <v>135</v>
      </c>
      <c r="C270" s="107"/>
      <c r="D270" s="107"/>
      <c r="E270" s="107"/>
      <c r="F270" s="107"/>
      <c r="G270" s="111"/>
      <c r="H270" s="112"/>
      <c r="I270" s="113"/>
      <c r="J270" s="37">
        <f>'4-22Master'!T600</f>
        <v>0</v>
      </c>
      <c r="K270" s="113"/>
      <c r="L270" s="114"/>
    </row>
    <row r="271" spans="1:12" ht="27.95" customHeight="1">
      <c r="A271" s="105"/>
      <c r="B271" s="811" t="s">
        <v>136</v>
      </c>
      <c r="C271" s="811"/>
      <c r="D271" s="811"/>
      <c r="E271" s="811"/>
      <c r="F271" s="811"/>
      <c r="G271" s="811"/>
      <c r="H271" s="812">
        <v>11322</v>
      </c>
      <c r="I271" s="813"/>
      <c r="J271" s="813"/>
      <c r="K271" s="813"/>
      <c r="L271" s="814"/>
    </row>
    <row r="272" spans="1:12" ht="27.95" customHeight="1">
      <c r="A272" s="105"/>
      <c r="B272" s="807" t="s">
        <v>137</v>
      </c>
      <c r="C272" s="807"/>
      <c r="D272" s="807"/>
      <c r="E272" s="807"/>
      <c r="F272" s="807"/>
      <c r="G272" s="807"/>
      <c r="H272" s="808">
        <f>'4-22Master'!E594</f>
        <v>0</v>
      </c>
      <c r="I272" s="809"/>
      <c r="J272" s="809"/>
      <c r="K272" s="809"/>
      <c r="L272" s="810"/>
    </row>
    <row r="273" spans="1:12" ht="27.95" customHeight="1">
      <c r="A273" s="23"/>
      <c r="B273" s="807" t="s">
        <v>138</v>
      </c>
      <c r="C273" s="807"/>
      <c r="D273" s="807"/>
      <c r="E273" s="807"/>
      <c r="F273" s="807"/>
      <c r="G273" s="807"/>
      <c r="H273" s="809" t="s">
        <v>139</v>
      </c>
      <c r="I273" s="809"/>
      <c r="J273" s="809"/>
      <c r="K273" s="809"/>
      <c r="L273" s="810"/>
    </row>
    <row r="274" spans="1:12" ht="27.95" customHeight="1">
      <c r="A274" s="23"/>
      <c r="B274" s="106" t="s">
        <v>140</v>
      </c>
      <c r="C274" s="107"/>
      <c r="D274" s="107"/>
      <c r="E274" s="107"/>
      <c r="F274" s="107"/>
      <c r="G274" s="111"/>
      <c r="H274" s="108"/>
      <c r="I274" s="110"/>
      <c r="J274" s="110">
        <f>'4-22Master'!X600</f>
        <v>0</v>
      </c>
      <c r="K274" s="110"/>
      <c r="L274" s="115"/>
    </row>
    <row r="275" spans="1:12" ht="27.95" customHeight="1">
      <c r="A275" s="23"/>
      <c r="B275" s="106" t="s">
        <v>141</v>
      </c>
      <c r="C275" s="107"/>
      <c r="D275" s="107"/>
      <c r="E275" s="107"/>
      <c r="F275" s="107"/>
      <c r="G275" s="111"/>
      <c r="H275" s="108"/>
      <c r="I275" s="110"/>
      <c r="J275" s="110" t="s">
        <v>37</v>
      </c>
      <c r="K275" s="110"/>
      <c r="L275" s="115"/>
    </row>
    <row r="276" spans="1:12" ht="27.95" customHeight="1">
      <c r="A276" s="23"/>
      <c r="B276" s="106" t="s">
        <v>142</v>
      </c>
      <c r="C276" s="107"/>
      <c r="D276" s="107"/>
      <c r="E276" s="107"/>
      <c r="F276" s="107"/>
      <c r="G276" s="111"/>
      <c r="H276" s="108"/>
      <c r="I276" s="110"/>
      <c r="J276" s="116">
        <v>0</v>
      </c>
      <c r="K276" s="110"/>
      <c r="L276" s="115"/>
    </row>
    <row r="277" spans="1:12" ht="27.95" customHeight="1">
      <c r="A277" s="23"/>
      <c r="B277" s="106" t="s">
        <v>143</v>
      </c>
      <c r="C277" s="107"/>
      <c r="D277" s="107"/>
      <c r="E277" s="107"/>
      <c r="F277" s="107"/>
      <c r="G277" s="111"/>
      <c r="H277" s="108"/>
      <c r="I277" s="110"/>
      <c r="J277" s="110">
        <v>0</v>
      </c>
      <c r="K277" s="110"/>
      <c r="L277" s="115"/>
    </row>
    <row r="278" spans="1:12" ht="27.95" customHeight="1">
      <c r="A278" s="23"/>
      <c r="B278" s="106" t="s">
        <v>144</v>
      </c>
      <c r="C278" s="107"/>
      <c r="D278" s="107"/>
      <c r="E278" s="107"/>
      <c r="F278" s="107"/>
      <c r="G278" s="111"/>
      <c r="H278" s="108"/>
      <c r="I278" s="110"/>
      <c r="J278" s="116">
        <f>'4-22Master'!AN600</f>
        <v>0</v>
      </c>
      <c r="K278" s="110"/>
      <c r="L278" s="115" t="s">
        <v>35</v>
      </c>
    </row>
    <row r="279" spans="1:12" ht="27.95" customHeight="1">
      <c r="A279" s="23"/>
      <c r="B279" s="106" t="s">
        <v>145</v>
      </c>
      <c r="C279" s="107"/>
      <c r="D279" s="128" t="s">
        <v>32</v>
      </c>
      <c r="E279" s="129">
        <f>'4-22Master'!AP600</f>
        <v>0</v>
      </c>
      <c r="F279" s="128" t="s">
        <v>31</v>
      </c>
      <c r="G279" s="129">
        <f>'4-22Master'!AO600</f>
        <v>0</v>
      </c>
      <c r="H279" s="128" t="s">
        <v>33</v>
      </c>
      <c r="I279" s="129">
        <f>'4-22Master'!AQ600</f>
        <v>0</v>
      </c>
      <c r="J279" s="128" t="s">
        <v>34</v>
      </c>
      <c r="K279" s="129">
        <f>'4-22Master'!AR600</f>
        <v>0</v>
      </c>
      <c r="L279" s="130">
        <f>'4-22Master'!AS600</f>
        <v>0</v>
      </c>
    </row>
    <row r="280" spans="1:12" ht="27.95" customHeight="1">
      <c r="A280" s="23"/>
      <c r="B280" s="106" t="s">
        <v>146</v>
      </c>
      <c r="C280" s="107"/>
      <c r="D280" s="107"/>
      <c r="E280" s="107"/>
      <c r="F280" s="107"/>
      <c r="G280" s="111"/>
      <c r="H280" s="108"/>
      <c r="I280" s="110"/>
      <c r="J280" s="117">
        <f>J278-(E279+G279+I279+K279+L279)</f>
        <v>0</v>
      </c>
      <c r="K280" s="110"/>
      <c r="L280" s="115"/>
    </row>
    <row r="281" spans="1:12" ht="27.95" customHeight="1">
      <c r="A281" s="23"/>
      <c r="B281" s="118" t="s">
        <v>147</v>
      </c>
      <c r="C281" s="119"/>
      <c r="D281" s="119"/>
      <c r="E281" s="119"/>
      <c r="F281" s="119"/>
      <c r="G281" s="120"/>
      <c r="H281" s="121"/>
      <c r="I281" s="122"/>
      <c r="J281" s="122"/>
      <c r="K281" s="122"/>
      <c r="L281" s="123"/>
    </row>
    <row r="282" spans="1:12" ht="27.95" customHeight="1">
      <c r="A282" s="23"/>
      <c r="B282" s="124" t="s">
        <v>148</v>
      </c>
      <c r="C282" s="125"/>
      <c r="D282" s="125"/>
      <c r="E282" s="125"/>
      <c r="F282" s="125"/>
      <c r="G282" s="126"/>
      <c r="H282" s="85"/>
      <c r="I282" s="27"/>
      <c r="J282" s="27"/>
      <c r="K282" s="27"/>
      <c r="L282" s="127"/>
    </row>
    <row r="283" spans="1:12">
      <c r="A283" s="23"/>
      <c r="L283" s="24"/>
    </row>
    <row r="284" spans="1:12" ht="15.75" thickBot="1">
      <c r="A284" s="35"/>
      <c r="B284" s="33"/>
      <c r="C284" s="33"/>
      <c r="D284" s="33"/>
      <c r="E284" s="33"/>
      <c r="F284" s="33"/>
      <c r="G284" s="33"/>
      <c r="H284" s="33"/>
      <c r="I284" s="33"/>
      <c r="J284" s="33"/>
      <c r="K284" s="33"/>
      <c r="L284" s="34"/>
    </row>
    <row r="285" spans="1:12" ht="15.75" thickBot="1"/>
    <row r="286" spans="1:12" ht="32.25">
      <c r="A286" s="94"/>
      <c r="B286" s="797" t="s">
        <v>124</v>
      </c>
      <c r="C286" s="798"/>
      <c r="D286" s="798"/>
      <c r="E286" s="798"/>
      <c r="F286" s="798"/>
      <c r="G286" s="798"/>
      <c r="H286" s="798"/>
      <c r="I286" s="798"/>
      <c r="J286" s="798"/>
      <c r="K286" s="798"/>
      <c r="L286" s="799"/>
    </row>
    <row r="287" spans="1:12" ht="23.25">
      <c r="A287" s="23"/>
      <c r="B287" s="800" t="s">
        <v>125</v>
      </c>
      <c r="C287" s="800"/>
      <c r="D287" s="800"/>
      <c r="E287" s="800"/>
      <c r="F287" s="800"/>
      <c r="G287" s="800"/>
      <c r="H287" s="800"/>
      <c r="I287" s="800"/>
      <c r="J287" s="800"/>
      <c r="K287" s="800"/>
      <c r="L287" s="801"/>
    </row>
    <row r="288" spans="1:12" ht="16.5" thickBot="1">
      <c r="A288" s="35"/>
      <c r="B288" s="802" t="s">
        <v>399</v>
      </c>
      <c r="C288" s="802"/>
      <c r="D288" s="802"/>
      <c r="E288" s="802"/>
      <c r="F288" s="802"/>
      <c r="G288" s="802"/>
      <c r="H288" s="802"/>
      <c r="I288" s="802"/>
      <c r="J288" s="802"/>
      <c r="K288" s="802"/>
      <c r="L288" s="803"/>
    </row>
    <row r="289" spans="1:12" ht="15" customHeight="1">
      <c r="A289" s="23"/>
      <c r="B289" s="804" t="s">
        <v>126</v>
      </c>
      <c r="C289" s="804"/>
      <c r="D289" s="804"/>
      <c r="E289" s="804"/>
      <c r="F289" s="804"/>
      <c r="H289" s="805" t="s">
        <v>127</v>
      </c>
      <c r="I289" s="805"/>
      <c r="J289" s="805"/>
      <c r="K289" s="805"/>
      <c r="L289" s="806"/>
    </row>
    <row r="290" spans="1:12" ht="15.75" thickBot="1">
      <c r="A290" s="23"/>
      <c r="B290" s="804"/>
      <c r="C290" s="804"/>
      <c r="D290" s="804"/>
      <c r="E290" s="804"/>
      <c r="F290" s="804"/>
      <c r="H290" s="805"/>
      <c r="I290" s="805"/>
      <c r="J290" s="805"/>
      <c r="K290" s="805"/>
      <c r="L290" s="806"/>
    </row>
    <row r="291" spans="1:12">
      <c r="A291" s="23"/>
      <c r="B291" s="94"/>
      <c r="C291" s="95"/>
      <c r="D291" s="95"/>
      <c r="E291" s="95"/>
      <c r="F291" s="96"/>
      <c r="H291" s="94"/>
      <c r="I291" s="95"/>
      <c r="J291" s="95"/>
      <c r="K291" s="95"/>
      <c r="L291" s="96"/>
    </row>
    <row r="292" spans="1:12">
      <c r="A292" s="23"/>
      <c r="B292" s="97" t="e">
        <f>#REF!</f>
        <v>#REF!</v>
      </c>
      <c r="F292" s="24"/>
      <c r="H292" s="97" t="e">
        <f>#REF!</f>
        <v>#REF!</v>
      </c>
      <c r="L292" s="24"/>
    </row>
    <row r="293" spans="1:12">
      <c r="A293" s="23"/>
      <c r="B293" s="23"/>
      <c r="F293" s="24"/>
      <c r="H293" s="23"/>
      <c r="L293" s="24"/>
    </row>
    <row r="294" spans="1:12">
      <c r="A294" s="23"/>
      <c r="B294" s="97" t="e">
        <f>#REF!</f>
        <v>#REF!</v>
      </c>
      <c r="F294" s="24"/>
      <c r="H294" s="97" t="e">
        <f>#REF!</f>
        <v>#REF!</v>
      </c>
      <c r="L294" s="24"/>
    </row>
    <row r="295" spans="1:12" ht="15.75" thickBot="1">
      <c r="A295" s="23"/>
      <c r="B295" s="35"/>
      <c r="C295" s="33"/>
      <c r="D295" s="33"/>
      <c r="E295" s="33"/>
      <c r="F295" s="34"/>
      <c r="H295" s="35"/>
      <c r="I295" s="33"/>
      <c r="J295" s="33"/>
      <c r="K295" s="33"/>
      <c r="L295" s="34"/>
    </row>
    <row r="296" spans="1:12">
      <c r="A296" s="23"/>
      <c r="J296" t="s">
        <v>128</v>
      </c>
      <c r="L296" s="24"/>
    </row>
    <row r="297" spans="1:12">
      <c r="A297" s="23"/>
      <c r="B297" s="725" t="s">
        <v>129</v>
      </c>
      <c r="C297" s="725"/>
      <c r="D297" s="725"/>
      <c r="E297" s="725"/>
      <c r="F297" s="725"/>
      <c r="H297" s="725" t="s">
        <v>4</v>
      </c>
      <c r="I297" s="725"/>
      <c r="J297" s="725"/>
      <c r="K297" s="725"/>
      <c r="L297" s="815"/>
    </row>
    <row r="298" spans="1:12" ht="15.75" thickBot="1">
      <c r="A298" s="23"/>
      <c r="L298" s="24"/>
    </row>
    <row r="299" spans="1:12">
      <c r="A299" s="23"/>
      <c r="B299" s="94"/>
      <c r="C299" s="95"/>
      <c r="D299" s="95"/>
      <c r="E299" s="95"/>
      <c r="F299" s="96"/>
      <c r="H299" s="98"/>
      <c r="I299" s="99"/>
      <c r="J299" s="99"/>
      <c r="K299" s="99"/>
      <c r="L299" s="100"/>
    </row>
    <row r="300" spans="1:12">
      <c r="A300" s="23"/>
      <c r="B300" s="23"/>
      <c r="F300" s="24"/>
      <c r="H300" s="97" t="e">
        <f>#REF!</f>
        <v>#REF!</v>
      </c>
      <c r="I300" s="4"/>
      <c r="J300" s="4"/>
      <c r="K300" s="4"/>
      <c r="L300" s="101"/>
    </row>
    <row r="301" spans="1:12">
      <c r="A301" s="23"/>
      <c r="B301" s="97" t="e">
        <f>#REF!</f>
        <v>#REF!</v>
      </c>
      <c r="F301" s="24"/>
      <c r="H301" s="97"/>
      <c r="I301" s="4"/>
      <c r="J301" s="4"/>
      <c r="K301" s="4"/>
      <c r="L301" s="101"/>
    </row>
    <row r="302" spans="1:12">
      <c r="A302" s="23"/>
      <c r="B302" s="23"/>
      <c r="F302" s="24"/>
      <c r="H302" s="97" t="e">
        <f>#REF!</f>
        <v>#REF!</v>
      </c>
      <c r="I302" s="4"/>
      <c r="J302" s="4"/>
      <c r="K302" s="4"/>
      <c r="L302" s="101"/>
    </row>
    <row r="303" spans="1:12" ht="15.75" thickBot="1">
      <c r="A303" s="23"/>
      <c r="B303" s="35"/>
      <c r="C303" s="33"/>
      <c r="D303" s="33"/>
      <c r="E303" s="33"/>
      <c r="F303" s="34"/>
      <c r="H303" s="102"/>
      <c r="I303" s="103"/>
      <c r="J303" s="103"/>
      <c r="K303" s="103"/>
      <c r="L303" s="104"/>
    </row>
    <row r="304" spans="1:12" ht="27.95" customHeight="1">
      <c r="A304" s="105"/>
      <c r="B304" s="807" t="s">
        <v>130</v>
      </c>
      <c r="C304" s="807"/>
      <c r="D304" s="807"/>
      <c r="E304" s="807"/>
      <c r="F304" s="807"/>
      <c r="G304" s="807"/>
      <c r="H304" s="816">
        <f>'4-22Master'!C639</f>
        <v>0</v>
      </c>
      <c r="I304" s="809"/>
      <c r="J304" s="809"/>
      <c r="K304" s="809"/>
      <c r="L304" s="810"/>
    </row>
    <row r="305" spans="1:12" ht="27.95" customHeight="1">
      <c r="A305" s="105"/>
      <c r="B305" s="817" t="s">
        <v>131</v>
      </c>
      <c r="C305" s="817"/>
      <c r="D305" s="817"/>
      <c r="E305" s="817"/>
      <c r="F305" s="817"/>
      <c r="G305" s="817"/>
      <c r="H305" s="816">
        <f>'4-22Master'!A639</f>
        <v>0</v>
      </c>
      <c r="I305" s="809"/>
      <c r="J305" s="809"/>
      <c r="K305" s="809"/>
      <c r="L305" s="810"/>
    </row>
    <row r="306" spans="1:12" ht="27.95" customHeight="1">
      <c r="A306" s="105"/>
      <c r="B306" s="807" t="s">
        <v>132</v>
      </c>
      <c r="C306" s="807"/>
      <c r="D306" s="807"/>
      <c r="E306" s="807"/>
      <c r="F306" s="807"/>
      <c r="G306" s="807"/>
      <c r="H306" s="816">
        <f>'4-22Master'!G639</f>
        <v>0</v>
      </c>
      <c r="I306" s="809"/>
      <c r="J306" s="809"/>
      <c r="K306" s="809"/>
      <c r="L306" s="810"/>
    </row>
    <row r="307" spans="1:12" ht="27.95" customHeight="1">
      <c r="A307" s="105"/>
      <c r="B307" s="807" t="s">
        <v>133</v>
      </c>
      <c r="C307" s="807"/>
      <c r="D307" s="807"/>
      <c r="E307" s="807"/>
      <c r="F307" s="807"/>
      <c r="G307" s="807"/>
      <c r="H307" s="818">
        <f>'4-22Master'!O639</f>
        <v>0</v>
      </c>
      <c r="I307" s="819"/>
      <c r="J307" s="819"/>
      <c r="K307" s="819"/>
      <c r="L307" s="820"/>
    </row>
    <row r="308" spans="1:12" ht="27.95" customHeight="1">
      <c r="A308" s="105"/>
      <c r="B308" s="106" t="s">
        <v>134</v>
      </c>
      <c r="C308" s="107"/>
      <c r="D308" s="107"/>
      <c r="E308" s="107"/>
      <c r="F308" s="107"/>
      <c r="G308" s="107"/>
      <c r="H308" s="108"/>
      <c r="I308" s="109"/>
      <c r="J308" s="37">
        <f>'4-22Master'!U639</f>
        <v>0</v>
      </c>
      <c r="K308" s="110"/>
      <c r="L308" s="115"/>
    </row>
    <row r="309" spans="1:12" ht="27.95" customHeight="1">
      <c r="A309" s="105"/>
      <c r="B309" s="106" t="s">
        <v>135</v>
      </c>
      <c r="C309" s="107"/>
      <c r="D309" s="107"/>
      <c r="E309" s="107"/>
      <c r="F309" s="107"/>
      <c r="G309" s="111"/>
      <c r="H309" s="112"/>
      <c r="I309" s="113"/>
      <c r="J309" s="37">
        <f>'4-22Master'!T639</f>
        <v>0</v>
      </c>
      <c r="K309" s="113"/>
      <c r="L309" s="114"/>
    </row>
    <row r="310" spans="1:12" ht="27.95" customHeight="1">
      <c r="A310" s="105"/>
      <c r="B310" s="811" t="s">
        <v>136</v>
      </c>
      <c r="C310" s="811"/>
      <c r="D310" s="811"/>
      <c r="E310" s="811"/>
      <c r="F310" s="811"/>
      <c r="G310" s="811"/>
      <c r="H310" s="812">
        <v>11322</v>
      </c>
      <c r="I310" s="813"/>
      <c r="J310" s="813"/>
      <c r="K310" s="813"/>
      <c r="L310" s="814"/>
    </row>
    <row r="311" spans="1:12" ht="27.95" customHeight="1">
      <c r="A311" s="105"/>
      <c r="B311" s="807" t="s">
        <v>137</v>
      </c>
      <c r="C311" s="807"/>
      <c r="D311" s="807"/>
      <c r="E311" s="807"/>
      <c r="F311" s="807"/>
      <c r="G311" s="807"/>
      <c r="H311" s="808">
        <f>'4-22Master'!E633</f>
        <v>0</v>
      </c>
      <c r="I311" s="809"/>
      <c r="J311" s="809"/>
      <c r="K311" s="809"/>
      <c r="L311" s="810"/>
    </row>
    <row r="312" spans="1:12" ht="27.95" customHeight="1">
      <c r="A312" s="23"/>
      <c r="B312" s="807" t="s">
        <v>138</v>
      </c>
      <c r="C312" s="807"/>
      <c r="D312" s="807"/>
      <c r="E312" s="807"/>
      <c r="F312" s="807"/>
      <c r="G312" s="807"/>
      <c r="H312" s="809" t="s">
        <v>139</v>
      </c>
      <c r="I312" s="809"/>
      <c r="J312" s="809"/>
      <c r="K312" s="809"/>
      <c r="L312" s="810"/>
    </row>
    <row r="313" spans="1:12" ht="27.95" customHeight="1">
      <c r="A313" s="23"/>
      <c r="B313" s="106" t="s">
        <v>140</v>
      </c>
      <c r="C313" s="107"/>
      <c r="D313" s="107"/>
      <c r="E313" s="107"/>
      <c r="F313" s="107"/>
      <c r="G313" s="111"/>
      <c r="H313" s="108"/>
      <c r="I313" s="110"/>
      <c r="J313" s="110">
        <f>'4-22Master'!X639</f>
        <v>0</v>
      </c>
      <c r="K313" s="110"/>
      <c r="L313" s="115"/>
    </row>
    <row r="314" spans="1:12" ht="27.95" customHeight="1">
      <c r="A314" s="23"/>
      <c r="B314" s="106" t="s">
        <v>141</v>
      </c>
      <c r="C314" s="107"/>
      <c r="D314" s="107"/>
      <c r="E314" s="107"/>
      <c r="F314" s="107"/>
      <c r="G314" s="111"/>
      <c r="H314" s="108"/>
      <c r="I314" s="110"/>
      <c r="J314" s="110" t="s">
        <v>37</v>
      </c>
      <c r="K314" s="110"/>
      <c r="L314" s="115"/>
    </row>
    <row r="315" spans="1:12" ht="27.95" customHeight="1">
      <c r="A315" s="23"/>
      <c r="B315" s="106" t="s">
        <v>142</v>
      </c>
      <c r="C315" s="107"/>
      <c r="D315" s="107"/>
      <c r="E315" s="107"/>
      <c r="F315" s="107"/>
      <c r="G315" s="111"/>
      <c r="H315" s="108"/>
      <c r="I315" s="110"/>
      <c r="J315" s="116">
        <v>0</v>
      </c>
      <c r="K315" s="110"/>
      <c r="L315" s="115"/>
    </row>
    <row r="316" spans="1:12" ht="27.95" customHeight="1">
      <c r="A316" s="23"/>
      <c r="B316" s="106" t="s">
        <v>143</v>
      </c>
      <c r="C316" s="107"/>
      <c r="D316" s="107"/>
      <c r="E316" s="107"/>
      <c r="F316" s="107"/>
      <c r="G316" s="111"/>
      <c r="H316" s="108"/>
      <c r="I316" s="110"/>
      <c r="J316" s="110">
        <v>0</v>
      </c>
      <c r="K316" s="110"/>
      <c r="L316" s="115"/>
    </row>
    <row r="317" spans="1:12" ht="27.95" customHeight="1">
      <c r="A317" s="23"/>
      <c r="B317" s="106" t="s">
        <v>144</v>
      </c>
      <c r="C317" s="107"/>
      <c r="D317" s="107"/>
      <c r="E317" s="107"/>
      <c r="F317" s="107"/>
      <c r="G317" s="111"/>
      <c r="H317" s="108"/>
      <c r="I317" s="110"/>
      <c r="J317" s="116">
        <f>'4-22Master'!AN639</f>
        <v>0</v>
      </c>
      <c r="K317" s="110"/>
      <c r="L317" s="115" t="s">
        <v>35</v>
      </c>
    </row>
    <row r="318" spans="1:12" ht="27.95" customHeight="1">
      <c r="A318" s="23"/>
      <c r="B318" s="106" t="s">
        <v>145</v>
      </c>
      <c r="C318" s="107"/>
      <c r="D318" s="128" t="s">
        <v>32</v>
      </c>
      <c r="E318" s="129">
        <f>'4-22Master'!AP639</f>
        <v>0</v>
      </c>
      <c r="F318" s="128" t="s">
        <v>31</v>
      </c>
      <c r="G318" s="129">
        <f>'4-22Master'!AO639</f>
        <v>0</v>
      </c>
      <c r="H318" s="128" t="s">
        <v>33</v>
      </c>
      <c r="I318" s="129">
        <f>'4-22Master'!AQ639</f>
        <v>0</v>
      </c>
      <c r="J318" s="128" t="s">
        <v>34</v>
      </c>
      <c r="K318" s="129">
        <f>'4-22Master'!AR639</f>
        <v>0</v>
      </c>
      <c r="L318" s="130">
        <f>'4-22Master'!AS639</f>
        <v>0</v>
      </c>
    </row>
    <row r="319" spans="1:12" ht="27.95" customHeight="1">
      <c r="A319" s="23"/>
      <c r="B319" s="106" t="s">
        <v>146</v>
      </c>
      <c r="C319" s="107"/>
      <c r="D319" s="107"/>
      <c r="E319" s="107"/>
      <c r="F319" s="107"/>
      <c r="G319" s="111"/>
      <c r="H319" s="108"/>
      <c r="I319" s="110"/>
      <c r="J319" s="117">
        <f>J317-(E318+G318+I318+K318+L318)</f>
        <v>0</v>
      </c>
      <c r="K319" s="110"/>
      <c r="L319" s="115"/>
    </row>
    <row r="320" spans="1:12" ht="27.95" customHeight="1">
      <c r="A320" s="23"/>
      <c r="B320" s="118" t="s">
        <v>147</v>
      </c>
      <c r="C320" s="119"/>
      <c r="D320" s="119"/>
      <c r="E320" s="119"/>
      <c r="F320" s="119"/>
      <c r="G320" s="120"/>
      <c r="H320" s="121"/>
      <c r="I320" s="122"/>
      <c r="J320" s="122"/>
      <c r="K320" s="122"/>
      <c r="L320" s="123"/>
    </row>
    <row r="321" spans="1:12" ht="27.95" customHeight="1">
      <c r="A321" s="23"/>
      <c r="B321" s="124" t="s">
        <v>148</v>
      </c>
      <c r="C321" s="125"/>
      <c r="D321" s="125"/>
      <c r="E321" s="125"/>
      <c r="F321" s="125"/>
      <c r="G321" s="126"/>
      <c r="H321" s="85"/>
      <c r="I321" s="27"/>
      <c r="J321" s="27"/>
      <c r="K321" s="27"/>
      <c r="L321" s="127"/>
    </row>
    <row r="322" spans="1:12">
      <c r="A322" s="23"/>
      <c r="L322" s="24"/>
    </row>
    <row r="323" spans="1:12" ht="15.75" thickBot="1">
      <c r="A323" s="35"/>
      <c r="B323" s="33"/>
      <c r="C323" s="33"/>
      <c r="D323" s="33"/>
      <c r="E323" s="33"/>
      <c r="F323" s="33"/>
      <c r="G323" s="33"/>
      <c r="H323" s="33"/>
      <c r="I323" s="33"/>
      <c r="J323" s="33"/>
      <c r="K323" s="33"/>
      <c r="L323" s="34"/>
    </row>
    <row r="324" spans="1:12" ht="15.75" thickBot="1"/>
    <row r="325" spans="1:12" ht="32.25">
      <c r="A325" s="94"/>
      <c r="B325" s="797" t="s">
        <v>124</v>
      </c>
      <c r="C325" s="798"/>
      <c r="D325" s="798"/>
      <c r="E325" s="798"/>
      <c r="F325" s="798"/>
      <c r="G325" s="798"/>
      <c r="H325" s="798"/>
      <c r="I325" s="798"/>
      <c r="J325" s="798"/>
      <c r="K325" s="798"/>
      <c r="L325" s="799"/>
    </row>
    <row r="326" spans="1:12" ht="23.25">
      <c r="A326" s="23"/>
      <c r="B326" s="800" t="s">
        <v>125</v>
      </c>
      <c r="C326" s="800"/>
      <c r="D326" s="800"/>
      <c r="E326" s="800"/>
      <c r="F326" s="800"/>
      <c r="G326" s="800"/>
      <c r="H326" s="800"/>
      <c r="I326" s="800"/>
      <c r="J326" s="800"/>
      <c r="K326" s="800"/>
      <c r="L326" s="801"/>
    </row>
    <row r="327" spans="1:12" ht="16.5" thickBot="1">
      <c r="A327" s="35"/>
      <c r="B327" s="802" t="s">
        <v>400</v>
      </c>
      <c r="C327" s="802"/>
      <c r="D327" s="802"/>
      <c r="E327" s="802"/>
      <c r="F327" s="802"/>
      <c r="G327" s="802"/>
      <c r="H327" s="802"/>
      <c r="I327" s="802"/>
      <c r="J327" s="802"/>
      <c r="K327" s="802"/>
      <c r="L327" s="803"/>
    </row>
    <row r="328" spans="1:12" ht="15" customHeight="1">
      <c r="A328" s="23"/>
      <c r="B328" s="804" t="s">
        <v>126</v>
      </c>
      <c r="C328" s="804"/>
      <c r="D328" s="804"/>
      <c r="E328" s="804"/>
      <c r="F328" s="804"/>
      <c r="H328" s="805" t="s">
        <v>127</v>
      </c>
      <c r="I328" s="805"/>
      <c r="J328" s="805"/>
      <c r="K328" s="805"/>
      <c r="L328" s="806"/>
    </row>
    <row r="329" spans="1:12" ht="15.75" thickBot="1">
      <c r="A329" s="23"/>
      <c r="B329" s="804"/>
      <c r="C329" s="804"/>
      <c r="D329" s="804"/>
      <c r="E329" s="804"/>
      <c r="F329" s="804"/>
      <c r="H329" s="805"/>
      <c r="I329" s="805"/>
      <c r="J329" s="805"/>
      <c r="K329" s="805"/>
      <c r="L329" s="806"/>
    </row>
    <row r="330" spans="1:12">
      <c r="A330" s="23"/>
      <c r="B330" s="94"/>
      <c r="C330" s="95"/>
      <c r="D330" s="95"/>
      <c r="E330" s="95"/>
      <c r="F330" s="96"/>
      <c r="H330" s="94"/>
      <c r="I330" s="95"/>
      <c r="J330" s="95"/>
      <c r="K330" s="95"/>
      <c r="L330" s="96"/>
    </row>
    <row r="331" spans="1:12">
      <c r="A331" s="23"/>
      <c r="B331" s="97" t="e">
        <f>#REF!</f>
        <v>#REF!</v>
      </c>
      <c r="F331" s="24"/>
      <c r="H331" s="97" t="e">
        <f>#REF!</f>
        <v>#REF!</v>
      </c>
      <c r="L331" s="24"/>
    </row>
    <row r="332" spans="1:12">
      <c r="A332" s="23"/>
      <c r="B332" s="23"/>
      <c r="F332" s="24"/>
      <c r="H332" s="23"/>
      <c r="L332" s="24"/>
    </row>
    <row r="333" spans="1:12">
      <c r="A333" s="23"/>
      <c r="B333" s="97" t="e">
        <f>#REF!</f>
        <v>#REF!</v>
      </c>
      <c r="F333" s="24"/>
      <c r="H333" s="97" t="e">
        <f>#REF!</f>
        <v>#REF!</v>
      </c>
      <c r="L333" s="24"/>
    </row>
    <row r="334" spans="1:12" ht="15" customHeight="1" thickBot="1">
      <c r="A334" s="23"/>
      <c r="B334" s="35"/>
      <c r="C334" s="33"/>
      <c r="D334" s="33"/>
      <c r="E334" s="33"/>
      <c r="F334" s="34"/>
      <c r="H334" s="35"/>
      <c r="I334" s="33"/>
      <c r="J334" s="33"/>
      <c r="K334" s="33"/>
      <c r="L334" s="34"/>
    </row>
    <row r="335" spans="1:12">
      <c r="A335" s="23"/>
      <c r="J335" t="s">
        <v>128</v>
      </c>
      <c r="L335" s="24"/>
    </row>
    <row r="336" spans="1:12">
      <c r="A336" s="23"/>
      <c r="B336" s="725" t="s">
        <v>129</v>
      </c>
      <c r="C336" s="725"/>
      <c r="D336" s="725"/>
      <c r="E336" s="725"/>
      <c r="F336" s="725"/>
      <c r="H336" s="725" t="s">
        <v>4</v>
      </c>
      <c r="I336" s="725"/>
      <c r="J336" s="725"/>
      <c r="K336" s="725"/>
      <c r="L336" s="815"/>
    </row>
    <row r="337" spans="1:12" ht="15.75" thickBot="1">
      <c r="A337" s="23"/>
      <c r="L337" s="24"/>
    </row>
    <row r="338" spans="1:12">
      <c r="A338" s="23"/>
      <c r="B338" s="94"/>
      <c r="C338" s="95"/>
      <c r="D338" s="95"/>
      <c r="E338" s="95"/>
      <c r="F338" s="96"/>
      <c r="H338" s="98"/>
      <c r="I338" s="99"/>
      <c r="J338" s="99"/>
      <c r="K338" s="99"/>
      <c r="L338" s="100"/>
    </row>
    <row r="339" spans="1:12">
      <c r="A339" s="23"/>
      <c r="B339" s="23"/>
      <c r="F339" s="24"/>
      <c r="H339" s="97" t="e">
        <f>#REF!</f>
        <v>#REF!</v>
      </c>
      <c r="I339" s="4"/>
      <c r="J339" s="4"/>
      <c r="K339" s="4"/>
      <c r="L339" s="101"/>
    </row>
    <row r="340" spans="1:12">
      <c r="A340" s="23"/>
      <c r="B340" s="97" t="e">
        <f>#REF!</f>
        <v>#REF!</v>
      </c>
      <c r="F340" s="24"/>
      <c r="H340" s="97"/>
      <c r="I340" s="4"/>
      <c r="J340" s="4"/>
      <c r="K340" s="4"/>
      <c r="L340" s="101"/>
    </row>
    <row r="341" spans="1:12">
      <c r="A341" s="23"/>
      <c r="B341" s="23"/>
      <c r="F341" s="24"/>
      <c r="H341" s="97" t="e">
        <f>#REF!</f>
        <v>#REF!</v>
      </c>
      <c r="I341" s="4"/>
      <c r="J341" s="4"/>
      <c r="K341" s="4"/>
      <c r="L341" s="101"/>
    </row>
    <row r="342" spans="1:12" ht="15.75" thickBot="1">
      <c r="A342" s="23"/>
      <c r="B342" s="35"/>
      <c r="C342" s="33"/>
      <c r="D342" s="33"/>
      <c r="E342" s="33"/>
      <c r="F342" s="34"/>
      <c r="H342" s="102"/>
      <c r="I342" s="103"/>
      <c r="J342" s="103"/>
      <c r="K342" s="103"/>
      <c r="L342" s="104"/>
    </row>
    <row r="343" spans="1:12" ht="27.95" customHeight="1">
      <c r="A343" s="105"/>
      <c r="B343" s="807" t="s">
        <v>130</v>
      </c>
      <c r="C343" s="807"/>
      <c r="D343" s="807"/>
      <c r="E343" s="807"/>
      <c r="F343" s="807"/>
      <c r="G343" s="807"/>
      <c r="H343" s="816">
        <f>'4-22Master'!C678</f>
        <v>0</v>
      </c>
      <c r="I343" s="809"/>
      <c r="J343" s="809"/>
      <c r="K343" s="809"/>
      <c r="L343" s="810"/>
    </row>
    <row r="344" spans="1:12" ht="27.95" customHeight="1">
      <c r="A344" s="105"/>
      <c r="B344" s="817" t="s">
        <v>131</v>
      </c>
      <c r="C344" s="817"/>
      <c r="D344" s="817"/>
      <c r="E344" s="817"/>
      <c r="F344" s="817"/>
      <c r="G344" s="817"/>
      <c r="H344" s="816">
        <f>'4-22Master'!A678</f>
        <v>0</v>
      </c>
      <c r="I344" s="809"/>
      <c r="J344" s="809"/>
      <c r="K344" s="809"/>
      <c r="L344" s="810"/>
    </row>
    <row r="345" spans="1:12" ht="27.95" customHeight="1">
      <c r="A345" s="105"/>
      <c r="B345" s="807" t="s">
        <v>132</v>
      </c>
      <c r="C345" s="807"/>
      <c r="D345" s="807"/>
      <c r="E345" s="807"/>
      <c r="F345" s="807"/>
      <c r="G345" s="807"/>
      <c r="H345" s="816">
        <f>'4-22Master'!G678</f>
        <v>0</v>
      </c>
      <c r="I345" s="809"/>
      <c r="J345" s="809"/>
      <c r="K345" s="809"/>
      <c r="L345" s="810"/>
    </row>
    <row r="346" spans="1:12" ht="27.95" customHeight="1">
      <c r="A346" s="105"/>
      <c r="B346" s="807" t="s">
        <v>133</v>
      </c>
      <c r="C346" s="807"/>
      <c r="D346" s="807"/>
      <c r="E346" s="807"/>
      <c r="F346" s="807"/>
      <c r="G346" s="807"/>
      <c r="H346" s="818">
        <f>'4-22Master'!O678</f>
        <v>0</v>
      </c>
      <c r="I346" s="819"/>
      <c r="J346" s="819"/>
      <c r="K346" s="819"/>
      <c r="L346" s="820"/>
    </row>
    <row r="347" spans="1:12" ht="27.95" customHeight="1">
      <c r="A347" s="105"/>
      <c r="B347" s="106" t="s">
        <v>134</v>
      </c>
      <c r="C347" s="107"/>
      <c r="D347" s="107"/>
      <c r="E347" s="107"/>
      <c r="F347" s="107"/>
      <c r="G347" s="107"/>
      <c r="H347" s="108"/>
      <c r="I347" s="109"/>
      <c r="J347" s="37">
        <f>'4-22Master'!U678</f>
        <v>0</v>
      </c>
      <c r="K347" s="110"/>
      <c r="L347" s="115"/>
    </row>
    <row r="348" spans="1:12" ht="27.95" customHeight="1">
      <c r="A348" s="105"/>
      <c r="B348" s="106" t="s">
        <v>135</v>
      </c>
      <c r="C348" s="107"/>
      <c r="D348" s="107"/>
      <c r="E348" s="107"/>
      <c r="F348" s="107"/>
      <c r="G348" s="111"/>
      <c r="H348" s="112"/>
      <c r="I348" s="113"/>
      <c r="J348" s="37">
        <f>'4-22Master'!T678</f>
        <v>0</v>
      </c>
      <c r="K348" s="113"/>
      <c r="L348" s="114"/>
    </row>
    <row r="349" spans="1:12" ht="27.95" customHeight="1">
      <c r="A349" s="105"/>
      <c r="B349" s="811" t="s">
        <v>136</v>
      </c>
      <c r="C349" s="811"/>
      <c r="D349" s="811"/>
      <c r="E349" s="811"/>
      <c r="F349" s="811"/>
      <c r="G349" s="811"/>
      <c r="H349" s="812">
        <v>11322</v>
      </c>
      <c r="I349" s="813"/>
      <c r="J349" s="813"/>
      <c r="K349" s="813"/>
      <c r="L349" s="814"/>
    </row>
    <row r="350" spans="1:12" ht="27.95" customHeight="1">
      <c r="A350" s="105"/>
      <c r="B350" s="807" t="s">
        <v>137</v>
      </c>
      <c r="C350" s="807"/>
      <c r="D350" s="807"/>
      <c r="E350" s="807"/>
      <c r="F350" s="807"/>
      <c r="G350" s="807"/>
      <c r="H350" s="808">
        <f>'4-22Master'!E672</f>
        <v>0</v>
      </c>
      <c r="I350" s="809"/>
      <c r="J350" s="809"/>
      <c r="K350" s="809"/>
      <c r="L350" s="810"/>
    </row>
    <row r="351" spans="1:12" ht="27.95" customHeight="1">
      <c r="A351" s="23"/>
      <c r="B351" s="807" t="s">
        <v>138</v>
      </c>
      <c r="C351" s="807"/>
      <c r="D351" s="807"/>
      <c r="E351" s="807"/>
      <c r="F351" s="807"/>
      <c r="G351" s="807"/>
      <c r="H351" s="809" t="s">
        <v>139</v>
      </c>
      <c r="I351" s="809"/>
      <c r="J351" s="809"/>
      <c r="K351" s="809"/>
      <c r="L351" s="810"/>
    </row>
    <row r="352" spans="1:12" ht="27.95" customHeight="1">
      <c r="A352" s="23"/>
      <c r="B352" s="106" t="s">
        <v>140</v>
      </c>
      <c r="C352" s="107"/>
      <c r="D352" s="107"/>
      <c r="E352" s="107"/>
      <c r="F352" s="107"/>
      <c r="G352" s="111"/>
      <c r="H352" s="108"/>
      <c r="I352" s="110"/>
      <c r="J352" s="110">
        <f>'4-22Master'!X678</f>
        <v>0</v>
      </c>
      <c r="K352" s="110"/>
      <c r="L352" s="115"/>
    </row>
    <row r="353" spans="1:12" ht="27.95" customHeight="1">
      <c r="A353" s="23"/>
      <c r="B353" s="106" t="s">
        <v>141</v>
      </c>
      <c r="C353" s="107"/>
      <c r="D353" s="107"/>
      <c r="E353" s="107"/>
      <c r="F353" s="107"/>
      <c r="G353" s="111"/>
      <c r="H353" s="108"/>
      <c r="I353" s="110"/>
      <c r="J353" s="110" t="s">
        <v>37</v>
      </c>
      <c r="K353" s="110"/>
      <c r="L353" s="115"/>
    </row>
    <row r="354" spans="1:12" ht="27.95" customHeight="1">
      <c r="A354" s="23"/>
      <c r="B354" s="106" t="s">
        <v>142</v>
      </c>
      <c r="C354" s="107"/>
      <c r="D354" s="107"/>
      <c r="E354" s="107"/>
      <c r="F354" s="107"/>
      <c r="G354" s="111"/>
      <c r="H354" s="108"/>
      <c r="I354" s="110"/>
      <c r="J354" s="116">
        <v>0</v>
      </c>
      <c r="K354" s="110"/>
      <c r="L354" s="115"/>
    </row>
    <row r="355" spans="1:12" ht="27.95" customHeight="1">
      <c r="A355" s="23"/>
      <c r="B355" s="106" t="s">
        <v>143</v>
      </c>
      <c r="C355" s="107"/>
      <c r="D355" s="107"/>
      <c r="E355" s="107"/>
      <c r="F355" s="107"/>
      <c r="G355" s="111"/>
      <c r="H355" s="108"/>
      <c r="I355" s="110"/>
      <c r="J355" s="110">
        <v>0</v>
      </c>
      <c r="K355" s="110"/>
      <c r="L355" s="115"/>
    </row>
    <row r="356" spans="1:12" ht="27.95" customHeight="1">
      <c r="A356" s="23"/>
      <c r="B356" s="106" t="s">
        <v>144</v>
      </c>
      <c r="C356" s="107"/>
      <c r="D356" s="107"/>
      <c r="E356" s="107"/>
      <c r="F356" s="107"/>
      <c r="G356" s="111"/>
      <c r="H356" s="108"/>
      <c r="I356" s="110"/>
      <c r="J356" s="116">
        <f>'4-22Master'!AN678</f>
        <v>0</v>
      </c>
      <c r="K356" s="110"/>
      <c r="L356" s="115" t="s">
        <v>35</v>
      </c>
    </row>
    <row r="357" spans="1:12" ht="27.95" customHeight="1">
      <c r="A357" s="23"/>
      <c r="B357" s="106" t="s">
        <v>145</v>
      </c>
      <c r="C357" s="107"/>
      <c r="D357" s="128" t="s">
        <v>32</v>
      </c>
      <c r="E357" s="129">
        <f>'4-22Master'!AP678</f>
        <v>0</v>
      </c>
      <c r="F357" s="128" t="s">
        <v>31</v>
      </c>
      <c r="G357" s="129">
        <f>'4-22Master'!AO678</f>
        <v>0</v>
      </c>
      <c r="H357" s="128" t="s">
        <v>33</v>
      </c>
      <c r="I357" s="129">
        <f>'4-22Master'!AQ678</f>
        <v>0</v>
      </c>
      <c r="J357" s="128" t="s">
        <v>34</v>
      </c>
      <c r="K357" s="129">
        <f>'4-22Master'!AR678</f>
        <v>0</v>
      </c>
      <c r="L357" s="130">
        <f>'4-22Master'!AS678</f>
        <v>0</v>
      </c>
    </row>
    <row r="358" spans="1:12" ht="27.95" customHeight="1">
      <c r="A358" s="23"/>
      <c r="B358" s="106" t="s">
        <v>146</v>
      </c>
      <c r="C358" s="107"/>
      <c r="D358" s="107"/>
      <c r="E358" s="107"/>
      <c r="F358" s="107"/>
      <c r="G358" s="111"/>
      <c r="H358" s="108"/>
      <c r="I358" s="110"/>
      <c r="J358" s="117">
        <f>J356-(E357+G357+I357+K357+L357)</f>
        <v>0</v>
      </c>
      <c r="K358" s="110"/>
      <c r="L358" s="115"/>
    </row>
    <row r="359" spans="1:12" ht="27.95" customHeight="1">
      <c r="A359" s="23"/>
      <c r="B359" s="118" t="s">
        <v>147</v>
      </c>
      <c r="C359" s="119"/>
      <c r="D359" s="119"/>
      <c r="E359" s="119"/>
      <c r="F359" s="119"/>
      <c r="G359" s="120"/>
      <c r="H359" s="121"/>
      <c r="I359" s="122"/>
      <c r="J359" s="122"/>
      <c r="K359" s="122"/>
      <c r="L359" s="123"/>
    </row>
    <row r="360" spans="1:12" ht="27.95" customHeight="1">
      <c r="A360" s="23"/>
      <c r="B360" s="124" t="s">
        <v>148</v>
      </c>
      <c r="C360" s="125"/>
      <c r="D360" s="125"/>
      <c r="E360" s="125"/>
      <c r="F360" s="125"/>
      <c r="G360" s="126"/>
      <c r="H360" s="85"/>
      <c r="I360" s="27"/>
      <c r="J360" s="27"/>
      <c r="K360" s="27"/>
      <c r="L360" s="127"/>
    </row>
    <row r="361" spans="1:12">
      <c r="A361" s="23"/>
      <c r="L361" s="24"/>
    </row>
    <row r="362" spans="1:12" ht="15.75" thickBot="1">
      <c r="A362" s="35"/>
      <c r="B362" s="33"/>
      <c r="C362" s="33"/>
      <c r="D362" s="33"/>
      <c r="E362" s="33"/>
      <c r="F362" s="33"/>
      <c r="G362" s="33"/>
      <c r="H362" s="33"/>
      <c r="I362" s="33"/>
      <c r="J362" s="33"/>
      <c r="K362" s="33"/>
      <c r="L362" s="34"/>
    </row>
  </sheetData>
  <mergeCells count="189">
    <mergeCell ref="B1:L1"/>
    <mergeCell ref="B2:L2"/>
    <mergeCell ref="B3:L3"/>
    <mergeCell ref="B4:F5"/>
    <mergeCell ref="H4:L5"/>
    <mergeCell ref="B12:F12"/>
    <mergeCell ref="H12:L12"/>
    <mergeCell ref="B22:G22"/>
    <mergeCell ref="H22:L22"/>
    <mergeCell ref="B27:G27"/>
    <mergeCell ref="H27:L27"/>
    <mergeCell ref="B25:G25"/>
    <mergeCell ref="H25:L25"/>
    <mergeCell ref="B26:G26"/>
    <mergeCell ref="H26:L26"/>
    <mergeCell ref="B19:G19"/>
    <mergeCell ref="H19:L19"/>
    <mergeCell ref="B20:G20"/>
    <mergeCell ref="H20:L20"/>
    <mergeCell ref="B21:G21"/>
    <mergeCell ref="H21:L21"/>
    <mergeCell ref="B66:F66"/>
    <mergeCell ref="H66:L66"/>
    <mergeCell ref="B73:G73"/>
    <mergeCell ref="H73:L73"/>
    <mergeCell ref="B74:G74"/>
    <mergeCell ref="H74:L74"/>
    <mergeCell ref="B55:L55"/>
    <mergeCell ref="B56:L56"/>
    <mergeCell ref="B57:L57"/>
    <mergeCell ref="B58:F59"/>
    <mergeCell ref="H58:L59"/>
    <mergeCell ref="B80:G80"/>
    <mergeCell ref="H80:L80"/>
    <mergeCell ref="B81:G81"/>
    <mergeCell ref="H81:L81"/>
    <mergeCell ref="B93:L93"/>
    <mergeCell ref="B94:L94"/>
    <mergeCell ref="B75:G75"/>
    <mergeCell ref="H75:L75"/>
    <mergeCell ref="B76:G76"/>
    <mergeCell ref="H76:L76"/>
    <mergeCell ref="B79:G79"/>
    <mergeCell ref="H79:L79"/>
    <mergeCell ref="B112:G112"/>
    <mergeCell ref="H112:L112"/>
    <mergeCell ref="B113:G113"/>
    <mergeCell ref="H113:L113"/>
    <mergeCell ref="B114:G114"/>
    <mergeCell ref="H114:L114"/>
    <mergeCell ref="B95:L95"/>
    <mergeCell ref="B96:F97"/>
    <mergeCell ref="H96:L97"/>
    <mergeCell ref="B104:F104"/>
    <mergeCell ref="H104:L104"/>
    <mergeCell ref="B111:G111"/>
    <mergeCell ref="H111:L111"/>
    <mergeCell ref="B131:L131"/>
    <mergeCell ref="B132:L132"/>
    <mergeCell ref="B133:L133"/>
    <mergeCell ref="B134:F135"/>
    <mergeCell ref="H134:L135"/>
    <mergeCell ref="B142:F142"/>
    <mergeCell ref="H142:L142"/>
    <mergeCell ref="B117:G117"/>
    <mergeCell ref="H117:L117"/>
    <mergeCell ref="B118:G118"/>
    <mergeCell ref="H118:L118"/>
    <mergeCell ref="B119:G119"/>
    <mergeCell ref="H119:L119"/>
    <mergeCell ref="B152:G152"/>
    <mergeCell ref="H152:L152"/>
    <mergeCell ref="B155:G155"/>
    <mergeCell ref="H155:L155"/>
    <mergeCell ref="B156:G156"/>
    <mergeCell ref="H156:L156"/>
    <mergeCell ref="B149:G149"/>
    <mergeCell ref="H149:L149"/>
    <mergeCell ref="B150:G150"/>
    <mergeCell ref="H150:L150"/>
    <mergeCell ref="B151:G151"/>
    <mergeCell ref="H151:L151"/>
    <mergeCell ref="B181:F181"/>
    <mergeCell ref="H181:L181"/>
    <mergeCell ref="B188:G188"/>
    <mergeCell ref="H188:L188"/>
    <mergeCell ref="B189:G189"/>
    <mergeCell ref="H189:L189"/>
    <mergeCell ref="B157:G157"/>
    <mergeCell ref="H157:L157"/>
    <mergeCell ref="B170:L170"/>
    <mergeCell ref="B171:L171"/>
    <mergeCell ref="B172:L172"/>
    <mergeCell ref="B173:F174"/>
    <mergeCell ref="H173:L174"/>
    <mergeCell ref="B195:G195"/>
    <mergeCell ref="H195:L195"/>
    <mergeCell ref="B196:G196"/>
    <mergeCell ref="H196:L196"/>
    <mergeCell ref="B208:L208"/>
    <mergeCell ref="B209:L209"/>
    <mergeCell ref="B190:G190"/>
    <mergeCell ref="H190:L190"/>
    <mergeCell ref="B191:G191"/>
    <mergeCell ref="H191:L191"/>
    <mergeCell ref="B194:G194"/>
    <mergeCell ref="H194:L194"/>
    <mergeCell ref="B227:G227"/>
    <mergeCell ref="H227:L227"/>
    <mergeCell ref="B228:G228"/>
    <mergeCell ref="H228:L228"/>
    <mergeCell ref="B229:G229"/>
    <mergeCell ref="H229:L229"/>
    <mergeCell ref="B210:L210"/>
    <mergeCell ref="B211:F212"/>
    <mergeCell ref="H211:L212"/>
    <mergeCell ref="B219:F219"/>
    <mergeCell ref="H219:L219"/>
    <mergeCell ref="B226:G226"/>
    <mergeCell ref="H226:L226"/>
    <mergeCell ref="B247:L247"/>
    <mergeCell ref="B248:L248"/>
    <mergeCell ref="B249:L249"/>
    <mergeCell ref="B250:F251"/>
    <mergeCell ref="H250:L251"/>
    <mergeCell ref="B258:F258"/>
    <mergeCell ref="H258:L258"/>
    <mergeCell ref="B232:G232"/>
    <mergeCell ref="H232:L232"/>
    <mergeCell ref="B233:G233"/>
    <mergeCell ref="H233:L233"/>
    <mergeCell ref="B234:G234"/>
    <mergeCell ref="H234:L234"/>
    <mergeCell ref="B268:G268"/>
    <mergeCell ref="H268:L268"/>
    <mergeCell ref="B271:G271"/>
    <mergeCell ref="H271:L271"/>
    <mergeCell ref="B272:G272"/>
    <mergeCell ref="H272:L272"/>
    <mergeCell ref="B265:G265"/>
    <mergeCell ref="H265:L265"/>
    <mergeCell ref="B266:G266"/>
    <mergeCell ref="H266:L266"/>
    <mergeCell ref="B267:G267"/>
    <mergeCell ref="H267:L267"/>
    <mergeCell ref="B297:F297"/>
    <mergeCell ref="H297:L297"/>
    <mergeCell ref="B304:G304"/>
    <mergeCell ref="H304:L304"/>
    <mergeCell ref="B305:G305"/>
    <mergeCell ref="H305:L305"/>
    <mergeCell ref="B273:G273"/>
    <mergeCell ref="H273:L273"/>
    <mergeCell ref="B286:L286"/>
    <mergeCell ref="B287:L287"/>
    <mergeCell ref="B288:L288"/>
    <mergeCell ref="B289:F290"/>
    <mergeCell ref="H289:L290"/>
    <mergeCell ref="B311:G311"/>
    <mergeCell ref="H311:L311"/>
    <mergeCell ref="B312:G312"/>
    <mergeCell ref="H312:L312"/>
    <mergeCell ref="B306:G306"/>
    <mergeCell ref="H306:L306"/>
    <mergeCell ref="B307:G307"/>
    <mergeCell ref="H307:L307"/>
    <mergeCell ref="B310:G310"/>
    <mergeCell ref="H310:L310"/>
    <mergeCell ref="B325:L325"/>
    <mergeCell ref="B326:L326"/>
    <mergeCell ref="B327:L327"/>
    <mergeCell ref="B328:F329"/>
    <mergeCell ref="H328:L329"/>
    <mergeCell ref="B336:F336"/>
    <mergeCell ref="B350:G350"/>
    <mergeCell ref="H350:L350"/>
    <mergeCell ref="B351:G351"/>
    <mergeCell ref="H351:L351"/>
    <mergeCell ref="B349:G349"/>
    <mergeCell ref="H349:L349"/>
    <mergeCell ref="H336:L336"/>
    <mergeCell ref="B343:G343"/>
    <mergeCell ref="H343:L343"/>
    <mergeCell ref="B344:G344"/>
    <mergeCell ref="H344:L344"/>
    <mergeCell ref="B345:G345"/>
    <mergeCell ref="H345:L345"/>
    <mergeCell ref="B346:G346"/>
    <mergeCell ref="H346:L346"/>
  </mergeCells>
  <pageMargins left="0.88" right="0.53" top="0.74803149606299213" bottom="0.74803149606299213" header="0.31496062992125984" footer="0.31496062992125984"/>
  <pageSetup scale="65" orientation="portrait" horizontalDpi="300" verticalDpi="3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519"/>
  <sheetViews>
    <sheetView view="pageBreakPreview" topLeftCell="D1" zoomScaleNormal="100" zoomScaleSheetLayoutView="100" workbookViewId="0">
      <selection activeCell="R8" sqref="R8"/>
    </sheetView>
  </sheetViews>
  <sheetFormatPr defaultRowHeight="15"/>
  <sheetData>
    <row r="1" spans="1:19" ht="26.25">
      <c r="A1" s="830" t="s">
        <v>482</v>
      </c>
      <c r="B1" s="831"/>
      <c r="C1" s="831"/>
      <c r="D1" s="831"/>
      <c r="E1" s="831"/>
      <c r="F1" s="831"/>
      <c r="G1" s="831"/>
      <c r="H1" s="831"/>
      <c r="I1" s="832"/>
      <c r="J1" s="95"/>
      <c r="K1" s="830" t="str">
        <f>A1</f>
        <v>Form XV - WAGE SLIP</v>
      </c>
      <c r="L1" s="831"/>
      <c r="M1" s="831"/>
      <c r="N1" s="831"/>
      <c r="O1" s="831"/>
      <c r="P1" s="831"/>
      <c r="Q1" s="831"/>
      <c r="R1" s="831"/>
      <c r="S1" s="832"/>
    </row>
    <row r="2" spans="1:19">
      <c r="A2" s="823" t="s">
        <v>483</v>
      </c>
      <c r="B2" s="824"/>
      <c r="C2" s="824"/>
      <c r="D2" s="824"/>
      <c r="E2" s="824"/>
      <c r="F2" s="824"/>
      <c r="G2" s="824"/>
      <c r="H2" s="824"/>
      <c r="I2" s="825"/>
      <c r="J2" s="439"/>
      <c r="K2" s="823" t="str">
        <f>A2</f>
        <v>[Vide rule 78 (1) (b) of the Contract Labour (Regulation and Abolition) and Maharashtra  Rules, 1971]</v>
      </c>
      <c r="L2" s="824"/>
      <c r="M2" s="824"/>
      <c r="N2" s="824"/>
      <c r="O2" s="824"/>
      <c r="P2" s="824"/>
      <c r="Q2" s="824"/>
      <c r="R2" s="824"/>
      <c r="S2" s="825"/>
    </row>
    <row r="3" spans="1:19">
      <c r="A3" s="23"/>
      <c r="I3" s="24"/>
      <c r="K3" s="23"/>
      <c r="S3" s="24"/>
    </row>
    <row r="4" spans="1:19">
      <c r="A4" s="25" t="s">
        <v>50</v>
      </c>
      <c r="B4" s="7"/>
      <c r="C4" s="7"/>
      <c r="D4" s="11" t="str">
        <f>'4-22Master'!G5</f>
        <v>Burgeon IT Services Pvt.Ltd.</v>
      </c>
      <c r="I4" s="24"/>
      <c r="K4" s="25" t="s">
        <v>50</v>
      </c>
      <c r="L4" s="7"/>
      <c r="M4" s="7"/>
      <c r="N4" s="11" t="str">
        <f>D4</f>
        <v>Burgeon IT Services Pvt.Ltd.</v>
      </c>
      <c r="S4" s="24"/>
    </row>
    <row r="5" spans="1:19">
      <c r="A5" s="25"/>
      <c r="B5" s="7" t="str">
        <f>'4-22Master'!G6</f>
        <v>Siri Mansion LIGB 436 Dr.A S Rao Nagar,Hyderabad</v>
      </c>
      <c r="C5" s="7"/>
      <c r="D5" s="7"/>
      <c r="I5" s="24"/>
      <c r="K5" s="25"/>
      <c r="L5" s="7" t="str">
        <f>B5</f>
        <v>Siri Mansion LIGB 436 Dr.A S Rao Nagar,Hyderabad</v>
      </c>
      <c r="M5" s="7"/>
      <c r="N5" s="7"/>
      <c r="S5" s="24"/>
    </row>
    <row r="6" spans="1:19">
      <c r="A6" s="25"/>
      <c r="B6" s="7">
        <f>'4-22Master'!G7</f>
        <v>0</v>
      </c>
      <c r="C6" s="7"/>
      <c r="D6" s="7"/>
      <c r="E6" s="7"/>
      <c r="I6" s="24"/>
      <c r="K6" s="25"/>
      <c r="L6" s="7">
        <f>B6</f>
        <v>0</v>
      </c>
      <c r="M6" s="7"/>
      <c r="N6" s="7"/>
      <c r="O6" s="7"/>
      <c r="S6" s="24"/>
    </row>
    <row r="7" spans="1:19" ht="15" customHeight="1">
      <c r="A7" s="826" t="s">
        <v>51</v>
      </c>
      <c r="B7" s="827"/>
      <c r="C7" s="827"/>
      <c r="D7" s="827"/>
      <c r="E7" s="7"/>
      <c r="I7" s="24"/>
      <c r="K7" s="826" t="s">
        <v>51</v>
      </c>
      <c r="L7" s="827"/>
      <c r="M7" s="827"/>
      <c r="N7" s="827"/>
      <c r="O7" s="7"/>
      <c r="S7" s="24"/>
    </row>
    <row r="8" spans="1:19">
      <c r="A8" s="826"/>
      <c r="B8" s="827"/>
      <c r="C8" s="827"/>
      <c r="D8" s="827"/>
      <c r="E8" s="26" t="str">
        <f>'4-22Master'!C18</f>
        <v>Amith a</v>
      </c>
      <c r="F8" s="27"/>
      <c r="G8" s="27" t="str">
        <f>'4-22Master'!F18</f>
        <v>N.Ananda</v>
      </c>
      <c r="H8" s="27"/>
      <c r="I8" s="24"/>
      <c r="K8" s="826"/>
      <c r="L8" s="827"/>
      <c r="M8" s="827"/>
      <c r="N8" s="827"/>
      <c r="O8" s="26" t="str">
        <f>E8</f>
        <v>Amith a</v>
      </c>
      <c r="P8" s="27"/>
      <c r="Q8" s="27" t="str">
        <f>G8</f>
        <v>N.Ananda</v>
      </c>
      <c r="R8" s="27"/>
      <c r="S8" s="24"/>
    </row>
    <row r="9" spans="1:19">
      <c r="A9" s="25"/>
      <c r="B9" s="7"/>
      <c r="C9" s="7"/>
      <c r="D9" s="7"/>
      <c r="E9" s="7"/>
      <c r="I9" s="24"/>
      <c r="K9" s="25"/>
      <c r="L9" s="7"/>
      <c r="M9" s="7"/>
      <c r="N9" s="7"/>
      <c r="O9" s="7"/>
      <c r="S9" s="24"/>
    </row>
    <row r="10" spans="1:19">
      <c r="A10" s="821" t="s">
        <v>52</v>
      </c>
      <c r="B10" s="822"/>
      <c r="C10" s="822"/>
      <c r="D10" s="822"/>
      <c r="E10" s="348" t="str">
        <f>'4-22Master'!G8</f>
        <v>IT SUPPORTIVE SERVICES&amp; PUNE STP</v>
      </c>
      <c r="F10" s="27"/>
      <c r="G10" s="27"/>
      <c r="H10" s="27"/>
      <c r="I10" s="24"/>
      <c r="K10" s="821" t="s">
        <v>52</v>
      </c>
      <c r="L10" s="822"/>
      <c r="M10" s="822"/>
      <c r="N10" s="822"/>
      <c r="O10" s="26" t="str">
        <f>E10</f>
        <v>IT SUPPORTIVE SERVICES&amp; PUNE STP</v>
      </c>
      <c r="P10" s="27"/>
      <c r="Q10" s="27"/>
      <c r="R10" s="27"/>
      <c r="S10" s="24"/>
    </row>
    <row r="11" spans="1:19">
      <c r="A11" s="25"/>
      <c r="B11" s="7"/>
      <c r="C11" s="7"/>
      <c r="D11" s="7"/>
      <c r="E11" s="7"/>
      <c r="I11" s="24"/>
      <c r="K11" s="25"/>
      <c r="L11" s="7"/>
      <c r="M11" s="7"/>
      <c r="N11" s="7"/>
      <c r="O11" s="7"/>
      <c r="S11" s="24"/>
    </row>
    <row r="12" spans="1:19">
      <c r="A12" s="821" t="s">
        <v>53</v>
      </c>
      <c r="B12" s="822"/>
      <c r="C12" s="822"/>
      <c r="D12" s="822"/>
      <c r="E12" s="28">
        <f>'4-22Master'!E10</f>
        <v>44652</v>
      </c>
      <c r="F12" s="27"/>
      <c r="G12" s="27"/>
      <c r="H12" s="27"/>
      <c r="I12" s="24"/>
      <c r="K12" s="821" t="s">
        <v>53</v>
      </c>
      <c r="L12" s="822"/>
      <c r="M12" s="822"/>
      <c r="N12" s="822"/>
      <c r="O12" s="28">
        <f>E12</f>
        <v>44652</v>
      </c>
      <c r="P12" s="27"/>
      <c r="Q12" s="27"/>
      <c r="R12" s="27"/>
      <c r="S12" s="24"/>
    </row>
    <row r="13" spans="1:19">
      <c r="A13" s="25"/>
      <c r="B13" s="7"/>
      <c r="C13" s="7"/>
      <c r="D13" s="7"/>
      <c r="E13" s="7"/>
      <c r="I13" s="24"/>
      <c r="K13" s="25"/>
      <c r="L13" s="7"/>
      <c r="M13" s="7"/>
      <c r="N13" s="7"/>
      <c r="O13" s="7"/>
      <c r="S13" s="24"/>
    </row>
    <row r="14" spans="1:19">
      <c r="A14" s="29">
        <v>1</v>
      </c>
      <c r="B14" s="822" t="s">
        <v>54</v>
      </c>
      <c r="C14" s="822"/>
      <c r="D14" s="822"/>
      <c r="E14" s="30">
        <f>'4-22Master'!X18</f>
        <v>30</v>
      </c>
      <c r="F14" s="27"/>
      <c r="G14" s="27"/>
      <c r="H14" s="27"/>
      <c r="I14" s="24"/>
      <c r="K14" s="29">
        <v>1</v>
      </c>
      <c r="L14" s="822" t="s">
        <v>54</v>
      </c>
      <c r="M14" s="822"/>
      <c r="N14" s="822"/>
      <c r="O14" s="30">
        <f>E14</f>
        <v>30</v>
      </c>
      <c r="P14" s="27"/>
      <c r="Q14" s="27"/>
      <c r="R14" s="27"/>
      <c r="S14" s="24"/>
    </row>
    <row r="15" spans="1:19">
      <c r="A15" s="29"/>
      <c r="B15" s="7"/>
      <c r="C15" s="7"/>
      <c r="D15" s="7"/>
      <c r="E15" s="7"/>
      <c r="I15" s="24"/>
      <c r="K15" s="29"/>
      <c r="L15" s="7"/>
      <c r="M15" s="7"/>
      <c r="N15" s="7"/>
      <c r="O15" s="7"/>
      <c r="S15" s="24"/>
    </row>
    <row r="16" spans="1:19" ht="15" customHeight="1">
      <c r="A16" s="29">
        <v>2</v>
      </c>
      <c r="B16" s="827" t="s">
        <v>55</v>
      </c>
      <c r="C16" s="827"/>
      <c r="D16" s="827"/>
      <c r="E16" s="7"/>
      <c r="I16" s="24"/>
      <c r="K16" s="29">
        <v>2</v>
      </c>
      <c r="L16" s="827" t="s">
        <v>55</v>
      </c>
      <c r="M16" s="827"/>
      <c r="N16" s="827"/>
      <c r="O16" s="7"/>
      <c r="S16" s="24"/>
    </row>
    <row r="17" spans="1:19">
      <c r="A17" s="29"/>
      <c r="B17" s="827"/>
      <c r="C17" s="827"/>
      <c r="D17" s="827"/>
      <c r="E17" s="31" t="s">
        <v>37</v>
      </c>
      <c r="F17" s="27"/>
      <c r="G17" s="27"/>
      <c r="H17" s="27"/>
      <c r="I17" s="24"/>
      <c r="K17" s="29"/>
      <c r="L17" s="827"/>
      <c r="M17" s="827"/>
      <c r="N17" s="827"/>
      <c r="O17" s="31" t="s">
        <v>37</v>
      </c>
      <c r="P17" s="27"/>
      <c r="Q17" s="27"/>
      <c r="R17" s="27"/>
      <c r="S17" s="24"/>
    </row>
    <row r="18" spans="1:19">
      <c r="A18" s="29"/>
      <c r="B18" s="7"/>
      <c r="C18" s="7"/>
      <c r="D18" s="7"/>
      <c r="E18" s="7"/>
      <c r="I18" s="24"/>
      <c r="K18" s="29"/>
      <c r="L18" s="7"/>
      <c r="M18" s="7"/>
      <c r="N18" s="7"/>
      <c r="O18" s="7"/>
      <c r="S18" s="24"/>
    </row>
    <row r="19" spans="1:19">
      <c r="A19" s="29">
        <v>3</v>
      </c>
      <c r="B19" s="822" t="s">
        <v>56</v>
      </c>
      <c r="C19" s="822"/>
      <c r="D19" s="822"/>
      <c r="E19" s="31" t="s">
        <v>37</v>
      </c>
      <c r="F19" s="27"/>
      <c r="G19" s="27"/>
      <c r="H19" s="27"/>
      <c r="I19" s="24"/>
      <c r="K19" s="29">
        <v>3</v>
      </c>
      <c r="L19" s="822" t="s">
        <v>56</v>
      </c>
      <c r="M19" s="822"/>
      <c r="N19" s="822"/>
      <c r="O19" s="26" t="str">
        <f>E19</f>
        <v>N/A</v>
      </c>
      <c r="P19" s="27"/>
      <c r="Q19" s="27"/>
      <c r="R19" s="27"/>
      <c r="S19" s="24"/>
    </row>
    <row r="20" spans="1:19">
      <c r="A20" s="29"/>
      <c r="B20" s="7"/>
      <c r="C20" s="7"/>
      <c r="D20" s="7"/>
      <c r="E20" s="7"/>
      <c r="I20" s="24"/>
      <c r="K20" s="29"/>
      <c r="L20" s="7"/>
      <c r="M20" s="7"/>
      <c r="N20" s="7"/>
      <c r="O20" s="7"/>
      <c r="S20" s="24"/>
    </row>
    <row r="21" spans="1:19">
      <c r="A21" s="29">
        <v>4</v>
      </c>
      <c r="B21" s="822" t="s">
        <v>57</v>
      </c>
      <c r="C21" s="822"/>
      <c r="D21" s="822"/>
      <c r="E21" s="31" t="s">
        <v>58</v>
      </c>
      <c r="F21" s="27"/>
      <c r="G21" s="27"/>
      <c r="H21" s="27"/>
      <c r="I21" s="24"/>
      <c r="K21" s="29">
        <v>4</v>
      </c>
      <c r="L21" s="822" t="s">
        <v>57</v>
      </c>
      <c r="M21" s="822"/>
      <c r="N21" s="822"/>
      <c r="O21" s="31" t="s">
        <v>58</v>
      </c>
      <c r="P21" s="27"/>
      <c r="Q21" s="27"/>
      <c r="R21" s="27"/>
      <c r="S21" s="24"/>
    </row>
    <row r="22" spans="1:19">
      <c r="A22" s="29"/>
      <c r="B22" s="7"/>
      <c r="C22" s="7"/>
      <c r="D22" s="7"/>
      <c r="E22" s="7"/>
      <c r="I22" s="24"/>
      <c r="K22" s="29"/>
      <c r="L22" s="7"/>
      <c r="M22" s="7"/>
      <c r="N22" s="7"/>
      <c r="O22" s="7"/>
      <c r="S22" s="24"/>
    </row>
    <row r="23" spans="1:19">
      <c r="A23" s="29">
        <v>5</v>
      </c>
      <c r="B23" s="822" t="s">
        <v>59</v>
      </c>
      <c r="C23" s="822"/>
      <c r="D23" s="822"/>
      <c r="E23" s="344">
        <f>'4-22Master'!AN18</f>
        <v>63276.5003</v>
      </c>
      <c r="I23" s="24"/>
      <c r="K23" s="29">
        <v>5</v>
      </c>
      <c r="L23" s="822" t="s">
        <v>59</v>
      </c>
      <c r="M23" s="822"/>
      <c r="N23" s="822"/>
      <c r="O23" s="344">
        <f>E23</f>
        <v>63276.5003</v>
      </c>
      <c r="S23" s="24"/>
    </row>
    <row r="24" spans="1:19">
      <c r="A24" s="29"/>
      <c r="B24" s="7"/>
      <c r="C24" s="7"/>
      <c r="D24" s="345" t="s">
        <v>60</v>
      </c>
      <c r="E24" s="345" t="s">
        <v>31</v>
      </c>
      <c r="F24" s="345" t="s">
        <v>33</v>
      </c>
      <c r="G24" s="345" t="s">
        <v>34</v>
      </c>
      <c r="H24" s="345" t="s">
        <v>395</v>
      </c>
      <c r="I24" s="343" t="s">
        <v>396</v>
      </c>
      <c r="K24" s="29"/>
      <c r="L24" s="7"/>
      <c r="M24" s="7"/>
      <c r="N24" s="345" t="s">
        <v>60</v>
      </c>
      <c r="O24" s="345" t="s">
        <v>31</v>
      </c>
      <c r="P24" s="345" t="s">
        <v>33</v>
      </c>
      <c r="Q24" s="345" t="s">
        <v>34</v>
      </c>
      <c r="R24" s="345" t="s">
        <v>395</v>
      </c>
      <c r="S24" s="343" t="s">
        <v>396</v>
      </c>
    </row>
    <row r="25" spans="1:19">
      <c r="A25" s="29">
        <v>6</v>
      </c>
      <c r="B25" s="36" t="s">
        <v>61</v>
      </c>
      <c r="C25" s="36"/>
      <c r="D25" s="346">
        <f>'4-22Master'!AP18</f>
        <v>1800</v>
      </c>
      <c r="E25" s="346">
        <v>0</v>
      </c>
      <c r="F25" s="347">
        <f>'4-22Master'!AQ18</f>
        <v>200</v>
      </c>
      <c r="G25" s="346">
        <f>'4-22Master'!AR18</f>
        <v>0</v>
      </c>
      <c r="H25" s="347">
        <f>'4-22Master'!AS18</f>
        <v>440.76132899999999</v>
      </c>
      <c r="I25" s="347">
        <f>D25+E25+F25+G25+H25</f>
        <v>2440.7613289999999</v>
      </c>
      <c r="K25" s="29">
        <v>6</v>
      </c>
      <c r="L25" s="36" t="s">
        <v>61</v>
      </c>
      <c r="M25" s="36"/>
      <c r="N25" s="346">
        <f t="shared" ref="N25:S25" si="0">D25</f>
        <v>1800</v>
      </c>
      <c r="O25" s="346">
        <f t="shared" si="0"/>
        <v>0</v>
      </c>
      <c r="P25" s="347">
        <f t="shared" si="0"/>
        <v>200</v>
      </c>
      <c r="Q25" s="346">
        <f t="shared" si="0"/>
        <v>0</v>
      </c>
      <c r="R25" s="347">
        <f t="shared" si="0"/>
        <v>440.76132899999999</v>
      </c>
      <c r="S25" s="347">
        <f t="shared" si="0"/>
        <v>2440.7613289999999</v>
      </c>
    </row>
    <row r="26" spans="1:19">
      <c r="A26" s="29"/>
      <c r="B26" s="7"/>
      <c r="C26" s="7"/>
      <c r="D26" s="7"/>
      <c r="E26" s="7"/>
      <c r="I26" s="24"/>
      <c r="K26" s="29"/>
      <c r="L26" s="7"/>
      <c r="M26" s="7"/>
      <c r="N26" s="7"/>
      <c r="O26" s="7"/>
      <c r="S26" s="24"/>
    </row>
    <row r="27" spans="1:19">
      <c r="A27" s="29">
        <v>7</v>
      </c>
      <c r="B27" s="822" t="s">
        <v>62</v>
      </c>
      <c r="C27" s="822"/>
      <c r="D27" s="822"/>
      <c r="E27" s="32">
        <f>E23-I25</f>
        <v>60835.738970999999</v>
      </c>
      <c r="F27" s="27"/>
      <c r="G27" s="27"/>
      <c r="H27" s="27"/>
      <c r="I27" s="24"/>
      <c r="K27" s="29">
        <v>7</v>
      </c>
      <c r="L27" s="822" t="s">
        <v>62</v>
      </c>
      <c r="M27" s="822"/>
      <c r="N27" s="822"/>
      <c r="O27" s="32">
        <f>E27</f>
        <v>60835.738970999999</v>
      </c>
      <c r="P27" s="27"/>
      <c r="Q27" s="27"/>
      <c r="R27" s="27"/>
      <c r="S27" s="24"/>
    </row>
    <row r="28" spans="1:19">
      <c r="A28" s="23"/>
      <c r="I28" s="24"/>
      <c r="K28" s="23"/>
      <c r="S28" s="24"/>
    </row>
    <row r="29" spans="1:19">
      <c r="A29" s="23"/>
      <c r="I29" s="24"/>
      <c r="K29" s="23"/>
      <c r="S29" s="24"/>
    </row>
    <row r="30" spans="1:19" ht="15.75" thickBot="1">
      <c r="A30" s="23"/>
      <c r="F30" s="33"/>
      <c r="G30" s="33"/>
      <c r="H30" s="33"/>
      <c r="I30" s="34"/>
      <c r="K30" s="23"/>
      <c r="P30" s="33"/>
      <c r="Q30" s="33"/>
      <c r="R30" s="33"/>
      <c r="S30" s="34"/>
    </row>
    <row r="31" spans="1:19" ht="15.75" thickBot="1">
      <c r="A31" s="35"/>
      <c r="B31" s="33"/>
      <c r="C31" s="33"/>
      <c r="D31" s="33"/>
      <c r="E31" s="33"/>
      <c r="F31" s="828" t="s">
        <v>63</v>
      </c>
      <c r="G31" s="828"/>
      <c r="H31" s="828"/>
      <c r="I31" s="829"/>
      <c r="K31" s="35"/>
      <c r="L31" s="33"/>
      <c r="M31" s="33"/>
      <c r="N31" s="33"/>
      <c r="O31" s="33"/>
      <c r="P31" s="828" t="s">
        <v>63</v>
      </c>
      <c r="Q31" s="828"/>
      <c r="R31" s="828"/>
      <c r="S31" s="829"/>
    </row>
    <row r="43" spans="1:19" ht="15.75" thickBot="1"/>
    <row r="44" spans="1:19" ht="26.25">
      <c r="A44" s="830" t="s">
        <v>482</v>
      </c>
      <c r="B44" s="831"/>
      <c r="C44" s="831"/>
      <c r="D44" s="831"/>
      <c r="E44" s="831"/>
      <c r="F44" s="831"/>
      <c r="G44" s="831"/>
      <c r="H44" s="831"/>
      <c r="I44" s="832"/>
      <c r="J44" s="95"/>
      <c r="K44" s="830" t="str">
        <f>A44</f>
        <v>Form XV - WAGE SLIP</v>
      </c>
      <c r="L44" s="831"/>
      <c r="M44" s="831"/>
      <c r="N44" s="831"/>
      <c r="O44" s="831"/>
      <c r="P44" s="831"/>
      <c r="Q44" s="831"/>
      <c r="R44" s="831"/>
      <c r="S44" s="832"/>
    </row>
    <row r="45" spans="1:19">
      <c r="A45" s="823" t="s">
        <v>483</v>
      </c>
      <c r="B45" s="824"/>
      <c r="C45" s="824"/>
      <c r="D45" s="824"/>
      <c r="E45" s="824"/>
      <c r="F45" s="824"/>
      <c r="G45" s="824"/>
      <c r="H45" s="824"/>
      <c r="I45" s="825"/>
      <c r="J45" s="439"/>
      <c r="K45" s="823" t="str">
        <f>A45</f>
        <v>[Vide rule 78 (1) (b) of the Contract Labour (Regulation and Abolition) and Maharashtra  Rules, 1971]</v>
      </c>
      <c r="L45" s="824"/>
      <c r="M45" s="824"/>
      <c r="N45" s="824"/>
      <c r="O45" s="824"/>
      <c r="P45" s="824"/>
      <c r="Q45" s="824"/>
      <c r="R45" s="824"/>
      <c r="S45" s="825"/>
    </row>
    <row r="46" spans="1:19">
      <c r="A46" s="23"/>
      <c r="I46" s="24"/>
      <c r="K46" s="23"/>
      <c r="S46" s="24"/>
    </row>
    <row r="47" spans="1:19">
      <c r="A47" s="25" t="s">
        <v>50</v>
      </c>
      <c r="B47" s="7"/>
      <c r="C47" s="7"/>
      <c r="D47" s="11" t="str">
        <f>'4-22Master'!G5</f>
        <v>Burgeon IT Services Pvt.Ltd.</v>
      </c>
      <c r="I47" s="24"/>
      <c r="K47" s="25" t="s">
        <v>50</v>
      </c>
      <c r="L47" s="7"/>
      <c r="M47" s="7"/>
      <c r="N47" s="11" t="str">
        <f>D47</f>
        <v>Burgeon IT Services Pvt.Ltd.</v>
      </c>
      <c r="S47" s="24"/>
    </row>
    <row r="48" spans="1:19">
      <c r="A48" s="25"/>
      <c r="B48" s="7" t="str">
        <f>'4-22Master'!G6</f>
        <v>Siri Mansion LIGB 436 Dr.A S Rao Nagar,Hyderabad</v>
      </c>
      <c r="C48" s="7"/>
      <c r="D48" s="7"/>
      <c r="I48" s="24"/>
      <c r="K48" s="25"/>
      <c r="L48" s="7" t="str">
        <f>B48</f>
        <v>Siri Mansion LIGB 436 Dr.A S Rao Nagar,Hyderabad</v>
      </c>
      <c r="M48" s="7"/>
      <c r="N48" s="7"/>
      <c r="S48" s="24"/>
    </row>
    <row r="49" spans="1:19">
      <c r="A49" s="25"/>
      <c r="B49" s="7">
        <f>'4-22Master'!G7</f>
        <v>0</v>
      </c>
      <c r="C49" s="7"/>
      <c r="D49" s="7"/>
      <c r="E49" s="7"/>
      <c r="I49" s="24"/>
      <c r="K49" s="25"/>
      <c r="L49" s="7">
        <f>B49</f>
        <v>0</v>
      </c>
      <c r="M49" s="7"/>
      <c r="N49" s="7"/>
      <c r="O49" s="7"/>
      <c r="S49" s="24"/>
    </row>
    <row r="50" spans="1:19" ht="15" customHeight="1">
      <c r="A50" s="826" t="s">
        <v>51</v>
      </c>
      <c r="B50" s="827"/>
      <c r="C50" s="827"/>
      <c r="D50" s="827"/>
      <c r="E50" s="7"/>
      <c r="I50" s="24"/>
      <c r="K50" s="826" t="s">
        <v>51</v>
      </c>
      <c r="L50" s="827"/>
      <c r="M50" s="827"/>
      <c r="N50" s="827"/>
      <c r="O50" s="7"/>
      <c r="S50" s="24"/>
    </row>
    <row r="51" spans="1:19">
      <c r="A51" s="826"/>
      <c r="B51" s="827"/>
      <c r="C51" s="827"/>
      <c r="D51" s="827"/>
      <c r="E51" s="26" t="e">
        <f>'4-22Master'!#REF!</f>
        <v>#REF!</v>
      </c>
      <c r="F51" s="27"/>
      <c r="G51" s="27"/>
      <c r="H51" s="27"/>
      <c r="I51" s="24"/>
      <c r="K51" s="826"/>
      <c r="L51" s="827"/>
      <c r="M51" s="827"/>
      <c r="N51" s="827"/>
      <c r="O51" s="26" t="e">
        <f>E51</f>
        <v>#REF!</v>
      </c>
      <c r="P51" s="27"/>
      <c r="Q51" s="27"/>
      <c r="R51" s="27"/>
      <c r="S51" s="24"/>
    </row>
    <row r="52" spans="1:19">
      <c r="A52" s="25"/>
      <c r="B52" s="7"/>
      <c r="C52" s="7"/>
      <c r="D52" s="7"/>
      <c r="E52" s="7"/>
      <c r="I52" s="24"/>
      <c r="K52" s="25"/>
      <c r="L52" s="7"/>
      <c r="M52" s="7"/>
      <c r="N52" s="7"/>
      <c r="O52" s="7"/>
      <c r="S52" s="24"/>
    </row>
    <row r="53" spans="1:19">
      <c r="A53" s="821" t="s">
        <v>52</v>
      </c>
      <c r="B53" s="822"/>
      <c r="C53" s="822"/>
      <c r="D53" s="822"/>
      <c r="E53" s="26" t="str">
        <f>'4-22Master'!G8</f>
        <v>IT SUPPORTIVE SERVICES&amp; PUNE STP</v>
      </c>
      <c r="F53" s="27"/>
      <c r="G53" s="27"/>
      <c r="H53" s="27"/>
      <c r="I53" s="24"/>
      <c r="K53" s="821" t="s">
        <v>52</v>
      </c>
      <c r="L53" s="822"/>
      <c r="M53" s="822"/>
      <c r="N53" s="822"/>
      <c r="O53" s="26" t="str">
        <f>E53</f>
        <v>IT SUPPORTIVE SERVICES&amp; PUNE STP</v>
      </c>
      <c r="P53" s="27"/>
      <c r="Q53" s="27"/>
      <c r="R53" s="27"/>
      <c r="S53" s="24"/>
    </row>
    <row r="54" spans="1:19">
      <c r="A54" s="25"/>
      <c r="B54" s="7"/>
      <c r="C54" s="7"/>
      <c r="D54" s="7"/>
      <c r="E54" s="7"/>
      <c r="I54" s="24"/>
      <c r="K54" s="25"/>
      <c r="L54" s="7"/>
      <c r="M54" s="7"/>
      <c r="N54" s="7"/>
      <c r="O54" s="7"/>
      <c r="S54" s="24"/>
    </row>
    <row r="55" spans="1:19">
      <c r="A55" s="821" t="s">
        <v>53</v>
      </c>
      <c r="B55" s="822"/>
      <c r="C55" s="822"/>
      <c r="D55" s="822"/>
      <c r="E55" s="28">
        <f>'4-22Master'!E10</f>
        <v>44652</v>
      </c>
      <c r="F55" s="27"/>
      <c r="G55" s="27"/>
      <c r="H55" s="27"/>
      <c r="I55" s="24"/>
      <c r="K55" s="821" t="s">
        <v>53</v>
      </c>
      <c r="L55" s="822"/>
      <c r="M55" s="822"/>
      <c r="N55" s="822"/>
      <c r="O55" s="28">
        <f>E55</f>
        <v>44652</v>
      </c>
      <c r="P55" s="27"/>
      <c r="Q55" s="27"/>
      <c r="R55" s="27"/>
      <c r="S55" s="24"/>
    </row>
    <row r="56" spans="1:19">
      <c r="A56" s="25"/>
      <c r="B56" s="7"/>
      <c r="C56" s="7"/>
      <c r="D56" s="7"/>
      <c r="E56" s="7"/>
      <c r="I56" s="24"/>
      <c r="K56" s="25"/>
      <c r="L56" s="7"/>
      <c r="M56" s="7"/>
      <c r="N56" s="7"/>
      <c r="O56" s="7"/>
      <c r="S56" s="24"/>
    </row>
    <row r="57" spans="1:19">
      <c r="A57" s="29">
        <v>1</v>
      </c>
      <c r="B57" s="822" t="s">
        <v>54</v>
      </c>
      <c r="C57" s="822"/>
      <c r="D57" s="822"/>
      <c r="E57" s="30" t="e">
        <f>'4-22Master'!#REF!</f>
        <v>#REF!</v>
      </c>
      <c r="F57" s="27"/>
      <c r="G57" s="27"/>
      <c r="H57" s="27"/>
      <c r="I57" s="24"/>
      <c r="K57" s="29">
        <v>1</v>
      </c>
      <c r="L57" s="822" t="s">
        <v>54</v>
      </c>
      <c r="M57" s="822"/>
      <c r="N57" s="822"/>
      <c r="O57" s="30" t="e">
        <f>E57</f>
        <v>#REF!</v>
      </c>
      <c r="P57" s="27"/>
      <c r="Q57" s="27"/>
      <c r="R57" s="27"/>
      <c r="S57" s="24"/>
    </row>
    <row r="58" spans="1:19">
      <c r="A58" s="29"/>
      <c r="B58" s="7"/>
      <c r="C58" s="7"/>
      <c r="D58" s="7"/>
      <c r="E58" s="7"/>
      <c r="I58" s="24"/>
      <c r="K58" s="29"/>
      <c r="L58" s="7"/>
      <c r="M58" s="7"/>
      <c r="N58" s="7"/>
      <c r="O58" s="7"/>
      <c r="S58" s="24"/>
    </row>
    <row r="59" spans="1:19" ht="15" customHeight="1">
      <c r="A59" s="29">
        <v>2</v>
      </c>
      <c r="B59" s="827" t="s">
        <v>55</v>
      </c>
      <c r="C59" s="827"/>
      <c r="D59" s="827"/>
      <c r="E59" s="7"/>
      <c r="I59" s="24"/>
      <c r="K59" s="29">
        <v>2</v>
      </c>
      <c r="L59" s="827" t="s">
        <v>55</v>
      </c>
      <c r="M59" s="827"/>
      <c r="N59" s="827"/>
      <c r="O59" s="7"/>
      <c r="S59" s="24"/>
    </row>
    <row r="60" spans="1:19">
      <c r="A60" s="29"/>
      <c r="B60" s="827"/>
      <c r="C60" s="827"/>
      <c r="D60" s="827"/>
      <c r="E60" s="31" t="s">
        <v>37</v>
      </c>
      <c r="F60" s="27"/>
      <c r="G60" s="27"/>
      <c r="H60" s="27"/>
      <c r="I60" s="24"/>
      <c r="K60" s="29"/>
      <c r="L60" s="827"/>
      <c r="M60" s="827"/>
      <c r="N60" s="827"/>
      <c r="O60" s="31" t="s">
        <v>37</v>
      </c>
      <c r="P60" s="27"/>
      <c r="Q60" s="27"/>
      <c r="R60" s="27"/>
      <c r="S60" s="24"/>
    </row>
    <row r="61" spans="1:19">
      <c r="A61" s="29"/>
      <c r="B61" s="7"/>
      <c r="C61" s="7"/>
      <c r="D61" s="7"/>
      <c r="E61" s="7"/>
      <c r="I61" s="24"/>
      <c r="K61" s="29"/>
      <c r="L61" s="7"/>
      <c r="M61" s="7"/>
      <c r="N61" s="7"/>
      <c r="O61" s="7"/>
      <c r="S61" s="24"/>
    </row>
    <row r="62" spans="1:19">
      <c r="A62" s="29">
        <v>3</v>
      </c>
      <c r="B62" s="822" t="s">
        <v>56</v>
      </c>
      <c r="C62" s="822"/>
      <c r="D62" s="822"/>
      <c r="E62" s="31" t="s">
        <v>37</v>
      </c>
      <c r="F62" s="27"/>
      <c r="G62" s="27"/>
      <c r="H62" s="27"/>
      <c r="I62" s="24"/>
      <c r="K62" s="29">
        <v>3</v>
      </c>
      <c r="L62" s="822" t="s">
        <v>56</v>
      </c>
      <c r="M62" s="822"/>
      <c r="N62" s="822"/>
      <c r="O62" s="26" t="str">
        <f>E62</f>
        <v>N/A</v>
      </c>
      <c r="P62" s="27"/>
      <c r="Q62" s="27"/>
      <c r="R62" s="27"/>
      <c r="S62" s="24"/>
    </row>
    <row r="63" spans="1:19">
      <c r="A63" s="29"/>
      <c r="B63" s="7"/>
      <c r="C63" s="7"/>
      <c r="D63" s="7"/>
      <c r="E63" s="7"/>
      <c r="I63" s="24"/>
      <c r="K63" s="29"/>
      <c r="L63" s="7"/>
      <c r="M63" s="7"/>
      <c r="N63" s="7"/>
      <c r="O63" s="7"/>
      <c r="S63" s="24"/>
    </row>
    <row r="64" spans="1:19">
      <c r="A64" s="29">
        <v>4</v>
      </c>
      <c r="B64" s="822" t="s">
        <v>57</v>
      </c>
      <c r="C64" s="822"/>
      <c r="D64" s="822"/>
      <c r="E64" s="31" t="s">
        <v>58</v>
      </c>
      <c r="F64" s="27"/>
      <c r="G64" s="27"/>
      <c r="H64" s="27"/>
      <c r="I64" s="24"/>
      <c r="K64" s="29">
        <v>4</v>
      </c>
      <c r="L64" s="822" t="s">
        <v>57</v>
      </c>
      <c r="M64" s="822"/>
      <c r="N64" s="822"/>
      <c r="O64" s="31" t="s">
        <v>58</v>
      </c>
      <c r="P64" s="27"/>
      <c r="Q64" s="27"/>
      <c r="R64" s="27"/>
      <c r="S64" s="24"/>
    </row>
    <row r="65" spans="1:19">
      <c r="A65" s="29"/>
      <c r="B65" s="7"/>
      <c r="C65" s="7"/>
      <c r="D65" s="7"/>
      <c r="E65" s="7"/>
      <c r="I65" s="24"/>
      <c r="K65" s="29"/>
      <c r="L65" s="7"/>
      <c r="M65" s="7"/>
      <c r="N65" s="7"/>
      <c r="O65" s="7"/>
      <c r="S65" s="24"/>
    </row>
    <row r="66" spans="1:19">
      <c r="A66" s="29">
        <v>5</v>
      </c>
      <c r="B66" s="822" t="s">
        <v>59</v>
      </c>
      <c r="C66" s="822"/>
      <c r="D66" s="822"/>
      <c r="E66" s="344" t="e">
        <f>'4-22Master'!#REF!</f>
        <v>#REF!</v>
      </c>
      <c r="I66" s="24"/>
      <c r="K66" s="29">
        <v>5</v>
      </c>
      <c r="L66" s="822" t="s">
        <v>59</v>
      </c>
      <c r="M66" s="822"/>
      <c r="N66" s="822"/>
      <c r="O66" s="344" t="e">
        <f>E66</f>
        <v>#REF!</v>
      </c>
      <c r="S66" s="24"/>
    </row>
    <row r="67" spans="1:19">
      <c r="A67" s="29"/>
      <c r="B67" s="7"/>
      <c r="C67" s="7"/>
      <c r="D67" s="345" t="s">
        <v>60</v>
      </c>
      <c r="E67" s="345" t="s">
        <v>31</v>
      </c>
      <c r="F67" s="345" t="s">
        <v>33</v>
      </c>
      <c r="G67" s="345" t="s">
        <v>34</v>
      </c>
      <c r="H67" s="345" t="s">
        <v>395</v>
      </c>
      <c r="I67" s="343" t="s">
        <v>396</v>
      </c>
      <c r="K67" s="29"/>
      <c r="L67" s="7"/>
      <c r="M67" s="7"/>
      <c r="N67" s="345" t="s">
        <v>60</v>
      </c>
      <c r="O67" s="345" t="s">
        <v>31</v>
      </c>
      <c r="P67" s="345" t="s">
        <v>33</v>
      </c>
      <c r="Q67" s="345" t="s">
        <v>34</v>
      </c>
      <c r="R67" s="345" t="s">
        <v>395</v>
      </c>
      <c r="S67" s="343" t="s">
        <v>396</v>
      </c>
    </row>
    <row r="68" spans="1:19">
      <c r="A68" s="29">
        <v>6</v>
      </c>
      <c r="B68" s="36" t="s">
        <v>61</v>
      </c>
      <c r="C68" s="36"/>
      <c r="D68" s="346" t="e">
        <f>'4-22Master'!#REF!</f>
        <v>#REF!</v>
      </c>
      <c r="E68" s="346" t="e">
        <f>'4-22Master'!#REF!</f>
        <v>#REF!</v>
      </c>
      <c r="F68" s="347" t="e">
        <f>'4-22Master'!#REF!</f>
        <v>#REF!</v>
      </c>
      <c r="G68" s="346" t="e">
        <f>'4-22Master'!#REF!</f>
        <v>#REF!</v>
      </c>
      <c r="H68" s="347" t="e">
        <f>'4-22Master'!#REF!</f>
        <v>#REF!</v>
      </c>
      <c r="I68" s="347" t="e">
        <f>D68+E68+F68+G68+H68</f>
        <v>#REF!</v>
      </c>
      <c r="K68" s="29">
        <v>6</v>
      </c>
      <c r="L68" s="36" t="s">
        <v>61</v>
      </c>
      <c r="M68" s="36"/>
      <c r="N68" s="346" t="e">
        <f t="shared" ref="N68:S68" si="1">D68</f>
        <v>#REF!</v>
      </c>
      <c r="O68" s="346" t="e">
        <f t="shared" si="1"/>
        <v>#REF!</v>
      </c>
      <c r="P68" s="347" t="e">
        <f t="shared" si="1"/>
        <v>#REF!</v>
      </c>
      <c r="Q68" s="346" t="e">
        <f t="shared" si="1"/>
        <v>#REF!</v>
      </c>
      <c r="R68" s="347" t="e">
        <f t="shared" si="1"/>
        <v>#REF!</v>
      </c>
      <c r="S68" s="347" t="e">
        <f t="shared" si="1"/>
        <v>#REF!</v>
      </c>
    </row>
    <row r="69" spans="1:19">
      <c r="A69" s="29"/>
      <c r="B69" s="7"/>
      <c r="C69" s="7"/>
      <c r="D69" s="7"/>
      <c r="E69" s="7"/>
      <c r="I69" s="24"/>
      <c r="K69" s="29"/>
      <c r="L69" s="7"/>
      <c r="M69" s="7"/>
      <c r="N69" s="7"/>
      <c r="O69" s="7"/>
      <c r="S69" s="24"/>
    </row>
    <row r="70" spans="1:19">
      <c r="A70" s="29">
        <v>7</v>
      </c>
      <c r="B70" s="822" t="s">
        <v>62</v>
      </c>
      <c r="C70" s="822"/>
      <c r="D70" s="822"/>
      <c r="E70" s="32" t="e">
        <f>E66-I68</f>
        <v>#REF!</v>
      </c>
      <c r="F70" s="27"/>
      <c r="G70" s="27"/>
      <c r="H70" s="27"/>
      <c r="I70" s="24"/>
      <c r="K70" s="29">
        <v>7</v>
      </c>
      <c r="L70" s="822" t="s">
        <v>62</v>
      </c>
      <c r="M70" s="822"/>
      <c r="N70" s="822"/>
      <c r="O70" s="32" t="e">
        <f>E70</f>
        <v>#REF!</v>
      </c>
      <c r="P70" s="27"/>
      <c r="Q70" s="27"/>
      <c r="R70" s="27"/>
      <c r="S70" s="24"/>
    </row>
    <row r="71" spans="1:19">
      <c r="A71" s="23"/>
      <c r="I71" s="24"/>
      <c r="K71" s="23"/>
      <c r="S71" s="24"/>
    </row>
    <row r="72" spans="1:19">
      <c r="A72" s="23"/>
      <c r="I72" s="24"/>
      <c r="K72" s="23"/>
      <c r="S72" s="24"/>
    </row>
    <row r="73" spans="1:19" ht="15.75" thickBot="1">
      <c r="A73" s="23"/>
      <c r="F73" s="33"/>
      <c r="G73" s="33"/>
      <c r="H73" s="33"/>
      <c r="I73" s="34"/>
      <c r="K73" s="23"/>
      <c r="P73" s="33"/>
      <c r="Q73" s="33"/>
      <c r="R73" s="33"/>
      <c r="S73" s="34"/>
    </row>
    <row r="74" spans="1:19" ht="15.75" thickBot="1">
      <c r="A74" s="35"/>
      <c r="B74" s="33"/>
      <c r="C74" s="33"/>
      <c r="D74" s="33"/>
      <c r="E74" s="33"/>
      <c r="F74" s="828" t="s">
        <v>63</v>
      </c>
      <c r="G74" s="828"/>
      <c r="H74" s="828"/>
      <c r="I74" s="829"/>
      <c r="K74" s="35"/>
      <c r="L74" s="33"/>
      <c r="M74" s="33"/>
      <c r="N74" s="33"/>
      <c r="O74" s="33"/>
      <c r="P74" s="828" t="s">
        <v>63</v>
      </c>
      <c r="Q74" s="828"/>
      <c r="R74" s="828"/>
      <c r="S74" s="829"/>
    </row>
    <row r="87" spans="1:19" ht="15.75" thickBot="1"/>
    <row r="88" spans="1:19" ht="26.25">
      <c r="A88" s="830" t="s">
        <v>482</v>
      </c>
      <c r="B88" s="831"/>
      <c r="C88" s="831"/>
      <c r="D88" s="831"/>
      <c r="E88" s="831"/>
      <c r="F88" s="831"/>
      <c r="G88" s="831"/>
      <c r="H88" s="831"/>
      <c r="I88" s="832"/>
      <c r="J88" s="95"/>
      <c r="K88" s="830" t="str">
        <f>A88</f>
        <v>Form XV - WAGE SLIP</v>
      </c>
      <c r="L88" s="831"/>
      <c r="M88" s="831"/>
      <c r="N88" s="831"/>
      <c r="O88" s="831"/>
      <c r="P88" s="831"/>
      <c r="Q88" s="831"/>
      <c r="R88" s="831"/>
      <c r="S88" s="832"/>
    </row>
    <row r="89" spans="1:19">
      <c r="A89" s="823" t="s">
        <v>483</v>
      </c>
      <c r="B89" s="824"/>
      <c r="C89" s="824"/>
      <c r="D89" s="824"/>
      <c r="E89" s="824"/>
      <c r="F89" s="824"/>
      <c r="G89" s="824"/>
      <c r="H89" s="824"/>
      <c r="I89" s="825"/>
      <c r="J89" s="439"/>
      <c r="K89" s="823" t="str">
        <f>A89</f>
        <v>[Vide rule 78 (1) (b) of the Contract Labour (Regulation and Abolition) and Maharashtra  Rules, 1971]</v>
      </c>
      <c r="L89" s="824"/>
      <c r="M89" s="824"/>
      <c r="N89" s="824"/>
      <c r="O89" s="824"/>
      <c r="P89" s="824"/>
      <c r="Q89" s="824"/>
      <c r="R89" s="824"/>
      <c r="S89" s="825"/>
    </row>
    <row r="90" spans="1:19">
      <c r="A90" s="23"/>
      <c r="I90" s="24"/>
      <c r="K90" s="23"/>
      <c r="S90" s="24"/>
    </row>
    <row r="91" spans="1:19">
      <c r="A91" s="25" t="s">
        <v>50</v>
      </c>
      <c r="B91" s="7"/>
      <c r="C91" s="7"/>
      <c r="D91" s="11" t="str">
        <f>'4-22Master'!G5</f>
        <v>Burgeon IT Services Pvt.Ltd.</v>
      </c>
      <c r="I91" s="24"/>
      <c r="K91" s="25" t="s">
        <v>50</v>
      </c>
      <c r="L91" s="7"/>
      <c r="M91" s="7"/>
      <c r="N91" s="11" t="str">
        <f>D91</f>
        <v>Burgeon IT Services Pvt.Ltd.</v>
      </c>
      <c r="S91" s="24"/>
    </row>
    <row r="92" spans="1:19">
      <c r="A92" s="25"/>
      <c r="B92" s="7" t="str">
        <f>'4-22Master'!G6</f>
        <v>Siri Mansion LIGB 436 Dr.A S Rao Nagar,Hyderabad</v>
      </c>
      <c r="C92" s="7"/>
      <c r="D92" s="7"/>
      <c r="I92" s="24"/>
      <c r="K92" s="25"/>
      <c r="L92" s="7" t="str">
        <f>B92</f>
        <v>Siri Mansion LIGB 436 Dr.A S Rao Nagar,Hyderabad</v>
      </c>
      <c r="M92" s="7"/>
      <c r="N92" s="7"/>
      <c r="S92" s="24"/>
    </row>
    <row r="93" spans="1:19">
      <c r="A93" s="25"/>
      <c r="B93" s="7">
        <f>'4-22Master'!G7</f>
        <v>0</v>
      </c>
      <c r="C93" s="7"/>
      <c r="D93" s="7"/>
      <c r="E93" s="7"/>
      <c r="I93" s="24"/>
      <c r="K93" s="25"/>
      <c r="L93" s="7">
        <f>B93</f>
        <v>0</v>
      </c>
      <c r="M93" s="7"/>
      <c r="N93" s="7"/>
      <c r="O93" s="7"/>
      <c r="S93" s="24"/>
    </row>
    <row r="94" spans="1:19" ht="15" customHeight="1">
      <c r="A94" s="826" t="s">
        <v>51</v>
      </c>
      <c r="B94" s="827"/>
      <c r="C94" s="827"/>
      <c r="D94" s="827"/>
      <c r="E94" s="7"/>
      <c r="I94" s="24"/>
      <c r="K94" s="826" t="s">
        <v>51</v>
      </c>
      <c r="L94" s="827"/>
      <c r="M94" s="827"/>
      <c r="N94" s="827"/>
      <c r="O94" s="7"/>
      <c r="S94" s="24"/>
    </row>
    <row r="95" spans="1:19">
      <c r="A95" s="826"/>
      <c r="B95" s="827"/>
      <c r="C95" s="827"/>
      <c r="D95" s="827"/>
      <c r="E95" s="26" t="e">
        <f>'4-22Master'!#REF!</f>
        <v>#REF!</v>
      </c>
      <c r="F95" s="27"/>
      <c r="G95" s="27"/>
      <c r="H95" s="27"/>
      <c r="I95" s="24"/>
      <c r="K95" s="826"/>
      <c r="L95" s="827"/>
      <c r="M95" s="827"/>
      <c r="N95" s="827"/>
      <c r="O95" s="26" t="e">
        <f>E95</f>
        <v>#REF!</v>
      </c>
      <c r="P95" s="27"/>
      <c r="Q95" s="27"/>
      <c r="R95" s="27"/>
      <c r="S95" s="24"/>
    </row>
    <row r="96" spans="1:19">
      <c r="A96" s="25"/>
      <c r="B96" s="7"/>
      <c r="C96" s="7"/>
      <c r="D96" s="7"/>
      <c r="E96" s="7"/>
      <c r="I96" s="24"/>
      <c r="K96" s="25"/>
      <c r="L96" s="7"/>
      <c r="M96" s="7"/>
      <c r="N96" s="7"/>
      <c r="O96" s="7"/>
      <c r="S96" s="24"/>
    </row>
    <row r="97" spans="1:19">
      <c r="A97" s="821" t="s">
        <v>52</v>
      </c>
      <c r="B97" s="822"/>
      <c r="C97" s="822"/>
      <c r="D97" s="822"/>
      <c r="E97" s="26" t="str">
        <f>'4-22Master'!G8</f>
        <v>IT SUPPORTIVE SERVICES&amp; PUNE STP</v>
      </c>
      <c r="F97" s="27"/>
      <c r="G97" s="27"/>
      <c r="H97" s="27"/>
      <c r="I97" s="24"/>
      <c r="K97" s="821" t="s">
        <v>52</v>
      </c>
      <c r="L97" s="822"/>
      <c r="M97" s="822"/>
      <c r="N97" s="822"/>
      <c r="O97" s="26" t="str">
        <f>E97</f>
        <v>IT SUPPORTIVE SERVICES&amp; PUNE STP</v>
      </c>
      <c r="P97" s="27"/>
      <c r="Q97" s="27"/>
      <c r="R97" s="27"/>
      <c r="S97" s="24"/>
    </row>
    <row r="98" spans="1:19">
      <c r="A98" s="25"/>
      <c r="B98" s="7"/>
      <c r="C98" s="7"/>
      <c r="D98" s="7"/>
      <c r="E98" s="7"/>
      <c r="I98" s="24"/>
      <c r="K98" s="25"/>
      <c r="L98" s="7"/>
      <c r="M98" s="7"/>
      <c r="N98" s="7"/>
      <c r="O98" s="7"/>
      <c r="S98" s="24"/>
    </row>
    <row r="99" spans="1:19">
      <c r="A99" s="821" t="s">
        <v>53</v>
      </c>
      <c r="B99" s="822"/>
      <c r="C99" s="822"/>
      <c r="D99" s="822"/>
      <c r="E99" s="28">
        <f>'4-22Master'!E10</f>
        <v>44652</v>
      </c>
      <c r="F99" s="27"/>
      <c r="G99" s="27"/>
      <c r="H99" s="27"/>
      <c r="I99" s="24"/>
      <c r="K99" s="821" t="s">
        <v>53</v>
      </c>
      <c r="L99" s="822"/>
      <c r="M99" s="822"/>
      <c r="N99" s="822"/>
      <c r="O99" s="28">
        <f>E99</f>
        <v>44652</v>
      </c>
      <c r="P99" s="27"/>
      <c r="Q99" s="27"/>
      <c r="R99" s="27"/>
      <c r="S99" s="24"/>
    </row>
    <row r="100" spans="1:19">
      <c r="A100" s="25"/>
      <c r="B100" s="7"/>
      <c r="C100" s="7"/>
      <c r="D100" s="7"/>
      <c r="E100" s="7"/>
      <c r="I100" s="24"/>
      <c r="K100" s="25"/>
      <c r="L100" s="7"/>
      <c r="M100" s="7"/>
      <c r="N100" s="7"/>
      <c r="O100" s="7"/>
      <c r="S100" s="24"/>
    </row>
    <row r="101" spans="1:19">
      <c r="A101" s="29">
        <v>1</v>
      </c>
      <c r="B101" s="822" t="s">
        <v>54</v>
      </c>
      <c r="C101" s="822"/>
      <c r="D101" s="822"/>
      <c r="E101" s="30" t="e">
        <f>'4-22Master'!#REF!</f>
        <v>#REF!</v>
      </c>
      <c r="F101" s="27"/>
      <c r="G101" s="27"/>
      <c r="H101" s="27"/>
      <c r="I101" s="24"/>
      <c r="K101" s="29">
        <v>1</v>
      </c>
      <c r="L101" s="822" t="s">
        <v>54</v>
      </c>
      <c r="M101" s="822"/>
      <c r="N101" s="822"/>
      <c r="O101" s="30" t="e">
        <f>E101</f>
        <v>#REF!</v>
      </c>
      <c r="P101" s="27"/>
      <c r="Q101" s="27"/>
      <c r="R101" s="27"/>
      <c r="S101" s="24"/>
    </row>
    <row r="102" spans="1:19">
      <c r="A102" s="29"/>
      <c r="B102" s="7"/>
      <c r="C102" s="7"/>
      <c r="D102" s="7"/>
      <c r="E102" s="7"/>
      <c r="I102" s="24"/>
      <c r="K102" s="29"/>
      <c r="L102" s="7"/>
      <c r="M102" s="7"/>
      <c r="N102" s="7"/>
      <c r="O102" s="7"/>
      <c r="S102" s="24"/>
    </row>
    <row r="103" spans="1:19" ht="15" customHeight="1">
      <c r="A103" s="29">
        <v>2</v>
      </c>
      <c r="B103" s="827" t="s">
        <v>55</v>
      </c>
      <c r="C103" s="827"/>
      <c r="D103" s="827"/>
      <c r="E103" s="7"/>
      <c r="I103" s="24"/>
      <c r="K103" s="29">
        <v>2</v>
      </c>
      <c r="L103" s="827" t="s">
        <v>55</v>
      </c>
      <c r="M103" s="827"/>
      <c r="N103" s="827"/>
      <c r="O103" s="7"/>
      <c r="S103" s="24"/>
    </row>
    <row r="104" spans="1:19">
      <c r="A104" s="29"/>
      <c r="B104" s="827"/>
      <c r="C104" s="827"/>
      <c r="D104" s="827"/>
      <c r="E104" s="31" t="s">
        <v>37</v>
      </c>
      <c r="F104" s="27"/>
      <c r="G104" s="27"/>
      <c r="H104" s="27"/>
      <c r="I104" s="24"/>
      <c r="K104" s="29"/>
      <c r="L104" s="827"/>
      <c r="M104" s="827"/>
      <c r="N104" s="827"/>
      <c r="O104" s="31" t="s">
        <v>37</v>
      </c>
      <c r="P104" s="27"/>
      <c r="Q104" s="27"/>
      <c r="R104" s="27"/>
      <c r="S104" s="24"/>
    </row>
    <row r="105" spans="1:19">
      <c r="A105" s="29"/>
      <c r="B105" s="7"/>
      <c r="C105" s="7"/>
      <c r="D105" s="7"/>
      <c r="E105" s="7"/>
      <c r="I105" s="24"/>
      <c r="K105" s="29"/>
      <c r="L105" s="7"/>
      <c r="M105" s="7"/>
      <c r="N105" s="7"/>
      <c r="O105" s="7"/>
      <c r="S105" s="24"/>
    </row>
    <row r="106" spans="1:19">
      <c r="A106" s="29">
        <v>3</v>
      </c>
      <c r="B106" s="822" t="s">
        <v>56</v>
      </c>
      <c r="C106" s="822"/>
      <c r="D106" s="822"/>
      <c r="E106" s="31" t="s">
        <v>37</v>
      </c>
      <c r="F106" s="27"/>
      <c r="G106" s="27"/>
      <c r="H106" s="27"/>
      <c r="I106" s="24"/>
      <c r="K106" s="29">
        <v>3</v>
      </c>
      <c r="L106" s="822" t="s">
        <v>56</v>
      </c>
      <c r="M106" s="822"/>
      <c r="N106" s="822"/>
      <c r="O106" s="26" t="str">
        <f>E106</f>
        <v>N/A</v>
      </c>
      <c r="P106" s="27"/>
      <c r="Q106" s="27"/>
      <c r="R106" s="27"/>
      <c r="S106" s="24"/>
    </row>
    <row r="107" spans="1:19">
      <c r="A107" s="29"/>
      <c r="B107" s="7"/>
      <c r="C107" s="7"/>
      <c r="D107" s="7"/>
      <c r="E107" s="7"/>
      <c r="I107" s="24"/>
      <c r="K107" s="29"/>
      <c r="L107" s="7"/>
      <c r="M107" s="7"/>
      <c r="N107" s="7"/>
      <c r="O107" s="7"/>
      <c r="S107" s="24"/>
    </row>
    <row r="108" spans="1:19">
      <c r="A108" s="29">
        <v>4</v>
      </c>
      <c r="B108" s="822" t="s">
        <v>57</v>
      </c>
      <c r="C108" s="822"/>
      <c r="D108" s="822"/>
      <c r="E108" s="31" t="s">
        <v>58</v>
      </c>
      <c r="F108" s="27"/>
      <c r="G108" s="27"/>
      <c r="H108" s="27"/>
      <c r="I108" s="24"/>
      <c r="K108" s="29">
        <v>4</v>
      </c>
      <c r="L108" s="822" t="s">
        <v>57</v>
      </c>
      <c r="M108" s="822"/>
      <c r="N108" s="822"/>
      <c r="O108" s="31" t="s">
        <v>58</v>
      </c>
      <c r="P108" s="27"/>
      <c r="Q108" s="27"/>
      <c r="R108" s="27"/>
      <c r="S108" s="24"/>
    </row>
    <row r="109" spans="1:19">
      <c r="A109" s="29"/>
      <c r="B109" s="7"/>
      <c r="C109" s="7"/>
      <c r="D109" s="7"/>
      <c r="E109" s="7"/>
      <c r="I109" s="24"/>
      <c r="K109" s="29"/>
      <c r="L109" s="7"/>
      <c r="M109" s="7"/>
      <c r="N109" s="7"/>
      <c r="O109" s="7"/>
      <c r="S109" s="24"/>
    </row>
    <row r="110" spans="1:19">
      <c r="A110" s="29">
        <v>5</v>
      </c>
      <c r="B110" s="822" t="s">
        <v>59</v>
      </c>
      <c r="C110" s="822"/>
      <c r="D110" s="822"/>
      <c r="E110" s="344" t="e">
        <f>'4-22Master'!#REF!</f>
        <v>#REF!</v>
      </c>
      <c r="I110" s="24"/>
      <c r="K110" s="29">
        <v>5</v>
      </c>
      <c r="L110" s="822" t="s">
        <v>59</v>
      </c>
      <c r="M110" s="822"/>
      <c r="N110" s="822"/>
      <c r="O110" s="344" t="e">
        <f>E110</f>
        <v>#REF!</v>
      </c>
      <c r="S110" s="24"/>
    </row>
    <row r="111" spans="1:19">
      <c r="A111" s="29"/>
      <c r="B111" s="7"/>
      <c r="C111" s="7"/>
      <c r="D111" s="345" t="s">
        <v>60</v>
      </c>
      <c r="E111" s="345" t="s">
        <v>31</v>
      </c>
      <c r="F111" s="345" t="s">
        <v>33</v>
      </c>
      <c r="G111" s="345" t="s">
        <v>34</v>
      </c>
      <c r="H111" s="345" t="s">
        <v>395</v>
      </c>
      <c r="I111" s="343" t="s">
        <v>396</v>
      </c>
      <c r="K111" s="29"/>
      <c r="L111" s="7"/>
      <c r="M111" s="7"/>
      <c r="N111" s="345" t="s">
        <v>60</v>
      </c>
      <c r="O111" s="345" t="s">
        <v>31</v>
      </c>
      <c r="P111" s="345" t="s">
        <v>33</v>
      </c>
      <c r="Q111" s="345" t="s">
        <v>34</v>
      </c>
      <c r="R111" s="345" t="s">
        <v>395</v>
      </c>
      <c r="S111" s="343" t="s">
        <v>396</v>
      </c>
    </row>
    <row r="112" spans="1:19">
      <c r="A112" s="29">
        <v>6</v>
      </c>
      <c r="B112" s="36" t="s">
        <v>61</v>
      </c>
      <c r="C112" s="36"/>
      <c r="D112" s="346" t="e">
        <f>'4-22Master'!#REF!</f>
        <v>#REF!</v>
      </c>
      <c r="E112" s="346" t="e">
        <f>'4-22Master'!#REF!</f>
        <v>#REF!</v>
      </c>
      <c r="F112" s="347" t="e">
        <f>'4-22Master'!#REF!</f>
        <v>#REF!</v>
      </c>
      <c r="G112" s="346" t="e">
        <f>'4-22Master'!#REF!</f>
        <v>#REF!</v>
      </c>
      <c r="H112" s="347" t="e">
        <f>'4-22Master'!#REF!</f>
        <v>#REF!</v>
      </c>
      <c r="I112" s="347" t="e">
        <f>D112+E112+F112+G112+H112</f>
        <v>#REF!</v>
      </c>
      <c r="K112" s="29">
        <v>6</v>
      </c>
      <c r="L112" s="36" t="s">
        <v>61</v>
      </c>
      <c r="M112" s="36"/>
      <c r="N112" s="346" t="e">
        <f t="shared" ref="N112:S112" si="2">D112</f>
        <v>#REF!</v>
      </c>
      <c r="O112" s="346" t="e">
        <f t="shared" si="2"/>
        <v>#REF!</v>
      </c>
      <c r="P112" s="347" t="e">
        <f t="shared" si="2"/>
        <v>#REF!</v>
      </c>
      <c r="Q112" s="346" t="e">
        <f t="shared" si="2"/>
        <v>#REF!</v>
      </c>
      <c r="R112" s="347" t="e">
        <f t="shared" si="2"/>
        <v>#REF!</v>
      </c>
      <c r="S112" s="347" t="e">
        <f t="shared" si="2"/>
        <v>#REF!</v>
      </c>
    </row>
    <row r="113" spans="1:19">
      <c r="A113" s="29"/>
      <c r="B113" s="7"/>
      <c r="C113" s="7"/>
      <c r="D113" s="7"/>
      <c r="E113" s="7"/>
      <c r="I113" s="24"/>
      <c r="K113" s="29"/>
      <c r="L113" s="7"/>
      <c r="M113" s="7"/>
      <c r="N113" s="7"/>
      <c r="O113" s="7"/>
      <c r="S113" s="24"/>
    </row>
    <row r="114" spans="1:19">
      <c r="A114" s="29">
        <v>7</v>
      </c>
      <c r="B114" s="822" t="s">
        <v>62</v>
      </c>
      <c r="C114" s="822"/>
      <c r="D114" s="822"/>
      <c r="E114" s="32" t="e">
        <f>E110-I112</f>
        <v>#REF!</v>
      </c>
      <c r="F114" s="27"/>
      <c r="G114" s="27"/>
      <c r="H114" s="27"/>
      <c r="I114" s="24"/>
      <c r="K114" s="29">
        <v>7</v>
      </c>
      <c r="L114" s="822" t="s">
        <v>62</v>
      </c>
      <c r="M114" s="822"/>
      <c r="N114" s="822"/>
      <c r="O114" s="32" t="e">
        <f>E114</f>
        <v>#REF!</v>
      </c>
      <c r="P114" s="27"/>
      <c r="Q114" s="27"/>
      <c r="R114" s="27"/>
      <c r="S114" s="24"/>
    </row>
    <row r="115" spans="1:19">
      <c r="A115" s="23"/>
      <c r="I115" s="24"/>
      <c r="K115" s="23"/>
      <c r="S115" s="24"/>
    </row>
    <row r="116" spans="1:19">
      <c r="A116" s="23"/>
      <c r="I116" s="24"/>
      <c r="K116" s="23"/>
      <c r="S116" s="24"/>
    </row>
    <row r="117" spans="1:19" ht="15.75" thickBot="1">
      <c r="A117" s="23"/>
      <c r="F117" s="33"/>
      <c r="G117" s="33"/>
      <c r="H117" s="33"/>
      <c r="I117" s="34"/>
      <c r="K117" s="23"/>
      <c r="P117" s="33"/>
      <c r="Q117" s="33"/>
      <c r="R117" s="33"/>
      <c r="S117" s="34"/>
    </row>
    <row r="118" spans="1:19" ht="15.75" thickBot="1">
      <c r="A118" s="35"/>
      <c r="B118" s="33"/>
      <c r="C118" s="33"/>
      <c r="D118" s="33"/>
      <c r="E118" s="33"/>
      <c r="F118" s="828" t="s">
        <v>63</v>
      </c>
      <c r="G118" s="828"/>
      <c r="H118" s="828"/>
      <c r="I118" s="829"/>
      <c r="K118" s="35"/>
      <c r="L118" s="33"/>
      <c r="M118" s="33"/>
      <c r="N118" s="33"/>
      <c r="O118" s="33"/>
      <c r="P118" s="828" t="s">
        <v>63</v>
      </c>
      <c r="Q118" s="828"/>
      <c r="R118" s="828"/>
      <c r="S118" s="829"/>
    </row>
    <row r="131" spans="1:19" ht="15.75" thickBot="1"/>
    <row r="132" spans="1:19" ht="26.25">
      <c r="A132" s="830" t="s">
        <v>482</v>
      </c>
      <c r="B132" s="831"/>
      <c r="C132" s="831"/>
      <c r="D132" s="831"/>
      <c r="E132" s="831"/>
      <c r="F132" s="831"/>
      <c r="G132" s="831"/>
      <c r="H132" s="831"/>
      <c r="I132" s="832"/>
      <c r="J132" s="95"/>
      <c r="K132" s="830" t="str">
        <f>A132</f>
        <v>Form XV - WAGE SLIP</v>
      </c>
      <c r="L132" s="831"/>
      <c r="M132" s="831"/>
      <c r="N132" s="831"/>
      <c r="O132" s="831"/>
      <c r="P132" s="831"/>
      <c r="Q132" s="831"/>
      <c r="R132" s="831"/>
      <c r="S132" s="832"/>
    </row>
    <row r="133" spans="1:19">
      <c r="A133" s="823" t="s">
        <v>483</v>
      </c>
      <c r="B133" s="824"/>
      <c r="C133" s="824"/>
      <c r="D133" s="824"/>
      <c r="E133" s="824"/>
      <c r="F133" s="824"/>
      <c r="G133" s="824"/>
      <c r="H133" s="824"/>
      <c r="I133" s="825"/>
      <c r="J133" s="439"/>
      <c r="K133" s="823" t="str">
        <f>A133</f>
        <v>[Vide rule 78 (1) (b) of the Contract Labour (Regulation and Abolition) and Maharashtra  Rules, 1971]</v>
      </c>
      <c r="L133" s="824"/>
      <c r="M133" s="824"/>
      <c r="N133" s="824"/>
      <c r="O133" s="824"/>
      <c r="P133" s="824"/>
      <c r="Q133" s="824"/>
      <c r="R133" s="824"/>
      <c r="S133" s="825"/>
    </row>
    <row r="134" spans="1:19">
      <c r="A134" s="23"/>
      <c r="I134" s="24"/>
      <c r="K134" s="23"/>
      <c r="S134" s="24"/>
    </row>
    <row r="135" spans="1:19">
      <c r="A135" s="25" t="s">
        <v>50</v>
      </c>
      <c r="B135" s="7"/>
      <c r="C135" s="7"/>
      <c r="D135" s="11" t="str">
        <f>'4-22Master'!G5</f>
        <v>Burgeon IT Services Pvt.Ltd.</v>
      </c>
      <c r="I135" s="24"/>
      <c r="K135" s="25" t="s">
        <v>50</v>
      </c>
      <c r="L135" s="7"/>
      <c r="M135" s="7"/>
      <c r="N135" s="11" t="str">
        <f>D135</f>
        <v>Burgeon IT Services Pvt.Ltd.</v>
      </c>
      <c r="S135" s="24"/>
    </row>
    <row r="136" spans="1:19">
      <c r="A136" s="25"/>
      <c r="B136" s="7" t="str">
        <f>'4-22Master'!G6</f>
        <v>Siri Mansion LIGB 436 Dr.A S Rao Nagar,Hyderabad</v>
      </c>
      <c r="C136" s="7"/>
      <c r="D136" s="7"/>
      <c r="I136" s="24"/>
      <c r="K136" s="25"/>
      <c r="L136" s="7" t="str">
        <f>B136</f>
        <v>Siri Mansion LIGB 436 Dr.A S Rao Nagar,Hyderabad</v>
      </c>
      <c r="M136" s="7"/>
      <c r="N136" s="7"/>
      <c r="S136" s="24"/>
    </row>
    <row r="137" spans="1:19">
      <c r="A137" s="25"/>
      <c r="B137" s="7">
        <f>'4-22Master'!G7</f>
        <v>0</v>
      </c>
      <c r="C137" s="7"/>
      <c r="D137" s="7"/>
      <c r="E137" s="7"/>
      <c r="I137" s="24"/>
      <c r="K137" s="25"/>
      <c r="L137" s="7">
        <f>B137</f>
        <v>0</v>
      </c>
      <c r="M137" s="7"/>
      <c r="N137" s="7"/>
      <c r="O137" s="7"/>
      <c r="S137" s="24"/>
    </row>
    <row r="138" spans="1:19" ht="15" customHeight="1">
      <c r="A138" s="826" t="s">
        <v>51</v>
      </c>
      <c r="B138" s="827"/>
      <c r="C138" s="827"/>
      <c r="D138" s="827"/>
      <c r="E138" s="7"/>
      <c r="I138" s="24"/>
      <c r="K138" s="826" t="s">
        <v>51</v>
      </c>
      <c r="L138" s="827"/>
      <c r="M138" s="827"/>
      <c r="N138" s="827"/>
      <c r="O138" s="7"/>
      <c r="S138" s="24"/>
    </row>
    <row r="139" spans="1:19">
      <c r="A139" s="826"/>
      <c r="B139" s="827"/>
      <c r="C139" s="827"/>
      <c r="D139" s="827"/>
      <c r="E139" s="26" t="e">
        <f>'4-22Master'!#REF!</f>
        <v>#REF!</v>
      </c>
      <c r="F139" s="27"/>
      <c r="G139" s="27"/>
      <c r="H139" s="27"/>
      <c r="I139" s="24"/>
      <c r="K139" s="826"/>
      <c r="L139" s="827"/>
      <c r="M139" s="827"/>
      <c r="N139" s="827"/>
      <c r="O139" s="26" t="e">
        <f>E139</f>
        <v>#REF!</v>
      </c>
      <c r="P139" s="27"/>
      <c r="Q139" s="27"/>
      <c r="R139" s="27"/>
      <c r="S139" s="24"/>
    </row>
    <row r="140" spans="1:19">
      <c r="A140" s="25"/>
      <c r="B140" s="7"/>
      <c r="C140" s="7"/>
      <c r="D140" s="7"/>
      <c r="E140" s="7"/>
      <c r="I140" s="24"/>
      <c r="K140" s="25"/>
      <c r="L140" s="7"/>
      <c r="M140" s="7"/>
      <c r="N140" s="7"/>
      <c r="O140" s="7"/>
      <c r="S140" s="24"/>
    </row>
    <row r="141" spans="1:19">
      <c r="A141" s="821" t="s">
        <v>52</v>
      </c>
      <c r="B141" s="822"/>
      <c r="C141" s="822"/>
      <c r="D141" s="822"/>
      <c r="E141" s="26" t="str">
        <f>'4-22Master'!G8</f>
        <v>IT SUPPORTIVE SERVICES&amp; PUNE STP</v>
      </c>
      <c r="F141" s="27"/>
      <c r="G141" s="27"/>
      <c r="H141" s="27"/>
      <c r="I141" s="24"/>
      <c r="K141" s="821" t="s">
        <v>52</v>
      </c>
      <c r="L141" s="822"/>
      <c r="M141" s="822"/>
      <c r="N141" s="822"/>
      <c r="O141" s="26" t="str">
        <f>E141</f>
        <v>IT SUPPORTIVE SERVICES&amp; PUNE STP</v>
      </c>
      <c r="P141" s="27"/>
      <c r="Q141" s="27"/>
      <c r="R141" s="27"/>
      <c r="S141" s="24"/>
    </row>
    <row r="142" spans="1:19">
      <c r="A142" s="25"/>
      <c r="B142" s="7"/>
      <c r="C142" s="7"/>
      <c r="D142" s="7"/>
      <c r="E142" s="7"/>
      <c r="I142" s="24"/>
      <c r="K142" s="25"/>
      <c r="L142" s="7"/>
      <c r="M142" s="7"/>
      <c r="N142" s="7"/>
      <c r="O142" s="7"/>
      <c r="S142" s="24"/>
    </row>
    <row r="143" spans="1:19">
      <c r="A143" s="821" t="s">
        <v>53</v>
      </c>
      <c r="B143" s="822"/>
      <c r="C143" s="822"/>
      <c r="D143" s="822"/>
      <c r="E143" s="28">
        <f>'4-22Master'!E10</f>
        <v>44652</v>
      </c>
      <c r="F143" s="27"/>
      <c r="G143" s="27"/>
      <c r="H143" s="27"/>
      <c r="I143" s="24"/>
      <c r="K143" s="821" t="s">
        <v>53</v>
      </c>
      <c r="L143" s="822"/>
      <c r="M143" s="822"/>
      <c r="N143" s="822"/>
      <c r="O143" s="28">
        <f>E143</f>
        <v>44652</v>
      </c>
      <c r="P143" s="27"/>
      <c r="Q143" s="27"/>
      <c r="R143" s="27"/>
      <c r="S143" s="24"/>
    </row>
    <row r="144" spans="1:19">
      <c r="A144" s="25"/>
      <c r="B144" s="7"/>
      <c r="C144" s="7"/>
      <c r="D144" s="7"/>
      <c r="E144" s="7"/>
      <c r="I144" s="24"/>
      <c r="K144" s="25"/>
      <c r="L144" s="7"/>
      <c r="M144" s="7"/>
      <c r="N144" s="7"/>
      <c r="O144" s="7"/>
      <c r="S144" s="24"/>
    </row>
    <row r="145" spans="1:19">
      <c r="A145" s="29">
        <v>1</v>
      </c>
      <c r="B145" s="822" t="s">
        <v>54</v>
      </c>
      <c r="C145" s="822"/>
      <c r="D145" s="822"/>
      <c r="E145" s="30" t="e">
        <f>'4-22Master'!#REF!</f>
        <v>#REF!</v>
      </c>
      <c r="F145" s="27"/>
      <c r="G145" s="27"/>
      <c r="H145" s="27"/>
      <c r="I145" s="24"/>
      <c r="K145" s="29">
        <v>1</v>
      </c>
      <c r="L145" s="822" t="s">
        <v>54</v>
      </c>
      <c r="M145" s="822"/>
      <c r="N145" s="822"/>
      <c r="O145" s="30" t="e">
        <f>E145</f>
        <v>#REF!</v>
      </c>
      <c r="P145" s="27"/>
      <c r="Q145" s="27"/>
      <c r="R145" s="27"/>
      <c r="S145" s="24"/>
    </row>
    <row r="146" spans="1:19">
      <c r="A146" s="29"/>
      <c r="B146" s="7"/>
      <c r="C146" s="7"/>
      <c r="D146" s="7"/>
      <c r="E146" s="7"/>
      <c r="I146" s="24"/>
      <c r="K146" s="29"/>
      <c r="L146" s="7"/>
      <c r="M146" s="7"/>
      <c r="N146" s="7"/>
      <c r="O146" s="7"/>
      <c r="S146" s="24"/>
    </row>
    <row r="147" spans="1:19" ht="15" customHeight="1">
      <c r="A147" s="29">
        <v>2</v>
      </c>
      <c r="B147" s="827" t="s">
        <v>55</v>
      </c>
      <c r="C147" s="827"/>
      <c r="D147" s="827"/>
      <c r="E147" s="7"/>
      <c r="I147" s="24"/>
      <c r="K147" s="29">
        <v>2</v>
      </c>
      <c r="L147" s="827" t="s">
        <v>55</v>
      </c>
      <c r="M147" s="827"/>
      <c r="N147" s="827"/>
      <c r="O147" s="7"/>
      <c r="S147" s="24"/>
    </row>
    <row r="148" spans="1:19">
      <c r="A148" s="29"/>
      <c r="B148" s="827"/>
      <c r="C148" s="827"/>
      <c r="D148" s="827"/>
      <c r="E148" s="31" t="s">
        <v>37</v>
      </c>
      <c r="F148" s="27"/>
      <c r="G148" s="27"/>
      <c r="H148" s="27"/>
      <c r="I148" s="24"/>
      <c r="K148" s="29"/>
      <c r="L148" s="827"/>
      <c r="M148" s="827"/>
      <c r="N148" s="827"/>
      <c r="O148" s="31" t="s">
        <v>37</v>
      </c>
      <c r="P148" s="27"/>
      <c r="Q148" s="27"/>
      <c r="R148" s="27"/>
      <c r="S148" s="24"/>
    </row>
    <row r="149" spans="1:19">
      <c r="A149" s="29"/>
      <c r="B149" s="7"/>
      <c r="C149" s="7"/>
      <c r="D149" s="7"/>
      <c r="E149" s="7"/>
      <c r="I149" s="24"/>
      <c r="K149" s="29"/>
      <c r="L149" s="7"/>
      <c r="M149" s="7"/>
      <c r="N149" s="7"/>
      <c r="O149" s="7"/>
      <c r="S149" s="24"/>
    </row>
    <row r="150" spans="1:19">
      <c r="A150" s="29">
        <v>3</v>
      </c>
      <c r="B150" s="822" t="s">
        <v>56</v>
      </c>
      <c r="C150" s="822"/>
      <c r="D150" s="822"/>
      <c r="E150" s="31" t="s">
        <v>37</v>
      </c>
      <c r="F150" s="27"/>
      <c r="G150" s="27"/>
      <c r="H150" s="27"/>
      <c r="I150" s="24"/>
      <c r="K150" s="29">
        <v>3</v>
      </c>
      <c r="L150" s="822" t="s">
        <v>56</v>
      </c>
      <c r="M150" s="822"/>
      <c r="N150" s="822"/>
      <c r="O150" s="26" t="str">
        <f>E150</f>
        <v>N/A</v>
      </c>
      <c r="P150" s="27"/>
      <c r="Q150" s="27"/>
      <c r="R150" s="27"/>
      <c r="S150" s="24"/>
    </row>
    <row r="151" spans="1:19">
      <c r="A151" s="29"/>
      <c r="B151" s="7"/>
      <c r="C151" s="7"/>
      <c r="D151" s="7"/>
      <c r="E151" s="7"/>
      <c r="I151" s="24"/>
      <c r="K151" s="29"/>
      <c r="L151" s="7"/>
      <c r="M151" s="7"/>
      <c r="N151" s="7"/>
      <c r="O151" s="7"/>
      <c r="S151" s="24"/>
    </row>
    <row r="152" spans="1:19">
      <c r="A152" s="29">
        <v>4</v>
      </c>
      <c r="B152" s="822" t="s">
        <v>57</v>
      </c>
      <c r="C152" s="822"/>
      <c r="D152" s="822"/>
      <c r="E152" s="31" t="s">
        <v>58</v>
      </c>
      <c r="F152" s="27"/>
      <c r="G152" s="27"/>
      <c r="H152" s="27"/>
      <c r="I152" s="24"/>
      <c r="K152" s="29">
        <v>4</v>
      </c>
      <c r="L152" s="822" t="s">
        <v>57</v>
      </c>
      <c r="M152" s="822"/>
      <c r="N152" s="822"/>
      <c r="O152" s="31" t="s">
        <v>58</v>
      </c>
      <c r="P152" s="27"/>
      <c r="Q152" s="27"/>
      <c r="R152" s="27"/>
      <c r="S152" s="24"/>
    </row>
    <row r="153" spans="1:19">
      <c r="A153" s="29"/>
      <c r="B153" s="7"/>
      <c r="C153" s="7"/>
      <c r="D153" s="7"/>
      <c r="E153" s="7"/>
      <c r="I153" s="24"/>
      <c r="K153" s="29"/>
      <c r="L153" s="7"/>
      <c r="M153" s="7"/>
      <c r="N153" s="7"/>
      <c r="O153" s="7"/>
      <c r="S153" s="24"/>
    </row>
    <row r="154" spans="1:19">
      <c r="A154" s="29">
        <v>5</v>
      </c>
      <c r="B154" s="822" t="s">
        <v>59</v>
      </c>
      <c r="C154" s="822"/>
      <c r="D154" s="822"/>
      <c r="E154" s="344" t="e">
        <f>'4-22Master'!#REF!</f>
        <v>#REF!</v>
      </c>
      <c r="I154" s="24"/>
      <c r="K154" s="29">
        <v>5</v>
      </c>
      <c r="L154" s="822" t="s">
        <v>59</v>
      </c>
      <c r="M154" s="822"/>
      <c r="N154" s="822"/>
      <c r="O154" s="344" t="e">
        <f>E154</f>
        <v>#REF!</v>
      </c>
      <c r="S154" s="24"/>
    </row>
    <row r="155" spans="1:19">
      <c r="A155" s="29"/>
      <c r="B155" s="7"/>
      <c r="C155" s="7"/>
      <c r="D155" s="345" t="s">
        <v>60</v>
      </c>
      <c r="E155" s="345" t="s">
        <v>31</v>
      </c>
      <c r="F155" s="345" t="s">
        <v>33</v>
      </c>
      <c r="G155" s="345" t="s">
        <v>34</v>
      </c>
      <c r="H155" s="345" t="s">
        <v>395</v>
      </c>
      <c r="I155" s="343" t="s">
        <v>396</v>
      </c>
      <c r="K155" s="29"/>
      <c r="L155" s="7"/>
      <c r="M155" s="7"/>
      <c r="N155" s="345" t="s">
        <v>60</v>
      </c>
      <c r="O155" s="345" t="s">
        <v>31</v>
      </c>
      <c r="P155" s="345" t="s">
        <v>33</v>
      </c>
      <c r="Q155" s="345" t="s">
        <v>34</v>
      </c>
      <c r="R155" s="345" t="s">
        <v>395</v>
      </c>
      <c r="S155" s="343" t="s">
        <v>396</v>
      </c>
    </row>
    <row r="156" spans="1:19">
      <c r="A156" s="29">
        <v>6</v>
      </c>
      <c r="B156" s="36" t="s">
        <v>61</v>
      </c>
      <c r="C156" s="36"/>
      <c r="D156" s="346" t="e">
        <f>'4-22Master'!#REF!</f>
        <v>#REF!</v>
      </c>
      <c r="E156" s="346" t="e">
        <f>'4-22Master'!#REF!</f>
        <v>#REF!</v>
      </c>
      <c r="F156" s="347" t="e">
        <f>'4-22Master'!#REF!</f>
        <v>#REF!</v>
      </c>
      <c r="G156" s="346" t="e">
        <f>'4-22Master'!#REF!</f>
        <v>#REF!</v>
      </c>
      <c r="H156" s="347" t="e">
        <f>'4-22Master'!#REF!</f>
        <v>#REF!</v>
      </c>
      <c r="I156" s="347" t="e">
        <f>D156+E156+F156+G156+H156</f>
        <v>#REF!</v>
      </c>
      <c r="K156" s="29">
        <v>6</v>
      </c>
      <c r="L156" s="36" t="s">
        <v>61</v>
      </c>
      <c r="M156" s="36"/>
      <c r="N156" s="346" t="e">
        <f t="shared" ref="N156:S156" si="3">D156</f>
        <v>#REF!</v>
      </c>
      <c r="O156" s="346" t="e">
        <f t="shared" si="3"/>
        <v>#REF!</v>
      </c>
      <c r="P156" s="347" t="e">
        <f t="shared" si="3"/>
        <v>#REF!</v>
      </c>
      <c r="Q156" s="346" t="e">
        <f t="shared" si="3"/>
        <v>#REF!</v>
      </c>
      <c r="R156" s="347" t="e">
        <f t="shared" si="3"/>
        <v>#REF!</v>
      </c>
      <c r="S156" s="347" t="e">
        <f t="shared" si="3"/>
        <v>#REF!</v>
      </c>
    </row>
    <row r="157" spans="1:19">
      <c r="A157" s="29"/>
      <c r="B157" s="7"/>
      <c r="C157" s="7"/>
      <c r="D157" s="7"/>
      <c r="E157" s="7"/>
      <c r="I157" s="24"/>
      <c r="K157" s="29"/>
      <c r="L157" s="7"/>
      <c r="M157" s="7"/>
      <c r="N157" s="7"/>
      <c r="O157" s="7"/>
      <c r="S157" s="24"/>
    </row>
    <row r="158" spans="1:19">
      <c r="A158" s="29">
        <v>7</v>
      </c>
      <c r="B158" s="822" t="s">
        <v>62</v>
      </c>
      <c r="C158" s="822"/>
      <c r="D158" s="822"/>
      <c r="E158" s="32" t="e">
        <f>E154-I156</f>
        <v>#REF!</v>
      </c>
      <c r="F158" s="27"/>
      <c r="G158" s="27"/>
      <c r="H158" s="27"/>
      <c r="I158" s="24"/>
      <c r="K158" s="29">
        <v>7</v>
      </c>
      <c r="L158" s="822" t="s">
        <v>62</v>
      </c>
      <c r="M158" s="822"/>
      <c r="N158" s="822"/>
      <c r="O158" s="32" t="e">
        <f>E158</f>
        <v>#REF!</v>
      </c>
      <c r="P158" s="27"/>
      <c r="Q158" s="27"/>
      <c r="R158" s="27"/>
      <c r="S158" s="24"/>
    </row>
    <row r="159" spans="1:19">
      <c r="A159" s="23"/>
      <c r="I159" s="24"/>
      <c r="K159" s="23"/>
      <c r="S159" s="24"/>
    </row>
    <row r="160" spans="1:19">
      <c r="A160" s="23"/>
      <c r="I160" s="24"/>
      <c r="K160" s="23"/>
      <c r="S160" s="24"/>
    </row>
    <row r="161" spans="1:19" ht="15.75" thickBot="1">
      <c r="A161" s="23"/>
      <c r="F161" s="33"/>
      <c r="G161" s="33"/>
      <c r="H161" s="33"/>
      <c r="I161" s="34"/>
      <c r="K161" s="23"/>
      <c r="P161" s="33"/>
      <c r="Q161" s="33"/>
      <c r="R161" s="33"/>
      <c r="S161" s="34"/>
    </row>
    <row r="162" spans="1:19" ht="15.75" thickBot="1">
      <c r="A162" s="35"/>
      <c r="B162" s="33"/>
      <c r="C162" s="33"/>
      <c r="D162" s="33"/>
      <c r="E162" s="33"/>
      <c r="F162" s="828" t="s">
        <v>63</v>
      </c>
      <c r="G162" s="828"/>
      <c r="H162" s="828"/>
      <c r="I162" s="829"/>
      <c r="K162" s="35"/>
      <c r="L162" s="33"/>
      <c r="M162" s="33"/>
      <c r="N162" s="33"/>
      <c r="O162" s="33"/>
      <c r="P162" s="828" t="s">
        <v>63</v>
      </c>
      <c r="Q162" s="828"/>
      <c r="R162" s="828"/>
      <c r="S162" s="829"/>
    </row>
    <row r="175" spans="1:19" ht="15.75" thickBot="1"/>
    <row r="176" spans="1:19" ht="26.25">
      <c r="A176" s="830" t="s">
        <v>482</v>
      </c>
      <c r="B176" s="831"/>
      <c r="C176" s="831"/>
      <c r="D176" s="831"/>
      <c r="E176" s="831"/>
      <c r="F176" s="831"/>
      <c r="G176" s="831"/>
      <c r="H176" s="831"/>
      <c r="I176" s="832"/>
      <c r="J176" s="95"/>
      <c r="K176" s="830" t="str">
        <f>A176</f>
        <v>Form XV - WAGE SLIP</v>
      </c>
      <c r="L176" s="831"/>
      <c r="M176" s="831"/>
      <c r="N176" s="831"/>
      <c r="O176" s="831"/>
      <c r="P176" s="831"/>
      <c r="Q176" s="831"/>
      <c r="R176" s="831"/>
      <c r="S176" s="832"/>
    </row>
    <row r="177" spans="1:19">
      <c r="A177" s="823" t="s">
        <v>483</v>
      </c>
      <c r="B177" s="824"/>
      <c r="C177" s="824"/>
      <c r="D177" s="824"/>
      <c r="E177" s="824"/>
      <c r="F177" s="824"/>
      <c r="G177" s="824"/>
      <c r="H177" s="824"/>
      <c r="I177" s="825"/>
      <c r="J177" s="439"/>
      <c r="K177" s="823" t="str">
        <f>A177</f>
        <v>[Vide rule 78 (1) (b) of the Contract Labour (Regulation and Abolition) and Maharashtra  Rules, 1971]</v>
      </c>
      <c r="L177" s="824"/>
      <c r="M177" s="824"/>
      <c r="N177" s="824"/>
      <c r="O177" s="824"/>
      <c r="P177" s="824"/>
      <c r="Q177" s="824"/>
      <c r="R177" s="824"/>
      <c r="S177" s="825"/>
    </row>
    <row r="178" spans="1:19">
      <c r="A178" s="23"/>
      <c r="I178" s="24"/>
      <c r="K178" s="23"/>
      <c r="S178" s="24"/>
    </row>
    <row r="179" spans="1:19">
      <c r="A179" s="25" t="s">
        <v>50</v>
      </c>
      <c r="B179" s="7"/>
      <c r="C179" s="7"/>
      <c r="D179" s="11">
        <f>'4-22Master'!G371</f>
        <v>0</v>
      </c>
      <c r="I179" s="24"/>
      <c r="K179" s="25" t="s">
        <v>50</v>
      </c>
      <c r="L179" s="7"/>
      <c r="M179" s="7"/>
      <c r="N179" s="11">
        <f>D179</f>
        <v>0</v>
      </c>
      <c r="S179" s="24"/>
    </row>
    <row r="180" spans="1:19">
      <c r="A180" s="25"/>
      <c r="B180" s="7">
        <f>'4-22Master'!G372</f>
        <v>0</v>
      </c>
      <c r="C180" s="7"/>
      <c r="D180" s="7"/>
      <c r="I180" s="24"/>
      <c r="K180" s="25"/>
      <c r="L180" s="7">
        <f>B180</f>
        <v>0</v>
      </c>
      <c r="M180" s="7"/>
      <c r="N180" s="7"/>
      <c r="S180" s="24"/>
    </row>
    <row r="181" spans="1:19">
      <c r="A181" s="25"/>
      <c r="B181" s="7">
        <f>'4-22Master'!G373</f>
        <v>0</v>
      </c>
      <c r="C181" s="7"/>
      <c r="D181" s="7"/>
      <c r="E181" s="7"/>
      <c r="I181" s="24"/>
      <c r="K181" s="25"/>
      <c r="L181" s="7">
        <f>B181</f>
        <v>0</v>
      </c>
      <c r="M181" s="7"/>
      <c r="N181" s="7"/>
      <c r="O181" s="7"/>
      <c r="S181" s="24"/>
    </row>
    <row r="182" spans="1:19" ht="15" customHeight="1">
      <c r="A182" s="826" t="s">
        <v>51</v>
      </c>
      <c r="B182" s="827"/>
      <c r="C182" s="827"/>
      <c r="D182" s="827"/>
      <c r="E182" s="7"/>
      <c r="I182" s="24"/>
      <c r="K182" s="826" t="s">
        <v>51</v>
      </c>
      <c r="L182" s="827"/>
      <c r="M182" s="827"/>
      <c r="N182" s="827"/>
      <c r="O182" s="7"/>
      <c r="S182" s="24"/>
    </row>
    <row r="183" spans="1:19">
      <c r="A183" s="826"/>
      <c r="B183" s="827"/>
      <c r="C183" s="827"/>
      <c r="D183" s="827"/>
      <c r="E183" s="26">
        <f>'4-22Master'!V384</f>
        <v>0</v>
      </c>
      <c r="F183" s="27"/>
      <c r="G183" s="27"/>
      <c r="H183" s="27"/>
      <c r="I183" s="24"/>
      <c r="K183" s="826"/>
      <c r="L183" s="827"/>
      <c r="M183" s="827"/>
      <c r="N183" s="827"/>
      <c r="O183" s="26">
        <f>E183</f>
        <v>0</v>
      </c>
      <c r="P183" s="27"/>
      <c r="Q183" s="27"/>
      <c r="R183" s="27"/>
      <c r="S183" s="24"/>
    </row>
    <row r="184" spans="1:19">
      <c r="A184" s="25"/>
      <c r="B184" s="7"/>
      <c r="C184" s="7"/>
      <c r="D184" s="7"/>
      <c r="E184" s="7"/>
      <c r="I184" s="24"/>
      <c r="K184" s="25"/>
      <c r="L184" s="7"/>
      <c r="M184" s="7"/>
      <c r="N184" s="7"/>
      <c r="O184" s="7"/>
      <c r="S184" s="24"/>
    </row>
    <row r="185" spans="1:19">
      <c r="A185" s="821" t="s">
        <v>52</v>
      </c>
      <c r="B185" s="822"/>
      <c r="C185" s="822"/>
      <c r="D185" s="822"/>
      <c r="E185" s="26">
        <f>'4-22Master'!G374</f>
        <v>0</v>
      </c>
      <c r="F185" s="27"/>
      <c r="G185" s="27"/>
      <c r="H185" s="27"/>
      <c r="I185" s="24"/>
      <c r="K185" s="821" t="s">
        <v>52</v>
      </c>
      <c r="L185" s="822"/>
      <c r="M185" s="822"/>
      <c r="N185" s="822"/>
      <c r="O185" s="26">
        <f>E185</f>
        <v>0</v>
      </c>
      <c r="P185" s="27"/>
      <c r="Q185" s="27"/>
      <c r="R185" s="27"/>
      <c r="S185" s="24"/>
    </row>
    <row r="186" spans="1:19">
      <c r="A186" s="25"/>
      <c r="B186" s="7"/>
      <c r="C186" s="7"/>
      <c r="D186" s="7"/>
      <c r="E186" s="7"/>
      <c r="I186" s="24"/>
      <c r="K186" s="25"/>
      <c r="L186" s="7"/>
      <c r="M186" s="7"/>
      <c r="N186" s="7"/>
      <c r="O186" s="7"/>
      <c r="S186" s="24"/>
    </row>
    <row r="187" spans="1:19">
      <c r="A187" s="821" t="s">
        <v>53</v>
      </c>
      <c r="B187" s="822"/>
      <c r="C187" s="822"/>
      <c r="D187" s="822"/>
      <c r="E187" s="28">
        <f>'4-22Master'!E376</f>
        <v>0</v>
      </c>
      <c r="F187" s="27"/>
      <c r="G187" s="27"/>
      <c r="H187" s="27"/>
      <c r="I187" s="24"/>
      <c r="K187" s="821" t="s">
        <v>53</v>
      </c>
      <c r="L187" s="822"/>
      <c r="M187" s="822"/>
      <c r="N187" s="822"/>
      <c r="O187" s="28">
        <f>E187</f>
        <v>0</v>
      </c>
      <c r="P187" s="27"/>
      <c r="Q187" s="27"/>
      <c r="R187" s="27"/>
      <c r="S187" s="24"/>
    </row>
    <row r="188" spans="1:19">
      <c r="A188" s="25"/>
      <c r="B188" s="7"/>
      <c r="C188" s="7"/>
      <c r="D188" s="7"/>
      <c r="E188" s="7"/>
      <c r="I188" s="24"/>
      <c r="K188" s="25"/>
      <c r="L188" s="7"/>
      <c r="M188" s="7"/>
      <c r="N188" s="7"/>
      <c r="O188" s="7"/>
      <c r="S188" s="24"/>
    </row>
    <row r="189" spans="1:19">
      <c r="A189" s="29">
        <v>1</v>
      </c>
      <c r="B189" s="822" t="s">
        <v>54</v>
      </c>
      <c r="C189" s="822"/>
      <c r="D189" s="822"/>
      <c r="E189" s="30">
        <f>'4-22Master'!X384</f>
        <v>0</v>
      </c>
      <c r="F189" s="27"/>
      <c r="G189" s="27"/>
      <c r="H189" s="27"/>
      <c r="I189" s="24"/>
      <c r="K189" s="29">
        <v>1</v>
      </c>
      <c r="L189" s="822" t="s">
        <v>54</v>
      </c>
      <c r="M189" s="822"/>
      <c r="N189" s="822"/>
      <c r="O189" s="30">
        <f>E189</f>
        <v>0</v>
      </c>
      <c r="P189" s="27"/>
      <c r="Q189" s="27"/>
      <c r="R189" s="27"/>
      <c r="S189" s="24"/>
    </row>
    <row r="190" spans="1:19">
      <c r="A190" s="29"/>
      <c r="B190" s="7"/>
      <c r="C190" s="7"/>
      <c r="D190" s="7"/>
      <c r="E190" s="7"/>
      <c r="I190" s="24"/>
      <c r="K190" s="29"/>
      <c r="L190" s="7"/>
      <c r="M190" s="7"/>
      <c r="N190" s="7"/>
      <c r="O190" s="7"/>
      <c r="S190" s="24"/>
    </row>
    <row r="191" spans="1:19" ht="15" customHeight="1">
      <c r="A191" s="29">
        <v>2</v>
      </c>
      <c r="B191" s="827" t="s">
        <v>55</v>
      </c>
      <c r="C191" s="827"/>
      <c r="D191" s="827"/>
      <c r="E191" s="7"/>
      <c r="I191" s="24"/>
      <c r="K191" s="29">
        <v>2</v>
      </c>
      <c r="L191" s="827" t="s">
        <v>55</v>
      </c>
      <c r="M191" s="827"/>
      <c r="N191" s="827"/>
      <c r="O191" s="7"/>
      <c r="S191" s="24"/>
    </row>
    <row r="192" spans="1:19">
      <c r="A192" s="29"/>
      <c r="B192" s="827"/>
      <c r="C192" s="827"/>
      <c r="D192" s="827"/>
      <c r="E192" s="31" t="s">
        <v>37</v>
      </c>
      <c r="F192" s="27"/>
      <c r="G192" s="27"/>
      <c r="H192" s="27"/>
      <c r="I192" s="24"/>
      <c r="K192" s="29"/>
      <c r="L192" s="827"/>
      <c r="M192" s="827"/>
      <c r="N192" s="827"/>
      <c r="O192" s="31" t="s">
        <v>37</v>
      </c>
      <c r="P192" s="27"/>
      <c r="Q192" s="27"/>
      <c r="R192" s="27"/>
      <c r="S192" s="24"/>
    </row>
    <row r="193" spans="1:19">
      <c r="A193" s="29"/>
      <c r="B193" s="7"/>
      <c r="C193" s="7"/>
      <c r="D193" s="7"/>
      <c r="E193" s="7"/>
      <c r="I193" s="24"/>
      <c r="K193" s="29"/>
      <c r="L193" s="7"/>
      <c r="M193" s="7"/>
      <c r="N193" s="7"/>
      <c r="O193" s="7"/>
      <c r="S193" s="24"/>
    </row>
    <row r="194" spans="1:19">
      <c r="A194" s="29">
        <v>3</v>
      </c>
      <c r="B194" s="822" t="s">
        <v>56</v>
      </c>
      <c r="C194" s="822"/>
      <c r="D194" s="822"/>
      <c r="E194" s="31" t="s">
        <v>37</v>
      </c>
      <c r="F194" s="27"/>
      <c r="G194" s="27"/>
      <c r="H194" s="27"/>
      <c r="I194" s="24"/>
      <c r="K194" s="29">
        <v>3</v>
      </c>
      <c r="L194" s="822" t="s">
        <v>56</v>
      </c>
      <c r="M194" s="822"/>
      <c r="N194" s="822"/>
      <c r="O194" s="26" t="str">
        <f>E194</f>
        <v>N/A</v>
      </c>
      <c r="P194" s="27"/>
      <c r="Q194" s="27"/>
      <c r="R194" s="27"/>
      <c r="S194" s="24"/>
    </row>
    <row r="195" spans="1:19">
      <c r="A195" s="29"/>
      <c r="B195" s="7"/>
      <c r="C195" s="7"/>
      <c r="D195" s="7"/>
      <c r="E195" s="7"/>
      <c r="I195" s="24"/>
      <c r="K195" s="29"/>
      <c r="L195" s="7"/>
      <c r="M195" s="7"/>
      <c r="N195" s="7"/>
      <c r="O195" s="7"/>
      <c r="S195" s="24"/>
    </row>
    <row r="196" spans="1:19">
      <c r="A196" s="29">
        <v>4</v>
      </c>
      <c r="B196" s="822" t="s">
        <v>57</v>
      </c>
      <c r="C196" s="822"/>
      <c r="D196" s="822"/>
      <c r="E196" s="31" t="s">
        <v>58</v>
      </c>
      <c r="F196" s="27"/>
      <c r="G196" s="27"/>
      <c r="H196" s="27"/>
      <c r="I196" s="24"/>
      <c r="K196" s="29">
        <v>4</v>
      </c>
      <c r="L196" s="822" t="s">
        <v>57</v>
      </c>
      <c r="M196" s="822"/>
      <c r="N196" s="822"/>
      <c r="O196" s="31" t="s">
        <v>58</v>
      </c>
      <c r="P196" s="27"/>
      <c r="Q196" s="27"/>
      <c r="R196" s="27"/>
      <c r="S196" s="24"/>
    </row>
    <row r="197" spans="1:19">
      <c r="A197" s="29"/>
      <c r="B197" s="7"/>
      <c r="C197" s="7"/>
      <c r="D197" s="7"/>
      <c r="E197" s="7"/>
      <c r="I197" s="24"/>
      <c r="K197" s="29"/>
      <c r="L197" s="7"/>
      <c r="M197" s="7"/>
      <c r="N197" s="7"/>
      <c r="O197" s="7"/>
      <c r="S197" s="24"/>
    </row>
    <row r="198" spans="1:19">
      <c r="A198" s="29">
        <v>5</v>
      </c>
      <c r="B198" s="822" t="s">
        <v>59</v>
      </c>
      <c r="C198" s="822"/>
      <c r="D198" s="822"/>
      <c r="E198" s="344">
        <f>'4-22Master'!AN384</f>
        <v>0</v>
      </c>
      <c r="I198" s="24"/>
      <c r="K198" s="29">
        <v>5</v>
      </c>
      <c r="L198" s="822" t="s">
        <v>59</v>
      </c>
      <c r="M198" s="822"/>
      <c r="N198" s="822"/>
      <c r="O198" s="344">
        <f>E198</f>
        <v>0</v>
      </c>
      <c r="S198" s="24"/>
    </row>
    <row r="199" spans="1:19">
      <c r="A199" s="29"/>
      <c r="B199" s="7"/>
      <c r="C199" s="7"/>
      <c r="D199" s="345" t="s">
        <v>60</v>
      </c>
      <c r="E199" s="345" t="s">
        <v>31</v>
      </c>
      <c r="F199" s="345" t="s">
        <v>33</v>
      </c>
      <c r="G199" s="345" t="s">
        <v>34</v>
      </c>
      <c r="H199" s="345" t="s">
        <v>395</v>
      </c>
      <c r="I199" s="343" t="s">
        <v>396</v>
      </c>
      <c r="K199" s="29"/>
      <c r="L199" s="7"/>
      <c r="M199" s="7"/>
      <c r="N199" s="345" t="s">
        <v>60</v>
      </c>
      <c r="O199" s="345" t="s">
        <v>31</v>
      </c>
      <c r="P199" s="345" t="s">
        <v>33</v>
      </c>
      <c r="Q199" s="345" t="s">
        <v>34</v>
      </c>
      <c r="R199" s="345" t="s">
        <v>395</v>
      </c>
      <c r="S199" s="343" t="s">
        <v>396</v>
      </c>
    </row>
    <row r="200" spans="1:19">
      <c r="A200" s="29">
        <v>6</v>
      </c>
      <c r="B200" s="36" t="s">
        <v>61</v>
      </c>
      <c r="C200" s="36"/>
      <c r="D200" s="346">
        <f>'4-22Master'!AP384</f>
        <v>0</v>
      </c>
      <c r="E200" s="346">
        <f>'4-22Master'!AO384</f>
        <v>0</v>
      </c>
      <c r="F200" s="347">
        <f>'4-22Master'!AQ384</f>
        <v>0</v>
      </c>
      <c r="G200" s="346">
        <f>'4-22Master'!AR384</f>
        <v>0</v>
      </c>
      <c r="H200" s="347">
        <f>'4-22Master'!AS384</f>
        <v>0</v>
      </c>
      <c r="I200" s="347">
        <f>'4-22Master'!AT384</f>
        <v>0</v>
      </c>
      <c r="K200" s="29">
        <v>6</v>
      </c>
      <c r="L200" s="36" t="s">
        <v>61</v>
      </c>
      <c r="M200" s="36"/>
      <c r="N200" s="346">
        <f t="shared" ref="N200:S200" si="4">D200</f>
        <v>0</v>
      </c>
      <c r="O200" s="346">
        <f t="shared" si="4"/>
        <v>0</v>
      </c>
      <c r="P200" s="347">
        <f t="shared" si="4"/>
        <v>0</v>
      </c>
      <c r="Q200" s="346">
        <f t="shared" si="4"/>
        <v>0</v>
      </c>
      <c r="R200" s="347">
        <f t="shared" si="4"/>
        <v>0</v>
      </c>
      <c r="S200" s="347">
        <f t="shared" si="4"/>
        <v>0</v>
      </c>
    </row>
    <row r="201" spans="1:19">
      <c r="A201" s="29"/>
      <c r="B201" s="7"/>
      <c r="C201" s="7"/>
      <c r="D201" s="7"/>
      <c r="E201" s="7"/>
      <c r="I201" s="24"/>
      <c r="K201" s="29"/>
      <c r="L201" s="7"/>
      <c r="M201" s="7"/>
      <c r="N201" s="7"/>
      <c r="O201" s="7"/>
      <c r="S201" s="24"/>
    </row>
    <row r="202" spans="1:19">
      <c r="A202" s="29">
        <v>7</v>
      </c>
      <c r="B202" s="822" t="s">
        <v>62</v>
      </c>
      <c r="C202" s="822"/>
      <c r="D202" s="822"/>
      <c r="E202" s="32">
        <f>E198-I200</f>
        <v>0</v>
      </c>
      <c r="F202" s="27"/>
      <c r="G202" s="27"/>
      <c r="H202" s="27"/>
      <c r="I202" s="24"/>
      <c r="K202" s="29">
        <v>7</v>
      </c>
      <c r="L202" s="822" t="s">
        <v>62</v>
      </c>
      <c r="M202" s="822"/>
      <c r="N202" s="822"/>
      <c r="O202" s="32">
        <f>E202</f>
        <v>0</v>
      </c>
      <c r="P202" s="27"/>
      <c r="Q202" s="27"/>
      <c r="R202" s="27"/>
      <c r="S202" s="24"/>
    </row>
    <row r="203" spans="1:19">
      <c r="A203" s="23"/>
      <c r="I203" s="24"/>
      <c r="K203" s="23"/>
      <c r="S203" s="24"/>
    </row>
    <row r="204" spans="1:19">
      <c r="A204" s="23"/>
      <c r="I204" s="24"/>
      <c r="K204" s="23"/>
      <c r="S204" s="24"/>
    </row>
    <row r="205" spans="1:19" ht="15.75" thickBot="1">
      <c r="A205" s="23"/>
      <c r="F205" s="33"/>
      <c r="G205" s="33"/>
      <c r="H205" s="33"/>
      <c r="I205" s="34"/>
      <c r="K205" s="23"/>
      <c r="P205" s="33"/>
      <c r="Q205" s="33"/>
      <c r="R205" s="33"/>
      <c r="S205" s="34"/>
    </row>
    <row r="206" spans="1:19" ht="15.75" thickBot="1">
      <c r="A206" s="35"/>
      <c r="B206" s="33"/>
      <c r="C206" s="33"/>
      <c r="D206" s="33"/>
      <c r="E206" s="33"/>
      <c r="F206" s="828" t="s">
        <v>63</v>
      </c>
      <c r="G206" s="828"/>
      <c r="H206" s="828"/>
      <c r="I206" s="829"/>
      <c r="K206" s="35"/>
      <c r="L206" s="33"/>
      <c r="M206" s="33"/>
      <c r="N206" s="33"/>
      <c r="O206" s="33"/>
      <c r="P206" s="828" t="s">
        <v>63</v>
      </c>
      <c r="Q206" s="828"/>
      <c r="R206" s="828"/>
      <c r="S206" s="829"/>
    </row>
    <row r="219" spans="1:19" ht="15.75" thickBot="1"/>
    <row r="220" spans="1:19" ht="26.25">
      <c r="A220" s="830" t="s">
        <v>482</v>
      </c>
      <c r="B220" s="831"/>
      <c r="C220" s="831"/>
      <c r="D220" s="831"/>
      <c r="E220" s="831"/>
      <c r="F220" s="831"/>
      <c r="G220" s="831"/>
      <c r="H220" s="831"/>
      <c r="I220" s="832"/>
      <c r="J220" s="95"/>
      <c r="K220" s="830" t="str">
        <f>A220</f>
        <v>Form XV - WAGE SLIP</v>
      </c>
      <c r="L220" s="831"/>
      <c r="M220" s="831"/>
      <c r="N220" s="831"/>
      <c r="O220" s="831"/>
      <c r="P220" s="831"/>
      <c r="Q220" s="831"/>
      <c r="R220" s="831"/>
      <c r="S220" s="832"/>
    </row>
    <row r="221" spans="1:19">
      <c r="A221" s="823" t="s">
        <v>483</v>
      </c>
      <c r="B221" s="824"/>
      <c r="C221" s="824"/>
      <c r="D221" s="824"/>
      <c r="E221" s="824"/>
      <c r="F221" s="824"/>
      <c r="G221" s="824"/>
      <c r="H221" s="824"/>
      <c r="I221" s="825"/>
      <c r="J221" s="439"/>
      <c r="K221" s="823" t="str">
        <f>A221</f>
        <v>[Vide rule 78 (1) (b) of the Contract Labour (Regulation and Abolition) and Maharashtra  Rules, 1971]</v>
      </c>
      <c r="L221" s="824"/>
      <c r="M221" s="824"/>
      <c r="N221" s="824"/>
      <c r="O221" s="824"/>
      <c r="P221" s="824"/>
      <c r="Q221" s="824"/>
      <c r="R221" s="824"/>
      <c r="S221" s="825"/>
    </row>
    <row r="222" spans="1:19">
      <c r="A222" s="23"/>
      <c r="I222" s="24"/>
      <c r="K222" s="23"/>
      <c r="S222" s="24"/>
    </row>
    <row r="223" spans="1:19">
      <c r="A223" s="25" t="s">
        <v>50</v>
      </c>
      <c r="B223" s="7"/>
      <c r="C223" s="7"/>
      <c r="D223" s="11">
        <f>'4-22Master'!G415</f>
        <v>0</v>
      </c>
      <c r="I223" s="24"/>
      <c r="K223" s="25" t="s">
        <v>50</v>
      </c>
      <c r="L223" s="7"/>
      <c r="M223" s="7"/>
      <c r="N223" s="11">
        <f>D223</f>
        <v>0</v>
      </c>
      <c r="S223" s="24"/>
    </row>
    <row r="224" spans="1:19">
      <c r="A224" s="25"/>
      <c r="B224" s="7">
        <f>'4-22Master'!G416</f>
        <v>0</v>
      </c>
      <c r="C224" s="7"/>
      <c r="D224" s="7"/>
      <c r="I224" s="24"/>
      <c r="K224" s="25"/>
      <c r="L224" s="7">
        <f>B224</f>
        <v>0</v>
      </c>
      <c r="M224" s="7"/>
      <c r="N224" s="7"/>
      <c r="S224" s="24"/>
    </row>
    <row r="225" spans="1:19">
      <c r="A225" s="25"/>
      <c r="B225" s="7">
        <f>'4-22Master'!G417</f>
        <v>0</v>
      </c>
      <c r="C225" s="7"/>
      <c r="D225" s="7"/>
      <c r="E225" s="7"/>
      <c r="I225" s="24"/>
      <c r="K225" s="25"/>
      <c r="L225" s="7">
        <f>B225</f>
        <v>0</v>
      </c>
      <c r="M225" s="7"/>
      <c r="N225" s="7"/>
      <c r="O225" s="7"/>
      <c r="S225" s="24"/>
    </row>
    <row r="226" spans="1:19" ht="15" customHeight="1">
      <c r="A226" s="826" t="s">
        <v>51</v>
      </c>
      <c r="B226" s="827"/>
      <c r="C226" s="827"/>
      <c r="D226" s="827"/>
      <c r="E226" s="7"/>
      <c r="I226" s="24"/>
      <c r="K226" s="826" t="s">
        <v>51</v>
      </c>
      <c r="L226" s="827"/>
      <c r="M226" s="827"/>
      <c r="N226" s="827"/>
      <c r="O226" s="7"/>
      <c r="S226" s="24"/>
    </row>
    <row r="227" spans="1:19">
      <c r="A227" s="826"/>
      <c r="B227" s="827"/>
      <c r="C227" s="827"/>
      <c r="D227" s="827"/>
      <c r="E227" s="26">
        <f>'4-22Master'!V428</f>
        <v>0</v>
      </c>
      <c r="F227" s="27"/>
      <c r="G227" s="27"/>
      <c r="H227" s="27"/>
      <c r="I227" s="24"/>
      <c r="K227" s="826"/>
      <c r="L227" s="827"/>
      <c r="M227" s="827"/>
      <c r="N227" s="827"/>
      <c r="O227" s="26">
        <f>E227</f>
        <v>0</v>
      </c>
      <c r="P227" s="27"/>
      <c r="Q227" s="27"/>
      <c r="R227" s="27"/>
      <c r="S227" s="24"/>
    </row>
    <row r="228" spans="1:19">
      <c r="A228" s="25"/>
      <c r="B228" s="7"/>
      <c r="C228" s="7"/>
      <c r="D228" s="7"/>
      <c r="E228" s="7"/>
      <c r="I228" s="24"/>
      <c r="K228" s="25"/>
      <c r="L228" s="7"/>
      <c r="M228" s="7"/>
      <c r="N228" s="7"/>
      <c r="O228" s="7"/>
      <c r="S228" s="24"/>
    </row>
    <row r="229" spans="1:19">
      <c r="A229" s="821" t="s">
        <v>52</v>
      </c>
      <c r="B229" s="822"/>
      <c r="C229" s="822"/>
      <c r="D229" s="822"/>
      <c r="E229" s="26">
        <f>'4-22Master'!G418</f>
        <v>0</v>
      </c>
      <c r="F229" s="27"/>
      <c r="G229" s="27"/>
      <c r="H229" s="27"/>
      <c r="I229" s="24"/>
      <c r="K229" s="821" t="s">
        <v>52</v>
      </c>
      <c r="L229" s="822"/>
      <c r="M229" s="822"/>
      <c r="N229" s="822"/>
      <c r="O229" s="26">
        <f>E229</f>
        <v>0</v>
      </c>
      <c r="P229" s="27"/>
      <c r="Q229" s="27"/>
      <c r="R229" s="27"/>
      <c r="S229" s="24"/>
    </row>
    <row r="230" spans="1:19">
      <c r="A230" s="25"/>
      <c r="B230" s="7"/>
      <c r="C230" s="7"/>
      <c r="D230" s="7"/>
      <c r="E230" s="7"/>
      <c r="I230" s="24"/>
      <c r="K230" s="25"/>
      <c r="L230" s="7"/>
      <c r="M230" s="7"/>
      <c r="N230" s="7"/>
      <c r="O230" s="7"/>
      <c r="S230" s="24"/>
    </row>
    <row r="231" spans="1:19">
      <c r="A231" s="821" t="s">
        <v>53</v>
      </c>
      <c r="B231" s="822"/>
      <c r="C231" s="822"/>
      <c r="D231" s="822"/>
      <c r="E231" s="28">
        <f>'4-22Master'!E420</f>
        <v>0</v>
      </c>
      <c r="F231" s="27"/>
      <c r="G231" s="27"/>
      <c r="H231" s="27"/>
      <c r="I231" s="24"/>
      <c r="K231" s="821" t="s">
        <v>53</v>
      </c>
      <c r="L231" s="822"/>
      <c r="M231" s="822"/>
      <c r="N231" s="822"/>
      <c r="O231" s="28">
        <f>E231</f>
        <v>0</v>
      </c>
      <c r="P231" s="27"/>
      <c r="Q231" s="27"/>
      <c r="R231" s="27"/>
      <c r="S231" s="24"/>
    </row>
    <row r="232" spans="1:19">
      <c r="A232" s="25"/>
      <c r="B232" s="7"/>
      <c r="C232" s="7"/>
      <c r="D232" s="7"/>
      <c r="E232" s="7"/>
      <c r="I232" s="24"/>
      <c r="K232" s="25"/>
      <c r="L232" s="7"/>
      <c r="M232" s="7"/>
      <c r="N232" s="7"/>
      <c r="O232" s="7"/>
      <c r="S232" s="24"/>
    </row>
    <row r="233" spans="1:19">
      <c r="A233" s="29">
        <v>1</v>
      </c>
      <c r="B233" s="822" t="s">
        <v>54</v>
      </c>
      <c r="C233" s="822"/>
      <c r="D233" s="822"/>
      <c r="E233" s="30">
        <f>'4-22Master'!X428</f>
        <v>0</v>
      </c>
      <c r="F233" s="27"/>
      <c r="G233" s="27"/>
      <c r="H233" s="27"/>
      <c r="I233" s="24"/>
      <c r="K233" s="29">
        <v>1</v>
      </c>
      <c r="L233" s="822" t="s">
        <v>54</v>
      </c>
      <c r="M233" s="822"/>
      <c r="N233" s="822"/>
      <c r="O233" s="30">
        <f>E233</f>
        <v>0</v>
      </c>
      <c r="P233" s="27"/>
      <c r="Q233" s="27"/>
      <c r="R233" s="27"/>
      <c r="S233" s="24"/>
    </row>
    <row r="234" spans="1:19">
      <c r="A234" s="29"/>
      <c r="B234" s="7"/>
      <c r="C234" s="7"/>
      <c r="D234" s="7"/>
      <c r="E234" s="7"/>
      <c r="I234" s="24"/>
      <c r="K234" s="29"/>
      <c r="L234" s="7"/>
      <c r="M234" s="7"/>
      <c r="N234" s="7"/>
      <c r="O234" s="7"/>
      <c r="S234" s="24"/>
    </row>
    <row r="235" spans="1:19" ht="15" customHeight="1">
      <c r="A235" s="29">
        <v>2</v>
      </c>
      <c r="B235" s="827" t="s">
        <v>55</v>
      </c>
      <c r="C235" s="827"/>
      <c r="D235" s="827"/>
      <c r="E235" s="7"/>
      <c r="I235" s="24"/>
      <c r="K235" s="29">
        <v>2</v>
      </c>
      <c r="L235" s="827" t="s">
        <v>55</v>
      </c>
      <c r="M235" s="827"/>
      <c r="N235" s="827"/>
      <c r="O235" s="7"/>
      <c r="S235" s="24"/>
    </row>
    <row r="236" spans="1:19">
      <c r="A236" s="29"/>
      <c r="B236" s="827"/>
      <c r="C236" s="827"/>
      <c r="D236" s="827"/>
      <c r="E236" s="31" t="s">
        <v>37</v>
      </c>
      <c r="F236" s="27"/>
      <c r="G236" s="27"/>
      <c r="H236" s="27"/>
      <c r="I236" s="24"/>
      <c r="K236" s="29"/>
      <c r="L236" s="827"/>
      <c r="M236" s="827"/>
      <c r="N236" s="827"/>
      <c r="O236" s="31" t="s">
        <v>37</v>
      </c>
      <c r="P236" s="27"/>
      <c r="Q236" s="27"/>
      <c r="R236" s="27"/>
      <c r="S236" s="24"/>
    </row>
    <row r="237" spans="1:19">
      <c r="A237" s="29"/>
      <c r="B237" s="7"/>
      <c r="C237" s="7"/>
      <c r="D237" s="7"/>
      <c r="E237" s="7"/>
      <c r="I237" s="24"/>
      <c r="K237" s="29"/>
      <c r="L237" s="7"/>
      <c r="M237" s="7"/>
      <c r="N237" s="7"/>
      <c r="O237" s="7"/>
      <c r="S237" s="24"/>
    </row>
    <row r="238" spans="1:19">
      <c r="A238" s="29">
        <v>3</v>
      </c>
      <c r="B238" s="822" t="s">
        <v>56</v>
      </c>
      <c r="C238" s="822"/>
      <c r="D238" s="822"/>
      <c r="E238" s="31" t="s">
        <v>37</v>
      </c>
      <c r="F238" s="27"/>
      <c r="G238" s="27"/>
      <c r="H238" s="27"/>
      <c r="I238" s="24"/>
      <c r="K238" s="29">
        <v>3</v>
      </c>
      <c r="L238" s="822" t="s">
        <v>56</v>
      </c>
      <c r="M238" s="822"/>
      <c r="N238" s="822"/>
      <c r="O238" s="26" t="str">
        <f>E238</f>
        <v>N/A</v>
      </c>
      <c r="P238" s="27"/>
      <c r="Q238" s="27"/>
      <c r="R238" s="27"/>
      <c r="S238" s="24"/>
    </row>
    <row r="239" spans="1:19">
      <c r="A239" s="29"/>
      <c r="B239" s="7"/>
      <c r="C239" s="7"/>
      <c r="D239" s="7"/>
      <c r="E239" s="7"/>
      <c r="I239" s="24"/>
      <c r="K239" s="29"/>
      <c r="L239" s="7"/>
      <c r="M239" s="7"/>
      <c r="N239" s="7"/>
      <c r="O239" s="7"/>
      <c r="S239" s="24"/>
    </row>
    <row r="240" spans="1:19">
      <c r="A240" s="29">
        <v>4</v>
      </c>
      <c r="B240" s="822" t="s">
        <v>57</v>
      </c>
      <c r="C240" s="822"/>
      <c r="D240" s="822"/>
      <c r="E240" s="31" t="s">
        <v>58</v>
      </c>
      <c r="F240" s="27"/>
      <c r="G240" s="27"/>
      <c r="H240" s="27"/>
      <c r="I240" s="24"/>
      <c r="K240" s="29">
        <v>4</v>
      </c>
      <c r="L240" s="822" t="s">
        <v>57</v>
      </c>
      <c r="M240" s="822"/>
      <c r="N240" s="822"/>
      <c r="O240" s="31" t="s">
        <v>58</v>
      </c>
      <c r="P240" s="27"/>
      <c r="Q240" s="27"/>
      <c r="R240" s="27"/>
      <c r="S240" s="24"/>
    </row>
    <row r="241" spans="1:19">
      <c r="A241" s="29"/>
      <c r="B241" s="7"/>
      <c r="C241" s="7"/>
      <c r="D241" s="7"/>
      <c r="E241" s="7"/>
      <c r="I241" s="24"/>
      <c r="K241" s="29"/>
      <c r="L241" s="7"/>
      <c r="M241" s="7"/>
      <c r="N241" s="7"/>
      <c r="O241" s="7"/>
      <c r="S241" s="24"/>
    </row>
    <row r="242" spans="1:19">
      <c r="A242" s="29">
        <v>5</v>
      </c>
      <c r="B242" s="822" t="s">
        <v>59</v>
      </c>
      <c r="C242" s="822"/>
      <c r="D242" s="822"/>
      <c r="E242" s="344">
        <f>'4-22Master'!AN428</f>
        <v>0</v>
      </c>
      <c r="I242" s="24"/>
      <c r="K242" s="29">
        <v>5</v>
      </c>
      <c r="L242" s="822" t="s">
        <v>59</v>
      </c>
      <c r="M242" s="822"/>
      <c r="N242" s="822"/>
      <c r="O242" s="344">
        <f>E242</f>
        <v>0</v>
      </c>
      <c r="S242" s="24"/>
    </row>
    <row r="243" spans="1:19">
      <c r="A243" s="29"/>
      <c r="B243" s="7"/>
      <c r="C243" s="7"/>
      <c r="D243" s="345" t="s">
        <v>60</v>
      </c>
      <c r="E243" s="345" t="s">
        <v>31</v>
      </c>
      <c r="F243" s="345" t="s">
        <v>33</v>
      </c>
      <c r="G243" s="345" t="s">
        <v>34</v>
      </c>
      <c r="H243" s="345" t="s">
        <v>395</v>
      </c>
      <c r="I243" s="343" t="s">
        <v>396</v>
      </c>
      <c r="K243" s="29"/>
      <c r="L243" s="7"/>
      <c r="M243" s="7"/>
      <c r="N243" s="345" t="s">
        <v>60</v>
      </c>
      <c r="O243" s="345" t="s">
        <v>31</v>
      </c>
      <c r="P243" s="345" t="s">
        <v>33</v>
      </c>
      <c r="Q243" s="345" t="s">
        <v>34</v>
      </c>
      <c r="R243" s="345" t="s">
        <v>395</v>
      </c>
      <c r="S243" s="343" t="s">
        <v>396</v>
      </c>
    </row>
    <row r="244" spans="1:19">
      <c r="A244" s="29">
        <v>6</v>
      </c>
      <c r="B244" s="36" t="s">
        <v>61</v>
      </c>
      <c r="C244" s="36"/>
      <c r="D244" s="346">
        <f>'4-22Master'!AP428</f>
        <v>0</v>
      </c>
      <c r="E244" s="346">
        <f>'4-22Master'!AO428</f>
        <v>0</v>
      </c>
      <c r="F244" s="347">
        <f>'4-22Master'!AQ428</f>
        <v>0</v>
      </c>
      <c r="G244" s="346">
        <f>'4-22Master'!AR428</f>
        <v>0</v>
      </c>
      <c r="H244" s="347">
        <f>'4-22Master'!AS428</f>
        <v>0</v>
      </c>
      <c r="I244" s="347">
        <f>'4-22Master'!AT428</f>
        <v>0</v>
      </c>
      <c r="K244" s="29">
        <v>6</v>
      </c>
      <c r="L244" s="36" t="s">
        <v>61</v>
      </c>
      <c r="M244" s="36"/>
      <c r="N244" s="346">
        <f t="shared" ref="N244:S244" si="5">D244</f>
        <v>0</v>
      </c>
      <c r="O244" s="346">
        <f t="shared" si="5"/>
        <v>0</v>
      </c>
      <c r="P244" s="347">
        <f t="shared" si="5"/>
        <v>0</v>
      </c>
      <c r="Q244" s="346">
        <f t="shared" si="5"/>
        <v>0</v>
      </c>
      <c r="R244" s="347">
        <f t="shared" si="5"/>
        <v>0</v>
      </c>
      <c r="S244" s="347">
        <f t="shared" si="5"/>
        <v>0</v>
      </c>
    </row>
    <row r="245" spans="1:19">
      <c r="A245" s="29"/>
      <c r="B245" s="7"/>
      <c r="C245" s="7"/>
      <c r="D245" s="7"/>
      <c r="E245" s="7"/>
      <c r="I245" s="24"/>
      <c r="K245" s="29"/>
      <c r="L245" s="7"/>
      <c r="M245" s="7"/>
      <c r="N245" s="7"/>
      <c r="O245" s="7"/>
      <c r="S245" s="24"/>
    </row>
    <row r="246" spans="1:19">
      <c r="A246" s="29">
        <v>7</v>
      </c>
      <c r="B246" s="822" t="s">
        <v>62</v>
      </c>
      <c r="C246" s="822"/>
      <c r="D246" s="822"/>
      <c r="E246" s="32">
        <f>E242-I244</f>
        <v>0</v>
      </c>
      <c r="F246" s="27"/>
      <c r="G246" s="27"/>
      <c r="H246" s="27"/>
      <c r="I246" s="24"/>
      <c r="K246" s="29">
        <v>7</v>
      </c>
      <c r="L246" s="822" t="s">
        <v>62</v>
      </c>
      <c r="M246" s="822"/>
      <c r="N246" s="822"/>
      <c r="O246" s="32">
        <f>E246</f>
        <v>0</v>
      </c>
      <c r="P246" s="27"/>
      <c r="Q246" s="27"/>
      <c r="R246" s="27"/>
      <c r="S246" s="24"/>
    </row>
    <row r="247" spans="1:19">
      <c r="A247" s="23"/>
      <c r="I247" s="24"/>
      <c r="K247" s="23"/>
      <c r="S247" s="24"/>
    </row>
    <row r="248" spans="1:19">
      <c r="A248" s="23"/>
      <c r="I248" s="24"/>
      <c r="K248" s="23"/>
      <c r="S248" s="24"/>
    </row>
    <row r="249" spans="1:19" ht="15.75" thickBot="1">
      <c r="A249" s="23"/>
      <c r="F249" s="33"/>
      <c r="G249" s="33"/>
      <c r="H249" s="33"/>
      <c r="I249" s="34"/>
      <c r="K249" s="23"/>
      <c r="P249" s="33"/>
      <c r="Q249" s="33"/>
      <c r="R249" s="33"/>
      <c r="S249" s="34"/>
    </row>
    <row r="250" spans="1:19" ht="15.75" thickBot="1">
      <c r="A250" s="35"/>
      <c r="B250" s="33"/>
      <c r="C250" s="33"/>
      <c r="D250" s="33"/>
      <c r="E250" s="33"/>
      <c r="F250" s="828" t="s">
        <v>63</v>
      </c>
      <c r="G250" s="828"/>
      <c r="H250" s="828"/>
      <c r="I250" s="829"/>
      <c r="K250" s="35"/>
      <c r="L250" s="33"/>
      <c r="M250" s="33"/>
      <c r="N250" s="33"/>
      <c r="O250" s="33"/>
      <c r="P250" s="828" t="s">
        <v>63</v>
      </c>
      <c r="Q250" s="828"/>
      <c r="R250" s="828"/>
      <c r="S250" s="829"/>
    </row>
    <row r="263" spans="1:19" ht="15.75" thickBot="1"/>
    <row r="264" spans="1:19" ht="26.25">
      <c r="A264" s="830" t="s">
        <v>482</v>
      </c>
      <c r="B264" s="831"/>
      <c r="C264" s="831"/>
      <c r="D264" s="831"/>
      <c r="E264" s="831"/>
      <c r="F264" s="831"/>
      <c r="G264" s="831"/>
      <c r="H264" s="831"/>
      <c r="I264" s="832"/>
      <c r="J264" s="95"/>
      <c r="K264" s="830" t="str">
        <f>A264</f>
        <v>Form XV - WAGE SLIP</v>
      </c>
      <c r="L264" s="831"/>
      <c r="M264" s="831"/>
      <c r="N264" s="831"/>
      <c r="O264" s="831"/>
      <c r="P264" s="831"/>
      <c r="Q264" s="831"/>
      <c r="R264" s="831"/>
      <c r="S264" s="832"/>
    </row>
    <row r="265" spans="1:19">
      <c r="A265" s="823" t="s">
        <v>483</v>
      </c>
      <c r="B265" s="824"/>
      <c r="C265" s="824"/>
      <c r="D265" s="824"/>
      <c r="E265" s="824"/>
      <c r="F265" s="824"/>
      <c r="G265" s="824"/>
      <c r="H265" s="824"/>
      <c r="I265" s="825"/>
      <c r="J265" s="439"/>
      <c r="K265" s="823" t="str">
        <f>A265</f>
        <v>[Vide rule 78 (1) (b) of the Contract Labour (Regulation and Abolition) and Maharashtra  Rules, 1971]</v>
      </c>
      <c r="L265" s="824"/>
      <c r="M265" s="824"/>
      <c r="N265" s="824"/>
      <c r="O265" s="824"/>
      <c r="P265" s="824"/>
      <c r="Q265" s="824"/>
      <c r="R265" s="824"/>
      <c r="S265" s="825"/>
    </row>
    <row r="266" spans="1:19">
      <c r="A266" s="23"/>
      <c r="I266" s="24"/>
      <c r="K266" s="23"/>
      <c r="S266" s="24"/>
    </row>
    <row r="267" spans="1:19">
      <c r="A267" s="25" t="s">
        <v>50</v>
      </c>
      <c r="B267" s="7"/>
      <c r="C267" s="7"/>
      <c r="D267" s="11">
        <f>'4-22Master'!G459</f>
        <v>0</v>
      </c>
      <c r="I267" s="24"/>
      <c r="K267" s="25" t="s">
        <v>50</v>
      </c>
      <c r="L267" s="7"/>
      <c r="M267" s="7"/>
      <c r="N267" s="11">
        <f>D267</f>
        <v>0</v>
      </c>
      <c r="S267" s="24"/>
    </row>
    <row r="268" spans="1:19">
      <c r="A268" s="25"/>
      <c r="B268" s="7">
        <f>'4-22Master'!G460</f>
        <v>0</v>
      </c>
      <c r="C268" s="7"/>
      <c r="D268" s="7"/>
      <c r="I268" s="24"/>
      <c r="K268" s="25"/>
      <c r="L268" s="7">
        <f>B268</f>
        <v>0</v>
      </c>
      <c r="M268" s="7"/>
      <c r="N268" s="7"/>
      <c r="S268" s="24"/>
    </row>
    <row r="269" spans="1:19">
      <c r="A269" s="25"/>
      <c r="B269" s="7">
        <f>'4-22Master'!G461</f>
        <v>0</v>
      </c>
      <c r="C269" s="7"/>
      <c r="D269" s="7"/>
      <c r="E269" s="7"/>
      <c r="I269" s="24"/>
      <c r="K269" s="25"/>
      <c r="L269" s="7">
        <f>B269</f>
        <v>0</v>
      </c>
      <c r="M269" s="7"/>
      <c r="N269" s="7"/>
      <c r="O269" s="7"/>
      <c r="S269" s="24"/>
    </row>
    <row r="270" spans="1:19" ht="15" customHeight="1">
      <c r="A270" s="826" t="s">
        <v>51</v>
      </c>
      <c r="B270" s="827"/>
      <c r="C270" s="827"/>
      <c r="D270" s="827"/>
      <c r="E270" s="7"/>
      <c r="I270" s="24"/>
      <c r="K270" s="826" t="s">
        <v>51</v>
      </c>
      <c r="L270" s="827"/>
      <c r="M270" s="827"/>
      <c r="N270" s="827"/>
      <c r="O270" s="7"/>
      <c r="S270" s="24"/>
    </row>
    <row r="271" spans="1:19">
      <c r="A271" s="826"/>
      <c r="B271" s="827"/>
      <c r="C271" s="827"/>
      <c r="D271" s="827"/>
      <c r="E271" s="26">
        <f>'4-22Master'!V472</f>
        <v>0</v>
      </c>
      <c r="F271" s="27"/>
      <c r="G271" s="27"/>
      <c r="H271" s="27"/>
      <c r="I271" s="24"/>
      <c r="K271" s="826"/>
      <c r="L271" s="827"/>
      <c r="M271" s="827"/>
      <c r="N271" s="827"/>
      <c r="O271" s="26">
        <f>E271</f>
        <v>0</v>
      </c>
      <c r="P271" s="27"/>
      <c r="Q271" s="27"/>
      <c r="R271" s="27"/>
      <c r="S271" s="24"/>
    </row>
    <row r="272" spans="1:19">
      <c r="A272" s="25"/>
      <c r="B272" s="7"/>
      <c r="C272" s="7"/>
      <c r="D272" s="7"/>
      <c r="E272" s="7"/>
      <c r="I272" s="24"/>
      <c r="K272" s="25"/>
      <c r="L272" s="7"/>
      <c r="M272" s="7"/>
      <c r="N272" s="7"/>
      <c r="O272" s="7"/>
      <c r="S272" s="24"/>
    </row>
    <row r="273" spans="1:19">
      <c r="A273" s="821" t="s">
        <v>52</v>
      </c>
      <c r="B273" s="822"/>
      <c r="C273" s="822"/>
      <c r="D273" s="822"/>
      <c r="E273" s="26">
        <f>'4-22Master'!G462</f>
        <v>0</v>
      </c>
      <c r="F273" s="27"/>
      <c r="G273" s="27"/>
      <c r="H273" s="27"/>
      <c r="I273" s="24"/>
      <c r="K273" s="821" t="s">
        <v>52</v>
      </c>
      <c r="L273" s="822"/>
      <c r="M273" s="822"/>
      <c r="N273" s="822"/>
      <c r="O273" s="26">
        <f>E273</f>
        <v>0</v>
      </c>
      <c r="P273" s="27"/>
      <c r="Q273" s="27"/>
      <c r="R273" s="27"/>
      <c r="S273" s="24"/>
    </row>
    <row r="274" spans="1:19">
      <c r="A274" s="25"/>
      <c r="B274" s="7"/>
      <c r="C274" s="7"/>
      <c r="D274" s="7"/>
      <c r="E274" s="7"/>
      <c r="I274" s="24"/>
      <c r="K274" s="25"/>
      <c r="L274" s="7"/>
      <c r="M274" s="7"/>
      <c r="N274" s="7"/>
      <c r="O274" s="7"/>
      <c r="S274" s="24"/>
    </row>
    <row r="275" spans="1:19">
      <c r="A275" s="821" t="s">
        <v>53</v>
      </c>
      <c r="B275" s="822"/>
      <c r="C275" s="822"/>
      <c r="D275" s="822"/>
      <c r="E275" s="28">
        <f>'4-22Master'!E464</f>
        <v>0</v>
      </c>
      <c r="F275" s="27"/>
      <c r="G275" s="27"/>
      <c r="H275" s="27"/>
      <c r="I275" s="24"/>
      <c r="K275" s="821" t="s">
        <v>53</v>
      </c>
      <c r="L275" s="822"/>
      <c r="M275" s="822"/>
      <c r="N275" s="822"/>
      <c r="O275" s="28">
        <f>E275</f>
        <v>0</v>
      </c>
      <c r="P275" s="27"/>
      <c r="Q275" s="27"/>
      <c r="R275" s="27"/>
      <c r="S275" s="24"/>
    </row>
    <row r="276" spans="1:19">
      <c r="A276" s="25"/>
      <c r="B276" s="7"/>
      <c r="C276" s="7"/>
      <c r="D276" s="7"/>
      <c r="E276" s="7"/>
      <c r="I276" s="24"/>
      <c r="K276" s="25"/>
      <c r="L276" s="7"/>
      <c r="M276" s="7"/>
      <c r="N276" s="7"/>
      <c r="O276" s="7"/>
      <c r="S276" s="24"/>
    </row>
    <row r="277" spans="1:19">
      <c r="A277" s="29">
        <v>1</v>
      </c>
      <c r="B277" s="822" t="s">
        <v>54</v>
      </c>
      <c r="C277" s="822"/>
      <c r="D277" s="822"/>
      <c r="E277" s="30">
        <f>'4-22Master'!X472</f>
        <v>0</v>
      </c>
      <c r="F277" s="27"/>
      <c r="G277" s="27"/>
      <c r="H277" s="27"/>
      <c r="I277" s="24"/>
      <c r="K277" s="29">
        <v>1</v>
      </c>
      <c r="L277" s="822" t="s">
        <v>54</v>
      </c>
      <c r="M277" s="822"/>
      <c r="N277" s="822"/>
      <c r="O277" s="30">
        <f>E277</f>
        <v>0</v>
      </c>
      <c r="P277" s="27"/>
      <c r="Q277" s="27"/>
      <c r="R277" s="27"/>
      <c r="S277" s="24"/>
    </row>
    <row r="278" spans="1:19">
      <c r="A278" s="29"/>
      <c r="B278" s="7"/>
      <c r="C278" s="7"/>
      <c r="D278" s="7"/>
      <c r="E278" s="7"/>
      <c r="I278" s="24"/>
      <c r="K278" s="29"/>
      <c r="L278" s="7"/>
      <c r="M278" s="7"/>
      <c r="N278" s="7"/>
      <c r="O278" s="7"/>
      <c r="S278" s="24"/>
    </row>
    <row r="279" spans="1:19" ht="15" customHeight="1">
      <c r="A279" s="29">
        <v>2</v>
      </c>
      <c r="B279" s="827" t="s">
        <v>55</v>
      </c>
      <c r="C279" s="827"/>
      <c r="D279" s="827"/>
      <c r="E279" s="7"/>
      <c r="I279" s="24"/>
      <c r="K279" s="29">
        <v>2</v>
      </c>
      <c r="L279" s="827" t="s">
        <v>55</v>
      </c>
      <c r="M279" s="827"/>
      <c r="N279" s="827"/>
      <c r="O279" s="7"/>
      <c r="S279" s="24"/>
    </row>
    <row r="280" spans="1:19">
      <c r="A280" s="29"/>
      <c r="B280" s="827"/>
      <c r="C280" s="827"/>
      <c r="D280" s="827"/>
      <c r="E280" s="31" t="s">
        <v>37</v>
      </c>
      <c r="F280" s="27"/>
      <c r="G280" s="27"/>
      <c r="H280" s="27"/>
      <c r="I280" s="24"/>
      <c r="K280" s="29"/>
      <c r="L280" s="827"/>
      <c r="M280" s="827"/>
      <c r="N280" s="827"/>
      <c r="O280" s="31" t="s">
        <v>37</v>
      </c>
      <c r="P280" s="27"/>
      <c r="Q280" s="27"/>
      <c r="R280" s="27"/>
      <c r="S280" s="24"/>
    </row>
    <row r="281" spans="1:19">
      <c r="A281" s="29"/>
      <c r="B281" s="7"/>
      <c r="C281" s="7"/>
      <c r="D281" s="7"/>
      <c r="E281" s="7"/>
      <c r="I281" s="24"/>
      <c r="K281" s="29"/>
      <c r="L281" s="7"/>
      <c r="M281" s="7"/>
      <c r="N281" s="7"/>
      <c r="O281" s="7"/>
      <c r="S281" s="24"/>
    </row>
    <row r="282" spans="1:19">
      <c r="A282" s="29">
        <v>3</v>
      </c>
      <c r="B282" s="822" t="s">
        <v>56</v>
      </c>
      <c r="C282" s="822"/>
      <c r="D282" s="822"/>
      <c r="E282" s="31" t="s">
        <v>37</v>
      </c>
      <c r="F282" s="27"/>
      <c r="G282" s="27"/>
      <c r="H282" s="27"/>
      <c r="I282" s="24"/>
      <c r="K282" s="29">
        <v>3</v>
      </c>
      <c r="L282" s="822" t="s">
        <v>56</v>
      </c>
      <c r="M282" s="822"/>
      <c r="N282" s="822"/>
      <c r="O282" s="26" t="str">
        <f>E282</f>
        <v>N/A</v>
      </c>
      <c r="P282" s="27"/>
      <c r="Q282" s="27"/>
      <c r="R282" s="27"/>
      <c r="S282" s="24"/>
    </row>
    <row r="283" spans="1:19">
      <c r="A283" s="29"/>
      <c r="B283" s="7"/>
      <c r="C283" s="7"/>
      <c r="D283" s="7"/>
      <c r="E283" s="7"/>
      <c r="I283" s="24"/>
      <c r="K283" s="29"/>
      <c r="L283" s="7"/>
      <c r="M283" s="7"/>
      <c r="N283" s="7"/>
      <c r="O283" s="7"/>
      <c r="S283" s="24"/>
    </row>
    <row r="284" spans="1:19">
      <c r="A284" s="29">
        <v>4</v>
      </c>
      <c r="B284" s="822" t="s">
        <v>57</v>
      </c>
      <c r="C284" s="822"/>
      <c r="D284" s="822"/>
      <c r="E284" s="31" t="s">
        <v>58</v>
      </c>
      <c r="F284" s="27"/>
      <c r="G284" s="27"/>
      <c r="H284" s="27"/>
      <c r="I284" s="24"/>
      <c r="K284" s="29">
        <v>4</v>
      </c>
      <c r="L284" s="822" t="s">
        <v>57</v>
      </c>
      <c r="M284" s="822"/>
      <c r="N284" s="822"/>
      <c r="O284" s="31" t="s">
        <v>58</v>
      </c>
      <c r="P284" s="27"/>
      <c r="Q284" s="27"/>
      <c r="R284" s="27"/>
      <c r="S284" s="24"/>
    </row>
    <row r="285" spans="1:19">
      <c r="A285" s="29"/>
      <c r="B285" s="7"/>
      <c r="C285" s="7"/>
      <c r="D285" s="7"/>
      <c r="E285" s="7"/>
      <c r="I285" s="24"/>
      <c r="K285" s="29"/>
      <c r="L285" s="7"/>
      <c r="M285" s="7"/>
      <c r="N285" s="7"/>
      <c r="O285" s="7"/>
      <c r="S285" s="24"/>
    </row>
    <row r="286" spans="1:19">
      <c r="A286" s="29">
        <v>5</v>
      </c>
      <c r="B286" s="822" t="s">
        <v>59</v>
      </c>
      <c r="C286" s="822"/>
      <c r="D286" s="822"/>
      <c r="E286" s="344">
        <f>'4-22Master'!AN472</f>
        <v>0</v>
      </c>
      <c r="I286" s="24"/>
      <c r="K286" s="29">
        <v>5</v>
      </c>
      <c r="L286" s="822" t="s">
        <v>59</v>
      </c>
      <c r="M286" s="822"/>
      <c r="N286" s="822"/>
      <c r="O286" s="344">
        <f>E286</f>
        <v>0</v>
      </c>
      <c r="S286" s="24"/>
    </row>
    <row r="287" spans="1:19">
      <c r="A287" s="29"/>
      <c r="B287" s="7"/>
      <c r="C287" s="7"/>
      <c r="D287" s="345" t="s">
        <v>60</v>
      </c>
      <c r="E287" s="345" t="s">
        <v>31</v>
      </c>
      <c r="F287" s="345" t="s">
        <v>33</v>
      </c>
      <c r="G287" s="345" t="s">
        <v>34</v>
      </c>
      <c r="H287" s="345" t="s">
        <v>395</v>
      </c>
      <c r="I287" s="343" t="s">
        <v>396</v>
      </c>
      <c r="K287" s="29"/>
      <c r="L287" s="7"/>
      <c r="M287" s="7"/>
      <c r="N287" s="345" t="s">
        <v>60</v>
      </c>
      <c r="O287" s="345" t="s">
        <v>31</v>
      </c>
      <c r="P287" s="345" t="s">
        <v>33</v>
      </c>
      <c r="Q287" s="345" t="s">
        <v>34</v>
      </c>
      <c r="R287" s="345" t="s">
        <v>395</v>
      </c>
      <c r="S287" s="343" t="s">
        <v>396</v>
      </c>
    </row>
    <row r="288" spans="1:19">
      <c r="A288" s="29">
        <v>6</v>
      </c>
      <c r="B288" s="36" t="s">
        <v>61</v>
      </c>
      <c r="C288" s="36"/>
      <c r="D288" s="346">
        <f>'4-22Master'!AP472</f>
        <v>0</v>
      </c>
      <c r="E288" s="346">
        <f>'4-22Master'!AO472</f>
        <v>0</v>
      </c>
      <c r="F288" s="347">
        <f>'4-22Master'!AQ472</f>
        <v>0</v>
      </c>
      <c r="G288" s="346">
        <f>'4-22Master'!AR472</f>
        <v>0</v>
      </c>
      <c r="H288" s="347">
        <f>'4-22Master'!AS472</f>
        <v>0</v>
      </c>
      <c r="I288" s="347">
        <f>'4-22Master'!AT472</f>
        <v>0</v>
      </c>
      <c r="K288" s="29">
        <v>6</v>
      </c>
      <c r="L288" s="36" t="s">
        <v>61</v>
      </c>
      <c r="M288" s="36"/>
      <c r="N288" s="346">
        <f t="shared" ref="N288:S288" si="6">D288</f>
        <v>0</v>
      </c>
      <c r="O288" s="346">
        <f t="shared" si="6"/>
        <v>0</v>
      </c>
      <c r="P288" s="347">
        <f t="shared" si="6"/>
        <v>0</v>
      </c>
      <c r="Q288" s="346">
        <f t="shared" si="6"/>
        <v>0</v>
      </c>
      <c r="R288" s="347">
        <f t="shared" si="6"/>
        <v>0</v>
      </c>
      <c r="S288" s="347">
        <f t="shared" si="6"/>
        <v>0</v>
      </c>
    </row>
    <row r="289" spans="1:19">
      <c r="A289" s="29"/>
      <c r="B289" s="7"/>
      <c r="C289" s="7"/>
      <c r="D289" s="7"/>
      <c r="E289" s="7"/>
      <c r="I289" s="24"/>
      <c r="K289" s="29"/>
      <c r="L289" s="7"/>
      <c r="M289" s="7"/>
      <c r="N289" s="7"/>
      <c r="O289" s="7"/>
      <c r="S289" s="24"/>
    </row>
    <row r="290" spans="1:19">
      <c r="A290" s="29">
        <v>7</v>
      </c>
      <c r="B290" s="822" t="s">
        <v>62</v>
      </c>
      <c r="C290" s="822"/>
      <c r="D290" s="822"/>
      <c r="E290" s="32">
        <f>E286-I288</f>
        <v>0</v>
      </c>
      <c r="F290" s="27"/>
      <c r="G290" s="27"/>
      <c r="H290" s="27"/>
      <c r="I290" s="24"/>
      <c r="K290" s="29">
        <v>7</v>
      </c>
      <c r="L290" s="822" t="s">
        <v>62</v>
      </c>
      <c r="M290" s="822"/>
      <c r="N290" s="822"/>
      <c r="O290" s="32">
        <f>E290</f>
        <v>0</v>
      </c>
      <c r="P290" s="27"/>
      <c r="Q290" s="27"/>
      <c r="R290" s="27"/>
      <c r="S290" s="24"/>
    </row>
    <row r="291" spans="1:19">
      <c r="A291" s="23"/>
      <c r="I291" s="24"/>
      <c r="K291" s="23"/>
      <c r="S291" s="24"/>
    </row>
    <row r="292" spans="1:19">
      <c r="A292" s="23"/>
      <c r="I292" s="24"/>
      <c r="K292" s="23"/>
      <c r="S292" s="24"/>
    </row>
    <row r="293" spans="1:19" ht="15.75" thickBot="1">
      <c r="A293" s="23"/>
      <c r="F293" s="33"/>
      <c r="G293" s="33"/>
      <c r="H293" s="33"/>
      <c r="I293" s="34"/>
      <c r="K293" s="23"/>
      <c r="P293" s="33"/>
      <c r="Q293" s="33"/>
      <c r="R293" s="33"/>
      <c r="S293" s="34"/>
    </row>
    <row r="294" spans="1:19" ht="15.75" thickBot="1">
      <c r="A294" s="35"/>
      <c r="B294" s="33"/>
      <c r="C294" s="33"/>
      <c r="D294" s="33"/>
      <c r="E294" s="33"/>
      <c r="F294" s="828" t="s">
        <v>63</v>
      </c>
      <c r="G294" s="828"/>
      <c r="H294" s="828"/>
      <c r="I294" s="829"/>
      <c r="K294" s="35"/>
      <c r="L294" s="33"/>
      <c r="M294" s="33"/>
      <c r="N294" s="33"/>
      <c r="O294" s="33"/>
      <c r="P294" s="828" t="s">
        <v>63</v>
      </c>
      <c r="Q294" s="828"/>
      <c r="R294" s="828"/>
      <c r="S294" s="829"/>
    </row>
    <row r="308" spans="1:19" ht="15.75" thickBot="1"/>
    <row r="309" spans="1:19" ht="26.25">
      <c r="A309" s="830" t="s">
        <v>482</v>
      </c>
      <c r="B309" s="831"/>
      <c r="C309" s="831"/>
      <c r="D309" s="831"/>
      <c r="E309" s="831"/>
      <c r="F309" s="831"/>
      <c r="G309" s="831"/>
      <c r="H309" s="831"/>
      <c r="I309" s="832"/>
      <c r="J309" s="95"/>
      <c r="K309" s="830" t="str">
        <f>A309</f>
        <v>Form XV - WAGE SLIP</v>
      </c>
      <c r="L309" s="831"/>
      <c r="M309" s="831"/>
      <c r="N309" s="831"/>
      <c r="O309" s="831"/>
      <c r="P309" s="831"/>
      <c r="Q309" s="831"/>
      <c r="R309" s="831"/>
      <c r="S309" s="832"/>
    </row>
    <row r="310" spans="1:19">
      <c r="A310" s="823" t="s">
        <v>483</v>
      </c>
      <c r="B310" s="824"/>
      <c r="C310" s="824"/>
      <c r="D310" s="824"/>
      <c r="E310" s="824"/>
      <c r="F310" s="824"/>
      <c r="G310" s="824"/>
      <c r="H310" s="824"/>
      <c r="I310" s="825"/>
      <c r="J310" s="439"/>
      <c r="K310" s="823" t="str">
        <f>A310</f>
        <v>[Vide rule 78 (1) (b) of the Contract Labour (Regulation and Abolition) and Maharashtra  Rules, 1971]</v>
      </c>
      <c r="L310" s="824"/>
      <c r="M310" s="824"/>
      <c r="N310" s="824"/>
      <c r="O310" s="824"/>
      <c r="P310" s="824"/>
      <c r="Q310" s="824"/>
      <c r="R310" s="824"/>
      <c r="S310" s="825"/>
    </row>
    <row r="311" spans="1:19">
      <c r="A311" s="23"/>
      <c r="I311" s="24"/>
      <c r="K311" s="23"/>
      <c r="S311" s="24"/>
    </row>
    <row r="312" spans="1:19">
      <c r="A312" s="25" t="s">
        <v>50</v>
      </c>
      <c r="B312" s="7"/>
      <c r="C312" s="7"/>
      <c r="D312" s="11">
        <f>'4-22Master'!G504</f>
        <v>0</v>
      </c>
      <c r="I312" s="24"/>
      <c r="K312" s="25" t="s">
        <v>50</v>
      </c>
      <c r="L312" s="7"/>
      <c r="M312" s="7"/>
      <c r="N312" s="11">
        <f>D312</f>
        <v>0</v>
      </c>
      <c r="S312" s="24"/>
    </row>
    <row r="313" spans="1:19">
      <c r="A313" s="25"/>
      <c r="B313" s="7">
        <f>'4-22Master'!G505</f>
        <v>0</v>
      </c>
      <c r="C313" s="7"/>
      <c r="D313" s="7"/>
      <c r="I313" s="24"/>
      <c r="K313" s="25"/>
      <c r="L313" s="7">
        <f>B313</f>
        <v>0</v>
      </c>
      <c r="M313" s="7"/>
      <c r="N313" s="7"/>
      <c r="S313" s="24"/>
    </row>
    <row r="314" spans="1:19">
      <c r="A314" s="25"/>
      <c r="B314" s="7">
        <f>'4-22Master'!G506</f>
        <v>0</v>
      </c>
      <c r="C314" s="7"/>
      <c r="D314" s="7"/>
      <c r="E314" s="7"/>
      <c r="I314" s="24"/>
      <c r="K314" s="25"/>
      <c r="L314" s="7">
        <f>B314</f>
        <v>0</v>
      </c>
      <c r="M314" s="7"/>
      <c r="N314" s="7"/>
      <c r="O314" s="7"/>
      <c r="S314" s="24"/>
    </row>
    <row r="315" spans="1:19" ht="15" customHeight="1">
      <c r="A315" s="826" t="s">
        <v>51</v>
      </c>
      <c r="B315" s="827"/>
      <c r="C315" s="827"/>
      <c r="D315" s="827"/>
      <c r="E315" s="7"/>
      <c r="I315" s="24"/>
      <c r="K315" s="826" t="s">
        <v>51</v>
      </c>
      <c r="L315" s="827"/>
      <c r="M315" s="827"/>
      <c r="N315" s="827"/>
      <c r="O315" s="7"/>
      <c r="S315" s="24"/>
    </row>
    <row r="316" spans="1:19">
      <c r="A316" s="826"/>
      <c r="B316" s="827"/>
      <c r="C316" s="827"/>
      <c r="D316" s="827"/>
      <c r="E316" s="26">
        <f>'4-22Master'!V517</f>
        <v>0</v>
      </c>
      <c r="F316" s="27"/>
      <c r="G316" s="27"/>
      <c r="H316" s="27"/>
      <c r="I316" s="24"/>
      <c r="K316" s="826"/>
      <c r="L316" s="827"/>
      <c r="M316" s="827"/>
      <c r="N316" s="827"/>
      <c r="O316" s="26">
        <f>E316</f>
        <v>0</v>
      </c>
      <c r="P316" s="27"/>
      <c r="Q316" s="27"/>
      <c r="R316" s="27"/>
      <c r="S316" s="24"/>
    </row>
    <row r="317" spans="1:19">
      <c r="A317" s="25"/>
      <c r="B317" s="7"/>
      <c r="C317" s="7"/>
      <c r="D317" s="7"/>
      <c r="E317" s="7"/>
      <c r="I317" s="24"/>
      <c r="K317" s="25"/>
      <c r="L317" s="7"/>
      <c r="M317" s="7"/>
      <c r="N317" s="7"/>
      <c r="O317" s="7"/>
      <c r="S317" s="24"/>
    </row>
    <row r="318" spans="1:19">
      <c r="A318" s="821" t="s">
        <v>52</v>
      </c>
      <c r="B318" s="822"/>
      <c r="C318" s="822"/>
      <c r="D318" s="822"/>
      <c r="E318" s="26">
        <f>'4-22Master'!G507</f>
        <v>0</v>
      </c>
      <c r="F318" s="27"/>
      <c r="G318" s="27"/>
      <c r="H318" s="27"/>
      <c r="I318" s="24"/>
      <c r="K318" s="821" t="s">
        <v>52</v>
      </c>
      <c r="L318" s="822"/>
      <c r="M318" s="822"/>
      <c r="N318" s="822"/>
      <c r="O318" s="26">
        <f>E318</f>
        <v>0</v>
      </c>
      <c r="P318" s="27"/>
      <c r="Q318" s="27"/>
      <c r="R318" s="27"/>
      <c r="S318" s="24"/>
    </row>
    <row r="319" spans="1:19">
      <c r="A319" s="25"/>
      <c r="B319" s="7"/>
      <c r="C319" s="7"/>
      <c r="D319" s="7"/>
      <c r="E319" s="7"/>
      <c r="I319" s="24"/>
      <c r="K319" s="25"/>
      <c r="L319" s="7"/>
      <c r="M319" s="7"/>
      <c r="N319" s="7"/>
      <c r="O319" s="7"/>
      <c r="S319" s="24"/>
    </row>
    <row r="320" spans="1:19">
      <c r="A320" s="821" t="s">
        <v>53</v>
      </c>
      <c r="B320" s="822"/>
      <c r="C320" s="822"/>
      <c r="D320" s="822"/>
      <c r="E320" s="28">
        <f>'4-22Master'!E509</f>
        <v>0</v>
      </c>
      <c r="F320" s="27"/>
      <c r="G320" s="27"/>
      <c r="H320" s="27"/>
      <c r="I320" s="24"/>
      <c r="K320" s="821" t="s">
        <v>53</v>
      </c>
      <c r="L320" s="822"/>
      <c r="M320" s="822"/>
      <c r="N320" s="822"/>
      <c r="O320" s="28">
        <f>E320</f>
        <v>0</v>
      </c>
      <c r="P320" s="27"/>
      <c r="Q320" s="27"/>
      <c r="R320" s="27"/>
      <c r="S320" s="24"/>
    </row>
    <row r="321" spans="1:19">
      <c r="A321" s="25"/>
      <c r="B321" s="7"/>
      <c r="C321" s="7"/>
      <c r="D321" s="7"/>
      <c r="E321" s="7"/>
      <c r="I321" s="24"/>
      <c r="K321" s="25"/>
      <c r="L321" s="7"/>
      <c r="M321" s="7"/>
      <c r="N321" s="7"/>
      <c r="O321" s="7"/>
      <c r="S321" s="24"/>
    </row>
    <row r="322" spans="1:19">
      <c r="A322" s="29">
        <v>1</v>
      </c>
      <c r="B322" s="822" t="s">
        <v>54</v>
      </c>
      <c r="C322" s="822"/>
      <c r="D322" s="822"/>
      <c r="E322" s="30">
        <f>'4-22Master'!X517</f>
        <v>0</v>
      </c>
      <c r="F322" s="27"/>
      <c r="G322" s="27"/>
      <c r="H322" s="27"/>
      <c r="I322" s="24"/>
      <c r="K322" s="29">
        <v>1</v>
      </c>
      <c r="L322" s="822" t="s">
        <v>54</v>
      </c>
      <c r="M322" s="822"/>
      <c r="N322" s="822"/>
      <c r="O322" s="30">
        <f>E322</f>
        <v>0</v>
      </c>
      <c r="P322" s="27"/>
      <c r="Q322" s="27"/>
      <c r="R322" s="27"/>
      <c r="S322" s="24"/>
    </row>
    <row r="323" spans="1:19">
      <c r="A323" s="29"/>
      <c r="B323" s="7"/>
      <c r="C323" s="7"/>
      <c r="D323" s="7"/>
      <c r="E323" s="7"/>
      <c r="I323" s="24"/>
      <c r="K323" s="29"/>
      <c r="L323" s="7"/>
      <c r="M323" s="7"/>
      <c r="N323" s="7"/>
      <c r="O323" s="7"/>
      <c r="S323" s="24"/>
    </row>
    <row r="324" spans="1:19" ht="15" customHeight="1">
      <c r="A324" s="29">
        <v>2</v>
      </c>
      <c r="B324" s="827" t="s">
        <v>55</v>
      </c>
      <c r="C324" s="827"/>
      <c r="D324" s="827"/>
      <c r="E324" s="7"/>
      <c r="I324" s="24"/>
      <c r="K324" s="29">
        <v>2</v>
      </c>
      <c r="L324" s="827" t="s">
        <v>55</v>
      </c>
      <c r="M324" s="827"/>
      <c r="N324" s="827"/>
      <c r="O324" s="7"/>
      <c r="S324" s="24"/>
    </row>
    <row r="325" spans="1:19">
      <c r="A325" s="29"/>
      <c r="B325" s="827"/>
      <c r="C325" s="827"/>
      <c r="D325" s="827"/>
      <c r="E325" s="31" t="s">
        <v>37</v>
      </c>
      <c r="F325" s="27"/>
      <c r="G325" s="27"/>
      <c r="H325" s="27"/>
      <c r="I325" s="24"/>
      <c r="K325" s="29"/>
      <c r="L325" s="827"/>
      <c r="M325" s="827"/>
      <c r="N325" s="827"/>
      <c r="O325" s="31" t="s">
        <v>37</v>
      </c>
      <c r="P325" s="27"/>
      <c r="Q325" s="27"/>
      <c r="R325" s="27"/>
      <c r="S325" s="24"/>
    </row>
    <row r="326" spans="1:19">
      <c r="A326" s="29"/>
      <c r="B326" s="7"/>
      <c r="C326" s="7"/>
      <c r="D326" s="7"/>
      <c r="E326" s="7"/>
      <c r="I326" s="24"/>
      <c r="K326" s="29"/>
      <c r="L326" s="7"/>
      <c r="M326" s="7"/>
      <c r="N326" s="7"/>
      <c r="O326" s="7"/>
      <c r="S326" s="24"/>
    </row>
    <row r="327" spans="1:19">
      <c r="A327" s="29">
        <v>3</v>
      </c>
      <c r="B327" s="822" t="s">
        <v>56</v>
      </c>
      <c r="C327" s="822"/>
      <c r="D327" s="822"/>
      <c r="E327" s="31" t="s">
        <v>37</v>
      </c>
      <c r="F327" s="27"/>
      <c r="G327" s="27"/>
      <c r="H327" s="27"/>
      <c r="I327" s="24"/>
      <c r="K327" s="29">
        <v>3</v>
      </c>
      <c r="L327" s="822" t="s">
        <v>56</v>
      </c>
      <c r="M327" s="822"/>
      <c r="N327" s="822"/>
      <c r="O327" s="26" t="str">
        <f>E327</f>
        <v>N/A</v>
      </c>
      <c r="P327" s="27"/>
      <c r="Q327" s="27"/>
      <c r="R327" s="27"/>
      <c r="S327" s="24"/>
    </row>
    <row r="328" spans="1:19">
      <c r="A328" s="29"/>
      <c r="B328" s="7"/>
      <c r="C328" s="7"/>
      <c r="D328" s="7"/>
      <c r="E328" s="7"/>
      <c r="I328" s="24"/>
      <c r="K328" s="29"/>
      <c r="L328" s="7"/>
      <c r="M328" s="7"/>
      <c r="N328" s="7"/>
      <c r="O328" s="7"/>
      <c r="S328" s="24"/>
    </row>
    <row r="329" spans="1:19">
      <c r="A329" s="29">
        <v>4</v>
      </c>
      <c r="B329" s="822" t="s">
        <v>57</v>
      </c>
      <c r="C329" s="822"/>
      <c r="D329" s="822"/>
      <c r="E329" s="31" t="s">
        <v>58</v>
      </c>
      <c r="F329" s="27"/>
      <c r="G329" s="27"/>
      <c r="H329" s="27"/>
      <c r="I329" s="24"/>
      <c r="K329" s="29">
        <v>4</v>
      </c>
      <c r="L329" s="822" t="s">
        <v>57</v>
      </c>
      <c r="M329" s="822"/>
      <c r="N329" s="822"/>
      <c r="O329" s="31" t="s">
        <v>58</v>
      </c>
      <c r="P329" s="27"/>
      <c r="Q329" s="27"/>
      <c r="R329" s="27"/>
      <c r="S329" s="24"/>
    </row>
    <row r="330" spans="1:19">
      <c r="A330" s="29"/>
      <c r="B330" s="7"/>
      <c r="C330" s="7"/>
      <c r="D330" s="7"/>
      <c r="E330" s="7"/>
      <c r="I330" s="24"/>
      <c r="K330" s="29"/>
      <c r="L330" s="7"/>
      <c r="M330" s="7"/>
      <c r="N330" s="7"/>
      <c r="O330" s="7"/>
      <c r="S330" s="24"/>
    </row>
    <row r="331" spans="1:19">
      <c r="A331" s="29">
        <v>5</v>
      </c>
      <c r="B331" s="822" t="s">
        <v>59</v>
      </c>
      <c r="C331" s="822"/>
      <c r="D331" s="822"/>
      <c r="E331" s="344">
        <f>'4-22Master'!AN517</f>
        <v>0</v>
      </c>
      <c r="I331" s="24"/>
      <c r="K331" s="29">
        <v>5</v>
      </c>
      <c r="L331" s="822" t="s">
        <v>59</v>
      </c>
      <c r="M331" s="822"/>
      <c r="N331" s="822"/>
      <c r="O331" s="344">
        <f>E331</f>
        <v>0</v>
      </c>
      <c r="S331" s="24"/>
    </row>
    <row r="332" spans="1:19">
      <c r="A332" s="29"/>
      <c r="B332" s="7"/>
      <c r="C332" s="7"/>
      <c r="D332" s="345" t="s">
        <v>60</v>
      </c>
      <c r="E332" s="345" t="s">
        <v>31</v>
      </c>
      <c r="F332" s="345" t="s">
        <v>33</v>
      </c>
      <c r="G332" s="345" t="s">
        <v>34</v>
      </c>
      <c r="H332" s="345" t="s">
        <v>395</v>
      </c>
      <c r="I332" s="343" t="s">
        <v>396</v>
      </c>
      <c r="K332" s="29"/>
      <c r="L332" s="7"/>
      <c r="M332" s="7"/>
      <c r="N332" s="345" t="s">
        <v>60</v>
      </c>
      <c r="O332" s="345" t="s">
        <v>31</v>
      </c>
      <c r="P332" s="345" t="s">
        <v>33</v>
      </c>
      <c r="Q332" s="345" t="s">
        <v>34</v>
      </c>
      <c r="R332" s="345" t="s">
        <v>395</v>
      </c>
      <c r="S332" s="343" t="s">
        <v>396</v>
      </c>
    </row>
    <row r="333" spans="1:19">
      <c r="A333" s="29">
        <v>6</v>
      </c>
      <c r="B333" s="36" t="s">
        <v>61</v>
      </c>
      <c r="C333" s="36"/>
      <c r="D333" s="346">
        <f>'4-22Master'!AP517</f>
        <v>0</v>
      </c>
      <c r="E333" s="346">
        <f>'4-22Master'!AO517</f>
        <v>0</v>
      </c>
      <c r="F333" s="347">
        <f>'4-22Master'!AQ517</f>
        <v>0</v>
      </c>
      <c r="G333" s="346">
        <f>'4-22Master'!AR517</f>
        <v>0</v>
      </c>
      <c r="H333" s="347">
        <f>'4-22Master'!AS517</f>
        <v>0</v>
      </c>
      <c r="I333" s="347">
        <f>'4-22Master'!AT517</f>
        <v>0</v>
      </c>
      <c r="K333" s="29">
        <v>6</v>
      </c>
      <c r="L333" s="36" t="s">
        <v>61</v>
      </c>
      <c r="M333" s="36"/>
      <c r="N333" s="346">
        <f t="shared" ref="N333:S333" si="7">D333</f>
        <v>0</v>
      </c>
      <c r="O333" s="346">
        <f t="shared" si="7"/>
        <v>0</v>
      </c>
      <c r="P333" s="347">
        <f t="shared" si="7"/>
        <v>0</v>
      </c>
      <c r="Q333" s="346">
        <f t="shared" si="7"/>
        <v>0</v>
      </c>
      <c r="R333" s="347">
        <f t="shared" si="7"/>
        <v>0</v>
      </c>
      <c r="S333" s="347">
        <f t="shared" si="7"/>
        <v>0</v>
      </c>
    </row>
    <row r="334" spans="1:19">
      <c r="A334" s="29"/>
      <c r="B334" s="7"/>
      <c r="C334" s="7"/>
      <c r="D334" s="7"/>
      <c r="E334" s="7"/>
      <c r="I334" s="24"/>
      <c r="K334" s="29"/>
      <c r="L334" s="7"/>
      <c r="M334" s="7"/>
      <c r="N334" s="7"/>
      <c r="O334" s="7"/>
      <c r="S334" s="24"/>
    </row>
    <row r="335" spans="1:19">
      <c r="A335" s="29">
        <v>7</v>
      </c>
      <c r="B335" s="822" t="s">
        <v>62</v>
      </c>
      <c r="C335" s="822"/>
      <c r="D335" s="822"/>
      <c r="E335" s="32">
        <f>E331-I333</f>
        <v>0</v>
      </c>
      <c r="F335" s="27"/>
      <c r="G335" s="27"/>
      <c r="H335" s="27"/>
      <c r="I335" s="24"/>
      <c r="K335" s="29">
        <v>7</v>
      </c>
      <c r="L335" s="822" t="s">
        <v>62</v>
      </c>
      <c r="M335" s="822"/>
      <c r="N335" s="822"/>
      <c r="O335" s="32">
        <f>E335</f>
        <v>0</v>
      </c>
      <c r="P335" s="27"/>
      <c r="Q335" s="27"/>
      <c r="R335" s="27"/>
      <c r="S335" s="24"/>
    </row>
    <row r="336" spans="1:19">
      <c r="A336" s="23"/>
      <c r="I336" s="24"/>
      <c r="K336" s="23"/>
      <c r="S336" s="24"/>
    </row>
    <row r="337" spans="1:19">
      <c r="A337" s="23"/>
      <c r="I337" s="24"/>
      <c r="K337" s="23"/>
      <c r="S337" s="24"/>
    </row>
    <row r="338" spans="1:19" ht="15.75" thickBot="1">
      <c r="A338" s="23"/>
      <c r="F338" s="33"/>
      <c r="G338" s="33"/>
      <c r="H338" s="33"/>
      <c r="I338" s="34"/>
      <c r="K338" s="23"/>
      <c r="P338" s="33"/>
      <c r="Q338" s="33"/>
      <c r="R338" s="33"/>
      <c r="S338" s="34"/>
    </row>
    <row r="339" spans="1:19" ht="15.75" thickBot="1">
      <c r="A339" s="35"/>
      <c r="B339" s="33"/>
      <c r="C339" s="33"/>
      <c r="D339" s="33"/>
      <c r="E339" s="33"/>
      <c r="F339" s="828" t="s">
        <v>63</v>
      </c>
      <c r="G339" s="828"/>
      <c r="H339" s="828"/>
      <c r="I339" s="829"/>
      <c r="K339" s="35"/>
      <c r="L339" s="33"/>
      <c r="M339" s="33"/>
      <c r="N339" s="33"/>
      <c r="O339" s="33"/>
      <c r="P339" s="828" t="s">
        <v>63</v>
      </c>
      <c r="Q339" s="828"/>
      <c r="R339" s="828"/>
      <c r="S339" s="829"/>
    </row>
    <row r="353" spans="1:19" ht="15.75" thickBot="1"/>
    <row r="354" spans="1:19" ht="26.25">
      <c r="A354" s="830" t="s">
        <v>482</v>
      </c>
      <c r="B354" s="831"/>
      <c r="C354" s="831"/>
      <c r="D354" s="831"/>
      <c r="E354" s="831"/>
      <c r="F354" s="831"/>
      <c r="G354" s="831"/>
      <c r="H354" s="831"/>
      <c r="I354" s="832"/>
      <c r="J354" s="95"/>
      <c r="K354" s="830" t="str">
        <f>A354</f>
        <v>Form XV - WAGE SLIP</v>
      </c>
      <c r="L354" s="831"/>
      <c r="M354" s="831"/>
      <c r="N354" s="831"/>
      <c r="O354" s="831"/>
      <c r="P354" s="831"/>
      <c r="Q354" s="831"/>
      <c r="R354" s="831"/>
      <c r="S354" s="832"/>
    </row>
    <row r="355" spans="1:19">
      <c r="A355" s="823" t="s">
        <v>483</v>
      </c>
      <c r="B355" s="824"/>
      <c r="C355" s="824"/>
      <c r="D355" s="824"/>
      <c r="E355" s="824"/>
      <c r="F355" s="824"/>
      <c r="G355" s="824"/>
      <c r="H355" s="824"/>
      <c r="I355" s="825"/>
      <c r="J355" s="439"/>
      <c r="K355" s="823" t="str">
        <f>A355</f>
        <v>[Vide rule 78 (1) (b) of the Contract Labour (Regulation and Abolition) and Maharashtra  Rules, 1971]</v>
      </c>
      <c r="L355" s="824"/>
      <c r="M355" s="824"/>
      <c r="N355" s="824"/>
      <c r="O355" s="824"/>
      <c r="P355" s="824"/>
      <c r="Q355" s="824"/>
      <c r="R355" s="824"/>
      <c r="S355" s="825"/>
    </row>
    <row r="356" spans="1:19">
      <c r="A356" s="23"/>
      <c r="I356" s="24"/>
      <c r="K356" s="23"/>
      <c r="S356" s="24"/>
    </row>
    <row r="357" spans="1:19">
      <c r="A357" s="25" t="s">
        <v>50</v>
      </c>
      <c r="B357" s="7"/>
      <c r="C357" s="7"/>
      <c r="D357" s="11">
        <f>'4-22Master'!G549</f>
        <v>0</v>
      </c>
      <c r="I357" s="24"/>
      <c r="K357" s="25" t="s">
        <v>50</v>
      </c>
      <c r="L357" s="7"/>
      <c r="M357" s="7"/>
      <c r="N357" s="11">
        <f>D357</f>
        <v>0</v>
      </c>
      <c r="S357" s="24"/>
    </row>
    <row r="358" spans="1:19">
      <c r="A358" s="25"/>
      <c r="B358" s="7">
        <f>'4-22Master'!G550</f>
        <v>0</v>
      </c>
      <c r="C358" s="7"/>
      <c r="D358" s="7"/>
      <c r="I358" s="24"/>
      <c r="K358" s="25"/>
      <c r="L358" s="7">
        <f>B358</f>
        <v>0</v>
      </c>
      <c r="M358" s="7"/>
      <c r="N358" s="7"/>
      <c r="S358" s="24"/>
    </row>
    <row r="359" spans="1:19">
      <c r="A359" s="25"/>
      <c r="B359" s="7">
        <f>'4-22Master'!G551</f>
        <v>0</v>
      </c>
      <c r="C359" s="7"/>
      <c r="D359" s="7"/>
      <c r="E359" s="7"/>
      <c r="I359" s="24"/>
      <c r="K359" s="25"/>
      <c r="L359" s="7">
        <f>B359</f>
        <v>0</v>
      </c>
      <c r="M359" s="7"/>
      <c r="N359" s="7"/>
      <c r="O359" s="7"/>
      <c r="S359" s="24"/>
    </row>
    <row r="360" spans="1:19" ht="15" customHeight="1">
      <c r="A360" s="826" t="s">
        <v>51</v>
      </c>
      <c r="B360" s="827"/>
      <c r="C360" s="827"/>
      <c r="D360" s="827"/>
      <c r="E360" s="7"/>
      <c r="I360" s="24"/>
      <c r="K360" s="826" t="s">
        <v>51</v>
      </c>
      <c r="L360" s="827"/>
      <c r="M360" s="827"/>
      <c r="N360" s="827"/>
      <c r="O360" s="7"/>
      <c r="S360" s="24"/>
    </row>
    <row r="361" spans="1:19">
      <c r="A361" s="826"/>
      <c r="B361" s="827"/>
      <c r="C361" s="827"/>
      <c r="D361" s="827"/>
      <c r="E361" s="26">
        <f>'4-22Master'!V562</f>
        <v>0</v>
      </c>
      <c r="F361" s="27"/>
      <c r="G361" s="27"/>
      <c r="H361" s="27"/>
      <c r="I361" s="24"/>
      <c r="K361" s="826"/>
      <c r="L361" s="827"/>
      <c r="M361" s="827"/>
      <c r="N361" s="827"/>
      <c r="O361" s="26">
        <f>E361</f>
        <v>0</v>
      </c>
      <c r="P361" s="27"/>
      <c r="Q361" s="27"/>
      <c r="R361" s="27"/>
      <c r="S361" s="24"/>
    </row>
    <row r="362" spans="1:19">
      <c r="A362" s="25"/>
      <c r="B362" s="7"/>
      <c r="C362" s="7"/>
      <c r="D362" s="7"/>
      <c r="E362" s="7"/>
      <c r="I362" s="24"/>
      <c r="K362" s="25"/>
      <c r="L362" s="7"/>
      <c r="M362" s="7"/>
      <c r="N362" s="7"/>
      <c r="O362" s="7"/>
      <c r="S362" s="24"/>
    </row>
    <row r="363" spans="1:19">
      <c r="A363" s="821" t="s">
        <v>52</v>
      </c>
      <c r="B363" s="822"/>
      <c r="C363" s="822"/>
      <c r="D363" s="822"/>
      <c r="E363" s="26">
        <f>'4-22Master'!G552</f>
        <v>0</v>
      </c>
      <c r="F363" s="27"/>
      <c r="G363" s="27"/>
      <c r="H363" s="27"/>
      <c r="I363" s="24"/>
      <c r="K363" s="821" t="s">
        <v>52</v>
      </c>
      <c r="L363" s="822"/>
      <c r="M363" s="822"/>
      <c r="N363" s="822"/>
      <c r="O363" s="26">
        <f>E363</f>
        <v>0</v>
      </c>
      <c r="P363" s="27"/>
      <c r="Q363" s="27"/>
      <c r="R363" s="27"/>
      <c r="S363" s="24"/>
    </row>
    <row r="364" spans="1:19">
      <c r="A364" s="25"/>
      <c r="B364" s="7"/>
      <c r="C364" s="7"/>
      <c r="D364" s="7"/>
      <c r="E364" s="7"/>
      <c r="I364" s="24"/>
      <c r="K364" s="25"/>
      <c r="L364" s="7"/>
      <c r="M364" s="7"/>
      <c r="N364" s="7"/>
      <c r="O364" s="7"/>
      <c r="S364" s="24"/>
    </row>
    <row r="365" spans="1:19">
      <c r="A365" s="821" t="s">
        <v>53</v>
      </c>
      <c r="B365" s="822"/>
      <c r="C365" s="822"/>
      <c r="D365" s="822"/>
      <c r="E365" s="28">
        <f>'4-22Master'!E554</f>
        <v>0</v>
      </c>
      <c r="F365" s="27"/>
      <c r="G365" s="27"/>
      <c r="H365" s="27"/>
      <c r="I365" s="24"/>
      <c r="K365" s="821" t="s">
        <v>53</v>
      </c>
      <c r="L365" s="822"/>
      <c r="M365" s="822"/>
      <c r="N365" s="822"/>
      <c r="O365" s="28">
        <f>E365</f>
        <v>0</v>
      </c>
      <c r="P365" s="27"/>
      <c r="Q365" s="27"/>
      <c r="R365" s="27"/>
      <c r="S365" s="24"/>
    </row>
    <row r="366" spans="1:19">
      <c r="A366" s="25"/>
      <c r="B366" s="7"/>
      <c r="C366" s="7"/>
      <c r="D366" s="7"/>
      <c r="E366" s="7"/>
      <c r="I366" s="24"/>
      <c r="K366" s="25"/>
      <c r="L366" s="7"/>
      <c r="M366" s="7"/>
      <c r="N366" s="7"/>
      <c r="O366" s="7"/>
      <c r="S366" s="24"/>
    </row>
    <row r="367" spans="1:19">
      <c r="A367" s="29">
        <v>1</v>
      </c>
      <c r="B367" s="822" t="s">
        <v>54</v>
      </c>
      <c r="C367" s="822"/>
      <c r="D367" s="822"/>
      <c r="E367" s="30">
        <f>'4-22Master'!X562</f>
        <v>0</v>
      </c>
      <c r="F367" s="27"/>
      <c r="G367" s="27"/>
      <c r="H367" s="27"/>
      <c r="I367" s="24"/>
      <c r="K367" s="29">
        <v>1</v>
      </c>
      <c r="L367" s="822" t="s">
        <v>54</v>
      </c>
      <c r="M367" s="822"/>
      <c r="N367" s="822"/>
      <c r="O367" s="30">
        <f>E367</f>
        <v>0</v>
      </c>
      <c r="P367" s="27"/>
      <c r="Q367" s="27"/>
      <c r="R367" s="27"/>
      <c r="S367" s="24"/>
    </row>
    <row r="368" spans="1:19">
      <c r="A368" s="29"/>
      <c r="B368" s="7"/>
      <c r="C368" s="7"/>
      <c r="D368" s="7"/>
      <c r="E368" s="7"/>
      <c r="I368" s="24"/>
      <c r="K368" s="29"/>
      <c r="L368" s="7"/>
      <c r="M368" s="7"/>
      <c r="N368" s="7"/>
      <c r="O368" s="7"/>
      <c r="S368" s="24"/>
    </row>
    <row r="369" spans="1:19" ht="15" customHeight="1">
      <c r="A369" s="29">
        <v>2</v>
      </c>
      <c r="B369" s="827" t="s">
        <v>55</v>
      </c>
      <c r="C369" s="827"/>
      <c r="D369" s="827"/>
      <c r="E369" s="7"/>
      <c r="I369" s="24"/>
      <c r="K369" s="29">
        <v>2</v>
      </c>
      <c r="L369" s="827" t="s">
        <v>55</v>
      </c>
      <c r="M369" s="827"/>
      <c r="N369" s="827"/>
      <c r="O369" s="7"/>
      <c r="S369" s="24"/>
    </row>
    <row r="370" spans="1:19">
      <c r="A370" s="29"/>
      <c r="B370" s="827"/>
      <c r="C370" s="827"/>
      <c r="D370" s="827"/>
      <c r="E370" s="31" t="s">
        <v>37</v>
      </c>
      <c r="F370" s="27"/>
      <c r="G370" s="27"/>
      <c r="H370" s="27"/>
      <c r="I370" s="24"/>
      <c r="K370" s="29"/>
      <c r="L370" s="827"/>
      <c r="M370" s="827"/>
      <c r="N370" s="827"/>
      <c r="O370" s="31" t="s">
        <v>37</v>
      </c>
      <c r="P370" s="27"/>
      <c r="Q370" s="27"/>
      <c r="R370" s="27"/>
      <c r="S370" s="24"/>
    </row>
    <row r="371" spans="1:19">
      <c r="A371" s="29"/>
      <c r="B371" s="7"/>
      <c r="C371" s="7"/>
      <c r="D371" s="7"/>
      <c r="E371" s="7"/>
      <c r="I371" s="24"/>
      <c r="K371" s="29"/>
      <c r="L371" s="7"/>
      <c r="M371" s="7"/>
      <c r="N371" s="7"/>
      <c r="O371" s="7"/>
      <c r="S371" s="24"/>
    </row>
    <row r="372" spans="1:19">
      <c r="A372" s="29">
        <v>3</v>
      </c>
      <c r="B372" s="822" t="s">
        <v>56</v>
      </c>
      <c r="C372" s="822"/>
      <c r="D372" s="822"/>
      <c r="E372" s="31" t="s">
        <v>37</v>
      </c>
      <c r="F372" s="27"/>
      <c r="G372" s="27"/>
      <c r="H372" s="27"/>
      <c r="I372" s="24"/>
      <c r="K372" s="29">
        <v>3</v>
      </c>
      <c r="L372" s="822" t="s">
        <v>56</v>
      </c>
      <c r="M372" s="822"/>
      <c r="N372" s="822"/>
      <c r="O372" s="26" t="str">
        <f>E372</f>
        <v>N/A</v>
      </c>
      <c r="P372" s="27"/>
      <c r="Q372" s="27"/>
      <c r="R372" s="27"/>
      <c r="S372" s="24"/>
    </row>
    <row r="373" spans="1:19">
      <c r="A373" s="29"/>
      <c r="B373" s="7"/>
      <c r="C373" s="7"/>
      <c r="D373" s="7"/>
      <c r="E373" s="7"/>
      <c r="I373" s="24"/>
      <c r="K373" s="29"/>
      <c r="L373" s="7"/>
      <c r="M373" s="7"/>
      <c r="N373" s="7"/>
      <c r="O373" s="7"/>
      <c r="S373" s="24"/>
    </row>
    <row r="374" spans="1:19">
      <c r="A374" s="29">
        <v>4</v>
      </c>
      <c r="B374" s="822" t="s">
        <v>57</v>
      </c>
      <c r="C374" s="822"/>
      <c r="D374" s="822"/>
      <c r="E374" s="31" t="s">
        <v>58</v>
      </c>
      <c r="F374" s="27"/>
      <c r="G374" s="27"/>
      <c r="H374" s="27"/>
      <c r="I374" s="24"/>
      <c r="K374" s="29">
        <v>4</v>
      </c>
      <c r="L374" s="822" t="s">
        <v>57</v>
      </c>
      <c r="M374" s="822"/>
      <c r="N374" s="822"/>
      <c r="O374" s="31" t="s">
        <v>58</v>
      </c>
      <c r="P374" s="27"/>
      <c r="Q374" s="27"/>
      <c r="R374" s="27"/>
      <c r="S374" s="24"/>
    </row>
    <row r="375" spans="1:19">
      <c r="A375" s="29"/>
      <c r="B375" s="7"/>
      <c r="C375" s="7"/>
      <c r="D375" s="7"/>
      <c r="E375" s="7"/>
      <c r="I375" s="24"/>
      <c r="K375" s="29"/>
      <c r="L375" s="7"/>
      <c r="M375" s="7"/>
      <c r="N375" s="7"/>
      <c r="O375" s="7"/>
      <c r="S375" s="24"/>
    </row>
    <row r="376" spans="1:19">
      <c r="A376" s="29">
        <v>5</v>
      </c>
      <c r="B376" s="822" t="s">
        <v>59</v>
      </c>
      <c r="C376" s="822"/>
      <c r="D376" s="822"/>
      <c r="E376" s="344">
        <f>'4-22Master'!AN562</f>
        <v>0</v>
      </c>
      <c r="I376" s="24"/>
      <c r="K376" s="29">
        <v>5</v>
      </c>
      <c r="L376" s="822" t="s">
        <v>59</v>
      </c>
      <c r="M376" s="822"/>
      <c r="N376" s="822"/>
      <c r="O376" s="344">
        <f>E376</f>
        <v>0</v>
      </c>
      <c r="S376" s="24"/>
    </row>
    <row r="377" spans="1:19">
      <c r="A377" s="29"/>
      <c r="B377" s="7"/>
      <c r="C377" s="7"/>
      <c r="D377" s="345" t="s">
        <v>60</v>
      </c>
      <c r="E377" s="345" t="s">
        <v>31</v>
      </c>
      <c r="F377" s="345" t="s">
        <v>33</v>
      </c>
      <c r="G377" s="345" t="s">
        <v>34</v>
      </c>
      <c r="H377" s="345" t="s">
        <v>395</v>
      </c>
      <c r="I377" s="343" t="s">
        <v>396</v>
      </c>
      <c r="K377" s="29"/>
      <c r="L377" s="7"/>
      <c r="M377" s="7"/>
      <c r="N377" s="345" t="s">
        <v>60</v>
      </c>
      <c r="O377" s="345" t="s">
        <v>31</v>
      </c>
      <c r="P377" s="345" t="s">
        <v>33</v>
      </c>
      <c r="Q377" s="345" t="s">
        <v>34</v>
      </c>
      <c r="R377" s="345" t="s">
        <v>395</v>
      </c>
      <c r="S377" s="343" t="s">
        <v>396</v>
      </c>
    </row>
    <row r="378" spans="1:19">
      <c r="A378" s="29">
        <v>6</v>
      </c>
      <c r="B378" s="36" t="s">
        <v>61</v>
      </c>
      <c r="C378" s="36"/>
      <c r="D378" s="346">
        <f>'4-22Master'!AP562</f>
        <v>0</v>
      </c>
      <c r="E378" s="346">
        <f>'4-22Master'!AO562</f>
        <v>0</v>
      </c>
      <c r="F378" s="347">
        <f>'4-22Master'!AQ562</f>
        <v>0</v>
      </c>
      <c r="G378" s="346">
        <f>'4-22Master'!AR562</f>
        <v>0</v>
      </c>
      <c r="H378" s="347">
        <f>'4-22Master'!AS562</f>
        <v>0</v>
      </c>
      <c r="I378" s="347">
        <f>'4-22Master'!AT562</f>
        <v>0</v>
      </c>
      <c r="K378" s="29">
        <v>6</v>
      </c>
      <c r="L378" s="36" t="s">
        <v>61</v>
      </c>
      <c r="M378" s="36"/>
      <c r="N378" s="346">
        <f t="shared" ref="N378:S378" si="8">D378</f>
        <v>0</v>
      </c>
      <c r="O378" s="346">
        <f t="shared" si="8"/>
        <v>0</v>
      </c>
      <c r="P378" s="347">
        <f t="shared" si="8"/>
        <v>0</v>
      </c>
      <c r="Q378" s="346">
        <f t="shared" si="8"/>
        <v>0</v>
      </c>
      <c r="R378" s="347">
        <f t="shared" si="8"/>
        <v>0</v>
      </c>
      <c r="S378" s="347">
        <f t="shared" si="8"/>
        <v>0</v>
      </c>
    </row>
    <row r="379" spans="1:19">
      <c r="A379" s="29"/>
      <c r="B379" s="7"/>
      <c r="C379" s="7"/>
      <c r="D379" s="7"/>
      <c r="E379" s="7"/>
      <c r="I379" s="24"/>
      <c r="K379" s="29"/>
      <c r="L379" s="7"/>
      <c r="M379" s="7"/>
      <c r="N379" s="7"/>
      <c r="O379" s="7"/>
      <c r="S379" s="24"/>
    </row>
    <row r="380" spans="1:19">
      <c r="A380" s="29">
        <v>7</v>
      </c>
      <c r="B380" s="822" t="s">
        <v>62</v>
      </c>
      <c r="C380" s="822"/>
      <c r="D380" s="822"/>
      <c r="E380" s="32">
        <f>E376-I378</f>
        <v>0</v>
      </c>
      <c r="F380" s="27"/>
      <c r="G380" s="27"/>
      <c r="H380" s="27"/>
      <c r="I380" s="24"/>
      <c r="K380" s="29">
        <v>7</v>
      </c>
      <c r="L380" s="822" t="s">
        <v>62</v>
      </c>
      <c r="M380" s="822"/>
      <c r="N380" s="822"/>
      <c r="O380" s="32">
        <f>E380</f>
        <v>0</v>
      </c>
      <c r="P380" s="27"/>
      <c r="Q380" s="27"/>
      <c r="R380" s="27"/>
      <c r="S380" s="24"/>
    </row>
    <row r="381" spans="1:19">
      <c r="A381" s="23"/>
      <c r="I381" s="24"/>
      <c r="K381" s="23"/>
      <c r="S381" s="24"/>
    </row>
    <row r="382" spans="1:19">
      <c r="A382" s="23"/>
      <c r="I382" s="24"/>
      <c r="K382" s="23"/>
      <c r="S382" s="24"/>
    </row>
    <row r="383" spans="1:19" ht="15.75" thickBot="1">
      <c r="A383" s="23"/>
      <c r="F383" s="33"/>
      <c r="G383" s="33"/>
      <c r="H383" s="33"/>
      <c r="I383" s="34"/>
      <c r="K383" s="23"/>
      <c r="P383" s="33"/>
      <c r="Q383" s="33"/>
      <c r="R383" s="33"/>
      <c r="S383" s="34"/>
    </row>
    <row r="384" spans="1:19" ht="15.75" thickBot="1">
      <c r="A384" s="35"/>
      <c r="B384" s="33"/>
      <c r="C384" s="33"/>
      <c r="D384" s="33"/>
      <c r="E384" s="33"/>
      <c r="F384" s="828" t="s">
        <v>63</v>
      </c>
      <c r="G384" s="828"/>
      <c r="H384" s="828"/>
      <c r="I384" s="829"/>
      <c r="K384" s="35"/>
      <c r="L384" s="33"/>
      <c r="M384" s="33"/>
      <c r="N384" s="33"/>
      <c r="O384" s="33"/>
      <c r="P384" s="828" t="s">
        <v>63</v>
      </c>
      <c r="Q384" s="828"/>
      <c r="R384" s="828"/>
      <c r="S384" s="829"/>
    </row>
    <row r="398" spans="1:19" ht="15.75" thickBot="1"/>
    <row r="399" spans="1:19" ht="26.25">
      <c r="A399" s="830" t="s">
        <v>482</v>
      </c>
      <c r="B399" s="831"/>
      <c r="C399" s="831"/>
      <c r="D399" s="831"/>
      <c r="E399" s="831"/>
      <c r="F399" s="831"/>
      <c r="G399" s="831"/>
      <c r="H399" s="831"/>
      <c r="I399" s="832"/>
      <c r="J399" s="95"/>
      <c r="K399" s="830" t="str">
        <f>A399</f>
        <v>Form XV - WAGE SLIP</v>
      </c>
      <c r="L399" s="831"/>
      <c r="M399" s="831"/>
      <c r="N399" s="831"/>
      <c r="O399" s="831"/>
      <c r="P399" s="831"/>
      <c r="Q399" s="831"/>
      <c r="R399" s="831"/>
      <c r="S399" s="832"/>
    </row>
    <row r="400" spans="1:19">
      <c r="A400" s="823" t="s">
        <v>483</v>
      </c>
      <c r="B400" s="824"/>
      <c r="C400" s="824"/>
      <c r="D400" s="824"/>
      <c r="E400" s="824"/>
      <c r="F400" s="824"/>
      <c r="G400" s="824"/>
      <c r="H400" s="824"/>
      <c r="I400" s="825"/>
      <c r="J400" s="439"/>
      <c r="K400" s="823" t="str">
        <f>A400</f>
        <v>[Vide rule 78 (1) (b) of the Contract Labour (Regulation and Abolition) and Maharashtra  Rules, 1971]</v>
      </c>
      <c r="L400" s="824"/>
      <c r="M400" s="824"/>
      <c r="N400" s="824"/>
      <c r="O400" s="824"/>
      <c r="P400" s="824"/>
      <c r="Q400" s="824"/>
      <c r="R400" s="824"/>
      <c r="S400" s="825"/>
    </row>
    <row r="401" spans="1:19">
      <c r="A401" s="23"/>
      <c r="I401" s="24"/>
      <c r="K401" s="23"/>
      <c r="S401" s="24"/>
    </row>
    <row r="402" spans="1:19">
      <c r="A402" s="25" t="s">
        <v>50</v>
      </c>
      <c r="B402" s="7"/>
      <c r="C402" s="7"/>
      <c r="D402" s="11">
        <f>'4-22Master'!G594</f>
        <v>0</v>
      </c>
      <c r="I402" s="24"/>
      <c r="K402" s="25" t="s">
        <v>50</v>
      </c>
      <c r="L402" s="7"/>
      <c r="M402" s="7"/>
      <c r="N402" s="11">
        <f>D402</f>
        <v>0</v>
      </c>
      <c r="S402" s="24"/>
    </row>
    <row r="403" spans="1:19">
      <c r="A403" s="25"/>
      <c r="B403" s="7">
        <f>'4-22Master'!G595</f>
        <v>0</v>
      </c>
      <c r="C403" s="7"/>
      <c r="D403" s="7"/>
      <c r="I403" s="24"/>
      <c r="K403" s="25"/>
      <c r="L403" s="7">
        <f>B403</f>
        <v>0</v>
      </c>
      <c r="M403" s="7"/>
      <c r="N403" s="7"/>
      <c r="S403" s="24"/>
    </row>
    <row r="404" spans="1:19">
      <c r="A404" s="25"/>
      <c r="B404" s="7">
        <f>'4-22Master'!G596</f>
        <v>0</v>
      </c>
      <c r="C404" s="7"/>
      <c r="D404" s="7"/>
      <c r="E404" s="7"/>
      <c r="I404" s="24"/>
      <c r="K404" s="25"/>
      <c r="L404" s="7">
        <f>B404</f>
        <v>0</v>
      </c>
      <c r="M404" s="7"/>
      <c r="N404" s="7"/>
      <c r="O404" s="7"/>
      <c r="S404" s="24"/>
    </row>
    <row r="405" spans="1:19" ht="15" customHeight="1">
      <c r="A405" s="826" t="s">
        <v>51</v>
      </c>
      <c r="B405" s="827"/>
      <c r="C405" s="827"/>
      <c r="D405" s="827"/>
      <c r="E405" s="7"/>
      <c r="I405" s="24"/>
      <c r="K405" s="826" t="s">
        <v>51</v>
      </c>
      <c r="L405" s="827"/>
      <c r="M405" s="827"/>
      <c r="N405" s="827"/>
      <c r="O405" s="7"/>
      <c r="S405" s="24"/>
    </row>
    <row r="406" spans="1:19">
      <c r="A406" s="826"/>
      <c r="B406" s="827"/>
      <c r="C406" s="827"/>
      <c r="D406" s="827"/>
      <c r="E406" s="26">
        <f>'4-22Master'!V607</f>
        <v>0</v>
      </c>
      <c r="F406" s="27"/>
      <c r="G406" s="27"/>
      <c r="H406" s="27"/>
      <c r="I406" s="24"/>
      <c r="K406" s="826"/>
      <c r="L406" s="827"/>
      <c r="M406" s="827"/>
      <c r="N406" s="827"/>
      <c r="O406" s="26">
        <f>E406</f>
        <v>0</v>
      </c>
      <c r="P406" s="27"/>
      <c r="Q406" s="27"/>
      <c r="R406" s="27"/>
      <c r="S406" s="24"/>
    </row>
    <row r="407" spans="1:19">
      <c r="A407" s="25"/>
      <c r="B407" s="7"/>
      <c r="C407" s="7"/>
      <c r="D407" s="7"/>
      <c r="E407" s="7"/>
      <c r="I407" s="24"/>
      <c r="K407" s="25"/>
      <c r="L407" s="7"/>
      <c r="M407" s="7"/>
      <c r="N407" s="7"/>
      <c r="O407" s="7"/>
      <c r="S407" s="24"/>
    </row>
    <row r="408" spans="1:19">
      <c r="A408" s="821" t="s">
        <v>52</v>
      </c>
      <c r="B408" s="822"/>
      <c r="C408" s="822"/>
      <c r="D408" s="822"/>
      <c r="E408" s="26">
        <f>'4-22Master'!G597</f>
        <v>0</v>
      </c>
      <c r="F408" s="27"/>
      <c r="G408" s="27"/>
      <c r="H408" s="27"/>
      <c r="I408" s="24"/>
      <c r="K408" s="821" t="s">
        <v>52</v>
      </c>
      <c r="L408" s="822"/>
      <c r="M408" s="822"/>
      <c r="N408" s="822"/>
      <c r="O408" s="26">
        <f>E408</f>
        <v>0</v>
      </c>
      <c r="P408" s="27"/>
      <c r="Q408" s="27"/>
      <c r="R408" s="27"/>
      <c r="S408" s="24"/>
    </row>
    <row r="409" spans="1:19">
      <c r="A409" s="25"/>
      <c r="B409" s="7"/>
      <c r="C409" s="7"/>
      <c r="D409" s="7"/>
      <c r="E409" s="7"/>
      <c r="I409" s="24"/>
      <c r="K409" s="25"/>
      <c r="L409" s="7"/>
      <c r="M409" s="7"/>
      <c r="N409" s="7"/>
      <c r="O409" s="7"/>
      <c r="S409" s="24"/>
    </row>
    <row r="410" spans="1:19">
      <c r="A410" s="821" t="s">
        <v>53</v>
      </c>
      <c r="B410" s="822"/>
      <c r="C410" s="822"/>
      <c r="D410" s="822"/>
      <c r="E410" s="28">
        <f>'4-22Master'!E599</f>
        <v>0</v>
      </c>
      <c r="F410" s="27"/>
      <c r="G410" s="27"/>
      <c r="H410" s="27"/>
      <c r="I410" s="24"/>
      <c r="K410" s="821" t="s">
        <v>53</v>
      </c>
      <c r="L410" s="822"/>
      <c r="M410" s="822"/>
      <c r="N410" s="822"/>
      <c r="O410" s="28">
        <f>E410</f>
        <v>0</v>
      </c>
      <c r="P410" s="27"/>
      <c r="Q410" s="27"/>
      <c r="R410" s="27"/>
      <c r="S410" s="24"/>
    </row>
    <row r="411" spans="1:19">
      <c r="A411" s="25"/>
      <c r="B411" s="7"/>
      <c r="C411" s="7"/>
      <c r="D411" s="7"/>
      <c r="E411" s="7"/>
      <c r="I411" s="24"/>
      <c r="K411" s="25"/>
      <c r="L411" s="7"/>
      <c r="M411" s="7"/>
      <c r="N411" s="7"/>
      <c r="O411" s="7"/>
      <c r="S411" s="24"/>
    </row>
    <row r="412" spans="1:19">
      <c r="A412" s="29">
        <v>1</v>
      </c>
      <c r="B412" s="822" t="s">
        <v>54</v>
      </c>
      <c r="C412" s="822"/>
      <c r="D412" s="822"/>
      <c r="E412" s="30">
        <f>'4-22Master'!X607</f>
        <v>0</v>
      </c>
      <c r="F412" s="27"/>
      <c r="G412" s="27"/>
      <c r="H412" s="27"/>
      <c r="I412" s="24"/>
      <c r="K412" s="29">
        <v>1</v>
      </c>
      <c r="L412" s="822" t="s">
        <v>54</v>
      </c>
      <c r="M412" s="822"/>
      <c r="N412" s="822"/>
      <c r="O412" s="30">
        <f>E412</f>
        <v>0</v>
      </c>
      <c r="P412" s="27"/>
      <c r="Q412" s="27"/>
      <c r="R412" s="27"/>
      <c r="S412" s="24"/>
    </row>
    <row r="413" spans="1:19">
      <c r="A413" s="29"/>
      <c r="B413" s="7"/>
      <c r="C413" s="7"/>
      <c r="D413" s="7"/>
      <c r="E413" s="7"/>
      <c r="I413" s="24"/>
      <c r="K413" s="29"/>
      <c r="L413" s="7"/>
      <c r="M413" s="7"/>
      <c r="N413" s="7"/>
      <c r="O413" s="7"/>
      <c r="S413" s="24"/>
    </row>
    <row r="414" spans="1:19" ht="15" customHeight="1">
      <c r="A414" s="29">
        <v>2</v>
      </c>
      <c r="B414" s="827" t="s">
        <v>55</v>
      </c>
      <c r="C414" s="827"/>
      <c r="D414" s="827"/>
      <c r="E414" s="7"/>
      <c r="I414" s="24"/>
      <c r="K414" s="29">
        <v>2</v>
      </c>
      <c r="L414" s="827" t="s">
        <v>55</v>
      </c>
      <c r="M414" s="827"/>
      <c r="N414" s="827"/>
      <c r="O414" s="7"/>
      <c r="S414" s="24"/>
    </row>
    <row r="415" spans="1:19">
      <c r="A415" s="29"/>
      <c r="B415" s="827"/>
      <c r="C415" s="827"/>
      <c r="D415" s="827"/>
      <c r="E415" s="31" t="s">
        <v>37</v>
      </c>
      <c r="F415" s="27"/>
      <c r="G415" s="27"/>
      <c r="H415" s="27"/>
      <c r="I415" s="24"/>
      <c r="K415" s="29"/>
      <c r="L415" s="827"/>
      <c r="M415" s="827"/>
      <c r="N415" s="827"/>
      <c r="O415" s="31" t="s">
        <v>37</v>
      </c>
      <c r="P415" s="27"/>
      <c r="Q415" s="27"/>
      <c r="R415" s="27"/>
      <c r="S415" s="24"/>
    </row>
    <row r="416" spans="1:19">
      <c r="A416" s="29"/>
      <c r="B416" s="7"/>
      <c r="C416" s="7"/>
      <c r="D416" s="7"/>
      <c r="E416" s="7"/>
      <c r="I416" s="24"/>
      <c r="K416" s="29"/>
      <c r="L416" s="7"/>
      <c r="M416" s="7"/>
      <c r="N416" s="7"/>
      <c r="O416" s="7"/>
      <c r="S416" s="24"/>
    </row>
    <row r="417" spans="1:19">
      <c r="A417" s="29">
        <v>3</v>
      </c>
      <c r="B417" s="822" t="s">
        <v>56</v>
      </c>
      <c r="C417" s="822"/>
      <c r="D417" s="822"/>
      <c r="E417" s="31" t="s">
        <v>37</v>
      </c>
      <c r="F417" s="27"/>
      <c r="G417" s="27"/>
      <c r="H417" s="27"/>
      <c r="I417" s="24"/>
      <c r="K417" s="29">
        <v>3</v>
      </c>
      <c r="L417" s="822" t="s">
        <v>56</v>
      </c>
      <c r="M417" s="822"/>
      <c r="N417" s="822"/>
      <c r="O417" s="26" t="str">
        <f>E417</f>
        <v>N/A</v>
      </c>
      <c r="P417" s="27"/>
      <c r="Q417" s="27"/>
      <c r="R417" s="27"/>
      <c r="S417" s="24"/>
    </row>
    <row r="418" spans="1:19">
      <c r="A418" s="29"/>
      <c r="B418" s="7"/>
      <c r="C418" s="7"/>
      <c r="D418" s="7"/>
      <c r="E418" s="7"/>
      <c r="I418" s="24"/>
      <c r="K418" s="29"/>
      <c r="L418" s="7"/>
      <c r="M418" s="7"/>
      <c r="N418" s="7"/>
      <c r="O418" s="7"/>
      <c r="S418" s="24"/>
    </row>
    <row r="419" spans="1:19">
      <c r="A419" s="29">
        <v>4</v>
      </c>
      <c r="B419" s="822" t="s">
        <v>57</v>
      </c>
      <c r="C419" s="822"/>
      <c r="D419" s="822"/>
      <c r="E419" s="31" t="s">
        <v>58</v>
      </c>
      <c r="F419" s="27"/>
      <c r="G419" s="27"/>
      <c r="H419" s="27"/>
      <c r="I419" s="24"/>
      <c r="K419" s="29">
        <v>4</v>
      </c>
      <c r="L419" s="822" t="s">
        <v>57</v>
      </c>
      <c r="M419" s="822"/>
      <c r="N419" s="822"/>
      <c r="O419" s="31" t="s">
        <v>58</v>
      </c>
      <c r="P419" s="27"/>
      <c r="Q419" s="27"/>
      <c r="R419" s="27"/>
      <c r="S419" s="24"/>
    </row>
    <row r="420" spans="1:19">
      <c r="A420" s="29"/>
      <c r="B420" s="7"/>
      <c r="C420" s="7"/>
      <c r="D420" s="7"/>
      <c r="E420" s="7"/>
      <c r="I420" s="24"/>
      <c r="K420" s="29"/>
      <c r="L420" s="7"/>
      <c r="M420" s="7"/>
      <c r="N420" s="7"/>
      <c r="O420" s="7"/>
      <c r="S420" s="24"/>
    </row>
    <row r="421" spans="1:19">
      <c r="A421" s="29">
        <v>5</v>
      </c>
      <c r="B421" s="822" t="s">
        <v>59</v>
      </c>
      <c r="C421" s="822"/>
      <c r="D421" s="822"/>
      <c r="E421" s="344">
        <f>'4-22Master'!AN607</f>
        <v>0</v>
      </c>
      <c r="I421" s="24"/>
      <c r="K421" s="29">
        <v>5</v>
      </c>
      <c r="L421" s="822" t="s">
        <v>59</v>
      </c>
      <c r="M421" s="822"/>
      <c r="N421" s="822"/>
      <c r="O421" s="344">
        <f>E421</f>
        <v>0</v>
      </c>
      <c r="S421" s="24"/>
    </row>
    <row r="422" spans="1:19">
      <c r="A422" s="29"/>
      <c r="B422" s="7"/>
      <c r="C422" s="7"/>
      <c r="D422" s="345" t="s">
        <v>60</v>
      </c>
      <c r="E422" s="345" t="s">
        <v>31</v>
      </c>
      <c r="F422" s="345" t="s">
        <v>33</v>
      </c>
      <c r="G422" s="345" t="s">
        <v>34</v>
      </c>
      <c r="H422" s="345" t="s">
        <v>395</v>
      </c>
      <c r="I422" s="343" t="s">
        <v>396</v>
      </c>
      <c r="K422" s="29"/>
      <c r="L422" s="7"/>
      <c r="M422" s="7"/>
      <c r="N422" s="345" t="s">
        <v>60</v>
      </c>
      <c r="O422" s="345" t="s">
        <v>31</v>
      </c>
      <c r="P422" s="345" t="s">
        <v>33</v>
      </c>
      <c r="Q422" s="345" t="s">
        <v>34</v>
      </c>
      <c r="R422" s="345" t="s">
        <v>395</v>
      </c>
      <c r="S422" s="343" t="s">
        <v>396</v>
      </c>
    </row>
    <row r="423" spans="1:19">
      <c r="A423" s="29">
        <v>6</v>
      </c>
      <c r="B423" s="36" t="s">
        <v>61</v>
      </c>
      <c r="C423" s="36"/>
      <c r="D423" s="346">
        <f>'4-22Master'!AP607</f>
        <v>0</v>
      </c>
      <c r="E423" s="346">
        <f>'4-22Master'!AO607</f>
        <v>0</v>
      </c>
      <c r="F423" s="347">
        <f>'4-22Master'!AQ607</f>
        <v>0</v>
      </c>
      <c r="G423" s="346">
        <f>'4-22Master'!AR607</f>
        <v>0</v>
      </c>
      <c r="H423" s="347">
        <f>'4-22Master'!AS607</f>
        <v>0</v>
      </c>
      <c r="I423" s="347">
        <f>'4-22Master'!AT607</f>
        <v>0</v>
      </c>
      <c r="K423" s="29">
        <v>6</v>
      </c>
      <c r="L423" s="36" t="s">
        <v>61</v>
      </c>
      <c r="M423" s="36"/>
      <c r="N423" s="346">
        <f t="shared" ref="N423:S423" si="9">D423</f>
        <v>0</v>
      </c>
      <c r="O423" s="346">
        <f t="shared" si="9"/>
        <v>0</v>
      </c>
      <c r="P423" s="347">
        <f t="shared" si="9"/>
        <v>0</v>
      </c>
      <c r="Q423" s="346">
        <f t="shared" si="9"/>
        <v>0</v>
      </c>
      <c r="R423" s="347">
        <f t="shared" si="9"/>
        <v>0</v>
      </c>
      <c r="S423" s="347">
        <f t="shared" si="9"/>
        <v>0</v>
      </c>
    </row>
    <row r="424" spans="1:19">
      <c r="A424" s="29"/>
      <c r="B424" s="7"/>
      <c r="C424" s="7"/>
      <c r="D424" s="7"/>
      <c r="E424" s="7"/>
      <c r="I424" s="24"/>
      <c r="K424" s="29"/>
      <c r="L424" s="7"/>
      <c r="M424" s="7"/>
      <c r="N424" s="7"/>
      <c r="O424" s="7"/>
      <c r="S424" s="24"/>
    </row>
    <row r="425" spans="1:19">
      <c r="A425" s="29">
        <v>7</v>
      </c>
      <c r="B425" s="822" t="s">
        <v>62</v>
      </c>
      <c r="C425" s="822"/>
      <c r="D425" s="822"/>
      <c r="E425" s="32">
        <f>E421-I423</f>
        <v>0</v>
      </c>
      <c r="F425" s="27"/>
      <c r="G425" s="27"/>
      <c r="H425" s="27"/>
      <c r="I425" s="24"/>
      <c r="K425" s="29">
        <v>7</v>
      </c>
      <c r="L425" s="822" t="s">
        <v>62</v>
      </c>
      <c r="M425" s="822"/>
      <c r="N425" s="822"/>
      <c r="O425" s="32">
        <f>E425</f>
        <v>0</v>
      </c>
      <c r="P425" s="27"/>
      <c r="Q425" s="27"/>
      <c r="R425" s="27"/>
      <c r="S425" s="24"/>
    </row>
    <row r="426" spans="1:19">
      <c r="A426" s="23"/>
      <c r="I426" s="24"/>
      <c r="K426" s="23"/>
      <c r="S426" s="24"/>
    </row>
    <row r="427" spans="1:19">
      <c r="A427" s="23"/>
      <c r="I427" s="24"/>
      <c r="K427" s="23"/>
      <c r="S427" s="24"/>
    </row>
    <row r="428" spans="1:19" ht="15.75" thickBot="1">
      <c r="A428" s="23"/>
      <c r="F428" s="33"/>
      <c r="G428" s="33"/>
      <c r="H428" s="33"/>
      <c r="I428" s="34"/>
      <c r="K428" s="23"/>
      <c r="P428" s="33"/>
      <c r="Q428" s="33"/>
      <c r="R428" s="33"/>
      <c r="S428" s="34"/>
    </row>
    <row r="429" spans="1:19" ht="15.75" thickBot="1">
      <c r="A429" s="35"/>
      <c r="B429" s="33"/>
      <c r="C429" s="33"/>
      <c r="D429" s="33"/>
      <c r="E429" s="33"/>
      <c r="F429" s="828" t="s">
        <v>63</v>
      </c>
      <c r="G429" s="828"/>
      <c r="H429" s="828"/>
      <c r="I429" s="829"/>
      <c r="K429" s="35"/>
      <c r="L429" s="33"/>
      <c r="M429" s="33"/>
      <c r="N429" s="33"/>
      <c r="O429" s="33"/>
      <c r="P429" s="828" t="s">
        <v>63</v>
      </c>
      <c r="Q429" s="828"/>
      <c r="R429" s="828"/>
      <c r="S429" s="829"/>
    </row>
    <row r="443" spans="1:19" ht="15.75" thickBot="1"/>
    <row r="444" spans="1:19" ht="26.25">
      <c r="A444" s="830" t="s">
        <v>482</v>
      </c>
      <c r="B444" s="831"/>
      <c r="C444" s="831"/>
      <c r="D444" s="831"/>
      <c r="E444" s="831"/>
      <c r="F444" s="831"/>
      <c r="G444" s="831"/>
      <c r="H444" s="831"/>
      <c r="I444" s="832"/>
      <c r="J444" s="95"/>
      <c r="K444" s="830" t="str">
        <f>A444</f>
        <v>Form XV - WAGE SLIP</v>
      </c>
      <c r="L444" s="831"/>
      <c r="M444" s="831"/>
      <c r="N444" s="831"/>
      <c r="O444" s="831"/>
      <c r="P444" s="831"/>
      <c r="Q444" s="831"/>
      <c r="R444" s="831"/>
      <c r="S444" s="832"/>
    </row>
    <row r="445" spans="1:19">
      <c r="A445" s="823" t="s">
        <v>483</v>
      </c>
      <c r="B445" s="824"/>
      <c r="C445" s="824"/>
      <c r="D445" s="824"/>
      <c r="E445" s="824"/>
      <c r="F445" s="824"/>
      <c r="G445" s="824"/>
      <c r="H445" s="824"/>
      <c r="I445" s="825"/>
      <c r="J445" s="439"/>
      <c r="K445" s="823" t="str">
        <f>A445</f>
        <v>[Vide rule 78 (1) (b) of the Contract Labour (Regulation and Abolition) and Maharashtra  Rules, 1971]</v>
      </c>
      <c r="L445" s="824"/>
      <c r="M445" s="824"/>
      <c r="N445" s="824"/>
      <c r="O445" s="824"/>
      <c r="P445" s="824"/>
      <c r="Q445" s="824"/>
      <c r="R445" s="824"/>
      <c r="S445" s="825"/>
    </row>
    <row r="446" spans="1:19">
      <c r="A446" s="23"/>
      <c r="I446" s="24"/>
      <c r="K446" s="23"/>
      <c r="S446" s="24"/>
    </row>
    <row r="447" spans="1:19">
      <c r="A447" s="25" t="s">
        <v>50</v>
      </c>
      <c r="B447" s="7"/>
      <c r="C447" s="7"/>
      <c r="D447" s="11">
        <f>'4-22Master'!G639</f>
        <v>0</v>
      </c>
      <c r="I447" s="24"/>
      <c r="K447" s="25" t="s">
        <v>50</v>
      </c>
      <c r="L447" s="7"/>
      <c r="M447" s="7"/>
      <c r="N447" s="11">
        <f>D447</f>
        <v>0</v>
      </c>
      <c r="S447" s="24"/>
    </row>
    <row r="448" spans="1:19">
      <c r="A448" s="25"/>
      <c r="B448" s="7">
        <f>'4-22Master'!G640</f>
        <v>0</v>
      </c>
      <c r="C448" s="7"/>
      <c r="D448" s="7"/>
      <c r="I448" s="24"/>
      <c r="K448" s="25"/>
      <c r="L448" s="7">
        <f>B448</f>
        <v>0</v>
      </c>
      <c r="M448" s="7"/>
      <c r="N448" s="7"/>
      <c r="S448" s="24"/>
    </row>
    <row r="449" spans="1:19">
      <c r="A449" s="25"/>
      <c r="B449" s="7">
        <f>'4-22Master'!G641</f>
        <v>0</v>
      </c>
      <c r="C449" s="7"/>
      <c r="D449" s="7"/>
      <c r="E449" s="7"/>
      <c r="I449" s="24"/>
      <c r="K449" s="25"/>
      <c r="L449" s="7">
        <f>B449</f>
        <v>0</v>
      </c>
      <c r="M449" s="7"/>
      <c r="N449" s="7"/>
      <c r="O449" s="7"/>
      <c r="S449" s="24"/>
    </row>
    <row r="450" spans="1:19" ht="15" customHeight="1">
      <c r="A450" s="826" t="s">
        <v>51</v>
      </c>
      <c r="B450" s="827"/>
      <c r="C450" s="827"/>
      <c r="D450" s="827"/>
      <c r="E450" s="7"/>
      <c r="I450" s="24"/>
      <c r="K450" s="826" t="s">
        <v>51</v>
      </c>
      <c r="L450" s="827"/>
      <c r="M450" s="827"/>
      <c r="N450" s="827"/>
      <c r="O450" s="7"/>
      <c r="S450" s="24"/>
    </row>
    <row r="451" spans="1:19">
      <c r="A451" s="826"/>
      <c r="B451" s="827"/>
      <c r="C451" s="827"/>
      <c r="D451" s="827"/>
      <c r="E451" s="26">
        <f>'4-22Master'!V652</f>
        <v>0</v>
      </c>
      <c r="F451" s="27"/>
      <c r="G451" s="27"/>
      <c r="H451" s="27"/>
      <c r="I451" s="24"/>
      <c r="K451" s="826"/>
      <c r="L451" s="827"/>
      <c r="M451" s="827"/>
      <c r="N451" s="827"/>
      <c r="O451" s="26">
        <f>E451</f>
        <v>0</v>
      </c>
      <c r="P451" s="27"/>
      <c r="Q451" s="27"/>
      <c r="R451" s="27"/>
      <c r="S451" s="24"/>
    </row>
    <row r="452" spans="1:19">
      <c r="A452" s="25"/>
      <c r="B452" s="7"/>
      <c r="C452" s="7"/>
      <c r="D452" s="7"/>
      <c r="E452" s="7"/>
      <c r="I452" s="24"/>
      <c r="K452" s="25"/>
      <c r="L452" s="7"/>
      <c r="M452" s="7"/>
      <c r="N452" s="7"/>
      <c r="O452" s="7"/>
      <c r="S452" s="24"/>
    </row>
    <row r="453" spans="1:19">
      <c r="A453" s="821" t="s">
        <v>52</v>
      </c>
      <c r="B453" s="822"/>
      <c r="C453" s="822"/>
      <c r="D453" s="822"/>
      <c r="E453" s="26">
        <f>'4-22Master'!G642</f>
        <v>0</v>
      </c>
      <c r="F453" s="27"/>
      <c r="G453" s="27"/>
      <c r="H453" s="27"/>
      <c r="I453" s="24"/>
      <c r="K453" s="821" t="s">
        <v>52</v>
      </c>
      <c r="L453" s="822"/>
      <c r="M453" s="822"/>
      <c r="N453" s="822"/>
      <c r="O453" s="26">
        <f>E453</f>
        <v>0</v>
      </c>
      <c r="P453" s="27"/>
      <c r="Q453" s="27"/>
      <c r="R453" s="27"/>
      <c r="S453" s="24"/>
    </row>
    <row r="454" spans="1:19">
      <c r="A454" s="25"/>
      <c r="B454" s="7"/>
      <c r="C454" s="7"/>
      <c r="D454" s="7"/>
      <c r="E454" s="7"/>
      <c r="I454" s="24"/>
      <c r="K454" s="25"/>
      <c r="L454" s="7"/>
      <c r="M454" s="7"/>
      <c r="N454" s="7"/>
      <c r="O454" s="7"/>
      <c r="S454" s="24"/>
    </row>
    <row r="455" spans="1:19">
      <c r="A455" s="821" t="s">
        <v>53</v>
      </c>
      <c r="B455" s="822"/>
      <c r="C455" s="822"/>
      <c r="D455" s="822"/>
      <c r="E455" s="28">
        <f>'4-22Master'!E644</f>
        <v>0</v>
      </c>
      <c r="F455" s="27"/>
      <c r="G455" s="27"/>
      <c r="H455" s="27"/>
      <c r="I455" s="24"/>
      <c r="K455" s="821" t="s">
        <v>53</v>
      </c>
      <c r="L455" s="822"/>
      <c r="M455" s="822"/>
      <c r="N455" s="822"/>
      <c r="O455" s="28">
        <f>E455</f>
        <v>0</v>
      </c>
      <c r="P455" s="27"/>
      <c r="Q455" s="27"/>
      <c r="R455" s="27"/>
      <c r="S455" s="24"/>
    </row>
    <row r="456" spans="1:19">
      <c r="A456" s="25"/>
      <c r="B456" s="7"/>
      <c r="C456" s="7"/>
      <c r="D456" s="7"/>
      <c r="E456" s="7"/>
      <c r="I456" s="24"/>
      <c r="K456" s="25"/>
      <c r="L456" s="7"/>
      <c r="M456" s="7"/>
      <c r="N456" s="7"/>
      <c r="O456" s="7"/>
      <c r="S456" s="24"/>
    </row>
    <row r="457" spans="1:19">
      <c r="A457" s="29">
        <v>1</v>
      </c>
      <c r="B457" s="822" t="s">
        <v>54</v>
      </c>
      <c r="C457" s="822"/>
      <c r="D457" s="822"/>
      <c r="E457" s="30">
        <f>'4-22Master'!X652</f>
        <v>0</v>
      </c>
      <c r="F457" s="27"/>
      <c r="G457" s="27"/>
      <c r="H457" s="27"/>
      <c r="I457" s="24"/>
      <c r="K457" s="29">
        <v>1</v>
      </c>
      <c r="L457" s="822" t="s">
        <v>54</v>
      </c>
      <c r="M457" s="822"/>
      <c r="N457" s="822"/>
      <c r="O457" s="30">
        <f>E457</f>
        <v>0</v>
      </c>
      <c r="P457" s="27"/>
      <c r="Q457" s="27"/>
      <c r="R457" s="27"/>
      <c r="S457" s="24"/>
    </row>
    <row r="458" spans="1:19">
      <c r="A458" s="29"/>
      <c r="B458" s="7"/>
      <c r="C458" s="7"/>
      <c r="D458" s="7"/>
      <c r="E458" s="7"/>
      <c r="I458" s="24"/>
      <c r="K458" s="29"/>
      <c r="L458" s="7"/>
      <c r="M458" s="7"/>
      <c r="N458" s="7"/>
      <c r="O458" s="7"/>
      <c r="S458" s="24"/>
    </row>
    <row r="459" spans="1:19" ht="15" customHeight="1">
      <c r="A459" s="29">
        <v>2</v>
      </c>
      <c r="B459" s="827" t="s">
        <v>55</v>
      </c>
      <c r="C459" s="827"/>
      <c r="D459" s="827"/>
      <c r="E459" s="7"/>
      <c r="I459" s="24"/>
      <c r="K459" s="29">
        <v>2</v>
      </c>
      <c r="L459" s="827" t="s">
        <v>55</v>
      </c>
      <c r="M459" s="827"/>
      <c r="N459" s="827"/>
      <c r="O459" s="7"/>
      <c r="S459" s="24"/>
    </row>
    <row r="460" spans="1:19">
      <c r="A460" s="29"/>
      <c r="B460" s="827"/>
      <c r="C460" s="827"/>
      <c r="D460" s="827"/>
      <c r="E460" s="31" t="s">
        <v>37</v>
      </c>
      <c r="F460" s="27"/>
      <c r="G460" s="27"/>
      <c r="H460" s="27"/>
      <c r="I460" s="24"/>
      <c r="K460" s="29"/>
      <c r="L460" s="827"/>
      <c r="M460" s="827"/>
      <c r="N460" s="827"/>
      <c r="O460" s="31" t="s">
        <v>37</v>
      </c>
      <c r="P460" s="27"/>
      <c r="Q460" s="27"/>
      <c r="R460" s="27"/>
      <c r="S460" s="24"/>
    </row>
    <row r="461" spans="1:19">
      <c r="A461" s="29"/>
      <c r="B461" s="7"/>
      <c r="C461" s="7"/>
      <c r="D461" s="7"/>
      <c r="E461" s="7"/>
      <c r="I461" s="24"/>
      <c r="K461" s="29"/>
      <c r="L461" s="7"/>
      <c r="M461" s="7"/>
      <c r="N461" s="7"/>
      <c r="O461" s="7"/>
      <c r="S461" s="24"/>
    </row>
    <row r="462" spans="1:19">
      <c r="A462" s="29">
        <v>3</v>
      </c>
      <c r="B462" s="822" t="s">
        <v>56</v>
      </c>
      <c r="C462" s="822"/>
      <c r="D462" s="822"/>
      <c r="E462" s="31" t="s">
        <v>37</v>
      </c>
      <c r="F462" s="27"/>
      <c r="G462" s="27"/>
      <c r="H462" s="27"/>
      <c r="I462" s="24"/>
      <c r="K462" s="29">
        <v>3</v>
      </c>
      <c r="L462" s="822" t="s">
        <v>56</v>
      </c>
      <c r="M462" s="822"/>
      <c r="N462" s="822"/>
      <c r="O462" s="26" t="str">
        <f>E462</f>
        <v>N/A</v>
      </c>
      <c r="P462" s="27"/>
      <c r="Q462" s="27"/>
      <c r="R462" s="27"/>
      <c r="S462" s="24"/>
    </row>
    <row r="463" spans="1:19">
      <c r="A463" s="29"/>
      <c r="B463" s="7"/>
      <c r="C463" s="7"/>
      <c r="D463" s="7"/>
      <c r="E463" s="7"/>
      <c r="I463" s="24"/>
      <c r="K463" s="29"/>
      <c r="L463" s="7"/>
      <c r="M463" s="7"/>
      <c r="N463" s="7"/>
      <c r="O463" s="7"/>
      <c r="S463" s="24"/>
    </row>
    <row r="464" spans="1:19">
      <c r="A464" s="29">
        <v>4</v>
      </c>
      <c r="B464" s="822" t="s">
        <v>57</v>
      </c>
      <c r="C464" s="822"/>
      <c r="D464" s="822"/>
      <c r="E464" s="31" t="s">
        <v>58</v>
      </c>
      <c r="F464" s="27"/>
      <c r="G464" s="27"/>
      <c r="H464" s="27"/>
      <c r="I464" s="24"/>
      <c r="K464" s="29">
        <v>4</v>
      </c>
      <c r="L464" s="822" t="s">
        <v>57</v>
      </c>
      <c r="M464" s="822"/>
      <c r="N464" s="822"/>
      <c r="O464" s="31" t="s">
        <v>58</v>
      </c>
      <c r="P464" s="27"/>
      <c r="Q464" s="27"/>
      <c r="R464" s="27"/>
      <c r="S464" s="24"/>
    </row>
    <row r="465" spans="1:19">
      <c r="A465" s="29"/>
      <c r="B465" s="7"/>
      <c r="C465" s="7"/>
      <c r="D465" s="7"/>
      <c r="E465" s="7"/>
      <c r="I465" s="24"/>
      <c r="K465" s="29"/>
      <c r="L465" s="7"/>
      <c r="M465" s="7"/>
      <c r="N465" s="7"/>
      <c r="O465" s="7"/>
      <c r="S465" s="24"/>
    </row>
    <row r="466" spans="1:19">
      <c r="A466" s="29">
        <v>5</v>
      </c>
      <c r="B466" s="822" t="s">
        <v>59</v>
      </c>
      <c r="C466" s="822"/>
      <c r="D466" s="822"/>
      <c r="E466" s="344">
        <f>'4-22Master'!AN652</f>
        <v>0</v>
      </c>
      <c r="I466" s="24"/>
      <c r="K466" s="29">
        <v>5</v>
      </c>
      <c r="L466" s="822" t="s">
        <v>59</v>
      </c>
      <c r="M466" s="822"/>
      <c r="N466" s="822"/>
      <c r="O466" s="344">
        <f>E466</f>
        <v>0</v>
      </c>
      <c r="S466" s="24"/>
    </row>
    <row r="467" spans="1:19">
      <c r="A467" s="29"/>
      <c r="B467" s="7"/>
      <c r="C467" s="7"/>
      <c r="D467" s="345" t="s">
        <v>60</v>
      </c>
      <c r="E467" s="345" t="s">
        <v>31</v>
      </c>
      <c r="F467" s="345" t="s">
        <v>33</v>
      </c>
      <c r="G467" s="345" t="s">
        <v>34</v>
      </c>
      <c r="H467" s="345" t="s">
        <v>395</v>
      </c>
      <c r="I467" s="343" t="s">
        <v>396</v>
      </c>
      <c r="K467" s="29"/>
      <c r="L467" s="7"/>
      <c r="M467" s="7"/>
      <c r="N467" s="345" t="s">
        <v>60</v>
      </c>
      <c r="O467" s="345" t="s">
        <v>31</v>
      </c>
      <c r="P467" s="345" t="s">
        <v>33</v>
      </c>
      <c r="Q467" s="345" t="s">
        <v>34</v>
      </c>
      <c r="R467" s="345" t="s">
        <v>395</v>
      </c>
      <c r="S467" s="343" t="s">
        <v>396</v>
      </c>
    </row>
    <row r="468" spans="1:19">
      <c r="A468" s="29">
        <v>6</v>
      </c>
      <c r="B468" s="36" t="s">
        <v>61</v>
      </c>
      <c r="C468" s="36"/>
      <c r="D468" s="346">
        <f>'4-22Master'!AP652</f>
        <v>0</v>
      </c>
      <c r="E468" s="346">
        <f>'4-22Master'!AO652</f>
        <v>0</v>
      </c>
      <c r="F468" s="347">
        <f>'4-22Master'!AQ652</f>
        <v>0</v>
      </c>
      <c r="G468" s="346">
        <f>'4-22Master'!AR652</f>
        <v>0</v>
      </c>
      <c r="H468" s="347">
        <f>'4-22Master'!AS652</f>
        <v>0</v>
      </c>
      <c r="I468" s="347">
        <f>'4-22Master'!AT652</f>
        <v>0</v>
      </c>
      <c r="K468" s="29">
        <v>6</v>
      </c>
      <c r="L468" s="36" t="s">
        <v>61</v>
      </c>
      <c r="M468" s="36"/>
      <c r="N468" s="346">
        <f t="shared" ref="N468:S468" si="10">D468</f>
        <v>0</v>
      </c>
      <c r="O468" s="346">
        <f t="shared" si="10"/>
        <v>0</v>
      </c>
      <c r="P468" s="347">
        <f t="shared" si="10"/>
        <v>0</v>
      </c>
      <c r="Q468" s="346">
        <f t="shared" si="10"/>
        <v>0</v>
      </c>
      <c r="R468" s="347">
        <f t="shared" si="10"/>
        <v>0</v>
      </c>
      <c r="S468" s="347">
        <f t="shared" si="10"/>
        <v>0</v>
      </c>
    </row>
    <row r="469" spans="1:19">
      <c r="A469" s="29"/>
      <c r="B469" s="7"/>
      <c r="C469" s="7"/>
      <c r="D469" s="7"/>
      <c r="E469" s="7"/>
      <c r="I469" s="24"/>
      <c r="K469" s="29"/>
      <c r="L469" s="7"/>
      <c r="M469" s="7"/>
      <c r="N469" s="7"/>
      <c r="O469" s="7"/>
      <c r="S469" s="24"/>
    </row>
    <row r="470" spans="1:19">
      <c r="A470" s="29">
        <v>7</v>
      </c>
      <c r="B470" s="822" t="s">
        <v>62</v>
      </c>
      <c r="C470" s="822"/>
      <c r="D470" s="822"/>
      <c r="E470" s="32">
        <f>E466-I468</f>
        <v>0</v>
      </c>
      <c r="F470" s="27"/>
      <c r="G470" s="27"/>
      <c r="H470" s="27"/>
      <c r="I470" s="24"/>
      <c r="K470" s="29">
        <v>7</v>
      </c>
      <c r="L470" s="822" t="s">
        <v>62</v>
      </c>
      <c r="M470" s="822"/>
      <c r="N470" s="822"/>
      <c r="O470" s="32">
        <f>E470</f>
        <v>0</v>
      </c>
      <c r="P470" s="27"/>
      <c r="Q470" s="27"/>
      <c r="R470" s="27"/>
      <c r="S470" s="24"/>
    </row>
    <row r="471" spans="1:19">
      <c r="A471" s="23"/>
      <c r="I471" s="24"/>
      <c r="K471" s="23"/>
      <c r="S471" s="24"/>
    </row>
    <row r="472" spans="1:19">
      <c r="A472" s="23"/>
      <c r="I472" s="24"/>
      <c r="K472" s="23"/>
      <c r="S472" s="24"/>
    </row>
    <row r="473" spans="1:19" ht="15.75" thickBot="1">
      <c r="A473" s="23"/>
      <c r="F473" s="33"/>
      <c r="G473" s="33"/>
      <c r="H473" s="33"/>
      <c r="I473" s="34"/>
      <c r="K473" s="23"/>
      <c r="P473" s="33"/>
      <c r="Q473" s="33"/>
      <c r="R473" s="33"/>
      <c r="S473" s="34"/>
    </row>
    <row r="474" spans="1:19" ht="15.75" thickBot="1">
      <c r="A474" s="35"/>
      <c r="B474" s="33"/>
      <c r="C474" s="33"/>
      <c r="D474" s="33"/>
      <c r="E474" s="33"/>
      <c r="F474" s="828" t="s">
        <v>63</v>
      </c>
      <c r="G474" s="828"/>
      <c r="H474" s="828"/>
      <c r="I474" s="829"/>
      <c r="K474" s="35"/>
      <c r="L474" s="33"/>
      <c r="M474" s="33"/>
      <c r="N474" s="33"/>
      <c r="O474" s="33"/>
      <c r="P474" s="828" t="s">
        <v>63</v>
      </c>
      <c r="Q474" s="828"/>
      <c r="R474" s="828"/>
      <c r="S474" s="829"/>
    </row>
    <row r="488" spans="1:19" ht="15.75" thickBot="1"/>
    <row r="489" spans="1:19" ht="26.25">
      <c r="A489" s="830" t="s">
        <v>482</v>
      </c>
      <c r="B489" s="831"/>
      <c r="C489" s="831"/>
      <c r="D489" s="831"/>
      <c r="E489" s="831"/>
      <c r="F489" s="831"/>
      <c r="G489" s="831"/>
      <c r="H489" s="831"/>
      <c r="I489" s="832"/>
      <c r="J489" s="95"/>
      <c r="K489" s="830" t="str">
        <f>A489</f>
        <v>Form XV - WAGE SLIP</v>
      </c>
      <c r="L489" s="831"/>
      <c r="M489" s="831"/>
      <c r="N489" s="831"/>
      <c r="O489" s="831"/>
      <c r="P489" s="831"/>
      <c r="Q489" s="831"/>
      <c r="R489" s="831"/>
      <c r="S489" s="832"/>
    </row>
    <row r="490" spans="1:19">
      <c r="A490" s="823" t="s">
        <v>483</v>
      </c>
      <c r="B490" s="824"/>
      <c r="C490" s="824"/>
      <c r="D490" s="824"/>
      <c r="E490" s="824"/>
      <c r="F490" s="824"/>
      <c r="G490" s="824"/>
      <c r="H490" s="824"/>
      <c r="I490" s="825"/>
      <c r="J490" s="439"/>
      <c r="K490" s="823" t="str">
        <f>A490</f>
        <v>[Vide rule 78 (1) (b) of the Contract Labour (Regulation and Abolition) and Maharashtra  Rules, 1971]</v>
      </c>
      <c r="L490" s="824"/>
      <c r="M490" s="824"/>
      <c r="N490" s="824"/>
      <c r="O490" s="824"/>
      <c r="P490" s="824"/>
      <c r="Q490" s="824"/>
      <c r="R490" s="824"/>
      <c r="S490" s="825"/>
    </row>
    <row r="491" spans="1:19">
      <c r="A491" s="23"/>
      <c r="I491" s="24"/>
      <c r="K491" s="23"/>
      <c r="S491" s="24"/>
    </row>
    <row r="492" spans="1:19">
      <c r="A492" s="25" t="s">
        <v>50</v>
      </c>
      <c r="B492" s="7"/>
      <c r="C492" s="7"/>
      <c r="D492" s="11">
        <f>'4-22Master'!G684</f>
        <v>0</v>
      </c>
      <c r="I492" s="24"/>
      <c r="K492" s="25" t="s">
        <v>50</v>
      </c>
      <c r="L492" s="7"/>
      <c r="M492" s="7"/>
      <c r="N492" s="11">
        <f>D492</f>
        <v>0</v>
      </c>
      <c r="S492" s="24"/>
    </row>
    <row r="493" spans="1:19">
      <c r="A493" s="25"/>
      <c r="B493" s="7">
        <f>'4-22Master'!G685</f>
        <v>0</v>
      </c>
      <c r="C493" s="7"/>
      <c r="D493" s="7"/>
      <c r="I493" s="24"/>
      <c r="K493" s="25"/>
      <c r="L493" s="7">
        <f>B493</f>
        <v>0</v>
      </c>
      <c r="M493" s="7"/>
      <c r="N493" s="7"/>
      <c r="S493" s="24"/>
    </row>
    <row r="494" spans="1:19">
      <c r="A494" s="25"/>
      <c r="B494" s="7">
        <f>'4-22Master'!G686</f>
        <v>0</v>
      </c>
      <c r="C494" s="7"/>
      <c r="D494" s="7"/>
      <c r="E494" s="7"/>
      <c r="I494" s="24"/>
      <c r="K494" s="25"/>
      <c r="L494" s="7">
        <f>B494</f>
        <v>0</v>
      </c>
      <c r="M494" s="7"/>
      <c r="N494" s="7"/>
      <c r="O494" s="7"/>
      <c r="S494" s="24"/>
    </row>
    <row r="495" spans="1:19" ht="15" customHeight="1">
      <c r="A495" s="826" t="s">
        <v>51</v>
      </c>
      <c r="B495" s="827"/>
      <c r="C495" s="827"/>
      <c r="D495" s="827"/>
      <c r="E495" s="7"/>
      <c r="I495" s="24"/>
      <c r="K495" s="826" t="s">
        <v>51</v>
      </c>
      <c r="L495" s="827"/>
      <c r="M495" s="827"/>
      <c r="N495" s="827"/>
      <c r="O495" s="7"/>
      <c r="S495" s="24"/>
    </row>
    <row r="496" spans="1:19">
      <c r="A496" s="826"/>
      <c r="B496" s="827"/>
      <c r="C496" s="827"/>
      <c r="D496" s="827"/>
      <c r="E496" s="26">
        <f>'4-22Master'!V697</f>
        <v>0</v>
      </c>
      <c r="F496" s="27"/>
      <c r="G496" s="27"/>
      <c r="H496" s="27"/>
      <c r="I496" s="24"/>
      <c r="K496" s="826"/>
      <c r="L496" s="827"/>
      <c r="M496" s="827"/>
      <c r="N496" s="827"/>
      <c r="O496" s="26">
        <f>E496</f>
        <v>0</v>
      </c>
      <c r="P496" s="27"/>
      <c r="Q496" s="27"/>
      <c r="R496" s="27"/>
      <c r="S496" s="24"/>
    </row>
    <row r="497" spans="1:19">
      <c r="A497" s="25"/>
      <c r="B497" s="7"/>
      <c r="C497" s="7"/>
      <c r="D497" s="7"/>
      <c r="E497" s="7"/>
      <c r="I497" s="24"/>
      <c r="K497" s="25"/>
      <c r="L497" s="7"/>
      <c r="M497" s="7"/>
      <c r="N497" s="7"/>
      <c r="O497" s="7"/>
      <c r="S497" s="24"/>
    </row>
    <row r="498" spans="1:19">
      <c r="A498" s="821" t="s">
        <v>52</v>
      </c>
      <c r="B498" s="822"/>
      <c r="C498" s="822"/>
      <c r="D498" s="822"/>
      <c r="E498" s="26">
        <f>'4-22Master'!G687</f>
        <v>0</v>
      </c>
      <c r="F498" s="27"/>
      <c r="G498" s="27"/>
      <c r="H498" s="27"/>
      <c r="I498" s="24"/>
      <c r="K498" s="821" t="s">
        <v>52</v>
      </c>
      <c r="L498" s="822"/>
      <c r="M498" s="822"/>
      <c r="N498" s="822"/>
      <c r="O498" s="26">
        <f>E498</f>
        <v>0</v>
      </c>
      <c r="P498" s="27"/>
      <c r="Q498" s="27"/>
      <c r="R498" s="27"/>
      <c r="S498" s="24"/>
    </row>
    <row r="499" spans="1:19">
      <c r="A499" s="25"/>
      <c r="B499" s="7"/>
      <c r="C499" s="7"/>
      <c r="D499" s="7"/>
      <c r="E499" s="7"/>
      <c r="I499" s="24"/>
      <c r="K499" s="25"/>
      <c r="L499" s="7"/>
      <c r="M499" s="7"/>
      <c r="N499" s="7"/>
      <c r="O499" s="7"/>
      <c r="S499" s="24"/>
    </row>
    <row r="500" spans="1:19">
      <c r="A500" s="821" t="s">
        <v>53</v>
      </c>
      <c r="B500" s="822"/>
      <c r="C500" s="822"/>
      <c r="D500" s="822"/>
      <c r="E500" s="28">
        <f>'4-22Master'!E689</f>
        <v>0</v>
      </c>
      <c r="F500" s="27"/>
      <c r="G500" s="27"/>
      <c r="H500" s="27"/>
      <c r="I500" s="24"/>
      <c r="K500" s="821" t="s">
        <v>53</v>
      </c>
      <c r="L500" s="822"/>
      <c r="M500" s="822"/>
      <c r="N500" s="822"/>
      <c r="O500" s="28">
        <f>E500</f>
        <v>0</v>
      </c>
      <c r="P500" s="27"/>
      <c r="Q500" s="27"/>
      <c r="R500" s="27"/>
      <c r="S500" s="24"/>
    </row>
    <row r="501" spans="1:19">
      <c r="A501" s="25"/>
      <c r="B501" s="7"/>
      <c r="C501" s="7"/>
      <c r="D501" s="7"/>
      <c r="E501" s="7"/>
      <c r="I501" s="24"/>
      <c r="K501" s="25"/>
      <c r="L501" s="7"/>
      <c r="M501" s="7"/>
      <c r="N501" s="7"/>
      <c r="O501" s="7"/>
      <c r="S501" s="24"/>
    </row>
    <row r="502" spans="1:19">
      <c r="A502" s="29">
        <v>1</v>
      </c>
      <c r="B502" s="822" t="s">
        <v>54</v>
      </c>
      <c r="C502" s="822"/>
      <c r="D502" s="822"/>
      <c r="E502" s="30">
        <f>'4-22Master'!X697</f>
        <v>0</v>
      </c>
      <c r="F502" s="27"/>
      <c r="G502" s="27"/>
      <c r="H502" s="27"/>
      <c r="I502" s="24"/>
      <c r="K502" s="29">
        <v>1</v>
      </c>
      <c r="L502" s="822" t="s">
        <v>54</v>
      </c>
      <c r="M502" s="822"/>
      <c r="N502" s="822"/>
      <c r="O502" s="30">
        <f>E502</f>
        <v>0</v>
      </c>
      <c r="P502" s="27"/>
      <c r="Q502" s="27"/>
      <c r="R502" s="27"/>
      <c r="S502" s="24"/>
    </row>
    <row r="503" spans="1:19">
      <c r="A503" s="29"/>
      <c r="B503" s="7"/>
      <c r="C503" s="7"/>
      <c r="D503" s="7"/>
      <c r="E503" s="7"/>
      <c r="I503" s="24"/>
      <c r="K503" s="29"/>
      <c r="L503" s="7"/>
      <c r="M503" s="7"/>
      <c r="N503" s="7"/>
      <c r="O503" s="7"/>
      <c r="S503" s="24"/>
    </row>
    <row r="504" spans="1:19" ht="15" customHeight="1">
      <c r="A504" s="29">
        <v>2</v>
      </c>
      <c r="B504" s="827" t="s">
        <v>55</v>
      </c>
      <c r="C504" s="827"/>
      <c r="D504" s="827"/>
      <c r="E504" s="7"/>
      <c r="I504" s="24"/>
      <c r="K504" s="29">
        <v>2</v>
      </c>
      <c r="L504" s="827" t="s">
        <v>55</v>
      </c>
      <c r="M504" s="827"/>
      <c r="N504" s="827"/>
      <c r="O504" s="7"/>
      <c r="S504" s="24"/>
    </row>
    <row r="505" spans="1:19">
      <c r="A505" s="29"/>
      <c r="B505" s="827"/>
      <c r="C505" s="827"/>
      <c r="D505" s="827"/>
      <c r="E505" s="31" t="s">
        <v>37</v>
      </c>
      <c r="F505" s="27"/>
      <c r="G505" s="27"/>
      <c r="H505" s="27"/>
      <c r="I505" s="24"/>
      <c r="K505" s="29"/>
      <c r="L505" s="827"/>
      <c r="M505" s="827"/>
      <c r="N505" s="827"/>
      <c r="O505" s="31" t="s">
        <v>37</v>
      </c>
      <c r="P505" s="27"/>
      <c r="Q505" s="27"/>
      <c r="R505" s="27"/>
      <c r="S505" s="24"/>
    </row>
    <row r="506" spans="1:19">
      <c r="A506" s="29"/>
      <c r="B506" s="7"/>
      <c r="C506" s="7"/>
      <c r="D506" s="7"/>
      <c r="E506" s="7"/>
      <c r="I506" s="24"/>
      <c r="K506" s="29"/>
      <c r="L506" s="7"/>
      <c r="M506" s="7"/>
      <c r="N506" s="7"/>
      <c r="O506" s="7"/>
      <c r="S506" s="24"/>
    </row>
    <row r="507" spans="1:19">
      <c r="A507" s="29">
        <v>3</v>
      </c>
      <c r="B507" s="822" t="s">
        <v>56</v>
      </c>
      <c r="C507" s="822"/>
      <c r="D507" s="822"/>
      <c r="E507" s="31" t="s">
        <v>37</v>
      </c>
      <c r="F507" s="27"/>
      <c r="G507" s="27"/>
      <c r="H507" s="27"/>
      <c r="I507" s="24"/>
      <c r="K507" s="29">
        <v>3</v>
      </c>
      <c r="L507" s="822" t="s">
        <v>56</v>
      </c>
      <c r="M507" s="822"/>
      <c r="N507" s="822"/>
      <c r="O507" s="26" t="str">
        <f>E507</f>
        <v>N/A</v>
      </c>
      <c r="P507" s="27"/>
      <c r="Q507" s="27"/>
      <c r="R507" s="27"/>
      <c r="S507" s="24"/>
    </row>
    <row r="508" spans="1:19">
      <c r="A508" s="29"/>
      <c r="B508" s="7"/>
      <c r="C508" s="7"/>
      <c r="D508" s="7"/>
      <c r="E508" s="7"/>
      <c r="I508" s="24"/>
      <c r="K508" s="29"/>
      <c r="L508" s="7"/>
      <c r="M508" s="7"/>
      <c r="N508" s="7"/>
      <c r="O508" s="7"/>
      <c r="S508" s="24"/>
    </row>
    <row r="509" spans="1:19">
      <c r="A509" s="29">
        <v>4</v>
      </c>
      <c r="B509" s="822" t="s">
        <v>57</v>
      </c>
      <c r="C509" s="822"/>
      <c r="D509" s="822"/>
      <c r="E509" s="31" t="s">
        <v>58</v>
      </c>
      <c r="F509" s="27"/>
      <c r="G509" s="27"/>
      <c r="H509" s="27"/>
      <c r="I509" s="24"/>
      <c r="K509" s="29">
        <v>4</v>
      </c>
      <c r="L509" s="822" t="s">
        <v>57</v>
      </c>
      <c r="M509" s="822"/>
      <c r="N509" s="822"/>
      <c r="O509" s="31" t="s">
        <v>58</v>
      </c>
      <c r="P509" s="27"/>
      <c r="Q509" s="27"/>
      <c r="R509" s="27"/>
      <c r="S509" s="24"/>
    </row>
    <row r="510" spans="1:19">
      <c r="A510" s="29"/>
      <c r="B510" s="7"/>
      <c r="C510" s="7"/>
      <c r="D510" s="7"/>
      <c r="E510" s="7"/>
      <c r="I510" s="24"/>
      <c r="K510" s="29"/>
      <c r="L510" s="7"/>
      <c r="M510" s="7"/>
      <c r="N510" s="7"/>
      <c r="O510" s="7"/>
      <c r="S510" s="24"/>
    </row>
    <row r="511" spans="1:19">
      <c r="A511" s="29">
        <v>5</v>
      </c>
      <c r="B511" s="822" t="s">
        <v>59</v>
      </c>
      <c r="C511" s="822"/>
      <c r="D511" s="822"/>
      <c r="E511" s="344">
        <f>'4-22Master'!AN697</f>
        <v>0</v>
      </c>
      <c r="I511" s="24"/>
      <c r="K511" s="29">
        <v>5</v>
      </c>
      <c r="L511" s="822" t="s">
        <v>59</v>
      </c>
      <c r="M511" s="822"/>
      <c r="N511" s="822"/>
      <c r="O511" s="344">
        <f>E511</f>
        <v>0</v>
      </c>
      <c r="S511" s="24"/>
    </row>
    <row r="512" spans="1:19">
      <c r="A512" s="29"/>
      <c r="B512" s="7"/>
      <c r="C512" s="7"/>
      <c r="D512" s="345" t="s">
        <v>60</v>
      </c>
      <c r="E512" s="345" t="s">
        <v>31</v>
      </c>
      <c r="F512" s="345" t="s">
        <v>33</v>
      </c>
      <c r="G512" s="345" t="s">
        <v>34</v>
      </c>
      <c r="H512" s="345" t="s">
        <v>395</v>
      </c>
      <c r="I512" s="343" t="s">
        <v>396</v>
      </c>
      <c r="K512" s="29"/>
      <c r="L512" s="7"/>
      <c r="M512" s="7"/>
      <c r="N512" s="345" t="s">
        <v>60</v>
      </c>
      <c r="O512" s="345" t="s">
        <v>31</v>
      </c>
      <c r="P512" s="345" t="s">
        <v>33</v>
      </c>
      <c r="Q512" s="345" t="s">
        <v>34</v>
      </c>
      <c r="R512" s="345" t="s">
        <v>395</v>
      </c>
      <c r="S512" s="343" t="s">
        <v>396</v>
      </c>
    </row>
    <row r="513" spans="1:19">
      <c r="A513" s="29">
        <v>6</v>
      </c>
      <c r="B513" s="36" t="s">
        <v>61</v>
      </c>
      <c r="C513" s="36"/>
      <c r="D513" s="346">
        <f>'4-22Master'!AP697</f>
        <v>0</v>
      </c>
      <c r="E513" s="346">
        <f>'4-22Master'!AO697</f>
        <v>0</v>
      </c>
      <c r="F513" s="347">
        <f>'4-22Master'!AQ697</f>
        <v>0</v>
      </c>
      <c r="G513" s="346">
        <f>'4-22Master'!AR697</f>
        <v>0</v>
      </c>
      <c r="H513" s="347">
        <f>'4-22Master'!AS697</f>
        <v>0</v>
      </c>
      <c r="I513" s="347">
        <f>'4-22Master'!AT697</f>
        <v>0</v>
      </c>
      <c r="K513" s="29">
        <v>6</v>
      </c>
      <c r="L513" s="36" t="s">
        <v>61</v>
      </c>
      <c r="M513" s="36"/>
      <c r="N513" s="346">
        <f t="shared" ref="N513:S513" si="11">D513</f>
        <v>0</v>
      </c>
      <c r="O513" s="346">
        <f t="shared" si="11"/>
        <v>0</v>
      </c>
      <c r="P513" s="347">
        <f t="shared" si="11"/>
        <v>0</v>
      </c>
      <c r="Q513" s="346">
        <f t="shared" si="11"/>
        <v>0</v>
      </c>
      <c r="R513" s="347">
        <f t="shared" si="11"/>
        <v>0</v>
      </c>
      <c r="S513" s="347">
        <f t="shared" si="11"/>
        <v>0</v>
      </c>
    </row>
    <row r="514" spans="1:19">
      <c r="A514" s="29"/>
      <c r="B514" s="7"/>
      <c r="C514" s="7"/>
      <c r="D514" s="7"/>
      <c r="E514" s="7"/>
      <c r="I514" s="24"/>
      <c r="K514" s="29"/>
      <c r="L514" s="7"/>
      <c r="M514" s="7"/>
      <c r="N514" s="7"/>
      <c r="O514" s="7"/>
      <c r="S514" s="24"/>
    </row>
    <row r="515" spans="1:19">
      <c r="A515" s="29">
        <v>7</v>
      </c>
      <c r="B515" s="822" t="s">
        <v>62</v>
      </c>
      <c r="C515" s="822"/>
      <c r="D515" s="822"/>
      <c r="E515" s="32">
        <f>E511-I513</f>
        <v>0</v>
      </c>
      <c r="F515" s="27"/>
      <c r="G515" s="27"/>
      <c r="H515" s="27"/>
      <c r="I515" s="24"/>
      <c r="K515" s="29">
        <v>7</v>
      </c>
      <c r="L515" s="822" t="s">
        <v>62</v>
      </c>
      <c r="M515" s="822"/>
      <c r="N515" s="822"/>
      <c r="O515" s="32">
        <f>E515</f>
        <v>0</v>
      </c>
      <c r="P515" s="27"/>
      <c r="Q515" s="27"/>
      <c r="R515" s="27"/>
      <c r="S515" s="24"/>
    </row>
    <row r="516" spans="1:19">
      <c r="A516" s="23"/>
      <c r="I516" s="24"/>
      <c r="K516" s="23"/>
      <c r="S516" s="24"/>
    </row>
    <row r="517" spans="1:19">
      <c r="A517" s="23"/>
      <c r="I517" s="24"/>
      <c r="K517" s="23"/>
      <c r="S517" s="24"/>
    </row>
    <row r="518" spans="1:19" ht="15.75" thickBot="1">
      <c r="A518" s="23"/>
      <c r="F518" s="33"/>
      <c r="G518" s="33"/>
      <c r="H518" s="33"/>
      <c r="I518" s="34"/>
      <c r="K518" s="23"/>
      <c r="P518" s="33"/>
      <c r="Q518" s="33"/>
      <c r="R518" s="33"/>
      <c r="S518" s="34"/>
    </row>
    <row r="519" spans="1:19" ht="15.75" thickBot="1">
      <c r="A519" s="35"/>
      <c r="B519" s="33"/>
      <c r="C519" s="33"/>
      <c r="D519" s="33"/>
      <c r="E519" s="33"/>
      <c r="F519" s="828" t="s">
        <v>63</v>
      </c>
      <c r="G519" s="828"/>
      <c r="H519" s="828"/>
      <c r="I519" s="829"/>
      <c r="K519" s="35"/>
      <c r="L519" s="33"/>
      <c r="M519" s="33"/>
      <c r="N519" s="33"/>
      <c r="O519" s="33"/>
      <c r="P519" s="828" t="s">
        <v>63</v>
      </c>
      <c r="Q519" s="828"/>
      <c r="R519" s="828"/>
      <c r="S519" s="829"/>
    </row>
  </sheetData>
  <mergeCells count="288">
    <mergeCell ref="B16:D17"/>
    <mergeCell ref="L16:N17"/>
    <mergeCell ref="B19:D19"/>
    <mergeCell ref="L19:N19"/>
    <mergeCell ref="B21:D21"/>
    <mergeCell ref="L21:N21"/>
    <mergeCell ref="A1:I1"/>
    <mergeCell ref="K1:S1"/>
    <mergeCell ref="A10:D10"/>
    <mergeCell ref="K10:N10"/>
    <mergeCell ref="A12:D12"/>
    <mergeCell ref="K12:N12"/>
    <mergeCell ref="B14:D14"/>
    <mergeCell ref="L14:N14"/>
    <mergeCell ref="A2:I2"/>
    <mergeCell ref="K2:S2"/>
    <mergeCell ref="A7:D8"/>
    <mergeCell ref="K7:N8"/>
    <mergeCell ref="A44:I44"/>
    <mergeCell ref="K44:S44"/>
    <mergeCell ref="A45:I45"/>
    <mergeCell ref="K45:S45"/>
    <mergeCell ref="B57:D57"/>
    <mergeCell ref="L57:N57"/>
    <mergeCell ref="F31:I31"/>
    <mergeCell ref="P31:S31"/>
    <mergeCell ref="B23:D23"/>
    <mergeCell ref="L23:N23"/>
    <mergeCell ref="B27:D27"/>
    <mergeCell ref="L27:N27"/>
    <mergeCell ref="B59:D60"/>
    <mergeCell ref="L59:N60"/>
    <mergeCell ref="B62:D62"/>
    <mergeCell ref="L62:N62"/>
    <mergeCell ref="A50:D51"/>
    <mergeCell ref="K50:N51"/>
    <mergeCell ref="A53:D53"/>
    <mergeCell ref="K53:N53"/>
    <mergeCell ref="A55:D55"/>
    <mergeCell ref="K55:N55"/>
    <mergeCell ref="B70:D70"/>
    <mergeCell ref="L70:N70"/>
    <mergeCell ref="F74:I74"/>
    <mergeCell ref="P74:S74"/>
    <mergeCell ref="A88:I88"/>
    <mergeCell ref="K88:S88"/>
    <mergeCell ref="B64:D64"/>
    <mergeCell ref="L64:N64"/>
    <mergeCell ref="B66:D66"/>
    <mergeCell ref="L66:N66"/>
    <mergeCell ref="A97:D97"/>
    <mergeCell ref="K97:N97"/>
    <mergeCell ref="A99:D99"/>
    <mergeCell ref="K99:N99"/>
    <mergeCell ref="B101:D101"/>
    <mergeCell ref="L101:N101"/>
    <mergeCell ref="A89:I89"/>
    <mergeCell ref="K89:S89"/>
    <mergeCell ref="A94:D95"/>
    <mergeCell ref="K94:N95"/>
    <mergeCell ref="B110:D110"/>
    <mergeCell ref="L110:N110"/>
    <mergeCell ref="B114:D114"/>
    <mergeCell ref="L114:N114"/>
    <mergeCell ref="B103:D104"/>
    <mergeCell ref="L103:N104"/>
    <mergeCell ref="B106:D106"/>
    <mergeCell ref="L106:N106"/>
    <mergeCell ref="B108:D108"/>
    <mergeCell ref="L108:N108"/>
    <mergeCell ref="A138:D139"/>
    <mergeCell ref="K138:N139"/>
    <mergeCell ref="A141:D141"/>
    <mergeCell ref="K141:N141"/>
    <mergeCell ref="F118:I118"/>
    <mergeCell ref="P118:S118"/>
    <mergeCell ref="A132:I132"/>
    <mergeCell ref="K132:S132"/>
    <mergeCell ref="A133:I133"/>
    <mergeCell ref="K133:S133"/>
    <mergeCell ref="B150:D150"/>
    <mergeCell ref="L150:N150"/>
    <mergeCell ref="B152:D152"/>
    <mergeCell ref="L152:N152"/>
    <mergeCell ref="B154:D154"/>
    <mergeCell ref="L154:N154"/>
    <mergeCell ref="A143:D143"/>
    <mergeCell ref="K143:N143"/>
    <mergeCell ref="B145:D145"/>
    <mergeCell ref="L145:N145"/>
    <mergeCell ref="B147:D148"/>
    <mergeCell ref="L147:N148"/>
    <mergeCell ref="A176:I176"/>
    <mergeCell ref="K176:S176"/>
    <mergeCell ref="A177:I177"/>
    <mergeCell ref="K177:S177"/>
    <mergeCell ref="B158:D158"/>
    <mergeCell ref="L158:N158"/>
    <mergeCell ref="F162:I162"/>
    <mergeCell ref="P162:S162"/>
    <mergeCell ref="B189:D189"/>
    <mergeCell ref="L189:N189"/>
    <mergeCell ref="B191:D192"/>
    <mergeCell ref="L191:N192"/>
    <mergeCell ref="B194:D194"/>
    <mergeCell ref="L194:N194"/>
    <mergeCell ref="A182:D183"/>
    <mergeCell ref="K182:N183"/>
    <mergeCell ref="A185:D185"/>
    <mergeCell ref="K185:N185"/>
    <mergeCell ref="A187:D187"/>
    <mergeCell ref="K187:N187"/>
    <mergeCell ref="B202:D202"/>
    <mergeCell ref="L202:N202"/>
    <mergeCell ref="F206:I206"/>
    <mergeCell ref="P206:S206"/>
    <mergeCell ref="A220:I220"/>
    <mergeCell ref="K220:S220"/>
    <mergeCell ref="B196:D196"/>
    <mergeCell ref="L196:N196"/>
    <mergeCell ref="B198:D198"/>
    <mergeCell ref="L198:N198"/>
    <mergeCell ref="A229:D229"/>
    <mergeCell ref="K229:N229"/>
    <mergeCell ref="A231:D231"/>
    <mergeCell ref="K231:N231"/>
    <mergeCell ref="B233:D233"/>
    <mergeCell ref="L233:N233"/>
    <mergeCell ref="A221:I221"/>
    <mergeCell ref="K221:S221"/>
    <mergeCell ref="A226:D227"/>
    <mergeCell ref="K226:N227"/>
    <mergeCell ref="B242:D242"/>
    <mergeCell ref="L242:N242"/>
    <mergeCell ref="B246:D246"/>
    <mergeCell ref="L246:N246"/>
    <mergeCell ref="B235:D236"/>
    <mergeCell ref="L235:N236"/>
    <mergeCell ref="B238:D238"/>
    <mergeCell ref="L238:N238"/>
    <mergeCell ref="B240:D240"/>
    <mergeCell ref="L240:N240"/>
    <mergeCell ref="A270:D271"/>
    <mergeCell ref="K270:N271"/>
    <mergeCell ref="A273:D273"/>
    <mergeCell ref="K273:N273"/>
    <mergeCell ref="F250:I250"/>
    <mergeCell ref="P250:S250"/>
    <mergeCell ref="A264:I264"/>
    <mergeCell ref="K264:S264"/>
    <mergeCell ref="A265:I265"/>
    <mergeCell ref="K265:S265"/>
    <mergeCell ref="B282:D282"/>
    <mergeCell ref="L282:N282"/>
    <mergeCell ref="B284:D284"/>
    <mergeCell ref="L284:N284"/>
    <mergeCell ref="B286:D286"/>
    <mergeCell ref="L286:N286"/>
    <mergeCell ref="A275:D275"/>
    <mergeCell ref="K275:N275"/>
    <mergeCell ref="B277:D277"/>
    <mergeCell ref="L277:N277"/>
    <mergeCell ref="B279:D280"/>
    <mergeCell ref="L279:N280"/>
    <mergeCell ref="A309:I309"/>
    <mergeCell ref="K309:S309"/>
    <mergeCell ref="A310:I310"/>
    <mergeCell ref="K310:S310"/>
    <mergeCell ref="B290:D290"/>
    <mergeCell ref="L290:N290"/>
    <mergeCell ref="F294:I294"/>
    <mergeCell ref="P294:S294"/>
    <mergeCell ref="B322:D322"/>
    <mergeCell ref="L322:N322"/>
    <mergeCell ref="B324:D325"/>
    <mergeCell ref="L324:N325"/>
    <mergeCell ref="B327:D327"/>
    <mergeCell ref="L327:N327"/>
    <mergeCell ref="A315:D316"/>
    <mergeCell ref="K315:N316"/>
    <mergeCell ref="A318:D318"/>
    <mergeCell ref="K318:N318"/>
    <mergeCell ref="A320:D320"/>
    <mergeCell ref="K320:N320"/>
    <mergeCell ref="B335:D335"/>
    <mergeCell ref="L335:N335"/>
    <mergeCell ref="F339:I339"/>
    <mergeCell ref="P339:S339"/>
    <mergeCell ref="A354:I354"/>
    <mergeCell ref="K354:S354"/>
    <mergeCell ref="B329:D329"/>
    <mergeCell ref="L329:N329"/>
    <mergeCell ref="B331:D331"/>
    <mergeCell ref="L331:N331"/>
    <mergeCell ref="A363:D363"/>
    <mergeCell ref="K363:N363"/>
    <mergeCell ref="A365:D365"/>
    <mergeCell ref="K365:N365"/>
    <mergeCell ref="B367:D367"/>
    <mergeCell ref="L367:N367"/>
    <mergeCell ref="A355:I355"/>
    <mergeCell ref="K355:S355"/>
    <mergeCell ref="A360:D361"/>
    <mergeCell ref="K360:N361"/>
    <mergeCell ref="B376:D376"/>
    <mergeCell ref="L376:N376"/>
    <mergeCell ref="B380:D380"/>
    <mergeCell ref="L380:N380"/>
    <mergeCell ref="B369:D370"/>
    <mergeCell ref="L369:N370"/>
    <mergeCell ref="B372:D372"/>
    <mergeCell ref="L372:N372"/>
    <mergeCell ref="B374:D374"/>
    <mergeCell ref="L374:N374"/>
    <mergeCell ref="A405:D406"/>
    <mergeCell ref="K405:N406"/>
    <mergeCell ref="A408:D408"/>
    <mergeCell ref="K408:N408"/>
    <mergeCell ref="F384:I384"/>
    <mergeCell ref="P384:S384"/>
    <mergeCell ref="A399:I399"/>
    <mergeCell ref="K399:S399"/>
    <mergeCell ref="A400:I400"/>
    <mergeCell ref="K400:S400"/>
    <mergeCell ref="B417:D417"/>
    <mergeCell ref="L417:N417"/>
    <mergeCell ref="B419:D419"/>
    <mergeCell ref="L419:N419"/>
    <mergeCell ref="B421:D421"/>
    <mergeCell ref="L421:N421"/>
    <mergeCell ref="A410:D410"/>
    <mergeCell ref="K410:N410"/>
    <mergeCell ref="B412:D412"/>
    <mergeCell ref="L412:N412"/>
    <mergeCell ref="B414:D415"/>
    <mergeCell ref="L414:N415"/>
    <mergeCell ref="A444:I444"/>
    <mergeCell ref="K444:S444"/>
    <mergeCell ref="A445:I445"/>
    <mergeCell ref="K445:S445"/>
    <mergeCell ref="B425:D425"/>
    <mergeCell ref="L425:N425"/>
    <mergeCell ref="F429:I429"/>
    <mergeCell ref="P429:S429"/>
    <mergeCell ref="B457:D457"/>
    <mergeCell ref="L457:N457"/>
    <mergeCell ref="B459:D460"/>
    <mergeCell ref="L459:N460"/>
    <mergeCell ref="B462:D462"/>
    <mergeCell ref="L462:N462"/>
    <mergeCell ref="A450:D451"/>
    <mergeCell ref="K450:N451"/>
    <mergeCell ref="A453:D453"/>
    <mergeCell ref="K453:N453"/>
    <mergeCell ref="A455:D455"/>
    <mergeCell ref="K455:N455"/>
    <mergeCell ref="B470:D470"/>
    <mergeCell ref="L470:N470"/>
    <mergeCell ref="F474:I474"/>
    <mergeCell ref="P474:S474"/>
    <mergeCell ref="A489:I489"/>
    <mergeCell ref="K489:S489"/>
    <mergeCell ref="B464:D464"/>
    <mergeCell ref="L464:N464"/>
    <mergeCell ref="B466:D466"/>
    <mergeCell ref="L466:N466"/>
    <mergeCell ref="A500:D500"/>
    <mergeCell ref="K500:N500"/>
    <mergeCell ref="B502:D502"/>
    <mergeCell ref="L502:N502"/>
    <mergeCell ref="A490:I490"/>
    <mergeCell ref="K490:S490"/>
    <mergeCell ref="A495:D496"/>
    <mergeCell ref="K495:N496"/>
    <mergeCell ref="F519:I519"/>
    <mergeCell ref="P519:S519"/>
    <mergeCell ref="B511:D511"/>
    <mergeCell ref="L511:N511"/>
    <mergeCell ref="B515:D515"/>
    <mergeCell ref="L515:N515"/>
    <mergeCell ref="B504:D505"/>
    <mergeCell ref="L504:N505"/>
    <mergeCell ref="B507:D507"/>
    <mergeCell ref="L507:N507"/>
    <mergeCell ref="B509:D509"/>
    <mergeCell ref="L509:N509"/>
    <mergeCell ref="A498:D498"/>
    <mergeCell ref="K498:N498"/>
  </mergeCells>
  <pageMargins left="0.47244094488188981" right="0.47244094488188981" top="0.74803149606299213" bottom="0.74803149606299213" header="0.31496062992125984" footer="0.31496062992125984"/>
  <pageSetup paperSize="9" scale="75" orientation="landscape" horizontalDpi="300" verticalDpi="3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33"/>
  <sheetViews>
    <sheetView topLeftCell="C1" workbookViewId="0">
      <selection activeCell="L4" sqref="L4"/>
    </sheetView>
  </sheetViews>
  <sheetFormatPr defaultRowHeight="15"/>
  <cols>
    <col min="2" max="2" width="19.85546875" bestFit="1" customWidth="1"/>
    <col min="3" max="3" width="18" customWidth="1"/>
    <col min="5" max="5" width="22.140625" bestFit="1" customWidth="1"/>
    <col min="15" max="15" width="17.85546875" bestFit="1" customWidth="1"/>
    <col min="16" max="16" width="11.5703125" customWidth="1"/>
    <col min="17" max="17" width="24.5703125" bestFit="1" customWidth="1"/>
  </cols>
  <sheetData>
    <row r="1" spans="1:18" ht="18.75">
      <c r="A1" s="835" t="s">
        <v>153</v>
      </c>
      <c r="B1" s="835"/>
      <c r="C1" s="835"/>
      <c r="D1" s="835"/>
      <c r="E1" s="835"/>
      <c r="F1" s="835"/>
      <c r="G1" s="835"/>
      <c r="H1" s="835"/>
      <c r="I1" s="835"/>
      <c r="J1" s="835"/>
      <c r="K1" s="835"/>
      <c r="L1" s="835"/>
      <c r="M1" s="835"/>
      <c r="N1" s="835"/>
      <c r="O1" s="835"/>
      <c r="P1" s="835"/>
      <c r="Q1" s="131"/>
    </row>
    <row r="2" spans="1:18">
      <c r="A2" s="9"/>
      <c r="B2" s="22"/>
      <c r="E2" s="9"/>
      <c r="F2" s="9"/>
      <c r="G2" s="9"/>
    </row>
    <row r="3" spans="1:18" ht="15.75">
      <c r="A3" s="836" t="s">
        <v>154</v>
      </c>
      <c r="B3" s="836"/>
      <c r="C3" s="836"/>
      <c r="D3" s="836"/>
      <c r="E3" s="836"/>
      <c r="F3" s="836"/>
      <c r="G3" s="836"/>
      <c r="H3" s="836"/>
      <c r="I3" s="836"/>
      <c r="J3" s="836"/>
      <c r="K3" s="836"/>
      <c r="L3" s="836"/>
      <c r="M3" s="836"/>
      <c r="N3" s="836"/>
      <c r="O3" s="836"/>
      <c r="P3" s="836"/>
      <c r="Q3" s="132"/>
    </row>
    <row r="4" spans="1:18">
      <c r="A4" s="9"/>
      <c r="B4" s="22"/>
      <c r="E4" s="9"/>
      <c r="F4" s="9"/>
      <c r="G4" s="9"/>
      <c r="K4" s="4" t="s">
        <v>405</v>
      </c>
      <c r="L4" s="13">
        <f>'4-22Master'!E10</f>
        <v>44652</v>
      </c>
    </row>
    <row r="5" spans="1:18" ht="15.75">
      <c r="A5" s="133" t="s">
        <v>155</v>
      </c>
      <c r="B5" s="134"/>
      <c r="D5" t="str">
        <f>'4-22Master'!G5</f>
        <v>Burgeon IT Services Pvt.Ltd.</v>
      </c>
      <c r="E5" s="135"/>
      <c r="F5" s="135"/>
      <c r="G5" s="135"/>
      <c r="H5" s="135"/>
      <c r="I5" s="135"/>
      <c r="J5" s="135"/>
      <c r="K5" s="133" t="s">
        <v>156</v>
      </c>
      <c r="L5" s="135"/>
      <c r="M5" s="135" t="s">
        <v>632</v>
      </c>
      <c r="N5" s="135"/>
      <c r="O5" s="135"/>
      <c r="P5" s="135"/>
      <c r="Q5" s="135"/>
      <c r="R5" s="135"/>
    </row>
    <row r="6" spans="1:18">
      <c r="A6" s="136" t="str">
        <f>'4-22Master'!G6</f>
        <v>Siri Mansion LIGB 436 Dr.A S Rao Nagar,Hyderabad</v>
      </c>
      <c r="B6" s="137"/>
      <c r="C6" s="138"/>
      <c r="D6" s="138"/>
      <c r="E6" s="136"/>
      <c r="F6" s="136"/>
      <c r="G6" s="136"/>
      <c r="H6" s="138"/>
      <c r="I6" s="138"/>
      <c r="J6" s="138"/>
      <c r="K6" s="138"/>
      <c r="L6" s="138"/>
      <c r="M6" s="138"/>
      <c r="N6" s="138"/>
      <c r="O6" s="138"/>
      <c r="P6" s="138"/>
      <c r="Q6" s="138"/>
      <c r="R6" s="138"/>
    </row>
    <row r="7" spans="1:18">
      <c r="A7" s="837" t="s">
        <v>157</v>
      </c>
      <c r="B7" s="839" t="s">
        <v>158</v>
      </c>
      <c r="C7" s="839" t="s">
        <v>159</v>
      </c>
      <c r="D7" s="840" t="s">
        <v>160</v>
      </c>
      <c r="E7" s="840" t="s">
        <v>161</v>
      </c>
      <c r="F7" s="840" t="s">
        <v>162</v>
      </c>
      <c r="G7" s="841" t="s">
        <v>490</v>
      </c>
      <c r="H7" s="840" t="s">
        <v>163</v>
      </c>
      <c r="I7" s="843" t="s">
        <v>164</v>
      </c>
      <c r="J7" s="843"/>
      <c r="K7" s="843"/>
      <c r="L7" s="844" t="s">
        <v>165</v>
      </c>
      <c r="M7" s="844" t="s">
        <v>166</v>
      </c>
      <c r="N7" s="833" t="s">
        <v>167</v>
      </c>
      <c r="O7" s="833" t="s">
        <v>168</v>
      </c>
      <c r="P7" s="833" t="s">
        <v>169</v>
      </c>
      <c r="Q7" s="139"/>
      <c r="R7" s="140"/>
    </row>
    <row r="8" spans="1:18" ht="96">
      <c r="A8" s="838"/>
      <c r="B8" s="839"/>
      <c r="C8" s="839"/>
      <c r="D8" s="840"/>
      <c r="E8" s="840"/>
      <c r="F8" s="840"/>
      <c r="G8" s="842"/>
      <c r="H8" s="840"/>
      <c r="I8" s="141" t="s">
        <v>170</v>
      </c>
      <c r="J8" s="141" t="s">
        <v>171</v>
      </c>
      <c r="K8" s="141" t="s">
        <v>172</v>
      </c>
      <c r="L8" s="844"/>
      <c r="M8" s="844"/>
      <c r="N8" s="834"/>
      <c r="O8" s="834"/>
      <c r="P8" s="834"/>
      <c r="Q8" s="142" t="s">
        <v>173</v>
      </c>
      <c r="R8" s="143"/>
    </row>
    <row r="9" spans="1:18">
      <c r="A9" s="144">
        <v>1</v>
      </c>
      <c r="B9" s="145">
        <v>2</v>
      </c>
      <c r="C9" s="144">
        <v>3</v>
      </c>
      <c r="D9" s="144">
        <v>4</v>
      </c>
      <c r="E9" s="144">
        <v>5</v>
      </c>
      <c r="F9" s="144">
        <v>6</v>
      </c>
      <c r="G9" s="144"/>
      <c r="H9" s="144">
        <v>8</v>
      </c>
      <c r="I9" s="144">
        <v>9</v>
      </c>
      <c r="J9" s="144">
        <v>10</v>
      </c>
      <c r="K9" s="144">
        <v>11</v>
      </c>
      <c r="L9" s="144">
        <v>12</v>
      </c>
      <c r="M9" s="144">
        <v>13</v>
      </c>
      <c r="N9" s="144">
        <v>14</v>
      </c>
      <c r="O9" s="144">
        <v>15</v>
      </c>
      <c r="P9" s="144">
        <v>16</v>
      </c>
      <c r="Q9" s="146"/>
      <c r="R9" s="9"/>
    </row>
    <row r="10" spans="1:18" ht="15.75">
      <c r="A10" s="147">
        <v>3</v>
      </c>
      <c r="B10" s="153" t="str">
        <f>'4-22Master'!V18</f>
        <v>Amith a</v>
      </c>
      <c r="C10" s="149" t="str">
        <f>'4-22Master'!F18</f>
        <v>N.Ananda</v>
      </c>
      <c r="D10" s="147" t="s">
        <v>174</v>
      </c>
      <c r="E10" s="645" t="str">
        <f>'4-22Master'!G18</f>
        <v>Technology Consultant</v>
      </c>
      <c r="F10" s="151">
        <f>'4-22Master'!X18</f>
        <v>30</v>
      </c>
      <c r="G10" s="151">
        <f>'4-22Master'!AN18</f>
        <v>63276.5003</v>
      </c>
      <c r="H10" s="151">
        <f>'4-22Master'!AJ18</f>
        <v>1555</v>
      </c>
      <c r="I10" s="147" t="s">
        <v>37</v>
      </c>
      <c r="J10" s="147" t="s">
        <v>37</v>
      </c>
      <c r="K10" s="147" t="s">
        <v>37</v>
      </c>
      <c r="L10" s="147" t="s">
        <v>37</v>
      </c>
      <c r="M10" s="151">
        <f t="shared" ref="M10" si="0">H10</f>
        <v>1555</v>
      </c>
      <c r="N10" s="151">
        <f t="shared" ref="N10" si="1">H10</f>
        <v>1555</v>
      </c>
      <c r="O10" s="352" t="str">
        <f>'4-22Master'!AV18</f>
        <v>5-05-2022</v>
      </c>
      <c r="P10" s="662" t="str">
        <f>'4-22Master'!AW18</f>
        <v>ICICI Bank</v>
      </c>
      <c r="Q10" s="349" t="str">
        <f>'4-22Master'!AX18</f>
        <v>115601503688</v>
      </c>
      <c r="R10" s="22"/>
    </row>
    <row r="11" spans="1:18" ht="15.75">
      <c r="A11" s="147"/>
      <c r="B11" s="153"/>
      <c r="C11" s="149"/>
      <c r="D11" s="147"/>
      <c r="E11" s="154"/>
      <c r="F11" s="150"/>
      <c r="G11" s="150"/>
      <c r="H11" s="151"/>
      <c r="I11" s="147"/>
      <c r="J11" s="147"/>
      <c r="K11" s="147"/>
      <c r="L11" s="147"/>
      <c r="M11" s="151"/>
      <c r="N11" s="151"/>
      <c r="O11" s="147"/>
      <c r="P11" s="148"/>
      <c r="Q11" s="152"/>
      <c r="R11" s="22"/>
    </row>
    <row r="12" spans="1:18" ht="15.75">
      <c r="A12" s="147"/>
      <c r="B12" s="153"/>
      <c r="C12" s="149"/>
      <c r="D12" s="147"/>
      <c r="E12" s="154"/>
      <c r="F12" s="150"/>
      <c r="G12" s="150"/>
      <c r="H12" s="151"/>
      <c r="I12" s="147"/>
      <c r="J12" s="147"/>
      <c r="K12" s="147"/>
      <c r="L12" s="147"/>
      <c r="M12" s="151"/>
      <c r="N12" s="151"/>
      <c r="O12" s="147"/>
      <c r="P12" s="148"/>
      <c r="Q12" s="152"/>
      <c r="R12" s="22"/>
    </row>
    <row r="13" spans="1:18" ht="15.75">
      <c r="A13" s="147"/>
      <c r="B13" s="153"/>
      <c r="C13" s="149"/>
      <c r="D13" s="147"/>
      <c r="E13" s="154"/>
      <c r="F13" s="150"/>
      <c r="G13" s="150"/>
      <c r="H13" s="151"/>
      <c r="I13" s="147"/>
      <c r="J13" s="147"/>
      <c r="K13" s="147"/>
      <c r="L13" s="147"/>
      <c r="M13" s="151"/>
      <c r="N13" s="151"/>
      <c r="O13" s="147"/>
      <c r="P13" s="148"/>
      <c r="Q13" s="152"/>
      <c r="R13" s="22"/>
    </row>
    <row r="14" spans="1:18">
      <c r="A14" s="9"/>
      <c r="B14" s="22"/>
      <c r="E14" s="9"/>
      <c r="F14" s="9"/>
      <c r="G14" s="9"/>
    </row>
    <row r="15" spans="1:18">
      <c r="A15" s="9"/>
      <c r="B15" s="22"/>
      <c r="E15" s="9"/>
      <c r="F15" s="9"/>
      <c r="G15" s="9"/>
    </row>
    <row r="16" spans="1:18">
      <c r="A16" s="9"/>
      <c r="B16" s="22"/>
      <c r="E16" s="9"/>
      <c r="F16" s="9"/>
      <c r="G16" s="9"/>
    </row>
    <row r="17" spans="1:12">
      <c r="A17" s="9"/>
      <c r="B17" s="22"/>
      <c r="E17" s="9"/>
      <c r="F17" s="9"/>
      <c r="G17" s="9"/>
      <c r="L17" t="s">
        <v>38</v>
      </c>
    </row>
    <row r="18" spans="1:12">
      <c r="A18" s="9"/>
      <c r="B18" s="22"/>
      <c r="E18" s="9"/>
      <c r="F18" s="9"/>
      <c r="G18" s="9"/>
    </row>
    <row r="19" spans="1:12">
      <c r="A19" s="9"/>
      <c r="B19" s="22"/>
      <c r="E19" s="9"/>
      <c r="F19" s="9"/>
      <c r="G19" s="9"/>
    </row>
    <row r="20" spans="1:12">
      <c r="A20" s="9"/>
      <c r="B20" s="22"/>
      <c r="E20" s="9"/>
      <c r="F20" s="9"/>
      <c r="G20" s="9"/>
    </row>
    <row r="21" spans="1:12">
      <c r="A21" s="9"/>
      <c r="B21" s="22"/>
      <c r="E21" s="9"/>
      <c r="F21" s="9"/>
      <c r="G21" s="9"/>
    </row>
    <row r="22" spans="1:12">
      <c r="A22" s="9"/>
      <c r="B22" s="22"/>
      <c r="E22" s="9"/>
      <c r="F22" s="9"/>
      <c r="G22" s="9"/>
    </row>
    <row r="23" spans="1:12">
      <c r="A23" s="9"/>
      <c r="B23" s="22"/>
      <c r="E23" s="9"/>
      <c r="F23" s="9"/>
      <c r="G23" s="9"/>
    </row>
    <row r="24" spans="1:12">
      <c r="A24" s="9"/>
      <c r="B24" s="22"/>
      <c r="E24" s="9"/>
      <c r="F24" s="9"/>
      <c r="G24" s="9"/>
    </row>
    <row r="25" spans="1:12">
      <c r="A25" s="9"/>
      <c r="B25" s="22"/>
      <c r="E25" s="9"/>
      <c r="F25" s="9"/>
      <c r="G25" s="9"/>
    </row>
    <row r="26" spans="1:12">
      <c r="A26" s="9"/>
      <c r="B26" s="22"/>
      <c r="E26" s="9"/>
      <c r="F26" s="9"/>
      <c r="G26" s="9"/>
    </row>
    <row r="27" spans="1:12">
      <c r="A27" s="9"/>
      <c r="B27" s="22"/>
      <c r="E27" s="9"/>
      <c r="F27" s="9"/>
      <c r="G27" s="9"/>
    </row>
    <row r="28" spans="1:12">
      <c r="A28" s="9"/>
      <c r="B28" s="22"/>
      <c r="E28" s="9"/>
      <c r="F28" s="9"/>
      <c r="G28" s="9"/>
    </row>
    <row r="29" spans="1:12">
      <c r="A29" s="9"/>
      <c r="B29" s="22"/>
      <c r="E29" s="9"/>
      <c r="F29" s="9"/>
      <c r="G29" s="9"/>
    </row>
    <row r="30" spans="1:12">
      <c r="A30" s="9"/>
      <c r="B30" s="22"/>
      <c r="E30" s="9"/>
      <c r="F30" s="9"/>
      <c r="G30" s="9"/>
    </row>
    <row r="31" spans="1:12">
      <c r="A31" s="9"/>
      <c r="B31" s="22"/>
      <c r="E31" s="9"/>
      <c r="F31" s="9"/>
      <c r="G31" s="9"/>
    </row>
    <row r="32" spans="1:12">
      <c r="A32" s="9"/>
      <c r="B32" s="22"/>
      <c r="E32" s="9"/>
      <c r="F32" s="9"/>
      <c r="G32" s="9"/>
    </row>
    <row r="33" spans="1:7">
      <c r="A33" s="9"/>
      <c r="B33" s="22"/>
      <c r="E33" s="9"/>
      <c r="F33" s="9"/>
      <c r="G33" s="9"/>
    </row>
  </sheetData>
  <mergeCells count="16">
    <mergeCell ref="P7:P8"/>
    <mergeCell ref="A1:P1"/>
    <mergeCell ref="A3:P3"/>
    <mergeCell ref="A7:A8"/>
    <mergeCell ref="B7:B8"/>
    <mergeCell ref="C7:C8"/>
    <mergeCell ref="D7:D8"/>
    <mergeCell ref="E7:E8"/>
    <mergeCell ref="F7:F8"/>
    <mergeCell ref="G7:G8"/>
    <mergeCell ref="H7:H8"/>
    <mergeCell ref="I7:K7"/>
    <mergeCell ref="L7:L8"/>
    <mergeCell ref="M7:M8"/>
    <mergeCell ref="N7:N8"/>
    <mergeCell ref="O7:O8"/>
  </mergeCells>
  <pageMargins left="0.7" right="0.7" top="0.75" bottom="0.75" header="0.3" footer="0.3"/>
  <pageSetup scale="75" orientation="landscape"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36"/>
  <sheetViews>
    <sheetView workbookViewId="0">
      <selection activeCell="F29" sqref="F29"/>
    </sheetView>
  </sheetViews>
  <sheetFormatPr defaultRowHeight="15"/>
  <cols>
    <col min="1" max="1" width="5.28515625" customWidth="1"/>
    <col min="3" max="3" width="12.5703125" customWidth="1"/>
    <col min="4" max="4" width="44.28515625" customWidth="1"/>
    <col min="13" max="13" width="16.7109375" customWidth="1"/>
  </cols>
  <sheetData>
    <row r="1" spans="1:13">
      <c r="A1" s="847" t="s">
        <v>484</v>
      </c>
      <c r="B1" s="847"/>
      <c r="C1" s="847"/>
      <c r="D1" s="847"/>
      <c r="E1" s="847"/>
      <c r="F1" s="847"/>
      <c r="G1" s="847"/>
      <c r="H1" s="847"/>
      <c r="I1" s="847"/>
      <c r="J1" s="847"/>
      <c r="K1" s="847"/>
      <c r="L1" s="847"/>
      <c r="M1" s="847"/>
    </row>
    <row r="2" spans="1:13">
      <c r="A2" s="847"/>
      <c r="B2" s="847"/>
      <c r="C2" s="847"/>
      <c r="D2" s="847"/>
      <c r="E2" s="847"/>
      <c r="F2" s="847"/>
      <c r="G2" s="847"/>
      <c r="H2" s="847"/>
      <c r="I2" s="847"/>
      <c r="J2" s="847"/>
      <c r="K2" s="847"/>
      <c r="L2" s="847"/>
      <c r="M2" s="847"/>
    </row>
    <row r="3" spans="1:13">
      <c r="A3" s="848" t="s">
        <v>485</v>
      </c>
      <c r="B3" s="848"/>
      <c r="C3" s="848"/>
      <c r="D3" s="848"/>
      <c r="E3" s="848"/>
      <c r="F3" s="848"/>
      <c r="G3" s="848"/>
      <c r="H3" s="848"/>
      <c r="I3" s="848"/>
      <c r="J3" s="848"/>
      <c r="K3" s="848"/>
      <c r="L3" s="848"/>
      <c r="M3" s="848"/>
    </row>
    <row r="4" spans="1:13" ht="15" customHeight="1">
      <c r="A4" s="40" t="s">
        <v>64</v>
      </c>
      <c r="B4" s="41"/>
      <c r="C4" s="41"/>
      <c r="D4" s="42" t="str">
        <f>'4-22Master'!G5</f>
        <v>Burgeon IT Services Pvt.Ltd.</v>
      </c>
      <c r="E4" s="79" t="s">
        <v>79</v>
      </c>
      <c r="F4" s="80"/>
      <c r="G4" s="80"/>
      <c r="H4" s="80"/>
      <c r="I4" s="80"/>
      <c r="J4" s="80"/>
      <c r="K4" s="80"/>
      <c r="L4" s="80"/>
      <c r="M4" s="78"/>
    </row>
    <row r="5" spans="1:13">
      <c r="A5" s="43"/>
      <c r="B5" s="44" t="str">
        <f>'4-22Master'!G6</f>
        <v>Siri Mansion LIGB 436 Dr.A S Rao Nagar,Hyderabad</v>
      </c>
      <c r="C5" s="44"/>
      <c r="D5" s="45"/>
      <c r="E5" s="58" t="str">
        <f>'4-22Master'!AQ5</f>
        <v>Burgeon IT Services Pvt.Ltd.</v>
      </c>
      <c r="F5" s="77"/>
      <c r="G5" s="77"/>
      <c r="H5" s="77"/>
      <c r="I5" s="77"/>
      <c r="J5" s="77"/>
      <c r="K5" s="77"/>
      <c r="L5" s="77"/>
      <c r="M5" s="78"/>
    </row>
    <row r="6" spans="1:13">
      <c r="A6" s="46"/>
      <c r="B6" s="47">
        <f>'4-22Master'!G7</f>
        <v>0</v>
      </c>
      <c r="C6" s="47"/>
      <c r="D6" s="48"/>
      <c r="E6" s="45" t="str">
        <f>'4-22Master'!AQ6</f>
        <v>Siri Mansion LIGB 436 Dr.A S Rao Nagar,Hyderabad</v>
      </c>
      <c r="F6" s="47"/>
      <c r="G6" s="47"/>
      <c r="H6" s="47"/>
      <c r="I6" s="47"/>
      <c r="J6" s="47"/>
      <c r="K6" s="47"/>
      <c r="L6" s="47"/>
      <c r="M6" s="48"/>
    </row>
    <row r="7" spans="1:13">
      <c r="A7" s="49" t="s">
        <v>78</v>
      </c>
      <c r="B7" s="41"/>
      <c r="C7" s="41"/>
      <c r="D7" s="42" t="str">
        <f>'4-22Master'!G8</f>
        <v>IT SUPPORTIVE SERVICES&amp; PUNE STP</v>
      </c>
      <c r="E7" s="49" t="s">
        <v>65</v>
      </c>
      <c r="F7" s="41"/>
      <c r="G7" s="41"/>
      <c r="H7" s="41"/>
      <c r="I7" s="41"/>
      <c r="J7" s="41"/>
      <c r="K7" s="41"/>
      <c r="L7" s="41"/>
      <c r="M7" s="42"/>
    </row>
    <row r="8" spans="1:13">
      <c r="A8" s="43"/>
      <c r="B8" s="44"/>
      <c r="C8" s="44"/>
      <c r="D8" s="45"/>
      <c r="E8" s="50" t="str">
        <f>'4-22Master'!AQ10</f>
        <v>INFOSYS  LTD.IL Pune STP Unit,Plot No.1</v>
      </c>
      <c r="F8" s="44"/>
      <c r="G8" s="44"/>
      <c r="H8" s="44"/>
      <c r="I8" s="44"/>
      <c r="J8" s="44"/>
      <c r="K8" s="44"/>
      <c r="L8" s="44"/>
      <c r="M8" s="45"/>
    </row>
    <row r="9" spans="1:13">
      <c r="A9" s="43"/>
      <c r="B9" s="44"/>
      <c r="C9" s="44"/>
      <c r="D9" s="45"/>
      <c r="E9" s="43" t="str">
        <f>'4-22Master'!AQ11</f>
        <v>Rajiv gandhi Info tech park,Hinjawadi,Taluk Mulshi,Pune,Maharashtra 411057</v>
      </c>
      <c r="F9" s="44"/>
      <c r="G9" s="44"/>
      <c r="H9" s="44"/>
      <c r="I9" s="44"/>
      <c r="J9" s="44"/>
      <c r="K9" s="44"/>
      <c r="L9" s="44"/>
      <c r="M9" s="45"/>
    </row>
    <row r="10" spans="1:13">
      <c r="A10" s="46"/>
      <c r="B10" s="47"/>
      <c r="C10" s="47"/>
      <c r="D10" s="48"/>
      <c r="E10" s="46"/>
      <c r="F10" s="47"/>
      <c r="G10" s="47"/>
      <c r="H10" s="47"/>
      <c r="I10" s="47"/>
      <c r="J10" s="47"/>
      <c r="K10" s="47"/>
      <c r="L10" s="47"/>
      <c r="M10" s="48"/>
    </row>
    <row r="11" spans="1:13" ht="38.25">
      <c r="A11" s="846" t="s">
        <v>5</v>
      </c>
      <c r="B11" s="846" t="s">
        <v>66</v>
      </c>
      <c r="C11" s="51" t="s">
        <v>67</v>
      </c>
      <c r="D11" s="845" t="s">
        <v>68</v>
      </c>
      <c r="E11" s="845" t="s">
        <v>69</v>
      </c>
      <c r="F11" s="845" t="s">
        <v>70</v>
      </c>
      <c r="G11" s="845" t="s">
        <v>71</v>
      </c>
      <c r="H11" s="845" t="s">
        <v>72</v>
      </c>
      <c r="I11" s="845" t="s">
        <v>73</v>
      </c>
      <c r="J11" s="846" t="s">
        <v>74</v>
      </c>
      <c r="K11" s="846"/>
      <c r="L11" s="846"/>
      <c r="M11" s="52" t="s">
        <v>40</v>
      </c>
    </row>
    <row r="12" spans="1:13" ht="38.25">
      <c r="A12" s="846"/>
      <c r="B12" s="846"/>
      <c r="C12" s="53"/>
      <c r="D12" s="845"/>
      <c r="E12" s="845"/>
      <c r="F12" s="845"/>
      <c r="G12" s="845"/>
      <c r="H12" s="845"/>
      <c r="I12" s="845"/>
      <c r="J12" s="54" t="s">
        <v>75</v>
      </c>
      <c r="K12" s="54" t="s">
        <v>76</v>
      </c>
      <c r="L12" s="54" t="s">
        <v>77</v>
      </c>
      <c r="M12" s="55"/>
    </row>
    <row r="13" spans="1:13">
      <c r="A13" s="56">
        <v>1</v>
      </c>
      <c r="B13" s="56">
        <v>2</v>
      </c>
      <c r="C13" s="56">
        <v>3</v>
      </c>
      <c r="D13" s="56">
        <v>4</v>
      </c>
      <c r="E13" s="56">
        <v>5</v>
      </c>
      <c r="F13" s="56">
        <v>6</v>
      </c>
      <c r="G13" s="56">
        <v>7</v>
      </c>
      <c r="H13" s="56">
        <v>8</v>
      </c>
      <c r="I13" s="56">
        <v>9</v>
      </c>
      <c r="J13" s="56">
        <v>10</v>
      </c>
      <c r="K13" s="56">
        <v>11</v>
      </c>
      <c r="L13" s="56">
        <v>12</v>
      </c>
      <c r="M13" s="56">
        <v>13</v>
      </c>
    </row>
    <row r="14" spans="1:13">
      <c r="A14" s="57"/>
      <c r="B14" s="57"/>
      <c r="C14" s="57"/>
      <c r="D14" s="57"/>
      <c r="E14" s="57"/>
      <c r="F14" s="57"/>
      <c r="G14" s="57"/>
      <c r="H14" s="57"/>
      <c r="I14" s="57"/>
      <c r="J14" s="57"/>
      <c r="K14" s="57"/>
      <c r="L14" s="57"/>
      <c r="M14" s="57"/>
    </row>
    <row r="15" spans="1:13" ht="15.75" thickBot="1">
      <c r="A15" s="57"/>
      <c r="B15" s="60"/>
      <c r="C15" s="60"/>
      <c r="D15" s="60"/>
      <c r="E15" s="60"/>
      <c r="F15" s="60"/>
      <c r="G15" s="60"/>
      <c r="H15" s="60"/>
      <c r="I15" s="60"/>
      <c r="J15" s="60"/>
      <c r="K15" s="60"/>
      <c r="L15" s="60"/>
      <c r="M15" s="60"/>
    </row>
    <row r="16" spans="1:13" ht="15.75" thickBot="1">
      <c r="A16" s="59"/>
      <c r="B16" s="63" t="s">
        <v>394</v>
      </c>
      <c r="C16" s="64"/>
      <c r="D16" s="64"/>
      <c r="E16" s="64"/>
      <c r="F16" s="64"/>
      <c r="G16" s="65"/>
      <c r="H16" s="62">
        <f>'4-22Master'!E10</f>
        <v>44652</v>
      </c>
      <c r="I16" s="57"/>
      <c r="J16" s="57"/>
      <c r="K16" s="57"/>
      <c r="L16" s="57"/>
      <c r="M16" s="57"/>
    </row>
    <row r="17" spans="1:13">
      <c r="A17" s="57"/>
      <c r="B17" s="61"/>
      <c r="C17" s="61"/>
      <c r="D17" s="61"/>
      <c r="E17" s="61"/>
      <c r="F17" s="61"/>
      <c r="G17" s="61"/>
      <c r="H17" s="61"/>
      <c r="I17" s="61"/>
      <c r="J17" s="61"/>
      <c r="K17" s="61"/>
      <c r="L17" s="61"/>
      <c r="M17" s="61"/>
    </row>
    <row r="18" spans="1:13">
      <c r="A18" s="57"/>
      <c r="B18" s="57"/>
      <c r="C18" s="57"/>
      <c r="D18" s="57"/>
      <c r="E18" s="57"/>
      <c r="F18" s="57"/>
      <c r="G18" s="57"/>
      <c r="H18" s="57"/>
      <c r="I18" s="57"/>
      <c r="J18" s="57"/>
      <c r="K18" s="57"/>
      <c r="L18" s="57"/>
      <c r="M18" s="57"/>
    </row>
    <row r="19" spans="1:13">
      <c r="A19" s="57"/>
      <c r="B19" s="57"/>
      <c r="C19" s="57"/>
      <c r="D19" s="57"/>
      <c r="E19" s="57"/>
      <c r="F19" s="57"/>
      <c r="G19" s="57"/>
      <c r="H19" s="57"/>
      <c r="I19" s="57"/>
      <c r="J19" s="57"/>
      <c r="K19" s="57"/>
      <c r="L19" s="57"/>
      <c r="M19" s="57"/>
    </row>
    <row r="20" spans="1:13">
      <c r="A20" s="57"/>
      <c r="B20" s="483"/>
      <c r="C20" s="57"/>
      <c r="D20" s="57"/>
      <c r="E20" s="57"/>
      <c r="F20" s="57"/>
      <c r="G20" s="57"/>
      <c r="H20" s="57"/>
      <c r="I20" s="57"/>
      <c r="J20" s="57"/>
      <c r="K20" s="57"/>
      <c r="L20" s="57"/>
      <c r="M20" s="57"/>
    </row>
    <row r="21" spans="1:13">
      <c r="A21" s="482"/>
      <c r="B21" s="485"/>
      <c r="C21" s="57"/>
      <c r="D21" s="57"/>
      <c r="E21" s="57"/>
      <c r="F21" s="57"/>
      <c r="G21" s="57"/>
      <c r="H21" s="62"/>
      <c r="I21" s="57"/>
      <c r="J21" s="57"/>
      <c r="K21" s="57"/>
      <c r="L21" s="57"/>
      <c r="M21" s="57"/>
    </row>
    <row r="22" spans="1:13">
      <c r="A22" s="482"/>
      <c r="B22" s="485"/>
      <c r="C22" s="57"/>
      <c r="D22" s="57"/>
      <c r="E22" s="57"/>
      <c r="F22" s="57"/>
      <c r="G22" s="57"/>
      <c r="H22" s="57"/>
      <c r="I22" s="57"/>
      <c r="J22" s="57"/>
      <c r="K22" s="57"/>
      <c r="L22" s="57"/>
      <c r="M22" s="57"/>
    </row>
    <row r="23" spans="1:13">
      <c r="A23" s="482"/>
      <c r="B23" s="486"/>
      <c r="C23" s="57"/>
      <c r="D23" s="57"/>
      <c r="E23" s="57"/>
      <c r="F23" s="57"/>
      <c r="G23" s="57"/>
      <c r="H23" s="57"/>
      <c r="I23" s="57"/>
      <c r="J23" s="57"/>
      <c r="K23" s="57"/>
      <c r="L23" s="57"/>
      <c r="M23" s="57"/>
    </row>
    <row r="24" spans="1:13">
      <c r="A24" s="482"/>
      <c r="B24" s="486"/>
      <c r="C24" s="57"/>
      <c r="D24" s="57"/>
      <c r="E24" s="57"/>
      <c r="F24" s="57"/>
      <c r="G24" s="57"/>
      <c r="H24" s="57"/>
      <c r="I24" s="57"/>
      <c r="J24" s="57"/>
      <c r="K24" s="57"/>
      <c r="L24" s="57"/>
      <c r="M24" s="57"/>
    </row>
    <row r="25" spans="1:13">
      <c r="A25" s="482"/>
      <c r="B25" s="486"/>
      <c r="C25" s="57"/>
      <c r="D25" s="57"/>
      <c r="E25" s="57"/>
      <c r="F25" s="57"/>
      <c r="G25" s="57"/>
      <c r="H25" s="57"/>
      <c r="I25" s="57"/>
      <c r="J25" s="57"/>
      <c r="K25" s="57"/>
      <c r="L25" s="57"/>
      <c r="M25" s="57"/>
    </row>
    <row r="26" spans="1:13">
      <c r="A26" s="482"/>
      <c r="B26" s="485"/>
      <c r="C26" s="57"/>
      <c r="D26" s="57"/>
      <c r="E26" s="57"/>
      <c r="F26" s="57"/>
      <c r="G26" s="57"/>
      <c r="H26" s="62"/>
      <c r="I26" s="57"/>
      <c r="J26" s="57"/>
      <c r="K26" s="57"/>
      <c r="L26" s="57"/>
      <c r="M26" s="57"/>
    </row>
    <row r="27" spans="1:13">
      <c r="A27" s="57"/>
      <c r="B27" s="484"/>
      <c r="C27" s="57"/>
      <c r="D27" s="57"/>
      <c r="E27" s="57"/>
      <c r="F27" s="57"/>
      <c r="G27" s="57"/>
      <c r="H27" s="57"/>
      <c r="I27" s="57"/>
      <c r="J27" s="57"/>
      <c r="K27" s="57"/>
      <c r="L27" s="57"/>
      <c r="M27" s="57"/>
    </row>
    <row r="28" spans="1:13">
      <c r="A28" s="57"/>
      <c r="B28" s="57"/>
      <c r="C28" s="57"/>
      <c r="D28" s="57"/>
      <c r="E28" s="57"/>
      <c r="F28" s="57"/>
      <c r="G28" s="57"/>
      <c r="H28" s="57"/>
      <c r="I28" s="57"/>
      <c r="J28" s="57"/>
      <c r="K28" s="57"/>
      <c r="L28" s="57"/>
      <c r="M28" s="57"/>
    </row>
    <row r="29" spans="1:13">
      <c r="A29" s="57"/>
      <c r="B29" s="57"/>
      <c r="C29" s="57"/>
      <c r="D29" s="57"/>
      <c r="E29" s="57"/>
      <c r="F29" s="57"/>
      <c r="G29" s="57"/>
      <c r="H29" s="57"/>
      <c r="I29" s="57"/>
      <c r="J29" s="57"/>
      <c r="K29" s="57"/>
      <c r="L29" s="57"/>
      <c r="M29" s="57"/>
    </row>
    <row r="30" spans="1:13">
      <c r="A30" s="57"/>
      <c r="B30" s="57"/>
      <c r="C30" s="57"/>
      <c r="D30" s="57"/>
      <c r="E30" s="57"/>
      <c r="F30" s="57"/>
      <c r="G30" s="57"/>
      <c r="H30" s="57"/>
      <c r="I30" s="57"/>
      <c r="J30" s="57"/>
      <c r="K30" s="57"/>
      <c r="L30" s="57"/>
      <c r="M30" s="57"/>
    </row>
    <row r="36" spans="6:6">
      <c r="F36" t="s">
        <v>38</v>
      </c>
    </row>
  </sheetData>
  <protectedRanges>
    <protectedRange password="CA4D" sqref="E5 A1:D13 E1:M3 E6:M13" name="Range1"/>
  </protectedRanges>
  <mergeCells count="11">
    <mergeCell ref="H11:H12"/>
    <mergeCell ref="I11:I12"/>
    <mergeCell ref="J11:L11"/>
    <mergeCell ref="A1:M2"/>
    <mergeCell ref="A3:M3"/>
    <mergeCell ref="A11:A12"/>
    <mergeCell ref="B11:B12"/>
    <mergeCell ref="D11:D12"/>
    <mergeCell ref="E11:E12"/>
    <mergeCell ref="F11:F12"/>
    <mergeCell ref="G11:G12"/>
  </mergeCells>
  <pageMargins left="0.94488188976377963" right="0.70866141732283472" top="0.74803149606299213" bottom="0.74803149606299213" header="0.31496062992125984" footer="0.31496062992125984"/>
  <pageSetup scale="70" orientation="landscape" horizontalDpi="300" verticalDpi="3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35"/>
  <sheetViews>
    <sheetView topLeftCell="A7" workbookViewId="0">
      <selection activeCell="A3" sqref="A3:L3"/>
    </sheetView>
  </sheetViews>
  <sheetFormatPr defaultRowHeight="15"/>
  <cols>
    <col min="1" max="1" width="7" customWidth="1"/>
    <col min="4" max="4" width="47.85546875" customWidth="1"/>
    <col min="10" max="10" width="12.140625" customWidth="1"/>
    <col min="11" max="11" width="11.28515625" customWidth="1"/>
    <col min="12" max="12" width="14.5703125" customWidth="1"/>
  </cols>
  <sheetData>
    <row r="1" spans="1:12">
      <c r="A1" s="849" t="s">
        <v>486</v>
      </c>
      <c r="B1" s="849"/>
      <c r="C1" s="849"/>
      <c r="D1" s="849"/>
      <c r="E1" s="849"/>
      <c r="F1" s="849"/>
      <c r="G1" s="849"/>
      <c r="H1" s="849"/>
      <c r="I1" s="849"/>
      <c r="J1" s="849"/>
      <c r="K1" s="849"/>
      <c r="L1" s="849"/>
    </row>
    <row r="2" spans="1:12">
      <c r="A2" s="849"/>
      <c r="B2" s="849"/>
      <c r="C2" s="849"/>
      <c r="D2" s="849"/>
      <c r="E2" s="849"/>
      <c r="F2" s="849"/>
      <c r="G2" s="849"/>
      <c r="H2" s="849"/>
      <c r="I2" s="849"/>
      <c r="J2" s="849"/>
      <c r="K2" s="849"/>
      <c r="L2" s="849"/>
    </row>
    <row r="3" spans="1:12">
      <c r="A3" s="848" t="s">
        <v>487</v>
      </c>
      <c r="B3" s="848"/>
      <c r="C3" s="848"/>
      <c r="D3" s="848"/>
      <c r="E3" s="848"/>
      <c r="F3" s="848"/>
      <c r="G3" s="848"/>
      <c r="H3" s="848"/>
      <c r="I3" s="848"/>
      <c r="J3" s="848"/>
      <c r="K3" s="848"/>
      <c r="L3" s="848"/>
    </row>
    <row r="4" spans="1:12" ht="15" customHeight="1">
      <c r="A4" s="40" t="s">
        <v>393</v>
      </c>
      <c r="B4" s="41"/>
      <c r="C4" s="41"/>
      <c r="D4" s="42" t="str">
        <f>'4-22Master'!G5</f>
        <v>Burgeon IT Services Pvt.Ltd.</v>
      </c>
      <c r="E4" s="49" t="s">
        <v>79</v>
      </c>
      <c r="F4" s="41"/>
      <c r="G4" s="41"/>
      <c r="H4" s="41"/>
      <c r="I4" s="41"/>
      <c r="J4" s="41"/>
      <c r="K4" s="41"/>
      <c r="L4" s="73"/>
    </row>
    <row r="5" spans="1:12">
      <c r="A5" s="43"/>
      <c r="B5" s="44" t="str">
        <f>'4-22Master'!G6</f>
        <v>Siri Mansion LIGB 436 Dr.A S Rao Nagar,Hyderabad</v>
      </c>
      <c r="C5" s="44"/>
      <c r="D5" s="45"/>
      <c r="E5" s="58" t="str">
        <f>'4-22Master'!AQ5</f>
        <v>Burgeon IT Services Pvt.Ltd.</v>
      </c>
      <c r="F5" s="77"/>
      <c r="G5" s="77"/>
      <c r="H5" s="77"/>
      <c r="I5" s="77"/>
      <c r="J5" s="77"/>
      <c r="K5" s="77"/>
      <c r="L5" s="78"/>
    </row>
    <row r="6" spans="1:12">
      <c r="A6" s="46"/>
      <c r="B6" s="47">
        <f>'4-22Master'!G7</f>
        <v>0</v>
      </c>
      <c r="C6" s="47"/>
      <c r="D6" s="48"/>
      <c r="E6" s="76" t="str">
        <f>'4-22Master'!AQ6</f>
        <v>Siri Mansion LIGB 436 Dr.A S Rao Nagar,Hyderabad</v>
      </c>
      <c r="F6" s="47"/>
      <c r="G6" s="47"/>
      <c r="H6" s="47"/>
      <c r="I6" s="47"/>
      <c r="J6" s="47"/>
      <c r="K6" s="47"/>
      <c r="L6" s="48"/>
    </row>
    <row r="7" spans="1:12">
      <c r="A7" s="49" t="s">
        <v>78</v>
      </c>
      <c r="B7" s="41"/>
      <c r="C7" s="41"/>
      <c r="D7" s="42" t="str">
        <f>'4-22Master'!G8</f>
        <v>IT SUPPORTIVE SERVICES&amp; PUNE STP</v>
      </c>
      <c r="E7" s="49" t="s">
        <v>65</v>
      </c>
      <c r="F7" s="41"/>
      <c r="G7" s="41"/>
      <c r="H7" s="41"/>
      <c r="I7" s="41"/>
      <c r="J7" s="41"/>
      <c r="K7" s="41"/>
      <c r="L7" s="42"/>
    </row>
    <row r="8" spans="1:12">
      <c r="A8" s="43"/>
      <c r="B8" s="44"/>
      <c r="C8" s="44"/>
      <c r="D8" s="45"/>
      <c r="E8" s="50" t="str">
        <f>'4-22Master'!AQ10</f>
        <v>INFOSYS  LTD.IL Pune STP Unit,Plot No.1</v>
      </c>
      <c r="F8" s="44"/>
      <c r="G8" s="44"/>
      <c r="H8" s="44"/>
      <c r="I8" s="44"/>
      <c r="J8" s="44"/>
      <c r="K8" s="44"/>
      <c r="L8" s="45"/>
    </row>
    <row r="9" spans="1:12">
      <c r="A9" s="43"/>
      <c r="B9" s="44"/>
      <c r="C9" s="44"/>
      <c r="D9" s="45"/>
      <c r="E9" s="43" t="str">
        <f>'4-22Master'!AQ11</f>
        <v>Rajiv gandhi Info tech park,Hinjawadi,Taluk Mulshi,Pune,Maharashtra 411057</v>
      </c>
      <c r="F9" s="44"/>
      <c r="G9" s="44"/>
      <c r="H9" s="44"/>
      <c r="I9" s="44"/>
      <c r="J9" s="44"/>
      <c r="K9" s="44"/>
      <c r="L9" s="45"/>
    </row>
    <row r="10" spans="1:12" ht="15.75" thickBot="1">
      <c r="A10" s="43"/>
      <c r="B10" s="44"/>
      <c r="C10" s="44"/>
      <c r="D10" s="45"/>
      <c r="E10" s="43"/>
      <c r="F10" s="44"/>
      <c r="G10" s="44"/>
      <c r="H10" s="44"/>
      <c r="I10" s="44"/>
      <c r="J10" s="44"/>
      <c r="K10" s="44"/>
      <c r="L10" s="45"/>
    </row>
    <row r="11" spans="1:12" ht="51" customHeight="1">
      <c r="A11" s="850" t="s">
        <v>5</v>
      </c>
      <c r="B11" s="850" t="s">
        <v>66</v>
      </c>
      <c r="C11" s="68" t="s">
        <v>67</v>
      </c>
      <c r="D11" s="852" t="s">
        <v>68</v>
      </c>
      <c r="E11" s="852" t="s">
        <v>80</v>
      </c>
      <c r="F11" s="852" t="s">
        <v>81</v>
      </c>
      <c r="G11" s="852" t="s">
        <v>82</v>
      </c>
      <c r="H11" s="852" t="s">
        <v>72</v>
      </c>
      <c r="I11" s="852" t="s">
        <v>83</v>
      </c>
      <c r="J11" s="68" t="s">
        <v>84</v>
      </c>
      <c r="K11" s="850" t="s">
        <v>85</v>
      </c>
      <c r="L11" s="850" t="s">
        <v>40</v>
      </c>
    </row>
    <row r="12" spans="1:12" ht="15" customHeight="1" thickBot="1">
      <c r="A12" s="851"/>
      <c r="B12" s="851"/>
      <c r="C12" s="72"/>
      <c r="D12" s="853"/>
      <c r="E12" s="853"/>
      <c r="F12" s="853"/>
      <c r="G12" s="853"/>
      <c r="H12" s="853"/>
      <c r="I12" s="853"/>
      <c r="J12" s="67"/>
      <c r="K12" s="851"/>
      <c r="L12" s="851"/>
    </row>
    <row r="13" spans="1:12" ht="15" customHeight="1">
      <c r="A13" s="66">
        <v>1</v>
      </c>
      <c r="B13" s="66">
        <v>2</v>
      </c>
      <c r="C13" s="66">
        <v>3</v>
      </c>
      <c r="D13" s="66">
        <v>4</v>
      </c>
      <c r="E13" s="66">
        <v>5</v>
      </c>
      <c r="F13" s="66">
        <v>6</v>
      </c>
      <c r="G13" s="66">
        <v>7</v>
      </c>
      <c r="H13" s="66">
        <v>8</v>
      </c>
      <c r="I13" s="66">
        <v>9</v>
      </c>
      <c r="J13" s="69">
        <v>10</v>
      </c>
      <c r="K13" s="70">
        <v>11</v>
      </c>
      <c r="L13" s="71">
        <v>12</v>
      </c>
    </row>
    <row r="14" spans="1:12">
      <c r="A14" s="57"/>
      <c r="B14" s="57"/>
      <c r="C14" s="57"/>
      <c r="D14" s="57"/>
      <c r="E14" s="57"/>
      <c r="F14" s="57"/>
      <c r="G14" s="57"/>
      <c r="H14" s="57"/>
      <c r="I14" s="57"/>
      <c r="J14" s="57"/>
      <c r="K14" s="61"/>
      <c r="L14" s="57"/>
    </row>
    <row r="15" spans="1:12" ht="15.75" thickBot="1">
      <c r="A15" s="57"/>
      <c r="B15" s="60"/>
      <c r="C15" s="60"/>
      <c r="D15" s="60"/>
      <c r="E15" s="60"/>
      <c r="F15" s="60"/>
      <c r="G15" s="60"/>
      <c r="H15" s="60"/>
      <c r="I15" s="60"/>
      <c r="J15" s="60"/>
      <c r="K15" s="60"/>
      <c r="L15" s="60"/>
    </row>
    <row r="16" spans="1:12" ht="15.75" thickBot="1">
      <c r="A16" s="59"/>
      <c r="B16" s="855" t="s">
        <v>86</v>
      </c>
      <c r="C16" s="856"/>
      <c r="D16" s="856"/>
      <c r="E16" s="856"/>
      <c r="F16" s="856"/>
      <c r="G16" s="857"/>
      <c r="H16" s="62">
        <f>'4-22Master'!E10</f>
        <v>44652</v>
      </c>
      <c r="I16" s="57"/>
      <c r="J16" s="57"/>
      <c r="K16" s="57"/>
      <c r="L16" s="57"/>
    </row>
    <row r="17" spans="1:12">
      <c r="A17" s="57"/>
      <c r="B17" s="61"/>
      <c r="C17" s="61"/>
      <c r="D17" s="61"/>
      <c r="E17" s="61"/>
      <c r="F17" s="61"/>
      <c r="G17" s="61"/>
      <c r="H17" s="61"/>
      <c r="I17" s="61"/>
      <c r="J17" s="61"/>
      <c r="K17" s="61"/>
      <c r="L17" s="61"/>
    </row>
    <row r="18" spans="1:12">
      <c r="A18" s="57"/>
      <c r="B18" s="57"/>
      <c r="C18" s="57"/>
      <c r="D18" s="57"/>
      <c r="E18" s="57"/>
      <c r="F18" s="57"/>
      <c r="G18" s="57"/>
      <c r="H18" s="57"/>
      <c r="I18" s="57"/>
      <c r="J18" s="57"/>
      <c r="K18" s="57"/>
      <c r="L18" s="57"/>
    </row>
    <row r="19" spans="1:12">
      <c r="A19" s="57"/>
      <c r="B19" s="57"/>
      <c r="C19" s="57"/>
      <c r="D19" s="57"/>
      <c r="E19" s="57"/>
      <c r="F19" s="57"/>
      <c r="G19" s="57"/>
      <c r="H19" s="57"/>
      <c r="I19" s="57"/>
      <c r="J19" s="57"/>
      <c r="K19" s="57"/>
      <c r="L19" s="57"/>
    </row>
    <row r="20" spans="1:12">
      <c r="A20" s="57"/>
      <c r="B20" s="483"/>
      <c r="C20" s="487"/>
      <c r="D20" s="487"/>
      <c r="E20" s="487"/>
      <c r="F20" s="487"/>
      <c r="G20" s="487"/>
      <c r="H20" s="487"/>
      <c r="I20" s="57"/>
      <c r="J20" s="57"/>
      <c r="K20" s="57"/>
      <c r="L20" s="57"/>
    </row>
    <row r="21" spans="1:12">
      <c r="A21" s="482"/>
      <c r="B21" s="854"/>
      <c r="C21" s="854"/>
      <c r="D21" s="854"/>
      <c r="E21" s="854"/>
      <c r="F21" s="854"/>
      <c r="G21" s="854"/>
      <c r="H21" s="488"/>
      <c r="I21" s="57"/>
      <c r="J21" s="57"/>
      <c r="K21" s="57"/>
      <c r="L21" s="57"/>
    </row>
    <row r="22" spans="1:12">
      <c r="A22" s="482"/>
      <c r="B22" s="485"/>
      <c r="C22" s="486"/>
      <c r="D22" s="486"/>
      <c r="E22" s="486"/>
      <c r="F22" s="486"/>
      <c r="G22" s="486"/>
      <c r="H22" s="486"/>
      <c r="I22" s="57"/>
      <c r="J22" s="57"/>
      <c r="K22" s="57"/>
      <c r="L22" s="57"/>
    </row>
    <row r="23" spans="1:12">
      <c r="A23" s="482"/>
      <c r="B23" s="486"/>
      <c r="C23" s="486"/>
      <c r="D23" s="486"/>
      <c r="E23" s="486"/>
      <c r="F23" s="486"/>
      <c r="G23" s="486"/>
      <c r="H23" s="486"/>
      <c r="I23" s="57"/>
      <c r="J23" s="57"/>
      <c r="K23" s="57"/>
      <c r="L23" s="57"/>
    </row>
    <row r="24" spans="1:12">
      <c r="A24" s="482"/>
      <c r="B24" s="486"/>
      <c r="C24" s="486"/>
      <c r="D24" s="486"/>
      <c r="E24" s="486"/>
      <c r="F24" s="486"/>
      <c r="G24" s="486"/>
      <c r="H24" s="486"/>
      <c r="I24" s="57"/>
      <c r="J24" s="57"/>
      <c r="K24" s="57"/>
      <c r="L24" s="57"/>
    </row>
    <row r="25" spans="1:12">
      <c r="A25" s="482"/>
      <c r="B25" s="486"/>
      <c r="C25" s="486"/>
      <c r="D25" s="486"/>
      <c r="E25" s="486"/>
      <c r="F25" s="486"/>
      <c r="G25" s="486"/>
      <c r="H25" s="486"/>
      <c r="I25" s="57"/>
      <c r="J25" s="57"/>
      <c r="K25" s="57"/>
      <c r="L25" s="57"/>
    </row>
    <row r="26" spans="1:12">
      <c r="A26" s="482"/>
      <c r="B26" s="854"/>
      <c r="C26" s="854"/>
      <c r="D26" s="854"/>
      <c r="E26" s="854"/>
      <c r="F26" s="854"/>
      <c r="G26" s="854"/>
      <c r="H26" s="488"/>
      <c r="I26" s="57"/>
      <c r="J26" s="57"/>
      <c r="K26" s="57"/>
      <c r="L26" s="57"/>
    </row>
    <row r="27" spans="1:12">
      <c r="A27" s="482"/>
      <c r="B27" s="486"/>
      <c r="C27" s="486"/>
      <c r="D27" s="486"/>
      <c r="E27" s="486"/>
      <c r="F27" s="486"/>
      <c r="G27" s="486"/>
      <c r="H27" s="486"/>
      <c r="I27" s="57"/>
      <c r="J27" s="57"/>
      <c r="K27" s="57"/>
      <c r="L27" s="57"/>
    </row>
    <row r="28" spans="1:12">
      <c r="A28" s="57"/>
      <c r="B28" s="57"/>
      <c r="C28" s="57"/>
      <c r="D28" s="57"/>
      <c r="E28" s="57"/>
      <c r="F28" s="57"/>
      <c r="G28" s="57"/>
      <c r="H28" s="57"/>
      <c r="I28" s="57"/>
      <c r="J28" s="57"/>
      <c r="K28" s="57"/>
      <c r="L28" s="57"/>
    </row>
    <row r="29" spans="1:12">
      <c r="A29" s="57"/>
      <c r="B29" s="57"/>
      <c r="C29" s="57"/>
      <c r="D29" s="57"/>
      <c r="E29" s="57"/>
      <c r="F29" s="57"/>
      <c r="G29" s="57"/>
      <c r="H29" s="57"/>
      <c r="I29" s="57"/>
      <c r="J29" s="57"/>
      <c r="K29" s="57"/>
      <c r="L29" s="57"/>
    </row>
    <row r="30" spans="1:12">
      <c r="A30" s="480"/>
      <c r="B30" s="480"/>
      <c r="C30" s="480"/>
      <c r="D30" s="480"/>
      <c r="E30" s="480"/>
      <c r="F30" s="480"/>
      <c r="G30" s="480"/>
      <c r="H30" s="480"/>
      <c r="I30" s="480"/>
      <c r="J30" s="480"/>
      <c r="K30" s="480"/>
      <c r="L30" s="480"/>
    </row>
    <row r="31" spans="1:12">
      <c r="A31" s="480"/>
      <c r="B31" s="480"/>
      <c r="C31" s="480"/>
      <c r="D31" s="480"/>
      <c r="E31" s="480"/>
      <c r="F31" s="480"/>
      <c r="G31" s="480"/>
      <c r="H31" s="480"/>
      <c r="I31" s="480"/>
      <c r="J31" s="480"/>
      <c r="K31" s="480"/>
      <c r="L31" s="480"/>
    </row>
    <row r="32" spans="1:12">
      <c r="A32" s="480"/>
      <c r="B32" s="480"/>
      <c r="C32" s="480"/>
      <c r="D32" s="480"/>
      <c r="E32" s="480"/>
      <c r="F32" s="480"/>
      <c r="G32" s="480"/>
      <c r="H32" s="480"/>
      <c r="I32" s="480"/>
      <c r="J32" s="480"/>
      <c r="K32" s="480"/>
      <c r="L32" s="480"/>
    </row>
    <row r="33" spans="1:12">
      <c r="A33" s="480"/>
      <c r="B33" s="480"/>
      <c r="C33" s="480"/>
      <c r="D33" s="480"/>
      <c r="E33" s="480"/>
      <c r="F33" s="480"/>
      <c r="G33" s="480"/>
      <c r="H33" s="480"/>
      <c r="I33" s="480"/>
      <c r="J33" s="480"/>
      <c r="K33" s="480"/>
      <c r="L33" s="480"/>
    </row>
    <row r="35" spans="1:12">
      <c r="F35" t="s">
        <v>38</v>
      </c>
    </row>
  </sheetData>
  <protectedRanges>
    <protectedRange password="CA4D" sqref="E5 A1:D13 E6:L10 E1:L3 L11:L13 E13:J13" name="Range1"/>
  </protectedRanges>
  <mergeCells count="15">
    <mergeCell ref="B21:G21"/>
    <mergeCell ref="B26:G26"/>
    <mergeCell ref="B16:G16"/>
    <mergeCell ref="K11:K12"/>
    <mergeCell ref="L11:L12"/>
    <mergeCell ref="A1:L2"/>
    <mergeCell ref="A3:L3"/>
    <mergeCell ref="A11:A12"/>
    <mergeCell ref="B11:B12"/>
    <mergeCell ref="D11:D12"/>
    <mergeCell ref="E11:E12"/>
    <mergeCell ref="F11:F12"/>
    <mergeCell ref="G11:G12"/>
    <mergeCell ref="H11:H12"/>
    <mergeCell ref="I11:I12"/>
  </mergeCells>
  <pageMargins left="0.94488188976377963" right="0.70866141732283472" top="0.74803149606299213" bottom="0.74803149606299213" header="0.31496062992125984" footer="0.31496062992125984"/>
  <pageSetup scale="75" orientation="landscape" horizontalDpi="300" verticalDpi="3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41"/>
  <sheetViews>
    <sheetView workbookViewId="0">
      <selection activeCell="F17" sqref="F17"/>
    </sheetView>
  </sheetViews>
  <sheetFormatPr defaultRowHeight="15"/>
  <cols>
    <col min="3" max="3" width="9.85546875" customWidth="1"/>
    <col min="4" max="4" width="44.7109375" customWidth="1"/>
    <col min="10" max="10" width="26" customWidth="1"/>
    <col min="11" max="11" width="14.7109375" customWidth="1"/>
  </cols>
  <sheetData>
    <row r="1" spans="1:11">
      <c r="A1" s="847" t="s">
        <v>488</v>
      </c>
      <c r="B1" s="847"/>
      <c r="C1" s="847"/>
      <c r="D1" s="847"/>
      <c r="E1" s="847"/>
      <c r="F1" s="847"/>
      <c r="G1" s="847"/>
      <c r="H1" s="847"/>
      <c r="I1" s="847"/>
      <c r="J1" s="847"/>
      <c r="K1" s="847"/>
    </row>
    <row r="2" spans="1:11">
      <c r="A2" s="847"/>
      <c r="B2" s="847"/>
      <c r="C2" s="847"/>
      <c r="D2" s="847"/>
      <c r="E2" s="847"/>
      <c r="F2" s="847"/>
      <c r="G2" s="847"/>
      <c r="H2" s="847"/>
      <c r="I2" s="847"/>
      <c r="J2" s="847"/>
      <c r="K2" s="847"/>
    </row>
    <row r="3" spans="1:11">
      <c r="A3" s="848" t="s">
        <v>487</v>
      </c>
      <c r="B3" s="848"/>
      <c r="C3" s="848"/>
      <c r="D3" s="848"/>
      <c r="E3" s="862"/>
      <c r="F3" s="862"/>
      <c r="G3" s="862"/>
      <c r="H3" s="862"/>
      <c r="I3" s="862"/>
      <c r="J3" s="862"/>
      <c r="K3" s="862"/>
    </row>
    <row r="4" spans="1:11" ht="15" customHeight="1">
      <c r="A4" s="40" t="s">
        <v>392</v>
      </c>
      <c r="B4" s="41"/>
      <c r="C4" s="41"/>
      <c r="D4" s="42" t="str">
        <f>'4-22Master'!G5</f>
        <v>Burgeon IT Services Pvt.Ltd.</v>
      </c>
      <c r="E4" s="79" t="s">
        <v>79</v>
      </c>
      <c r="F4" s="80"/>
      <c r="G4" s="80"/>
      <c r="H4" s="80"/>
      <c r="I4" s="80"/>
      <c r="J4" s="80"/>
      <c r="K4" s="81"/>
    </row>
    <row r="5" spans="1:11">
      <c r="A5" s="43"/>
      <c r="B5" s="44" t="str">
        <f>'4-22Master'!G6</f>
        <v>Siri Mansion LIGB 436 Dr.A S Rao Nagar,Hyderabad</v>
      </c>
      <c r="C5" s="44"/>
      <c r="D5" s="45"/>
      <c r="E5" s="58" t="str">
        <f>'4-22Master'!AQ5</f>
        <v>Burgeon IT Services Pvt.Ltd.</v>
      </c>
      <c r="F5" s="77"/>
      <c r="G5" s="77"/>
      <c r="H5" s="77"/>
      <c r="I5" s="77"/>
      <c r="J5" s="77"/>
      <c r="K5" s="78"/>
    </row>
    <row r="6" spans="1:11">
      <c r="A6" s="46"/>
      <c r="B6" s="47">
        <f>'4-22Master'!G7</f>
        <v>0</v>
      </c>
      <c r="C6" s="47"/>
      <c r="D6" s="48"/>
      <c r="E6" s="58" t="str">
        <f>'4-22Master'!AQ6</f>
        <v>Siri Mansion LIGB 436 Dr.A S Rao Nagar,Hyderabad</v>
      </c>
      <c r="F6" s="80"/>
      <c r="G6" s="80"/>
      <c r="H6" s="80"/>
      <c r="I6" s="80"/>
      <c r="J6" s="80"/>
      <c r="K6" s="81"/>
    </row>
    <row r="7" spans="1:11">
      <c r="A7" s="49" t="s">
        <v>78</v>
      </c>
      <c r="B7" s="41"/>
      <c r="C7" s="41"/>
      <c r="D7" s="42" t="str">
        <f>'4-22Master'!G8</f>
        <v>IT SUPPORTIVE SERVICES&amp; PUNE STP</v>
      </c>
      <c r="E7" s="49" t="s">
        <v>65</v>
      </c>
      <c r="F7" s="41"/>
      <c r="G7" s="41"/>
      <c r="H7" s="41"/>
      <c r="I7" s="41"/>
      <c r="J7" s="41"/>
      <c r="K7" s="42"/>
    </row>
    <row r="8" spans="1:11">
      <c r="A8" s="43"/>
      <c r="B8" s="44"/>
      <c r="C8" s="44"/>
      <c r="D8" s="45"/>
      <c r="E8" s="50" t="str">
        <f>'4-22Master'!AQ10</f>
        <v>INFOSYS  LTD.IL Pune STP Unit,Plot No.1</v>
      </c>
      <c r="F8" s="44"/>
      <c r="G8" s="44"/>
      <c r="H8" s="44"/>
      <c r="I8" s="44"/>
      <c r="J8" s="44"/>
      <c r="K8" s="45"/>
    </row>
    <row r="9" spans="1:11">
      <c r="A9" s="43"/>
      <c r="B9" s="44"/>
      <c r="C9" s="44"/>
      <c r="D9" s="45"/>
      <c r="E9" s="43" t="str">
        <f>'4-22Master'!AQ11</f>
        <v>Rajiv gandhi Info tech park,Hinjawadi,Taluk Mulshi,Pune,Maharashtra 411057</v>
      </c>
      <c r="F9" s="44"/>
      <c r="G9" s="44"/>
      <c r="H9" s="44"/>
      <c r="I9" s="44"/>
      <c r="J9" s="44"/>
      <c r="K9" s="45"/>
    </row>
    <row r="10" spans="1:11">
      <c r="A10" s="43"/>
      <c r="B10" s="44"/>
      <c r="C10" s="44"/>
      <c r="D10" s="45"/>
      <c r="E10" s="46"/>
      <c r="F10" s="47"/>
      <c r="G10" s="47"/>
      <c r="H10" s="47"/>
      <c r="I10" s="47"/>
      <c r="J10" s="47"/>
      <c r="K10" s="48"/>
    </row>
    <row r="11" spans="1:11">
      <c r="A11" s="846" t="s">
        <v>5</v>
      </c>
      <c r="B11" s="846" t="s">
        <v>66</v>
      </c>
      <c r="C11" s="846" t="s">
        <v>67</v>
      </c>
      <c r="D11" s="845" t="s">
        <v>68</v>
      </c>
      <c r="E11" s="863" t="s">
        <v>87</v>
      </c>
      <c r="F11" s="863" t="s">
        <v>88</v>
      </c>
      <c r="G11" s="863" t="s">
        <v>89</v>
      </c>
      <c r="H11" s="863" t="s">
        <v>90</v>
      </c>
      <c r="I11" s="863" t="s">
        <v>91</v>
      </c>
      <c r="J11" s="864" t="s">
        <v>92</v>
      </c>
      <c r="K11" s="865" t="s">
        <v>40</v>
      </c>
    </row>
    <row r="12" spans="1:11" ht="65.25" customHeight="1">
      <c r="A12" s="846"/>
      <c r="B12" s="846"/>
      <c r="C12" s="846"/>
      <c r="D12" s="845"/>
      <c r="E12" s="845"/>
      <c r="F12" s="845"/>
      <c r="G12" s="845"/>
      <c r="H12" s="845"/>
      <c r="I12" s="845"/>
      <c r="J12" s="846"/>
      <c r="K12" s="864"/>
    </row>
    <row r="13" spans="1:11">
      <c r="A13" s="56">
        <v>1</v>
      </c>
      <c r="B13" s="56">
        <v>2</v>
      </c>
      <c r="C13" s="56">
        <v>3</v>
      </c>
      <c r="D13" s="56">
        <v>4</v>
      </c>
      <c r="E13" s="56">
        <v>5</v>
      </c>
      <c r="F13" s="56">
        <v>6</v>
      </c>
      <c r="G13" s="56">
        <v>7</v>
      </c>
      <c r="H13" s="56">
        <v>8</v>
      </c>
      <c r="I13" s="56">
        <v>9</v>
      </c>
      <c r="J13" s="56">
        <v>10</v>
      </c>
      <c r="K13" s="56">
        <v>11</v>
      </c>
    </row>
    <row r="14" spans="1:11">
      <c r="A14" s="58"/>
      <c r="B14" s="58"/>
      <c r="C14" s="58"/>
      <c r="D14" s="58"/>
      <c r="E14" s="58"/>
      <c r="F14" s="58"/>
      <c r="G14" s="58"/>
      <c r="H14" s="58"/>
      <c r="I14" s="58"/>
      <c r="J14" s="58"/>
      <c r="K14" s="58"/>
    </row>
    <row r="15" spans="1:11">
      <c r="A15" s="58"/>
      <c r="B15" s="74"/>
      <c r="C15" s="74"/>
      <c r="D15" s="74"/>
      <c r="E15" s="74"/>
      <c r="F15" s="58"/>
      <c r="G15" s="58"/>
      <c r="H15" s="58"/>
      <c r="I15" s="58"/>
      <c r="J15" s="58"/>
      <c r="K15" s="58"/>
    </row>
    <row r="16" spans="1:11">
      <c r="A16" s="79"/>
      <c r="B16" s="859" t="s">
        <v>93</v>
      </c>
      <c r="C16" s="860"/>
      <c r="D16" s="860"/>
      <c r="E16" s="861"/>
      <c r="F16" s="62">
        <f>'4-22Master'!E10</f>
        <v>44652</v>
      </c>
      <c r="G16" s="58"/>
      <c r="H16" s="58"/>
      <c r="I16" s="58"/>
      <c r="J16" s="58"/>
      <c r="K16" s="58"/>
    </row>
    <row r="17" spans="1:11">
      <c r="A17" s="58"/>
      <c r="B17" s="76"/>
      <c r="C17" s="76"/>
      <c r="D17" s="76"/>
      <c r="E17" s="76"/>
      <c r="F17" s="61"/>
      <c r="G17" s="58"/>
      <c r="H17" s="58"/>
      <c r="I17" s="58"/>
      <c r="J17" s="58"/>
      <c r="K17" s="58"/>
    </row>
    <row r="18" spans="1:11">
      <c r="A18" s="82"/>
      <c r="B18" s="58"/>
      <c r="C18" s="58"/>
      <c r="D18" s="58"/>
      <c r="E18" s="58"/>
      <c r="F18" s="57"/>
      <c r="G18" s="58"/>
      <c r="H18" s="58"/>
      <c r="I18" s="58"/>
      <c r="J18" s="58"/>
      <c r="K18" s="58"/>
    </row>
    <row r="19" spans="1:11">
      <c r="A19" s="58"/>
      <c r="B19" s="58"/>
      <c r="C19" s="58"/>
      <c r="D19" s="58"/>
      <c r="E19" s="58"/>
      <c r="F19" s="57"/>
      <c r="G19" s="58"/>
      <c r="H19" s="58"/>
      <c r="I19" s="58"/>
      <c r="J19" s="58"/>
      <c r="K19" s="58"/>
    </row>
    <row r="20" spans="1:11">
      <c r="A20" s="58"/>
      <c r="B20" s="58"/>
      <c r="C20" s="58"/>
      <c r="D20" s="58"/>
      <c r="E20" s="58"/>
      <c r="F20" s="57"/>
      <c r="G20" s="58"/>
      <c r="H20" s="58"/>
      <c r="I20" s="58"/>
      <c r="J20" s="58"/>
      <c r="K20" s="58"/>
    </row>
    <row r="21" spans="1:11">
      <c r="A21" s="58"/>
      <c r="B21" s="858"/>
      <c r="C21" s="858"/>
      <c r="D21" s="858"/>
      <c r="E21" s="858"/>
      <c r="F21" s="488"/>
      <c r="G21" s="58"/>
      <c r="H21" s="58"/>
      <c r="I21" s="58"/>
      <c r="J21" s="58"/>
      <c r="K21" s="58"/>
    </row>
    <row r="22" spans="1:11">
      <c r="A22" s="58"/>
      <c r="B22" s="485"/>
      <c r="C22" s="485"/>
      <c r="D22" s="485"/>
      <c r="E22" s="485"/>
      <c r="F22" s="486"/>
      <c r="G22" s="58"/>
      <c r="H22" s="58"/>
      <c r="I22" s="58"/>
      <c r="J22" s="58"/>
      <c r="K22" s="58"/>
    </row>
    <row r="23" spans="1:11">
      <c r="A23" s="58"/>
      <c r="B23" s="485"/>
      <c r="C23" s="485"/>
      <c r="D23" s="485"/>
      <c r="E23" s="485"/>
      <c r="F23" s="486"/>
      <c r="G23" s="58"/>
      <c r="H23" s="58"/>
      <c r="I23" s="58"/>
      <c r="J23" s="58"/>
      <c r="K23" s="58"/>
    </row>
    <row r="24" spans="1:11">
      <c r="A24" s="58"/>
      <c r="B24" s="485"/>
      <c r="C24" s="485"/>
      <c r="D24" s="485"/>
      <c r="E24" s="485"/>
      <c r="F24" s="486"/>
      <c r="G24" s="58"/>
      <c r="H24" s="58"/>
      <c r="I24" s="58"/>
      <c r="J24" s="58"/>
      <c r="K24" s="58"/>
    </row>
    <row r="25" spans="1:11">
      <c r="A25" s="58"/>
      <c r="B25" s="485"/>
      <c r="C25" s="485"/>
      <c r="D25" s="485"/>
      <c r="E25" s="485"/>
      <c r="F25" s="486"/>
      <c r="G25" s="58"/>
      <c r="H25" s="58"/>
      <c r="I25" s="58"/>
      <c r="J25" s="58"/>
      <c r="K25" s="58"/>
    </row>
    <row r="26" spans="1:11">
      <c r="A26" s="58"/>
      <c r="B26" s="858"/>
      <c r="C26" s="858"/>
      <c r="D26" s="858"/>
      <c r="E26" s="858"/>
      <c r="F26" s="488"/>
      <c r="G26" s="58"/>
      <c r="H26" s="58"/>
      <c r="I26" s="58"/>
      <c r="J26" s="58"/>
      <c r="K26" s="58"/>
    </row>
    <row r="27" spans="1:11">
      <c r="A27" s="58"/>
      <c r="B27" s="485"/>
      <c r="C27" s="485"/>
      <c r="D27" s="485"/>
      <c r="E27" s="485"/>
      <c r="F27" s="485"/>
      <c r="G27" s="58"/>
      <c r="H27" s="58"/>
      <c r="I27" s="58"/>
      <c r="J27" s="58"/>
      <c r="K27" s="58"/>
    </row>
    <row r="28" spans="1:11">
      <c r="A28" s="58"/>
      <c r="B28" s="485"/>
      <c r="C28" s="485"/>
      <c r="D28" s="485"/>
      <c r="E28" s="485"/>
      <c r="F28" s="485"/>
      <c r="G28" s="58"/>
      <c r="H28" s="58"/>
      <c r="I28" s="58"/>
      <c r="J28" s="58"/>
      <c r="K28" s="58"/>
    </row>
    <row r="29" spans="1:11">
      <c r="A29" s="58"/>
      <c r="B29" s="485"/>
      <c r="C29" s="485"/>
      <c r="D29" s="485"/>
      <c r="E29" s="485"/>
      <c r="F29" s="485"/>
      <c r="G29" s="58"/>
      <c r="H29" s="58"/>
      <c r="I29" s="58"/>
      <c r="J29" s="58"/>
      <c r="K29" s="58"/>
    </row>
    <row r="30" spans="1:11">
      <c r="A30" s="58"/>
      <c r="B30" s="58"/>
      <c r="C30" s="58"/>
      <c r="D30" s="58"/>
      <c r="E30" s="58"/>
      <c r="F30" s="58"/>
      <c r="G30" s="58"/>
      <c r="H30" s="58"/>
      <c r="I30" s="58"/>
      <c r="J30" s="58"/>
      <c r="K30" s="58"/>
    </row>
    <row r="31" spans="1:11">
      <c r="A31" s="58"/>
      <c r="B31" s="58"/>
      <c r="C31" s="58"/>
      <c r="D31" s="58"/>
      <c r="E31" s="58"/>
      <c r="F31" s="58"/>
      <c r="G31" s="58"/>
      <c r="H31" s="58"/>
      <c r="I31" s="58"/>
      <c r="J31" s="58"/>
      <c r="K31" s="58"/>
    </row>
    <row r="32" spans="1:11">
      <c r="A32" s="58"/>
      <c r="B32" s="58"/>
      <c r="C32" s="58"/>
      <c r="D32" s="58"/>
      <c r="E32" s="58"/>
      <c r="F32" s="58"/>
      <c r="G32" s="58"/>
      <c r="H32" s="58"/>
      <c r="I32" s="58"/>
      <c r="J32" s="58"/>
      <c r="K32" s="58"/>
    </row>
    <row r="33" spans="1:11">
      <c r="A33" s="58"/>
      <c r="B33" s="58"/>
      <c r="C33" s="58"/>
      <c r="D33" s="58"/>
      <c r="E33" s="58"/>
      <c r="F33" s="58"/>
      <c r="G33" s="58"/>
      <c r="H33" s="58"/>
      <c r="I33" s="58"/>
      <c r="J33" s="58"/>
      <c r="K33" s="58"/>
    </row>
    <row r="34" spans="1:11">
      <c r="A34" s="58"/>
      <c r="B34" s="58"/>
      <c r="C34" s="58"/>
      <c r="D34" s="58"/>
      <c r="E34" s="58"/>
      <c r="F34" s="58"/>
      <c r="G34" s="58"/>
      <c r="H34" s="58"/>
      <c r="I34" s="58"/>
      <c r="J34" s="58"/>
      <c r="K34" s="58"/>
    </row>
    <row r="35" spans="1:11">
      <c r="A35" s="58"/>
      <c r="B35" s="58"/>
      <c r="C35" s="58"/>
      <c r="D35" s="58"/>
      <c r="E35" s="58"/>
      <c r="F35" s="58"/>
      <c r="G35" s="58"/>
      <c r="H35" s="58"/>
      <c r="I35" s="58"/>
      <c r="J35" s="58"/>
      <c r="K35" s="58"/>
    </row>
    <row r="36" spans="1:11">
      <c r="A36" s="478"/>
      <c r="B36" s="478"/>
      <c r="C36" s="478"/>
      <c r="D36" s="478"/>
      <c r="E36" s="478"/>
      <c r="F36" s="478"/>
      <c r="G36" s="478"/>
      <c r="H36" s="478"/>
      <c r="I36" s="478"/>
      <c r="J36" s="478"/>
      <c r="K36" s="478"/>
    </row>
    <row r="37" spans="1:11">
      <c r="A37" s="478"/>
      <c r="B37" s="478"/>
      <c r="C37" s="478"/>
      <c r="D37" s="478"/>
      <c r="E37" s="478"/>
      <c r="F37" s="478"/>
      <c r="G37" s="478"/>
      <c r="H37" s="478"/>
      <c r="I37" s="478"/>
      <c r="J37" s="478"/>
      <c r="K37" s="478"/>
    </row>
    <row r="38" spans="1:11">
      <c r="A38" s="478"/>
      <c r="B38" s="478"/>
      <c r="C38" s="478"/>
      <c r="D38" s="478"/>
      <c r="E38" s="478"/>
      <c r="F38" s="478"/>
      <c r="G38" s="478"/>
      <c r="H38" s="478"/>
      <c r="I38" s="478"/>
      <c r="J38" s="478"/>
      <c r="K38" s="478"/>
    </row>
    <row r="39" spans="1:11">
      <c r="A39" s="478"/>
      <c r="B39" s="478"/>
      <c r="C39" s="478"/>
      <c r="D39" s="478"/>
      <c r="E39" s="478"/>
      <c r="F39" s="478"/>
      <c r="G39" s="478"/>
      <c r="H39" s="478"/>
      <c r="I39" s="478"/>
      <c r="J39" s="478"/>
      <c r="K39" s="478"/>
    </row>
    <row r="40" spans="1:11">
      <c r="A40" s="478"/>
      <c r="B40" s="478"/>
      <c r="C40" s="478"/>
      <c r="D40" s="478"/>
      <c r="E40" s="478"/>
      <c r="F40" s="478"/>
      <c r="G40" s="478"/>
      <c r="H40" s="478"/>
      <c r="I40" s="478"/>
      <c r="J40" s="478"/>
      <c r="K40" s="478"/>
    </row>
    <row r="41" spans="1:11">
      <c r="G41" t="s">
        <v>38</v>
      </c>
    </row>
  </sheetData>
  <protectedRanges>
    <protectedRange password="CA4D" sqref="A1:K3 A11:K13" name="Range1"/>
    <protectedRange password="CA4D" sqref="E5 A4:D10 E6:K10" name="Range1_5"/>
  </protectedRanges>
  <mergeCells count="16">
    <mergeCell ref="B21:E21"/>
    <mergeCell ref="B26:E26"/>
    <mergeCell ref="B16:E16"/>
    <mergeCell ref="A1:K2"/>
    <mergeCell ref="A3:K3"/>
    <mergeCell ref="A11:A12"/>
    <mergeCell ref="B11:B12"/>
    <mergeCell ref="C11:C12"/>
    <mergeCell ref="D11:D12"/>
    <mergeCell ref="E11:E12"/>
    <mergeCell ref="F11:F12"/>
    <mergeCell ref="G11:G12"/>
    <mergeCell ref="H11:H12"/>
    <mergeCell ref="I11:I12"/>
    <mergeCell ref="J11:J12"/>
    <mergeCell ref="K11:K12"/>
  </mergeCells>
  <pageMargins left="1.0236220472440944" right="0.70866141732283472" top="0.74803149606299213" bottom="0.74803149606299213" header="0.35433070866141736" footer="0.31496062992125984"/>
  <pageSetup scale="70" orientation="landscape" horizontalDpi="300" verticalDpi="3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40"/>
  <sheetViews>
    <sheetView workbookViewId="0">
      <selection activeCell="F17" sqref="F17"/>
    </sheetView>
  </sheetViews>
  <sheetFormatPr defaultRowHeight="15"/>
  <cols>
    <col min="5" max="5" width="33.85546875" customWidth="1"/>
    <col min="12" max="12" width="10.42578125" customWidth="1"/>
  </cols>
  <sheetData>
    <row r="1" spans="1:12">
      <c r="A1" s="847" t="s">
        <v>489</v>
      </c>
      <c r="B1" s="847"/>
      <c r="C1" s="847"/>
      <c r="D1" s="847"/>
      <c r="E1" s="847"/>
      <c r="F1" s="847"/>
      <c r="G1" s="847"/>
      <c r="H1" s="847"/>
      <c r="I1" s="847"/>
      <c r="J1" s="847"/>
      <c r="K1" s="847"/>
      <c r="L1" s="847"/>
    </row>
    <row r="2" spans="1:12">
      <c r="A2" s="847"/>
      <c r="B2" s="847"/>
      <c r="C2" s="847"/>
      <c r="D2" s="847"/>
      <c r="E2" s="847"/>
      <c r="F2" s="847"/>
      <c r="G2" s="847"/>
      <c r="H2" s="847"/>
      <c r="I2" s="847"/>
      <c r="J2" s="847"/>
      <c r="K2" s="847"/>
      <c r="L2" s="847"/>
    </row>
    <row r="3" spans="1:12">
      <c r="A3" s="848" t="s">
        <v>487</v>
      </c>
      <c r="B3" s="848"/>
      <c r="C3" s="848"/>
      <c r="D3" s="848"/>
      <c r="E3" s="848"/>
      <c r="F3" s="848"/>
      <c r="G3" s="848"/>
      <c r="H3" s="848"/>
      <c r="I3" s="848"/>
      <c r="J3" s="848"/>
      <c r="K3" s="848"/>
      <c r="L3" s="848"/>
    </row>
    <row r="4" spans="1:12" ht="15" customHeight="1">
      <c r="A4" s="49" t="s">
        <v>94</v>
      </c>
      <c r="B4" s="41"/>
      <c r="C4" s="41"/>
      <c r="D4" s="41" t="str">
        <f>'4-22Master'!G5</f>
        <v>Burgeon IT Services Pvt.Ltd.</v>
      </c>
      <c r="E4" s="42"/>
      <c r="F4" s="49" t="s">
        <v>102</v>
      </c>
      <c r="G4" s="41"/>
      <c r="H4" s="41"/>
      <c r="I4" s="41"/>
      <c r="J4" s="41"/>
      <c r="K4" s="41"/>
      <c r="L4" s="42"/>
    </row>
    <row r="5" spans="1:12">
      <c r="A5" s="43"/>
      <c r="B5" s="44" t="str">
        <f>'4-22Master'!G6</f>
        <v>Siri Mansion LIGB 436 Dr.A S Rao Nagar,Hyderabad</v>
      </c>
      <c r="C5" s="44"/>
      <c r="D5" s="44"/>
      <c r="E5" s="45"/>
      <c r="F5" s="43" t="str">
        <f>'4-22Master'!AQ5</f>
        <v>Burgeon IT Services Pvt.Ltd.</v>
      </c>
      <c r="G5" s="44"/>
      <c r="H5" s="44"/>
      <c r="I5" s="44"/>
      <c r="J5" s="44"/>
      <c r="K5" s="44"/>
      <c r="L5" s="45"/>
    </row>
    <row r="6" spans="1:12">
      <c r="A6" s="46"/>
      <c r="B6" s="47">
        <f>'4-22Master'!G7</f>
        <v>0</v>
      </c>
      <c r="C6" s="47"/>
      <c r="D6" s="47"/>
      <c r="E6" s="48"/>
      <c r="F6" s="46" t="str">
        <f>'4-22Master'!AQ6</f>
        <v>Siri Mansion LIGB 436 Dr.A S Rao Nagar,Hyderabad</v>
      </c>
      <c r="G6" s="47"/>
      <c r="H6" s="47"/>
      <c r="I6" s="47"/>
      <c r="J6" s="47"/>
      <c r="K6" s="47"/>
      <c r="L6" s="48"/>
    </row>
    <row r="7" spans="1:12">
      <c r="A7" s="49" t="s">
        <v>78</v>
      </c>
      <c r="B7" s="41"/>
      <c r="C7" s="41"/>
      <c r="D7" s="41" t="str">
        <f>'4-22Master'!G8</f>
        <v>IT SUPPORTIVE SERVICES&amp; PUNE STP</v>
      </c>
      <c r="E7" s="42"/>
      <c r="F7" s="49" t="s">
        <v>65</v>
      </c>
      <c r="G7" s="41"/>
      <c r="H7" s="41"/>
      <c r="I7" s="41"/>
      <c r="J7" s="41"/>
      <c r="K7" s="41"/>
      <c r="L7" s="42"/>
    </row>
    <row r="8" spans="1:12">
      <c r="A8" s="43"/>
      <c r="B8" s="44"/>
      <c r="C8" s="44"/>
      <c r="D8" s="44"/>
      <c r="E8" s="45"/>
      <c r="F8" s="50" t="str">
        <f>'4-22Master'!AQ10</f>
        <v>INFOSYS  LTD.IL Pune STP Unit,Plot No.1</v>
      </c>
      <c r="G8" s="44"/>
      <c r="H8" s="44"/>
      <c r="I8" s="44"/>
      <c r="J8" s="44"/>
      <c r="K8" s="44"/>
      <c r="L8" s="45"/>
    </row>
    <row r="9" spans="1:12">
      <c r="A9" s="43"/>
      <c r="B9" s="44"/>
      <c r="C9" s="44"/>
      <c r="D9" s="44"/>
      <c r="E9" s="45"/>
      <c r="F9" s="43" t="str">
        <f>'4-22Master'!AQ11</f>
        <v>Rajiv gandhi Info tech park,Hinjawadi,Taluk Mulshi,Pune,Maharashtra 411057</v>
      </c>
      <c r="G9" s="44"/>
      <c r="H9" s="44"/>
      <c r="I9" s="44"/>
      <c r="J9" s="44"/>
      <c r="K9" s="44"/>
      <c r="L9" s="45"/>
    </row>
    <row r="10" spans="1:12">
      <c r="A10" s="46"/>
      <c r="B10" s="47"/>
      <c r="C10" s="47"/>
      <c r="D10" s="47"/>
      <c r="E10" s="48"/>
      <c r="F10" s="46"/>
      <c r="G10" s="47"/>
      <c r="H10" s="47"/>
      <c r="I10" s="47"/>
      <c r="J10" s="47"/>
      <c r="K10" s="47"/>
      <c r="L10" s="48"/>
    </row>
    <row r="11" spans="1:12">
      <c r="A11" s="846" t="s">
        <v>5</v>
      </c>
      <c r="B11" s="846" t="s">
        <v>66</v>
      </c>
      <c r="C11" s="869" t="s">
        <v>67</v>
      </c>
      <c r="D11" s="51" t="s">
        <v>39</v>
      </c>
      <c r="E11" s="870" t="s">
        <v>68</v>
      </c>
      <c r="F11" s="845" t="s">
        <v>95</v>
      </c>
      <c r="G11" s="845" t="s">
        <v>96</v>
      </c>
      <c r="H11" s="845" t="s">
        <v>97</v>
      </c>
      <c r="I11" s="845" t="s">
        <v>98</v>
      </c>
      <c r="J11" s="845" t="s">
        <v>99</v>
      </c>
      <c r="K11" s="846" t="s">
        <v>100</v>
      </c>
      <c r="L11" s="871" t="s">
        <v>40</v>
      </c>
    </row>
    <row r="12" spans="1:12">
      <c r="A12" s="846"/>
      <c r="B12" s="846"/>
      <c r="C12" s="869"/>
      <c r="D12" s="83"/>
      <c r="E12" s="870"/>
      <c r="F12" s="845"/>
      <c r="G12" s="845"/>
      <c r="H12" s="845"/>
      <c r="I12" s="845"/>
      <c r="J12" s="845"/>
      <c r="K12" s="846"/>
      <c r="L12" s="864"/>
    </row>
    <row r="13" spans="1:12">
      <c r="A13" s="56">
        <v>1</v>
      </c>
      <c r="B13" s="56">
        <v>2</v>
      </c>
      <c r="C13" s="56">
        <v>3</v>
      </c>
      <c r="D13" s="66">
        <v>4</v>
      </c>
      <c r="E13" s="56">
        <v>5</v>
      </c>
      <c r="F13" s="56">
        <v>6</v>
      </c>
      <c r="G13" s="56">
        <v>7</v>
      </c>
      <c r="H13" s="56">
        <v>8</v>
      </c>
      <c r="I13" s="56">
        <v>9</v>
      </c>
      <c r="J13" s="56">
        <v>10</v>
      </c>
      <c r="K13" s="56">
        <v>11</v>
      </c>
      <c r="L13" s="56">
        <v>12</v>
      </c>
    </row>
    <row r="14" spans="1:12">
      <c r="A14" s="58"/>
      <c r="B14" s="58"/>
      <c r="C14" s="58"/>
      <c r="D14" s="58"/>
      <c r="E14" s="58"/>
      <c r="F14" s="58"/>
      <c r="G14" s="58"/>
      <c r="H14" s="58"/>
      <c r="I14" s="58"/>
      <c r="J14" s="58"/>
      <c r="K14" s="58"/>
      <c r="L14" s="58"/>
    </row>
    <row r="15" spans="1:12">
      <c r="A15" s="58"/>
      <c r="B15" s="74"/>
      <c r="C15" s="74"/>
      <c r="D15" s="74"/>
      <c r="E15" s="74"/>
      <c r="F15" s="58"/>
      <c r="G15" s="58"/>
      <c r="H15" s="58"/>
      <c r="I15" s="58"/>
      <c r="J15" s="58"/>
      <c r="K15" s="58"/>
      <c r="L15" s="58"/>
    </row>
    <row r="16" spans="1:12">
      <c r="A16" s="79"/>
      <c r="B16" s="866" t="s">
        <v>101</v>
      </c>
      <c r="C16" s="867"/>
      <c r="D16" s="867"/>
      <c r="E16" s="868"/>
      <c r="F16" s="62">
        <f>'4-22Master'!E10</f>
        <v>44652</v>
      </c>
      <c r="G16" s="58"/>
      <c r="H16" s="58"/>
      <c r="I16" s="58"/>
      <c r="J16" s="58"/>
      <c r="K16" s="58"/>
      <c r="L16" s="58"/>
    </row>
    <row r="17" spans="1:12">
      <c r="A17" s="58"/>
      <c r="B17" s="76"/>
      <c r="C17" s="76"/>
      <c r="D17" s="76"/>
      <c r="E17" s="76"/>
      <c r="F17" s="61"/>
      <c r="G17" s="58"/>
      <c r="H17" s="58"/>
      <c r="I17" s="58"/>
      <c r="J17" s="58"/>
      <c r="K17" s="58"/>
      <c r="L17" s="58"/>
    </row>
    <row r="18" spans="1:12">
      <c r="A18" s="58"/>
      <c r="B18" s="58"/>
      <c r="C18" s="58"/>
      <c r="D18" s="58"/>
      <c r="E18" s="58"/>
      <c r="F18" s="57"/>
      <c r="G18" s="58"/>
      <c r="H18" s="58"/>
      <c r="I18" s="58"/>
      <c r="J18" s="58"/>
      <c r="K18" s="58"/>
      <c r="L18" s="58"/>
    </row>
    <row r="19" spans="1:12">
      <c r="A19" s="58"/>
      <c r="B19" s="58"/>
      <c r="C19" s="58"/>
      <c r="D19" s="58"/>
      <c r="E19" s="58"/>
      <c r="F19" s="57"/>
      <c r="G19" s="58"/>
      <c r="H19" s="58"/>
      <c r="I19" s="58"/>
      <c r="J19" s="58"/>
      <c r="K19" s="58"/>
      <c r="L19" s="58"/>
    </row>
    <row r="20" spans="1:12">
      <c r="A20" s="58"/>
      <c r="B20" s="58"/>
      <c r="C20" s="58"/>
      <c r="D20" s="58"/>
      <c r="E20" s="58"/>
      <c r="F20" s="57"/>
      <c r="G20" s="58"/>
      <c r="H20" s="58"/>
      <c r="I20" s="58"/>
      <c r="J20" s="58"/>
      <c r="K20" s="58"/>
      <c r="L20" s="58"/>
    </row>
    <row r="21" spans="1:12">
      <c r="A21" s="58"/>
      <c r="B21" s="866"/>
      <c r="C21" s="867"/>
      <c r="D21" s="867"/>
      <c r="E21" s="868"/>
      <c r="F21" s="62"/>
      <c r="G21" s="58"/>
      <c r="H21" s="58"/>
      <c r="I21" s="58"/>
      <c r="J21" s="58"/>
      <c r="K21" s="58"/>
      <c r="L21" s="58"/>
    </row>
    <row r="22" spans="1:12">
      <c r="A22" s="58"/>
      <c r="B22" s="58"/>
      <c r="C22" s="58"/>
      <c r="D22" s="58"/>
      <c r="E22" s="58"/>
      <c r="F22" s="57"/>
      <c r="G22" s="58"/>
      <c r="H22" s="58"/>
      <c r="I22" s="58"/>
      <c r="J22" s="58"/>
      <c r="K22" s="58"/>
      <c r="L22" s="58"/>
    </row>
    <row r="23" spans="1:12">
      <c r="A23" s="58"/>
      <c r="B23" s="58"/>
      <c r="C23" s="58"/>
      <c r="D23" s="58"/>
      <c r="E23" s="58"/>
      <c r="F23" s="57"/>
      <c r="G23" s="58"/>
      <c r="H23" s="58"/>
      <c r="I23" s="58"/>
      <c r="J23" s="58"/>
      <c r="K23" s="58"/>
      <c r="L23" s="58"/>
    </row>
    <row r="24" spans="1:12">
      <c r="A24" s="58"/>
      <c r="B24" s="58"/>
      <c r="C24" s="58"/>
      <c r="D24" s="58"/>
      <c r="E24" s="58"/>
      <c r="F24" s="57"/>
      <c r="G24" s="58"/>
      <c r="H24" s="58"/>
      <c r="I24" s="58"/>
      <c r="J24" s="58"/>
      <c r="K24" s="58"/>
      <c r="L24" s="58"/>
    </row>
    <row r="25" spans="1:12">
      <c r="A25" s="58"/>
      <c r="B25" s="58"/>
      <c r="C25" s="58"/>
      <c r="D25" s="58"/>
      <c r="E25" s="58"/>
      <c r="F25" s="57"/>
      <c r="G25" s="58"/>
      <c r="H25" s="58"/>
      <c r="I25" s="58"/>
      <c r="J25" s="58"/>
      <c r="K25" s="58"/>
      <c r="L25" s="58"/>
    </row>
    <row r="26" spans="1:12">
      <c r="A26" s="58"/>
      <c r="B26" s="866"/>
      <c r="C26" s="867"/>
      <c r="D26" s="867"/>
      <c r="E26" s="868"/>
      <c r="F26" s="62"/>
      <c r="G26" s="58"/>
      <c r="H26" s="58"/>
      <c r="I26" s="58"/>
      <c r="J26" s="58"/>
      <c r="K26" s="58"/>
      <c r="L26" s="58"/>
    </row>
    <row r="27" spans="1:12">
      <c r="A27" s="58"/>
      <c r="B27" s="58"/>
      <c r="C27" s="58"/>
      <c r="D27" s="58"/>
      <c r="E27" s="58"/>
      <c r="F27" s="58"/>
      <c r="G27" s="58"/>
      <c r="H27" s="58"/>
      <c r="I27" s="58"/>
      <c r="J27" s="58"/>
      <c r="K27" s="58"/>
      <c r="L27" s="58"/>
    </row>
    <row r="28" spans="1:12">
      <c r="A28" s="58"/>
      <c r="B28" s="58"/>
      <c r="C28" s="58"/>
      <c r="D28" s="58"/>
      <c r="E28" s="58"/>
      <c r="F28" s="58"/>
      <c r="G28" s="58"/>
      <c r="H28" s="58"/>
      <c r="I28" s="58"/>
      <c r="J28" s="58"/>
      <c r="K28" s="58"/>
      <c r="L28" s="58"/>
    </row>
    <row r="29" spans="1:12">
      <c r="A29" s="58"/>
      <c r="B29" s="58"/>
      <c r="C29" s="58"/>
      <c r="D29" s="58"/>
      <c r="E29" s="58"/>
      <c r="F29" s="58"/>
      <c r="G29" s="58"/>
      <c r="H29" s="58"/>
      <c r="I29" s="58"/>
      <c r="J29" s="58"/>
      <c r="K29" s="58"/>
      <c r="L29" s="58"/>
    </row>
    <row r="30" spans="1:12">
      <c r="A30" s="58"/>
      <c r="B30" s="58"/>
      <c r="C30" s="58"/>
      <c r="D30" s="58"/>
      <c r="E30" s="58"/>
      <c r="F30" s="58"/>
      <c r="G30" s="58"/>
      <c r="H30" s="58"/>
      <c r="I30" s="58"/>
      <c r="J30" s="58"/>
      <c r="K30" s="58"/>
      <c r="L30" s="58"/>
    </row>
    <row r="31" spans="1:12">
      <c r="A31" s="43"/>
      <c r="B31" s="44"/>
      <c r="C31" s="44"/>
      <c r="D31" s="44"/>
      <c r="E31" s="44"/>
      <c r="F31" s="44"/>
      <c r="G31" s="44"/>
      <c r="H31" s="44"/>
      <c r="I31" s="44"/>
      <c r="J31" s="44"/>
      <c r="K31" s="44"/>
      <c r="L31" s="45"/>
    </row>
    <row r="32" spans="1:12">
      <c r="A32" s="481"/>
      <c r="B32" s="44"/>
      <c r="C32" s="44"/>
      <c r="D32" s="44"/>
      <c r="E32" s="44"/>
      <c r="F32" s="44"/>
      <c r="G32" s="44"/>
      <c r="H32" s="44"/>
      <c r="I32" s="44"/>
      <c r="J32" s="44"/>
      <c r="K32" s="44"/>
      <c r="L32" s="45"/>
    </row>
    <row r="33" spans="1:12">
      <c r="A33" s="481"/>
      <c r="B33" s="44"/>
      <c r="C33" s="44"/>
      <c r="D33" s="44"/>
      <c r="E33" s="44"/>
      <c r="F33" s="44"/>
      <c r="G33" s="44"/>
      <c r="H33" s="44"/>
      <c r="I33" s="44"/>
      <c r="J33" s="44"/>
      <c r="K33" s="44"/>
      <c r="L33" s="45"/>
    </row>
    <row r="34" spans="1:12">
      <c r="A34" s="481"/>
      <c r="B34" s="44"/>
      <c r="C34" s="44"/>
      <c r="D34" s="44"/>
      <c r="E34" s="44"/>
      <c r="F34" s="44"/>
      <c r="G34" s="44"/>
      <c r="H34" s="44"/>
      <c r="I34" s="44"/>
      <c r="J34" s="44"/>
      <c r="K34" s="44"/>
      <c r="L34" s="45"/>
    </row>
    <row r="35" spans="1:12">
      <c r="A35" s="481"/>
      <c r="B35" s="44"/>
      <c r="C35" s="44"/>
      <c r="D35" s="44"/>
      <c r="E35" s="44"/>
      <c r="F35" s="44"/>
      <c r="G35" s="44"/>
      <c r="H35" s="44"/>
      <c r="I35" s="44"/>
      <c r="J35" s="44"/>
      <c r="K35" s="44"/>
      <c r="L35" s="45"/>
    </row>
    <row r="36" spans="1:12">
      <c r="A36" s="43"/>
      <c r="B36" s="44"/>
      <c r="C36" s="44"/>
      <c r="D36" s="44"/>
      <c r="E36" s="44"/>
      <c r="F36" s="44"/>
      <c r="G36" s="44"/>
      <c r="H36" s="44"/>
      <c r="I36" s="44"/>
      <c r="J36" s="44"/>
      <c r="K36" s="44"/>
      <c r="L36" s="45"/>
    </row>
    <row r="37" spans="1:12">
      <c r="A37" s="84"/>
      <c r="G37" t="s">
        <v>38</v>
      </c>
      <c r="L37" s="75"/>
    </row>
    <row r="38" spans="1:12">
      <c r="A38" s="84"/>
      <c r="L38" s="75"/>
    </row>
    <row r="39" spans="1:12">
      <c r="A39" s="84"/>
      <c r="L39" s="75"/>
    </row>
    <row r="40" spans="1:12">
      <c r="A40" s="85"/>
      <c r="B40" s="27"/>
      <c r="C40" s="27"/>
      <c r="D40" s="27"/>
      <c r="E40" s="27"/>
      <c r="F40" s="27"/>
      <c r="G40" s="27"/>
      <c r="H40" s="27"/>
      <c r="I40" s="27"/>
      <c r="J40" s="27"/>
      <c r="K40" s="27"/>
      <c r="L40" s="86"/>
    </row>
  </sheetData>
  <protectedRanges>
    <protectedRange password="CA4D" sqref="A1:L3 A11:L13 A4:E4 A6:E10 A5 E5" name="Range1"/>
    <protectedRange password="CA4D" sqref="F4:L6" name="Range1_2"/>
    <protectedRange password="CA4D" sqref="F7:L10" name="Range1_4"/>
    <protectedRange password="CA4D" sqref="B5:D5" name="Range1_1"/>
  </protectedRanges>
  <mergeCells count="16">
    <mergeCell ref="B21:E21"/>
    <mergeCell ref="B26:E26"/>
    <mergeCell ref="B16:E16"/>
    <mergeCell ref="A1:L2"/>
    <mergeCell ref="A3:L3"/>
    <mergeCell ref="A11:A12"/>
    <mergeCell ref="B11:B12"/>
    <mergeCell ref="C11:C12"/>
    <mergeCell ref="E11:E12"/>
    <mergeCell ref="F11:F12"/>
    <mergeCell ref="G11:G12"/>
    <mergeCell ref="H11:H12"/>
    <mergeCell ref="I11:I12"/>
    <mergeCell ref="J11:J12"/>
    <mergeCell ref="K11:K12"/>
    <mergeCell ref="L11:L12"/>
  </mergeCells>
  <pageMargins left="0.93" right="0.7" top="0.75" bottom="0.75" header="0.3" footer="0.3"/>
  <pageSetup scale="85" orientation="landscape" horizontalDpi="300" verticalDpi="3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34"/>
  <sheetViews>
    <sheetView topLeftCell="A12" workbookViewId="0">
      <selection activeCell="I18" sqref="I18"/>
    </sheetView>
  </sheetViews>
  <sheetFormatPr defaultRowHeight="15"/>
  <cols>
    <col min="1" max="1" width="7" customWidth="1"/>
    <col min="2" max="2" width="13.7109375" customWidth="1"/>
    <col min="3" max="3" width="15.5703125" customWidth="1"/>
    <col min="4" max="4" width="8.28515625" customWidth="1"/>
    <col min="5" max="5" width="15" customWidth="1"/>
    <col min="6" max="6" width="7.28515625" customWidth="1"/>
    <col min="7" max="7" width="22.140625" customWidth="1"/>
    <col min="12" max="12" width="11.140625" customWidth="1"/>
    <col min="13" max="13" width="11.5703125" customWidth="1"/>
    <col min="14" max="14" width="11.7109375" customWidth="1"/>
  </cols>
  <sheetData>
    <row r="1" spans="1:15">
      <c r="A1" s="872" t="s">
        <v>103</v>
      </c>
      <c r="B1" s="873"/>
      <c r="C1" s="873"/>
      <c r="D1" s="873"/>
      <c r="E1" s="873"/>
      <c r="F1" s="873"/>
      <c r="G1" s="873"/>
      <c r="H1" s="873"/>
      <c r="I1" s="873"/>
      <c r="J1" s="873"/>
      <c r="K1" s="873"/>
      <c r="L1" s="873"/>
      <c r="M1" s="873"/>
      <c r="N1" s="873"/>
      <c r="O1" s="874"/>
    </row>
    <row r="2" spans="1:15">
      <c r="A2" s="875"/>
      <c r="B2" s="876"/>
      <c r="C2" s="876"/>
      <c r="D2" s="876"/>
      <c r="E2" s="876"/>
      <c r="F2" s="876"/>
      <c r="G2" s="876"/>
      <c r="H2" s="876"/>
      <c r="I2" s="876"/>
      <c r="J2" s="876"/>
      <c r="K2" s="876"/>
      <c r="L2" s="876"/>
      <c r="M2" s="876"/>
      <c r="N2" s="876"/>
      <c r="O2" s="877"/>
    </row>
    <row r="3" spans="1:15">
      <c r="A3" s="848" t="s">
        <v>104</v>
      </c>
      <c r="B3" s="848"/>
      <c r="C3" s="848"/>
      <c r="D3" s="848"/>
      <c r="E3" s="848"/>
      <c r="F3" s="848"/>
      <c r="G3" s="848"/>
      <c r="H3" s="848"/>
      <c r="I3" s="848"/>
      <c r="J3" s="848"/>
      <c r="K3" s="848"/>
      <c r="L3" s="848"/>
      <c r="M3" s="848"/>
      <c r="N3" s="848"/>
      <c r="O3" s="848"/>
    </row>
    <row r="4" spans="1:15" ht="15" customHeight="1">
      <c r="A4" s="49" t="s">
        <v>122</v>
      </c>
      <c r="B4" s="41"/>
      <c r="C4" s="41"/>
      <c r="D4" s="41" t="str">
        <f>'4-22Master'!G5</f>
        <v>Burgeon IT Services Pvt.Ltd.</v>
      </c>
      <c r="E4" s="42"/>
      <c r="F4" s="49" t="s">
        <v>121</v>
      </c>
      <c r="G4" s="41"/>
      <c r="H4" s="41"/>
      <c r="I4" s="41"/>
      <c r="J4" s="41"/>
      <c r="K4" s="41"/>
      <c r="L4" s="41"/>
      <c r="M4" s="41"/>
      <c r="N4" s="41"/>
      <c r="O4" s="42"/>
    </row>
    <row r="5" spans="1:15">
      <c r="A5" s="43"/>
      <c r="B5" s="44" t="str">
        <f>'4-22Master'!G6</f>
        <v>Siri Mansion LIGB 436 Dr.A S Rao Nagar,Hyderabad</v>
      </c>
      <c r="C5" s="44"/>
      <c r="D5" s="44"/>
      <c r="E5" s="45"/>
      <c r="F5" s="43" t="str">
        <f>'4-22Master'!AQ5</f>
        <v>Burgeon IT Services Pvt.Ltd.</v>
      </c>
      <c r="G5" s="44"/>
      <c r="H5" s="44"/>
      <c r="I5" s="44"/>
      <c r="J5" s="44"/>
      <c r="K5" s="44"/>
      <c r="L5" s="44"/>
      <c r="M5" s="44"/>
      <c r="N5" s="44"/>
      <c r="O5" s="45"/>
    </row>
    <row r="6" spans="1:15">
      <c r="A6" s="46"/>
      <c r="B6" s="47">
        <f>'4-22Master'!G7</f>
        <v>0</v>
      </c>
      <c r="C6" s="47"/>
      <c r="D6" s="47"/>
      <c r="E6" s="48"/>
      <c r="F6" s="46" t="str">
        <f>'4-22Master'!AQ6</f>
        <v>Siri Mansion LIGB 436 Dr.A S Rao Nagar,Hyderabad</v>
      </c>
      <c r="G6" s="47"/>
      <c r="H6" s="47"/>
      <c r="I6" s="47"/>
      <c r="J6" s="47"/>
      <c r="K6" s="47"/>
      <c r="L6" s="47"/>
      <c r="M6" s="47"/>
      <c r="N6" s="47"/>
      <c r="O6" s="48"/>
    </row>
    <row r="7" spans="1:15">
      <c r="A7" s="878" t="s">
        <v>105</v>
      </c>
      <c r="B7" s="878"/>
      <c r="C7" s="878"/>
      <c r="D7" s="878"/>
      <c r="E7" s="878"/>
      <c r="F7" s="43" t="s">
        <v>65</v>
      </c>
      <c r="G7" s="44"/>
      <c r="H7" s="44"/>
      <c r="I7" s="44"/>
      <c r="J7" s="44"/>
      <c r="K7" s="44"/>
      <c r="L7" s="44"/>
      <c r="M7" s="44"/>
      <c r="N7" s="44"/>
      <c r="O7" s="45"/>
    </row>
    <row r="8" spans="1:15">
      <c r="A8" s="878"/>
      <c r="B8" s="878"/>
      <c r="C8" s="878"/>
      <c r="D8" s="878"/>
      <c r="E8" s="878"/>
      <c r="F8" s="50" t="str">
        <f>'4-22Master'!AQ10</f>
        <v>INFOSYS  LTD.IL Pune STP Unit,Plot No.1</v>
      </c>
      <c r="G8" s="44"/>
      <c r="H8" s="44"/>
      <c r="I8" s="44"/>
      <c r="J8" s="44"/>
      <c r="K8" s="44"/>
      <c r="L8" s="44"/>
      <c r="M8" s="44"/>
      <c r="N8" s="44"/>
      <c r="O8" s="45"/>
    </row>
    <row r="9" spans="1:15">
      <c r="A9" s="878"/>
      <c r="B9" s="878"/>
      <c r="C9" s="878"/>
      <c r="D9" s="878"/>
      <c r="E9" s="878"/>
      <c r="F9" s="43" t="str">
        <f>'4-22Master'!AQ11</f>
        <v>Rajiv gandhi Info tech park,Hinjawadi,Taluk Mulshi,Pune,Maharashtra 411057</v>
      </c>
      <c r="G9" s="44"/>
      <c r="H9" s="44"/>
      <c r="I9" s="44"/>
      <c r="J9" s="44"/>
      <c r="K9" s="44"/>
      <c r="L9" s="44"/>
      <c r="M9" s="44"/>
      <c r="N9" s="44"/>
      <c r="O9" s="45"/>
    </row>
    <row r="10" spans="1:15" ht="6.75" customHeight="1">
      <c r="A10" s="878"/>
      <c r="B10" s="878"/>
      <c r="C10" s="878"/>
      <c r="D10" s="879"/>
      <c r="E10" s="878"/>
      <c r="F10" s="46"/>
      <c r="G10" s="47"/>
      <c r="H10" s="44"/>
      <c r="I10" s="44"/>
      <c r="J10" s="44"/>
      <c r="K10" s="44"/>
      <c r="L10" s="47"/>
      <c r="M10" s="47"/>
      <c r="N10" s="47"/>
      <c r="O10" s="48"/>
    </row>
    <row r="11" spans="1:15" ht="15" customHeight="1">
      <c r="A11" s="846" t="s">
        <v>5</v>
      </c>
      <c r="B11" s="846" t="s">
        <v>106</v>
      </c>
      <c r="C11" s="869" t="s">
        <v>107</v>
      </c>
      <c r="D11" s="51" t="s">
        <v>39</v>
      </c>
      <c r="E11" s="870" t="s">
        <v>108</v>
      </c>
      <c r="F11" s="880" t="s">
        <v>109</v>
      </c>
      <c r="G11" s="882" t="s">
        <v>110</v>
      </c>
      <c r="H11" s="884" t="s">
        <v>111</v>
      </c>
      <c r="I11" s="885"/>
      <c r="J11" s="885"/>
      <c r="K11" s="886"/>
      <c r="L11" s="870" t="s">
        <v>112</v>
      </c>
      <c r="M11" s="845" t="s">
        <v>113</v>
      </c>
      <c r="N11" s="846" t="s">
        <v>114</v>
      </c>
      <c r="O11" s="871" t="s">
        <v>40</v>
      </c>
    </row>
    <row r="12" spans="1:15" ht="138.94999999999999" customHeight="1">
      <c r="A12" s="846"/>
      <c r="B12" s="846"/>
      <c r="C12" s="869"/>
      <c r="D12" s="83"/>
      <c r="E12" s="870"/>
      <c r="F12" s="881"/>
      <c r="G12" s="883"/>
      <c r="H12" s="887"/>
      <c r="I12" s="888"/>
      <c r="J12" s="888"/>
      <c r="K12" s="889"/>
      <c r="L12" s="870"/>
      <c r="M12" s="845"/>
      <c r="N12" s="846"/>
      <c r="O12" s="864"/>
    </row>
    <row r="13" spans="1:15" ht="105">
      <c r="A13" s="56"/>
      <c r="B13" s="56" t="s">
        <v>115</v>
      </c>
      <c r="C13" s="56"/>
      <c r="D13" s="66"/>
      <c r="E13" s="56"/>
      <c r="F13" s="92"/>
      <c r="G13" s="56" t="s">
        <v>116</v>
      </c>
      <c r="H13" s="93" t="s">
        <v>117</v>
      </c>
      <c r="I13" s="91" t="s">
        <v>118</v>
      </c>
      <c r="J13" s="87" t="s">
        <v>119</v>
      </c>
      <c r="K13" s="87" t="s">
        <v>120</v>
      </c>
      <c r="L13" s="56"/>
      <c r="M13" s="56"/>
      <c r="N13" s="56"/>
      <c r="O13" s="56"/>
    </row>
    <row r="14" spans="1:15">
      <c r="A14" s="58"/>
      <c r="B14" s="58"/>
      <c r="C14" s="58"/>
      <c r="D14" s="58"/>
      <c r="E14" s="58"/>
      <c r="F14" s="58"/>
      <c r="G14" s="76"/>
      <c r="H14" s="58"/>
      <c r="I14" s="58"/>
      <c r="J14" s="58"/>
      <c r="K14" s="58"/>
      <c r="L14" s="58"/>
      <c r="M14" s="58"/>
      <c r="N14" s="58"/>
      <c r="O14" s="58"/>
    </row>
    <row r="15" spans="1:15" ht="15.75" thickBot="1">
      <c r="A15" s="58"/>
      <c r="B15" s="74"/>
      <c r="C15" s="74"/>
      <c r="D15" s="74"/>
      <c r="E15" s="74"/>
      <c r="F15" s="58"/>
      <c r="G15" s="58"/>
      <c r="H15" s="58"/>
      <c r="I15" s="58"/>
      <c r="J15" s="58"/>
      <c r="K15" s="58"/>
      <c r="L15" s="58"/>
      <c r="M15" s="58"/>
      <c r="N15" s="58"/>
      <c r="O15" s="58"/>
    </row>
    <row r="16" spans="1:15" ht="15.75" thickBot="1">
      <c r="A16" s="79"/>
      <c r="B16" s="88" t="s">
        <v>123</v>
      </c>
      <c r="C16" s="89"/>
      <c r="D16" s="89"/>
      <c r="E16" s="90"/>
      <c r="F16" s="62">
        <f>'4-22Master'!E10</f>
        <v>44652</v>
      </c>
      <c r="G16" s="58"/>
      <c r="H16" s="58"/>
      <c r="I16" s="58"/>
      <c r="J16" s="58"/>
      <c r="K16" s="58"/>
      <c r="L16" s="58"/>
      <c r="M16" s="58"/>
      <c r="N16" s="58"/>
      <c r="O16" s="58"/>
    </row>
    <row r="17" spans="1:15">
      <c r="A17" s="58"/>
      <c r="B17" s="76"/>
      <c r="C17" s="76"/>
      <c r="D17" s="76"/>
      <c r="E17" s="76"/>
      <c r="F17" s="61"/>
      <c r="G17" s="58"/>
      <c r="H17" s="58"/>
      <c r="I17" s="58"/>
      <c r="J17" s="58"/>
      <c r="K17" s="58"/>
      <c r="L17" s="58"/>
      <c r="M17" s="58"/>
      <c r="N17" s="58"/>
      <c r="O17" s="58"/>
    </row>
    <row r="18" spans="1:15">
      <c r="A18" s="58"/>
      <c r="B18" s="58"/>
      <c r="C18" s="58"/>
      <c r="D18" s="58"/>
      <c r="E18" s="58"/>
      <c r="F18" s="57"/>
      <c r="G18" s="58"/>
      <c r="H18" s="58"/>
      <c r="I18" s="58"/>
      <c r="J18" s="58"/>
      <c r="K18" s="58"/>
      <c r="L18" s="58"/>
      <c r="M18" s="58"/>
      <c r="N18" s="58"/>
      <c r="O18" s="58"/>
    </row>
    <row r="19" spans="1:15">
      <c r="A19" s="58"/>
      <c r="B19" s="58"/>
      <c r="C19" s="58"/>
      <c r="D19" s="58"/>
      <c r="E19" s="58"/>
      <c r="F19" s="57"/>
      <c r="G19" s="58"/>
      <c r="H19" s="58"/>
      <c r="I19" s="58"/>
      <c r="J19" s="58"/>
      <c r="K19" s="58"/>
      <c r="L19" s="58"/>
      <c r="M19" s="58"/>
      <c r="N19" s="58"/>
      <c r="O19" s="58"/>
    </row>
    <row r="20" spans="1:15">
      <c r="A20" s="58"/>
      <c r="B20" s="490"/>
      <c r="C20" s="58"/>
      <c r="D20" s="58"/>
      <c r="E20" s="58"/>
      <c r="F20" s="57"/>
      <c r="G20" s="58"/>
      <c r="H20" s="58"/>
      <c r="I20" s="58"/>
      <c r="J20" s="58"/>
      <c r="K20" s="58"/>
      <c r="L20" s="58"/>
      <c r="M20" s="58"/>
      <c r="N20" s="58"/>
      <c r="O20" s="58"/>
    </row>
    <row r="21" spans="1:15">
      <c r="A21" s="489"/>
      <c r="B21" s="485"/>
      <c r="C21" s="58"/>
      <c r="D21" s="58"/>
      <c r="E21" s="58"/>
      <c r="F21" s="62"/>
      <c r="G21" s="58"/>
      <c r="H21" s="58"/>
      <c r="I21" s="58"/>
      <c r="J21" s="58"/>
      <c r="K21" s="58"/>
      <c r="L21" s="58"/>
      <c r="M21" s="58"/>
      <c r="N21" s="58"/>
      <c r="O21" s="58"/>
    </row>
    <row r="22" spans="1:15">
      <c r="A22" s="58"/>
      <c r="B22" s="491"/>
      <c r="C22" s="58"/>
      <c r="D22" s="58"/>
      <c r="E22" s="58"/>
      <c r="F22" s="57"/>
      <c r="G22" s="58"/>
      <c r="H22" s="58"/>
      <c r="I22" s="58"/>
      <c r="J22" s="58"/>
      <c r="K22" s="58"/>
      <c r="L22" s="58"/>
      <c r="M22" s="58"/>
      <c r="N22" s="58"/>
      <c r="O22" s="58"/>
    </row>
    <row r="23" spans="1:15">
      <c r="A23" s="58"/>
      <c r="B23" s="58"/>
      <c r="C23" s="58"/>
      <c r="D23" s="58"/>
      <c r="E23" s="58"/>
      <c r="F23" s="57"/>
      <c r="G23" s="58"/>
      <c r="H23" s="58"/>
      <c r="I23" s="58"/>
      <c r="J23" s="58"/>
      <c r="K23" s="58"/>
      <c r="L23" s="58"/>
      <c r="M23" s="58"/>
      <c r="N23" s="58"/>
      <c r="O23" s="58"/>
    </row>
    <row r="24" spans="1:15">
      <c r="A24" s="58"/>
      <c r="B24" s="58"/>
      <c r="C24" s="58"/>
      <c r="D24" s="58"/>
      <c r="E24" s="58"/>
      <c r="F24" s="57"/>
      <c r="G24" s="58"/>
      <c r="H24" s="58"/>
      <c r="I24" s="58"/>
      <c r="J24" s="58"/>
      <c r="K24" s="58"/>
      <c r="L24" s="58"/>
      <c r="M24" s="58"/>
      <c r="N24" s="58"/>
      <c r="O24" s="58"/>
    </row>
    <row r="25" spans="1:15">
      <c r="A25" s="475"/>
      <c r="B25" s="475"/>
      <c r="C25" s="475"/>
      <c r="D25" s="475"/>
      <c r="E25" s="475"/>
      <c r="F25" s="476"/>
      <c r="G25" s="475"/>
      <c r="H25" s="475"/>
      <c r="I25" s="475"/>
      <c r="J25" s="475"/>
      <c r="K25" s="475"/>
      <c r="L25" s="475"/>
      <c r="M25" s="475"/>
      <c r="N25" s="475"/>
      <c r="O25" s="475"/>
    </row>
    <row r="26" spans="1:15">
      <c r="A26" s="433"/>
      <c r="B26" s="475"/>
      <c r="C26" s="433"/>
      <c r="D26" s="433"/>
      <c r="E26" s="433"/>
      <c r="F26" s="477"/>
      <c r="G26" s="433"/>
      <c r="H26" s="433"/>
      <c r="I26" s="433"/>
      <c r="J26" s="433"/>
      <c r="K26" s="433"/>
      <c r="L26" s="433"/>
      <c r="M26" s="433"/>
      <c r="N26" s="433"/>
      <c r="O26" s="433"/>
    </row>
    <row r="27" spans="1:15">
      <c r="A27" s="439"/>
      <c r="B27" s="478"/>
      <c r="C27" s="439"/>
      <c r="D27" s="439"/>
      <c r="E27" s="439"/>
      <c r="F27" s="479"/>
      <c r="G27" s="439"/>
      <c r="H27" s="439"/>
      <c r="I27" s="439"/>
      <c r="J27" s="439"/>
      <c r="K27" s="439"/>
      <c r="L27" s="439"/>
      <c r="M27" s="439"/>
      <c r="N27" s="439"/>
      <c r="O27" s="439"/>
    </row>
    <row r="28" spans="1:15">
      <c r="A28" s="439"/>
      <c r="B28" s="478"/>
      <c r="C28" s="439"/>
      <c r="D28" s="439"/>
      <c r="E28" s="439"/>
      <c r="F28" s="479"/>
      <c r="G28" s="439"/>
      <c r="H28" s="439"/>
      <c r="I28" s="439"/>
      <c r="J28" s="439"/>
      <c r="K28" s="439"/>
      <c r="L28" s="439"/>
      <c r="M28" s="439"/>
      <c r="N28" s="439"/>
      <c r="O28" s="439"/>
    </row>
    <row r="29" spans="1:15">
      <c r="A29" s="439"/>
      <c r="B29" s="478"/>
      <c r="C29" s="439"/>
      <c r="D29" s="439"/>
      <c r="E29" s="439"/>
      <c r="F29" s="479"/>
      <c r="G29" s="439"/>
      <c r="H29" s="439"/>
      <c r="I29" s="439"/>
      <c r="J29" s="439"/>
      <c r="K29" s="439"/>
      <c r="L29" s="439"/>
      <c r="M29" s="439"/>
      <c r="N29" s="439"/>
      <c r="O29" s="439"/>
    </row>
    <row r="34" spans="10:10">
      <c r="J34" t="s">
        <v>38</v>
      </c>
    </row>
  </sheetData>
  <protectedRanges>
    <protectedRange password="CA4D" sqref="A1:O3 A4:E4 A6:E10 A5 E5 A13:O13 A11:A12 C11:O12" name="Range1"/>
    <protectedRange password="CA4D" sqref="F4:O6" name="Range1_2"/>
    <protectedRange password="CA4D" sqref="F7:O10" name="Range1_4"/>
    <protectedRange password="CA4D" sqref="B5:D5" name="Range1_1"/>
    <protectedRange password="CA4D" sqref="B11:B12" name="Range1_3"/>
  </protectedRanges>
  <mergeCells count="14">
    <mergeCell ref="A1:O2"/>
    <mergeCell ref="A3:O3"/>
    <mergeCell ref="A7:E10"/>
    <mergeCell ref="A11:A12"/>
    <mergeCell ref="B11:B12"/>
    <mergeCell ref="C11:C12"/>
    <mergeCell ref="E11:E12"/>
    <mergeCell ref="F11:F12"/>
    <mergeCell ref="G11:G12"/>
    <mergeCell ref="H11:K12"/>
    <mergeCell ref="L11:L12"/>
    <mergeCell ref="M11:M12"/>
    <mergeCell ref="N11:N12"/>
    <mergeCell ref="O11:O12"/>
  </mergeCells>
  <pageMargins left="0.70866141732283472" right="0.70866141732283472" top="0.74803149606299213" bottom="0.74803149606299213" header="0.31496062992125984" footer="0.31496062992125984"/>
  <pageSetup scale="65" orientation="landscape" horizontalDpi="300" verticalDpi="3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G38"/>
  <sheetViews>
    <sheetView topLeftCell="A13" workbookViewId="0">
      <selection activeCell="G41" sqref="G41"/>
    </sheetView>
  </sheetViews>
  <sheetFormatPr defaultRowHeight="15"/>
  <cols>
    <col min="3" max="3" width="19.7109375" customWidth="1"/>
    <col min="4" max="5" width="24.28515625" customWidth="1"/>
    <col min="6" max="6" width="25.85546875" customWidth="1"/>
    <col min="7" max="7" width="18.28515625" customWidth="1"/>
  </cols>
  <sheetData>
    <row r="1" spans="2:7" ht="22.9" customHeight="1">
      <c r="B1" s="900" t="s">
        <v>537</v>
      </c>
      <c r="C1" s="901"/>
      <c r="D1" s="901"/>
      <c r="E1" s="901"/>
      <c r="F1" s="901"/>
      <c r="G1" s="902"/>
    </row>
    <row r="2" spans="2:7" ht="15.75">
      <c r="B2" s="903" t="s">
        <v>538</v>
      </c>
      <c r="C2" s="904"/>
      <c r="D2" s="904"/>
      <c r="E2" s="904"/>
      <c r="F2" s="904"/>
      <c r="G2" s="905"/>
    </row>
    <row r="3" spans="2:7" ht="16.5">
      <c r="B3" s="906" t="s">
        <v>539</v>
      </c>
      <c r="C3" s="907"/>
      <c r="D3" s="907"/>
      <c r="E3" s="907"/>
      <c r="F3" s="907"/>
      <c r="G3" s="908"/>
    </row>
    <row r="4" spans="2:7" ht="15.75">
      <c r="B4" s="505" t="s">
        <v>540</v>
      </c>
      <c r="C4" s="439"/>
      <c r="D4" s="506" t="str">
        <f>'4-22Master'!G5</f>
        <v>Burgeon IT Services Pvt.Ltd.</v>
      </c>
      <c r="E4" s="507" t="str">
        <f>'4-22Master'!G6</f>
        <v>Siri Mansion LIGB 436 Dr.A S Rao Nagar,Hyderabad</v>
      </c>
      <c r="F4" s="507"/>
      <c r="G4" s="24"/>
    </row>
    <row r="5" spans="2:7">
      <c r="B5" s="211">
        <v>1</v>
      </c>
      <c r="C5" s="898" t="s">
        <v>541</v>
      </c>
      <c r="D5" s="899"/>
      <c r="E5" s="899"/>
      <c r="F5" s="899"/>
      <c r="G5" s="24"/>
    </row>
    <row r="6" spans="2:7">
      <c r="B6" s="211">
        <v>2</v>
      </c>
      <c r="C6" s="898" t="s">
        <v>542</v>
      </c>
      <c r="D6" s="899"/>
      <c r="E6" s="899"/>
      <c r="F6" s="439"/>
      <c r="G6" s="24"/>
    </row>
    <row r="7" spans="2:7">
      <c r="B7" s="211">
        <v>3</v>
      </c>
      <c r="C7" s="898" t="s">
        <v>543</v>
      </c>
      <c r="D7" s="899"/>
      <c r="E7" s="899"/>
      <c r="F7" s="899"/>
      <c r="G7" s="24"/>
    </row>
    <row r="8" spans="2:7" ht="15.75">
      <c r="B8" s="211">
        <v>4</v>
      </c>
      <c r="C8" s="508" t="s">
        <v>544</v>
      </c>
      <c r="D8" s="439"/>
      <c r="E8" s="439"/>
      <c r="F8" s="439"/>
      <c r="G8" s="24"/>
    </row>
    <row r="9" spans="2:7" ht="15.75">
      <c r="B9" s="211">
        <v>5</v>
      </c>
      <c r="C9" s="508" t="s">
        <v>545</v>
      </c>
      <c r="D9" s="439"/>
      <c r="E9" s="439"/>
      <c r="F9" s="439"/>
      <c r="G9" s="24"/>
    </row>
    <row r="10" spans="2:7" s="512" customFormat="1">
      <c r="B10" s="509"/>
      <c r="C10" s="510" t="s">
        <v>546</v>
      </c>
      <c r="D10" s="510" t="s">
        <v>547</v>
      </c>
      <c r="E10" s="510" t="s">
        <v>548</v>
      </c>
      <c r="F10" s="510" t="s">
        <v>549</v>
      </c>
      <c r="G10" s="511" t="s">
        <v>40</v>
      </c>
    </row>
    <row r="11" spans="2:7">
      <c r="B11" s="513"/>
      <c r="C11" s="514"/>
      <c r="D11" s="514"/>
      <c r="E11" s="514"/>
      <c r="F11" s="514"/>
      <c r="G11" s="515"/>
    </row>
    <row r="12" spans="2:7">
      <c r="B12" s="513"/>
      <c r="C12" s="514"/>
      <c r="D12" s="514"/>
      <c r="E12" s="514"/>
      <c r="F12" s="514"/>
      <c r="G12" s="515"/>
    </row>
    <row r="13" spans="2:7">
      <c r="B13" s="513"/>
      <c r="C13" s="514"/>
      <c r="D13" s="514"/>
      <c r="E13" s="514"/>
      <c r="F13" s="514"/>
      <c r="G13" s="515"/>
    </row>
    <row r="14" spans="2:7">
      <c r="B14" s="513"/>
      <c r="C14" s="514"/>
      <c r="D14" s="514"/>
      <c r="E14" s="514"/>
      <c r="F14" s="514"/>
      <c r="G14" s="515"/>
    </row>
    <row r="15" spans="2:7">
      <c r="B15" s="513"/>
      <c r="C15" s="514"/>
      <c r="D15" s="514"/>
      <c r="E15" s="514"/>
      <c r="F15" s="514"/>
      <c r="G15" s="515"/>
    </row>
    <row r="16" spans="2:7">
      <c r="B16" s="513"/>
      <c r="C16" s="514"/>
      <c r="D16" s="514"/>
      <c r="E16" s="514"/>
      <c r="F16" s="514"/>
      <c r="G16" s="515"/>
    </row>
    <row r="17" spans="2:7" ht="15.75">
      <c r="B17" s="513">
        <v>6</v>
      </c>
      <c r="C17" s="516" t="s">
        <v>550</v>
      </c>
      <c r="D17" s="517"/>
      <c r="E17" s="517"/>
      <c r="F17" s="518"/>
      <c r="G17" s="519"/>
    </row>
    <row r="18" spans="2:7" ht="15.75">
      <c r="B18" s="513">
        <v>7</v>
      </c>
      <c r="C18" s="508" t="s">
        <v>551</v>
      </c>
      <c r="D18" s="517"/>
      <c r="E18" s="517"/>
      <c r="F18" s="518"/>
      <c r="G18" s="519"/>
    </row>
    <row r="19" spans="2:7" ht="15.75">
      <c r="B19" s="513">
        <v>8</v>
      </c>
      <c r="C19" s="520" t="s">
        <v>552</v>
      </c>
      <c r="D19" s="473"/>
      <c r="E19" s="473"/>
      <c r="F19" s="521"/>
      <c r="G19" s="519"/>
    </row>
    <row r="20" spans="2:7" ht="15.75">
      <c r="B20" s="513">
        <v>9</v>
      </c>
      <c r="C20" s="516" t="s">
        <v>553</v>
      </c>
      <c r="D20" s="473"/>
      <c r="E20" s="473"/>
      <c r="F20" s="521"/>
      <c r="G20" s="519"/>
    </row>
    <row r="21" spans="2:7" ht="15.75">
      <c r="B21" s="513">
        <v>10</v>
      </c>
      <c r="C21" s="890" t="s">
        <v>554</v>
      </c>
      <c r="D21" s="891"/>
      <c r="E21" s="891"/>
      <c r="F21" s="892"/>
      <c r="G21" s="519"/>
    </row>
    <row r="22" spans="2:7" ht="15.75">
      <c r="B22" s="513">
        <v>11</v>
      </c>
      <c r="C22" s="516" t="s">
        <v>555</v>
      </c>
      <c r="D22" s="517"/>
      <c r="E22" s="517"/>
      <c r="F22" s="518"/>
      <c r="G22" s="519"/>
    </row>
    <row r="23" spans="2:7" ht="15.75">
      <c r="B23" s="513">
        <v>12</v>
      </c>
      <c r="C23" s="516" t="s">
        <v>556</v>
      </c>
      <c r="D23" s="517"/>
      <c r="E23" s="517"/>
      <c r="F23" s="518"/>
      <c r="G23" s="519"/>
    </row>
    <row r="24" spans="2:7" ht="15.75">
      <c r="B24" s="513">
        <v>13</v>
      </c>
      <c r="C24" s="516" t="s">
        <v>557</v>
      </c>
      <c r="D24" s="517"/>
      <c r="E24" s="517"/>
      <c r="F24" s="518"/>
      <c r="G24" s="519"/>
    </row>
    <row r="25" spans="2:7" ht="15.75">
      <c r="B25" s="513">
        <v>14</v>
      </c>
      <c r="C25" s="516" t="s">
        <v>558</v>
      </c>
      <c r="D25" s="517"/>
      <c r="E25" s="517"/>
      <c r="F25" s="518"/>
      <c r="G25" s="519"/>
    </row>
    <row r="26" spans="2:7" ht="15.75">
      <c r="B26" s="513">
        <v>15</v>
      </c>
      <c r="C26" s="508" t="s">
        <v>559</v>
      </c>
      <c r="D26" s="439"/>
      <c r="E26" s="439"/>
      <c r="F26" s="75"/>
      <c r="G26" s="519"/>
    </row>
    <row r="27" spans="2:7" ht="15.75">
      <c r="B27" s="522" t="s">
        <v>560</v>
      </c>
      <c r="C27" s="516" t="s">
        <v>561</v>
      </c>
      <c r="D27" s="517"/>
      <c r="E27" s="517"/>
      <c r="F27" s="518"/>
      <c r="G27" s="519"/>
    </row>
    <row r="28" spans="2:7" ht="15.75">
      <c r="B28" s="513">
        <v>16</v>
      </c>
      <c r="C28" s="516" t="s">
        <v>562</v>
      </c>
      <c r="D28" s="517"/>
      <c r="E28" s="517"/>
      <c r="F28" s="518"/>
      <c r="G28" s="519"/>
    </row>
    <row r="29" spans="2:7" ht="15.75">
      <c r="B29" s="513">
        <v>17</v>
      </c>
      <c r="C29" s="516" t="s">
        <v>563</v>
      </c>
      <c r="D29" s="517"/>
      <c r="E29" s="517"/>
      <c r="F29" s="518"/>
      <c r="G29" s="519"/>
    </row>
    <row r="30" spans="2:7" ht="15.75">
      <c r="B30" s="513">
        <v>18</v>
      </c>
      <c r="C30" s="890" t="s">
        <v>564</v>
      </c>
      <c r="D30" s="891"/>
      <c r="E30" s="891"/>
      <c r="F30" s="892"/>
      <c r="G30" s="519"/>
    </row>
    <row r="31" spans="2:7" ht="15.75">
      <c r="B31" s="513">
        <v>19</v>
      </c>
      <c r="C31" s="890" t="s">
        <v>565</v>
      </c>
      <c r="D31" s="891"/>
      <c r="E31" s="891"/>
      <c r="F31" s="892"/>
      <c r="G31" s="24"/>
    </row>
    <row r="32" spans="2:7" ht="18">
      <c r="B32" s="513">
        <v>20</v>
      </c>
      <c r="C32" s="508" t="s">
        <v>566</v>
      </c>
      <c r="D32" s="474"/>
      <c r="E32" s="474"/>
      <c r="F32" s="523"/>
      <c r="G32" s="24"/>
    </row>
    <row r="33" spans="2:7">
      <c r="B33" s="513">
        <v>21</v>
      </c>
      <c r="C33" s="893" t="s">
        <v>567</v>
      </c>
      <c r="D33" s="894"/>
      <c r="E33" s="894"/>
      <c r="F33" s="894"/>
      <c r="G33" s="895"/>
    </row>
    <row r="34" spans="2:7" ht="15.75">
      <c r="B34" s="896" t="s">
        <v>568</v>
      </c>
      <c r="C34" s="897"/>
      <c r="D34" s="897"/>
      <c r="E34" s="897"/>
      <c r="F34" s="897"/>
      <c r="G34" s="524">
        <f>'4-22Master'!E10</f>
        <v>44652</v>
      </c>
    </row>
    <row r="35" spans="2:7">
      <c r="B35" s="23"/>
      <c r="C35" s="439"/>
      <c r="D35" s="439"/>
      <c r="E35" s="439"/>
      <c r="F35" s="439"/>
      <c r="G35" s="24"/>
    </row>
    <row r="36" spans="2:7">
      <c r="B36" s="23"/>
      <c r="C36" s="439"/>
      <c r="D36" s="439"/>
      <c r="E36" s="525" t="s">
        <v>569</v>
      </c>
      <c r="F36" s="526" t="str">
        <f>'4-22Master'!G5</f>
        <v>Burgeon IT Services Pvt.Ltd.</v>
      </c>
      <c r="G36" s="527"/>
    </row>
    <row r="37" spans="2:7">
      <c r="B37" s="23"/>
      <c r="C37" s="439"/>
      <c r="D37" s="439"/>
      <c r="E37" s="439"/>
      <c r="F37" s="439"/>
      <c r="G37" s="24"/>
    </row>
    <row r="38" spans="2:7" ht="15.75" thickBot="1">
      <c r="B38" s="35"/>
      <c r="C38" s="33"/>
      <c r="D38" s="33"/>
      <c r="E38" s="528"/>
      <c r="F38" s="529" t="s">
        <v>570</v>
      </c>
      <c r="G38" s="34"/>
    </row>
  </sheetData>
  <mergeCells count="11">
    <mergeCell ref="C7:F7"/>
    <mergeCell ref="B1:G1"/>
    <mergeCell ref="B2:G2"/>
    <mergeCell ref="B3:G3"/>
    <mergeCell ref="C5:F5"/>
    <mergeCell ref="C6:E6"/>
    <mergeCell ref="C21:F21"/>
    <mergeCell ref="C30:F30"/>
    <mergeCell ref="C31:F31"/>
    <mergeCell ref="C33:G33"/>
    <mergeCell ref="B34:F3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G32"/>
  <sheetViews>
    <sheetView workbookViewId="0">
      <selection activeCell="H23" sqref="H23"/>
    </sheetView>
  </sheetViews>
  <sheetFormatPr defaultRowHeight="15"/>
  <cols>
    <col min="1" max="1" width="8.7109375" customWidth="1"/>
    <col min="3" max="3" width="19.7109375" customWidth="1"/>
    <col min="4" max="5" width="24.28515625" customWidth="1"/>
    <col min="6" max="6" width="25.85546875" customWidth="1"/>
    <col min="7" max="7" width="18.28515625" customWidth="1"/>
  </cols>
  <sheetData>
    <row r="1" spans="2:7" ht="16.5">
      <c r="B1" s="900" t="s">
        <v>571</v>
      </c>
      <c r="C1" s="901"/>
      <c r="D1" s="901"/>
      <c r="E1" s="901"/>
      <c r="F1" s="901"/>
      <c r="G1" s="902"/>
    </row>
    <row r="2" spans="2:7" ht="15.75">
      <c r="B2" s="909" t="s">
        <v>572</v>
      </c>
      <c r="C2" s="910"/>
      <c r="D2" s="910"/>
      <c r="E2" s="910"/>
      <c r="F2" s="910"/>
      <c r="G2" s="911"/>
    </row>
    <row r="3" spans="2:7" ht="15.75">
      <c r="B3" s="530" t="s">
        <v>540</v>
      </c>
      <c r="C3" s="439"/>
      <c r="D3" s="531" t="str">
        <f>'4-22Master'!G5</f>
        <v>Burgeon IT Services Pvt.Ltd.</v>
      </c>
      <c r="E3" s="437" t="str">
        <f>'4-22Master'!G6</f>
        <v>Siri Mansion LIGB 436 Dr.A S Rao Nagar,Hyderabad</v>
      </c>
      <c r="F3" s="437"/>
      <c r="G3" s="24"/>
    </row>
    <row r="4" spans="2:7">
      <c r="B4" s="211"/>
      <c r="C4" s="898"/>
      <c r="D4" s="899"/>
      <c r="E4" s="899"/>
      <c r="F4" s="899"/>
      <c r="G4" s="24"/>
    </row>
    <row r="5" spans="2:7">
      <c r="B5" s="211"/>
      <c r="C5" s="898"/>
      <c r="D5" s="899"/>
      <c r="E5" s="899"/>
      <c r="F5" s="439"/>
      <c r="G5" s="24"/>
    </row>
    <row r="6" spans="2:7" ht="15.75">
      <c r="B6" s="532" t="s">
        <v>573</v>
      </c>
      <c r="C6" s="533"/>
      <c r="D6" s="437"/>
      <c r="E6" s="437"/>
      <c r="F6" s="437"/>
      <c r="G6" s="534"/>
    </row>
    <row r="7" spans="2:7" ht="15.75">
      <c r="B7" s="535"/>
      <c r="C7" s="439"/>
      <c r="D7" s="438" t="s">
        <v>574</v>
      </c>
      <c r="E7" s="439"/>
      <c r="F7" s="439"/>
      <c r="G7" s="24"/>
    </row>
    <row r="8" spans="2:7">
      <c r="B8" s="536" t="s">
        <v>575</v>
      </c>
      <c r="C8" s="439"/>
      <c r="D8" s="439"/>
      <c r="E8" s="439"/>
      <c r="F8" s="439"/>
      <c r="G8" s="24"/>
    </row>
    <row r="9" spans="2:7" s="512" customFormat="1" ht="15.75">
      <c r="B9" s="912" t="s">
        <v>576</v>
      </c>
      <c r="C9" s="913"/>
      <c r="D9" s="913"/>
      <c r="E9" s="913"/>
      <c r="F9" s="913"/>
      <c r="G9" s="914"/>
    </row>
    <row r="10" spans="2:7">
      <c r="B10" s="537" t="s">
        <v>577</v>
      </c>
      <c r="C10" s="439"/>
      <c r="D10" s="439"/>
      <c r="E10" s="439"/>
      <c r="F10" s="439"/>
      <c r="G10" s="24"/>
    </row>
    <row r="11" spans="2:7">
      <c r="B11" s="211"/>
      <c r="C11" s="439"/>
      <c r="D11" s="439"/>
      <c r="E11" s="439"/>
      <c r="F11" s="439"/>
      <c r="G11" s="24"/>
    </row>
    <row r="12" spans="2:7">
      <c r="B12" s="211"/>
      <c r="C12" s="439"/>
      <c r="D12" s="538" t="s">
        <v>578</v>
      </c>
      <c r="E12" s="439"/>
      <c r="F12" s="439"/>
      <c r="G12" s="24"/>
    </row>
    <row r="13" spans="2:7">
      <c r="B13" s="211"/>
      <c r="C13" s="439"/>
      <c r="D13" s="439"/>
      <c r="E13" s="439"/>
      <c r="F13" s="439"/>
      <c r="G13" s="24"/>
    </row>
    <row r="14" spans="2:7">
      <c r="B14" s="211"/>
      <c r="C14" s="439"/>
      <c r="D14" s="439"/>
      <c r="E14" s="439"/>
      <c r="F14" s="439"/>
      <c r="G14" s="24"/>
    </row>
    <row r="15" spans="2:7">
      <c r="B15" s="537" t="s">
        <v>579</v>
      </c>
      <c r="C15" s="439"/>
      <c r="D15" s="439"/>
      <c r="E15" s="439"/>
      <c r="F15" s="439"/>
      <c r="G15" s="24"/>
    </row>
    <row r="16" spans="2:7">
      <c r="B16" s="537" t="s">
        <v>580</v>
      </c>
      <c r="C16" s="439"/>
      <c r="D16" s="439"/>
      <c r="E16" s="439"/>
      <c r="F16" s="439"/>
      <c r="G16" s="24"/>
    </row>
    <row r="17" spans="2:7" ht="15.75">
      <c r="B17" s="537" t="s">
        <v>581</v>
      </c>
      <c r="C17" s="508"/>
      <c r="D17" s="439"/>
      <c r="E17" s="439"/>
      <c r="F17" s="439"/>
      <c r="G17" s="212"/>
    </row>
    <row r="18" spans="2:7" ht="15.75">
      <c r="B18" s="537" t="s">
        <v>582</v>
      </c>
      <c r="C18" s="508"/>
      <c r="D18" s="439"/>
      <c r="E18" s="439"/>
      <c r="F18" s="439"/>
      <c r="G18" s="212"/>
    </row>
    <row r="19" spans="2:7" ht="15.75">
      <c r="B19" s="537" t="s">
        <v>583</v>
      </c>
      <c r="C19" s="508"/>
      <c r="D19" s="439"/>
      <c r="E19" s="439"/>
      <c r="F19" s="439"/>
      <c r="G19" s="212"/>
    </row>
    <row r="20" spans="2:7" ht="15.75">
      <c r="B20" s="539" t="s">
        <v>584</v>
      </c>
      <c r="C20" s="508"/>
      <c r="D20" s="439"/>
      <c r="E20" s="439"/>
      <c r="F20" s="439"/>
      <c r="G20" s="212"/>
    </row>
    <row r="21" spans="2:7" ht="15.75">
      <c r="B21" s="211"/>
      <c r="C21" s="915"/>
      <c r="D21" s="915"/>
      <c r="E21" s="915"/>
      <c r="F21" s="915"/>
      <c r="G21" s="212"/>
    </row>
    <row r="22" spans="2:7" ht="15.75">
      <c r="B22" s="896" t="s">
        <v>568</v>
      </c>
      <c r="C22" s="897"/>
      <c r="D22" s="897"/>
      <c r="E22" s="897"/>
      <c r="F22" s="897"/>
      <c r="G22" s="524">
        <f>'4-22Master'!E10</f>
        <v>44652</v>
      </c>
    </row>
    <row r="23" spans="2:7" ht="15.75">
      <c r="B23" s="211"/>
      <c r="C23" s="508"/>
      <c r="D23" s="439"/>
      <c r="E23" s="439"/>
      <c r="F23" s="439"/>
      <c r="G23" s="212"/>
    </row>
    <row r="24" spans="2:7" ht="15.75">
      <c r="B24" s="211"/>
      <c r="C24" s="508"/>
      <c r="D24" s="439"/>
      <c r="E24" s="439"/>
      <c r="F24" s="439"/>
      <c r="G24" s="212"/>
    </row>
    <row r="25" spans="2:7" ht="15.75">
      <c r="B25" s="211"/>
      <c r="C25" s="508"/>
      <c r="D25" s="439"/>
      <c r="E25" s="525" t="s">
        <v>569</v>
      </c>
      <c r="F25" s="526" t="str">
        <f>'4-22Master'!G5</f>
        <v>Burgeon IT Services Pvt.Ltd.</v>
      </c>
      <c r="G25" s="527"/>
    </row>
    <row r="26" spans="2:7" ht="15.75">
      <c r="B26" s="211"/>
      <c r="C26" s="508"/>
      <c r="D26" s="439"/>
      <c r="E26" s="439"/>
      <c r="F26" s="439"/>
      <c r="G26" s="24"/>
    </row>
    <row r="27" spans="2:7" ht="15.75">
      <c r="B27" s="540"/>
      <c r="C27" s="508"/>
      <c r="D27" s="439"/>
      <c r="E27" s="525"/>
      <c r="F27" s="541" t="s">
        <v>570</v>
      </c>
      <c r="G27" s="24"/>
    </row>
    <row r="28" spans="2:7" ht="15.75">
      <c r="B28" s="211"/>
      <c r="C28" s="508"/>
      <c r="D28" s="439"/>
      <c r="E28" s="439"/>
      <c r="F28" s="439"/>
      <c r="G28" s="212"/>
    </row>
    <row r="29" spans="2:7">
      <c r="B29" s="23"/>
      <c r="C29" s="439"/>
      <c r="D29" s="439"/>
      <c r="E29" s="439"/>
      <c r="F29" s="439"/>
      <c r="G29" s="24"/>
    </row>
    <row r="30" spans="2:7">
      <c r="B30" s="23"/>
      <c r="C30" s="439"/>
      <c r="D30" s="439"/>
      <c r="E30" s="525"/>
      <c r="F30" s="542"/>
      <c r="G30" s="212"/>
    </row>
    <row r="31" spans="2:7">
      <c r="B31" s="23"/>
      <c r="C31" s="439"/>
      <c r="D31" s="439"/>
      <c r="E31" s="439"/>
      <c r="F31" s="439"/>
      <c r="G31" s="24"/>
    </row>
    <row r="32" spans="2:7" ht="15.75" thickBot="1">
      <c r="B32" s="35"/>
      <c r="C32" s="33"/>
      <c r="D32" s="33"/>
      <c r="E32" s="528"/>
      <c r="F32" s="529"/>
      <c r="G32" s="34"/>
    </row>
  </sheetData>
  <mergeCells count="7">
    <mergeCell ref="B22:F22"/>
    <mergeCell ref="B1:G1"/>
    <mergeCell ref="B2:G2"/>
    <mergeCell ref="C4:F4"/>
    <mergeCell ref="C5:E5"/>
    <mergeCell ref="B9:G9"/>
    <mergeCell ref="C21:F2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G28"/>
  <sheetViews>
    <sheetView topLeftCell="A7" workbookViewId="0">
      <selection activeCell="G18" sqref="G18"/>
    </sheetView>
  </sheetViews>
  <sheetFormatPr defaultRowHeight="15"/>
  <cols>
    <col min="1" max="1" width="8.7109375" customWidth="1"/>
    <col min="3" max="3" width="19.7109375" customWidth="1"/>
    <col min="4" max="5" width="24.28515625" customWidth="1"/>
    <col min="6" max="6" width="25.85546875" customWidth="1"/>
    <col min="7" max="7" width="18.28515625" customWidth="1"/>
  </cols>
  <sheetData>
    <row r="1" spans="2:7" ht="16.5">
      <c r="B1" s="900" t="s">
        <v>585</v>
      </c>
      <c r="C1" s="901"/>
      <c r="D1" s="901"/>
      <c r="E1" s="901"/>
      <c r="F1" s="901"/>
      <c r="G1" s="902"/>
    </row>
    <row r="2" spans="2:7" ht="15.75">
      <c r="B2" s="916" t="s">
        <v>586</v>
      </c>
      <c r="C2" s="917"/>
      <c r="D2" s="917"/>
      <c r="E2" s="917"/>
      <c r="F2" s="917"/>
      <c r="G2" s="918"/>
    </row>
    <row r="3" spans="2:7" ht="15.75">
      <c r="B3" s="543"/>
      <c r="C3" s="544"/>
      <c r="D3" s="544"/>
      <c r="E3" s="544"/>
      <c r="F3" s="544"/>
      <c r="G3" s="545"/>
    </row>
    <row r="4" spans="2:7" ht="15.75">
      <c r="B4" s="530" t="s">
        <v>540</v>
      </c>
      <c r="C4" s="439"/>
      <c r="D4" s="531" t="str">
        <f>'4-22Master'!G5</f>
        <v>Burgeon IT Services Pvt.Ltd.</v>
      </c>
      <c r="E4" s="437" t="str">
        <f>'4-22Master'!G6</f>
        <v>Siri Mansion LIGB 436 Dr.A S Rao Nagar,Hyderabad</v>
      </c>
      <c r="F4" s="437"/>
      <c r="G4" s="24"/>
    </row>
    <row r="5" spans="2:7">
      <c r="B5" s="211"/>
      <c r="C5" s="898"/>
      <c r="D5" s="899"/>
      <c r="E5" s="899"/>
      <c r="F5" s="899"/>
      <c r="G5" s="24"/>
    </row>
    <row r="6" spans="2:7">
      <c r="B6" s="211"/>
      <c r="C6" s="898"/>
      <c r="D6" s="899"/>
      <c r="E6" s="899"/>
      <c r="F6" s="439"/>
      <c r="G6" s="24"/>
    </row>
    <row r="7" spans="2:7" ht="15.75">
      <c r="B7" s="532" t="s">
        <v>587</v>
      </c>
      <c r="C7" s="533"/>
      <c r="D7" s="437"/>
      <c r="E7" s="437"/>
      <c r="F7" s="437"/>
      <c r="G7" s="534"/>
    </row>
    <row r="8" spans="2:7" ht="15.75">
      <c r="B8" s="546" t="s">
        <v>588</v>
      </c>
      <c r="C8" s="439"/>
      <c r="D8" s="438"/>
      <c r="E8" s="439"/>
      <c r="F8" s="439"/>
      <c r="G8" s="24"/>
    </row>
    <row r="9" spans="2:7" ht="15.75">
      <c r="B9" s="547" t="s">
        <v>589</v>
      </c>
      <c r="C9" s="439"/>
      <c r="D9" s="439"/>
      <c r="E9" s="439"/>
      <c r="F9" s="439"/>
      <c r="G9" s="24"/>
    </row>
    <row r="10" spans="2:7" s="512" customFormat="1" ht="15.75">
      <c r="B10" s="912"/>
      <c r="C10" s="913"/>
      <c r="D10" s="913"/>
      <c r="E10" s="913"/>
      <c r="F10" s="913"/>
      <c r="G10" s="914"/>
    </row>
    <row r="11" spans="2:7">
      <c r="B11" s="537"/>
      <c r="C11" s="439"/>
      <c r="D11" s="439"/>
      <c r="E11" s="439"/>
      <c r="F11" s="439"/>
      <c r="G11" s="24"/>
    </row>
    <row r="12" spans="2:7">
      <c r="B12" s="211"/>
      <c r="C12" s="439"/>
      <c r="D12" s="439"/>
      <c r="E12" s="439"/>
      <c r="F12" s="439"/>
      <c r="G12" s="24"/>
    </row>
    <row r="13" spans="2:7">
      <c r="B13" s="211"/>
      <c r="C13" s="439"/>
      <c r="D13" s="538" t="s">
        <v>578</v>
      </c>
      <c r="E13" s="439"/>
      <c r="F13" s="439"/>
      <c r="G13" s="24"/>
    </row>
    <row r="14" spans="2:7">
      <c r="B14" s="211"/>
      <c r="C14" s="439"/>
      <c r="D14" s="439"/>
      <c r="E14" s="439"/>
      <c r="F14" s="439"/>
      <c r="G14" s="24"/>
    </row>
    <row r="15" spans="2:7">
      <c r="B15" s="211"/>
      <c r="C15" s="548" t="s">
        <v>590</v>
      </c>
      <c r="D15" s="439"/>
      <c r="E15" s="439"/>
      <c r="F15" s="439"/>
      <c r="G15" s="24"/>
    </row>
    <row r="16" spans="2:7" ht="15.75">
      <c r="B16" s="211"/>
      <c r="C16" s="915"/>
      <c r="D16" s="915"/>
      <c r="E16" s="915"/>
      <c r="F16" s="915"/>
      <c r="G16" s="212"/>
    </row>
    <row r="17" spans="2:7" ht="15.75">
      <c r="B17" s="896" t="s">
        <v>568</v>
      </c>
      <c r="C17" s="897"/>
      <c r="D17" s="897"/>
      <c r="E17" s="897"/>
      <c r="F17" s="897"/>
      <c r="G17" s="524">
        <f>'4-22Master'!E10</f>
        <v>44652</v>
      </c>
    </row>
    <row r="18" spans="2:7" ht="15.75">
      <c r="B18" s="211"/>
      <c r="C18" s="508"/>
      <c r="D18" s="439"/>
      <c r="E18" s="439"/>
      <c r="F18" s="439"/>
      <c r="G18" s="212"/>
    </row>
    <row r="19" spans="2:7" ht="15.75">
      <c r="B19" s="211"/>
      <c r="C19" s="508"/>
      <c r="D19" s="439"/>
      <c r="E19" s="439"/>
      <c r="F19" s="439"/>
      <c r="G19" s="212"/>
    </row>
    <row r="20" spans="2:7" ht="15.75">
      <c r="B20" s="211"/>
      <c r="C20" s="508"/>
      <c r="D20" s="439"/>
      <c r="E20" s="525" t="s">
        <v>569</v>
      </c>
      <c r="F20" s="526" t="str">
        <f>'4-22Master'!G5</f>
        <v>Burgeon IT Services Pvt.Ltd.</v>
      </c>
      <c r="G20" s="527"/>
    </row>
    <row r="21" spans="2:7" ht="15.75">
      <c r="B21" s="211"/>
      <c r="C21" s="508"/>
      <c r="D21" s="439"/>
      <c r="E21" s="439"/>
      <c r="F21" s="439"/>
      <c r="G21" s="24"/>
    </row>
    <row r="22" spans="2:7" ht="15.75">
      <c r="B22" s="540"/>
      <c r="C22" s="508"/>
      <c r="D22" s="439"/>
      <c r="E22" s="525"/>
      <c r="F22" s="541" t="s">
        <v>570</v>
      </c>
      <c r="G22" s="24"/>
    </row>
    <row r="23" spans="2:7" ht="15.75">
      <c r="B23" s="211"/>
      <c r="C23" s="508"/>
      <c r="D23" s="439"/>
      <c r="E23" s="439"/>
      <c r="F23" s="439"/>
      <c r="G23" s="212"/>
    </row>
    <row r="24" spans="2:7" ht="15.75">
      <c r="B24" s="896"/>
      <c r="C24" s="897"/>
      <c r="D24" s="897"/>
      <c r="E24" s="897"/>
      <c r="F24" s="897"/>
      <c r="G24" s="524"/>
    </row>
    <row r="25" spans="2:7">
      <c r="B25" s="23"/>
      <c r="C25" s="439"/>
      <c r="D25" s="439"/>
      <c r="E25" s="439"/>
      <c r="F25" s="439"/>
      <c r="G25" s="24"/>
    </row>
    <row r="26" spans="2:7">
      <c r="B26" s="23"/>
      <c r="C26" s="439"/>
      <c r="D26" s="439"/>
      <c r="E26" s="525"/>
      <c r="F26" s="542"/>
      <c r="G26" s="212"/>
    </row>
    <row r="27" spans="2:7">
      <c r="B27" s="23"/>
      <c r="C27" s="439"/>
      <c r="D27" s="439"/>
      <c r="E27" s="439"/>
      <c r="F27" s="439"/>
      <c r="G27" s="24"/>
    </row>
    <row r="28" spans="2:7" ht="15.75" thickBot="1">
      <c r="B28" s="35"/>
      <c r="C28" s="33"/>
      <c r="D28" s="33"/>
      <c r="E28" s="528"/>
      <c r="F28" s="529"/>
      <c r="G28" s="34"/>
    </row>
  </sheetData>
  <mergeCells count="8">
    <mergeCell ref="B17:F17"/>
    <mergeCell ref="B24:F24"/>
    <mergeCell ref="B1:G1"/>
    <mergeCell ref="B2:G2"/>
    <mergeCell ref="C5:F5"/>
    <mergeCell ref="C6:E6"/>
    <mergeCell ref="B10:G10"/>
    <mergeCell ref="C16:F1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G37"/>
  <sheetViews>
    <sheetView topLeftCell="A13" workbookViewId="0">
      <selection activeCell="K26" sqref="K26"/>
    </sheetView>
  </sheetViews>
  <sheetFormatPr defaultRowHeight="15"/>
  <cols>
    <col min="1" max="1" width="8.7109375" customWidth="1"/>
    <col min="3" max="3" width="19.7109375" customWidth="1"/>
    <col min="4" max="5" width="24.28515625" customWidth="1"/>
    <col min="6" max="6" width="25.85546875" customWidth="1"/>
    <col min="7" max="7" width="18.28515625" customWidth="1"/>
  </cols>
  <sheetData>
    <row r="1" spans="2:7" ht="22.9" customHeight="1">
      <c r="B1" s="900" t="s">
        <v>591</v>
      </c>
      <c r="C1" s="901"/>
      <c r="D1" s="901"/>
      <c r="E1" s="901"/>
      <c r="F1" s="901"/>
      <c r="G1" s="902"/>
    </row>
    <row r="2" spans="2:7" ht="15.75">
      <c r="B2" s="916" t="s">
        <v>592</v>
      </c>
      <c r="C2" s="917"/>
      <c r="D2" s="917"/>
      <c r="E2" s="917"/>
      <c r="F2" s="917"/>
      <c r="G2" s="918"/>
    </row>
    <row r="3" spans="2:7" ht="10.9" customHeight="1">
      <c r="B3" s="543"/>
      <c r="C3" s="544"/>
      <c r="D3" s="544"/>
      <c r="E3" s="544"/>
      <c r="F3" s="544"/>
      <c r="G3" s="545"/>
    </row>
    <row r="4" spans="2:7" ht="15.75">
      <c r="B4" s="530" t="s">
        <v>540</v>
      </c>
      <c r="C4" s="439"/>
      <c r="D4" s="531" t="str">
        <f>'4-22Master'!G5</f>
        <v>Burgeon IT Services Pvt.Ltd.</v>
      </c>
      <c r="E4" s="437" t="str">
        <f>'4-22Master'!G6</f>
        <v>Siri Mansion LIGB 436 Dr.A S Rao Nagar,Hyderabad</v>
      </c>
      <c r="F4" s="437"/>
      <c r="G4" s="24"/>
    </row>
    <row r="5" spans="2:7">
      <c r="B5" s="211"/>
      <c r="C5" s="898"/>
      <c r="D5" s="899"/>
      <c r="E5" s="899"/>
      <c r="F5" s="899"/>
      <c r="G5" s="24"/>
    </row>
    <row r="6" spans="2:7">
      <c r="B6" s="211"/>
      <c r="C6" s="898"/>
      <c r="D6" s="899"/>
      <c r="E6" s="899"/>
      <c r="F6" s="439"/>
      <c r="G6" s="24"/>
    </row>
    <row r="7" spans="2:7" ht="15.75">
      <c r="B7" s="532" t="s">
        <v>593</v>
      </c>
      <c r="C7" s="533"/>
      <c r="D7" s="437"/>
      <c r="E7" s="437"/>
      <c r="F7" s="437"/>
      <c r="G7" s="534"/>
    </row>
    <row r="8" spans="2:7" ht="15.75">
      <c r="B8" s="546" t="s">
        <v>594</v>
      </c>
      <c r="C8" s="439"/>
      <c r="D8" s="438"/>
      <c r="E8" s="439"/>
      <c r="F8" s="439"/>
      <c r="G8" s="24"/>
    </row>
    <row r="9" spans="2:7" ht="15.75">
      <c r="B9" s="547"/>
      <c r="C9" s="439"/>
      <c r="D9" s="439"/>
      <c r="E9" s="439"/>
      <c r="F9" s="439"/>
      <c r="G9" s="24"/>
    </row>
    <row r="10" spans="2:7" s="512" customFormat="1" ht="15.75">
      <c r="B10" s="912"/>
      <c r="C10" s="913"/>
      <c r="D10" s="913"/>
      <c r="E10" s="913"/>
      <c r="F10" s="913"/>
      <c r="G10" s="914"/>
    </row>
    <row r="11" spans="2:7">
      <c r="B11" s="537"/>
      <c r="C11" s="439"/>
      <c r="D11" s="439"/>
      <c r="E11" s="538" t="s">
        <v>595</v>
      </c>
      <c r="F11" s="439"/>
      <c r="G11" s="24"/>
    </row>
    <row r="12" spans="2:7">
      <c r="B12" s="537"/>
      <c r="C12" s="439"/>
      <c r="D12" s="439"/>
      <c r="E12" s="538"/>
      <c r="F12" s="439"/>
      <c r="G12" s="24"/>
    </row>
    <row r="13" spans="2:7">
      <c r="B13" s="537"/>
      <c r="C13" s="280" t="s">
        <v>596</v>
      </c>
      <c r="D13" s="439"/>
      <c r="E13" s="538"/>
      <c r="F13" s="439"/>
      <c r="G13" s="24"/>
    </row>
    <row r="14" spans="2:7">
      <c r="B14" s="537"/>
      <c r="C14" s="280" t="s">
        <v>597</v>
      </c>
      <c r="D14" s="439"/>
      <c r="E14" s="538"/>
      <c r="F14" s="439"/>
      <c r="G14" s="24"/>
    </row>
    <row r="15" spans="2:7">
      <c r="B15" s="537"/>
      <c r="C15" s="549" t="s">
        <v>581</v>
      </c>
      <c r="D15" s="439"/>
      <c r="E15" s="538"/>
      <c r="F15" s="439"/>
      <c r="G15" s="24"/>
    </row>
    <row r="16" spans="2:7">
      <c r="B16" s="537"/>
      <c r="C16" s="549" t="s">
        <v>598</v>
      </c>
      <c r="D16" s="439"/>
      <c r="E16" s="538"/>
      <c r="F16" s="439"/>
      <c r="G16" s="24"/>
    </row>
    <row r="17" spans="2:7">
      <c r="B17" s="211"/>
      <c r="C17" s="549" t="s">
        <v>599</v>
      </c>
      <c r="D17" s="439"/>
      <c r="E17" s="439"/>
      <c r="F17" s="439"/>
      <c r="G17" s="24"/>
    </row>
    <row r="18" spans="2:7">
      <c r="B18" s="211"/>
      <c r="C18" s="439"/>
      <c r="E18" s="439"/>
      <c r="F18" s="439"/>
      <c r="G18" s="24"/>
    </row>
    <row r="19" spans="2:7">
      <c r="B19" s="211"/>
      <c r="C19" s="439"/>
      <c r="D19" s="439"/>
      <c r="E19" s="439"/>
      <c r="F19" s="439"/>
      <c r="G19" s="24"/>
    </row>
    <row r="20" spans="2:7">
      <c r="B20" s="211"/>
      <c r="C20" s="549" t="s">
        <v>600</v>
      </c>
      <c r="D20" s="439"/>
      <c r="E20" s="439"/>
      <c r="F20" s="439"/>
      <c r="G20" s="24"/>
    </row>
    <row r="21" spans="2:7" ht="15.75">
      <c r="B21" s="211"/>
      <c r="C21" s="915"/>
      <c r="D21" s="915"/>
      <c r="E21" s="915"/>
      <c r="F21" s="915"/>
      <c r="G21" s="212"/>
    </row>
    <row r="22" spans="2:7" ht="15.75">
      <c r="B22" s="896" t="s">
        <v>568</v>
      </c>
      <c r="C22" s="897"/>
      <c r="D22" s="897"/>
      <c r="E22" s="897"/>
      <c r="F22" s="897"/>
      <c r="G22" s="524">
        <f>'4-22Master'!E10</f>
        <v>44652</v>
      </c>
    </row>
    <row r="23" spans="2:7" ht="15.75">
      <c r="B23" s="211"/>
      <c r="C23" s="508"/>
      <c r="D23" s="439"/>
      <c r="E23" s="439"/>
      <c r="F23" s="439"/>
      <c r="G23" s="212"/>
    </row>
    <row r="24" spans="2:7" ht="15.75">
      <c r="B24" s="211"/>
      <c r="C24" s="508"/>
      <c r="D24" s="439"/>
      <c r="E24" s="439"/>
      <c r="F24" s="439"/>
      <c r="G24" s="212"/>
    </row>
    <row r="25" spans="2:7" ht="15.75">
      <c r="B25" s="211"/>
      <c r="C25" s="508"/>
      <c r="D25" s="439"/>
      <c r="E25" s="525" t="s">
        <v>569</v>
      </c>
      <c r="F25" s="526" t="str">
        <f>'4-22Master'!G5</f>
        <v>Burgeon IT Services Pvt.Ltd.</v>
      </c>
      <c r="G25" s="527"/>
    </row>
    <row r="26" spans="2:7" ht="15.75">
      <c r="B26" s="211"/>
      <c r="C26" s="508"/>
      <c r="D26" s="439"/>
      <c r="E26" s="439"/>
      <c r="F26" s="439"/>
      <c r="G26" s="24"/>
    </row>
    <row r="27" spans="2:7" ht="15.75">
      <c r="B27" s="540"/>
      <c r="C27" s="508"/>
      <c r="D27" s="439"/>
      <c r="E27" s="525"/>
      <c r="F27" s="541" t="s">
        <v>570</v>
      </c>
      <c r="G27" s="24"/>
    </row>
    <row r="28" spans="2:7" ht="15.75">
      <c r="B28" s="211"/>
      <c r="C28" s="508"/>
      <c r="D28" s="439"/>
      <c r="E28" s="439"/>
      <c r="F28" s="439"/>
      <c r="G28" s="212"/>
    </row>
    <row r="29" spans="2:7" ht="15.75">
      <c r="B29" s="211"/>
      <c r="C29" s="508"/>
      <c r="D29" s="439"/>
      <c r="E29" s="439"/>
      <c r="F29" s="439"/>
      <c r="G29" s="212"/>
    </row>
    <row r="30" spans="2:7" ht="15.75">
      <c r="B30" s="211"/>
      <c r="C30" s="915"/>
      <c r="D30" s="915"/>
      <c r="E30" s="915"/>
      <c r="F30" s="915"/>
      <c r="G30" s="24"/>
    </row>
    <row r="31" spans="2:7" ht="15.75">
      <c r="B31" s="211"/>
      <c r="C31" s="508"/>
      <c r="D31" s="439"/>
      <c r="E31" s="439"/>
      <c r="F31" s="439"/>
      <c r="G31" s="24"/>
    </row>
    <row r="32" spans="2:7">
      <c r="B32" s="211"/>
      <c r="C32" s="919"/>
      <c r="D32" s="920"/>
      <c r="E32" s="920"/>
      <c r="F32" s="920"/>
      <c r="G32" s="921"/>
    </row>
    <row r="33" spans="2:7" ht="15.75">
      <c r="B33" s="896"/>
      <c r="C33" s="897"/>
      <c r="D33" s="897"/>
      <c r="E33" s="897"/>
      <c r="F33" s="897"/>
      <c r="G33" s="524"/>
    </row>
    <row r="34" spans="2:7">
      <c r="B34" s="23"/>
      <c r="C34" s="439"/>
      <c r="D34" s="439"/>
      <c r="E34" s="439"/>
      <c r="F34" s="439"/>
      <c r="G34" s="24"/>
    </row>
    <row r="35" spans="2:7">
      <c r="B35" s="23"/>
      <c r="C35" s="439"/>
      <c r="D35" s="439"/>
      <c r="E35" s="525"/>
      <c r="F35" s="542"/>
      <c r="G35" s="212"/>
    </row>
    <row r="36" spans="2:7">
      <c r="B36" s="23"/>
      <c r="C36" s="439"/>
      <c r="D36" s="439"/>
      <c r="E36" s="439"/>
      <c r="F36" s="439"/>
      <c r="G36" s="24"/>
    </row>
    <row r="37" spans="2:7" ht="15.75" thickBot="1">
      <c r="B37" s="35"/>
      <c r="C37" s="33"/>
      <c r="D37" s="33"/>
      <c r="E37" s="528"/>
      <c r="F37" s="529"/>
      <c r="G37" s="34"/>
    </row>
  </sheetData>
  <mergeCells count="10">
    <mergeCell ref="B22:F22"/>
    <mergeCell ref="C30:F30"/>
    <mergeCell ref="C32:G32"/>
    <mergeCell ref="B33:F33"/>
    <mergeCell ref="B1:G1"/>
    <mergeCell ref="B2:G2"/>
    <mergeCell ref="C5:F5"/>
    <mergeCell ref="C6:E6"/>
    <mergeCell ref="B10:G10"/>
    <mergeCell ref="C21:F2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G19"/>
  <sheetViews>
    <sheetView workbookViewId="0">
      <selection activeCell="K14" sqref="K14"/>
    </sheetView>
  </sheetViews>
  <sheetFormatPr defaultRowHeight="15"/>
  <cols>
    <col min="3" max="3" width="21.7109375" bestFit="1" customWidth="1"/>
    <col min="4" max="4" width="17" customWidth="1"/>
    <col min="5" max="5" width="14.42578125" customWidth="1"/>
    <col min="6" max="6" width="17" customWidth="1"/>
    <col min="7" max="7" width="16.42578125" customWidth="1"/>
  </cols>
  <sheetData>
    <row r="1" spans="2:7" ht="23.25" customHeight="1">
      <c r="C1" s="4" t="str">
        <f>'4-22Master'!G5</f>
        <v>Burgeon IT Services Pvt.Ltd.</v>
      </c>
      <c r="E1" s="4" t="s">
        <v>197</v>
      </c>
    </row>
    <row r="2" spans="2:7">
      <c r="B2" s="200" t="s">
        <v>5</v>
      </c>
      <c r="C2" s="200" t="s">
        <v>158</v>
      </c>
      <c r="D2" s="200" t="s">
        <v>150</v>
      </c>
      <c r="E2" s="200" t="s">
        <v>195</v>
      </c>
      <c r="F2" s="200" t="s">
        <v>196</v>
      </c>
      <c r="G2" s="200" t="s">
        <v>40</v>
      </c>
    </row>
    <row r="3" spans="2:7">
      <c r="B3" s="19">
        <v>2</v>
      </c>
      <c r="C3" s="37" t="e">
        <f>'4-22Master'!#REF!</f>
        <v>#REF!</v>
      </c>
      <c r="D3" s="37" t="e">
        <f>'4-22Master'!#REF!</f>
        <v>#REF!</v>
      </c>
      <c r="E3" s="19"/>
      <c r="F3" s="19"/>
      <c r="G3" s="19"/>
    </row>
    <row r="4" spans="2:7">
      <c r="B4" s="19">
        <v>5</v>
      </c>
      <c r="C4" s="37" t="e">
        <f>'4-22Master'!#REF!</f>
        <v>#REF!</v>
      </c>
      <c r="D4" s="37" t="e">
        <f>'4-22Master'!#REF!</f>
        <v>#REF!</v>
      </c>
      <c r="E4" s="19"/>
      <c r="F4" s="19"/>
      <c r="G4" s="19"/>
    </row>
    <row r="5" spans="2:7">
      <c r="B5" s="19">
        <v>6</v>
      </c>
      <c r="C5" s="37" t="e">
        <f>'4-22Master'!#REF!</f>
        <v>#REF!</v>
      </c>
      <c r="D5" s="37" t="e">
        <f>'4-22Master'!#REF!</f>
        <v>#REF!</v>
      </c>
      <c r="E5" s="19"/>
      <c r="F5" s="19"/>
      <c r="G5" s="19"/>
    </row>
    <row r="6" spans="2:7">
      <c r="B6" s="19">
        <v>7</v>
      </c>
      <c r="C6" s="37" t="str">
        <f>'4-22Master'!V18</f>
        <v>Amith a</v>
      </c>
      <c r="D6" s="37" t="str">
        <f>'4-22Master'!U18</f>
        <v>N/A</v>
      </c>
      <c r="E6" s="19"/>
      <c r="F6" s="19"/>
      <c r="G6" s="19"/>
    </row>
    <row r="7" spans="2:7">
      <c r="B7" s="19">
        <v>8</v>
      </c>
      <c r="C7" s="37" t="e">
        <f>'4-22Master'!#REF!</f>
        <v>#REF!</v>
      </c>
      <c r="D7" s="37" t="e">
        <f>'4-22Master'!#REF!</f>
        <v>#REF!</v>
      </c>
      <c r="E7" s="19"/>
      <c r="F7" s="19"/>
      <c r="G7" s="19"/>
    </row>
    <row r="8" spans="2:7">
      <c r="B8" s="19">
        <v>9</v>
      </c>
      <c r="C8" s="37" t="e">
        <f>'4-22Master'!#REF!</f>
        <v>#REF!</v>
      </c>
      <c r="D8" s="37" t="e">
        <f>'4-22Master'!#REF!</f>
        <v>#REF!</v>
      </c>
      <c r="E8" s="19"/>
      <c r="F8" s="19"/>
      <c r="G8" s="19"/>
    </row>
    <row r="9" spans="2:7">
      <c r="B9" s="19">
        <v>10</v>
      </c>
      <c r="C9" s="37" t="e">
        <f>'4-22Master'!#REF!</f>
        <v>#REF!</v>
      </c>
      <c r="D9" s="37" t="e">
        <f>'4-22Master'!#REF!</f>
        <v>#REF!</v>
      </c>
      <c r="E9" s="19"/>
      <c r="F9" s="19"/>
      <c r="G9" s="19"/>
    </row>
    <row r="10" spans="2:7">
      <c r="B10" s="19">
        <v>11</v>
      </c>
      <c r="C10" s="37" t="e">
        <f>'4-22Master'!#REF!</f>
        <v>#REF!</v>
      </c>
      <c r="D10" s="37" t="e">
        <f>'4-22Master'!#REF!</f>
        <v>#REF!</v>
      </c>
      <c r="E10" s="19"/>
      <c r="F10" s="19"/>
      <c r="G10" s="19"/>
    </row>
    <row r="11" spans="2:7">
      <c r="B11" s="19">
        <v>12</v>
      </c>
      <c r="C11" s="37" t="e">
        <f>'4-22Master'!#REF!</f>
        <v>#REF!</v>
      </c>
      <c r="D11" s="37" t="e">
        <f>'4-22Master'!#REF!</f>
        <v>#REF!</v>
      </c>
      <c r="E11" s="19"/>
      <c r="F11" s="19"/>
      <c r="G11" s="19"/>
    </row>
    <row r="12" spans="2:7">
      <c r="B12" s="19">
        <v>13</v>
      </c>
      <c r="C12" s="37" t="e">
        <f>'4-22Master'!#REF!</f>
        <v>#REF!</v>
      </c>
      <c r="D12" s="37" t="e">
        <f>'4-22Master'!#REF!</f>
        <v>#REF!</v>
      </c>
      <c r="E12" s="19"/>
      <c r="F12" s="19"/>
      <c r="G12" s="19"/>
    </row>
    <row r="13" spans="2:7">
      <c r="B13" s="19">
        <v>14</v>
      </c>
      <c r="C13" s="37" t="e">
        <f>'4-22Master'!#REF!</f>
        <v>#REF!</v>
      </c>
      <c r="D13" s="37" t="e">
        <f>'4-22Master'!#REF!</f>
        <v>#REF!</v>
      </c>
      <c r="E13" s="19"/>
      <c r="F13" s="19"/>
      <c r="G13" s="19"/>
    </row>
    <row r="14" spans="2:7">
      <c r="B14" s="19">
        <v>15</v>
      </c>
      <c r="C14" s="37" t="e">
        <f>'4-22Master'!#REF!</f>
        <v>#REF!</v>
      </c>
      <c r="D14" s="37" t="e">
        <f>'4-22Master'!#REF!</f>
        <v>#REF!</v>
      </c>
      <c r="E14" s="19"/>
      <c r="F14" s="19"/>
      <c r="G14" s="19"/>
    </row>
    <row r="15" spans="2:7">
      <c r="B15" s="19">
        <v>16</v>
      </c>
      <c r="C15" s="37" t="e">
        <f>'4-22Master'!#REF!</f>
        <v>#REF!</v>
      </c>
      <c r="D15" s="37" t="e">
        <f>'4-22Master'!#REF!</f>
        <v>#REF!</v>
      </c>
      <c r="E15" s="19"/>
      <c r="F15" s="19"/>
      <c r="G15" s="19"/>
    </row>
    <row r="16" spans="2:7">
      <c r="B16" s="19">
        <v>17</v>
      </c>
      <c r="C16" s="37" t="e">
        <f>'4-22Master'!#REF!</f>
        <v>#REF!</v>
      </c>
      <c r="D16" s="37" t="e">
        <f>'4-22Master'!#REF!</f>
        <v>#REF!</v>
      </c>
      <c r="E16" s="19"/>
      <c r="F16" s="19"/>
      <c r="G16" s="19"/>
    </row>
    <row r="17" spans="2:7">
      <c r="B17" s="19">
        <v>18</v>
      </c>
      <c r="C17" s="37" t="e">
        <f>'4-22Master'!#REF!</f>
        <v>#REF!</v>
      </c>
      <c r="D17" s="37" t="e">
        <f>'4-22Master'!#REF!</f>
        <v>#REF!</v>
      </c>
      <c r="E17" s="19"/>
      <c r="F17" s="19"/>
      <c r="G17" s="19"/>
    </row>
    <row r="18" spans="2:7">
      <c r="B18" s="19">
        <v>19</v>
      </c>
      <c r="C18" s="37" t="e">
        <f>'4-22Master'!#REF!</f>
        <v>#REF!</v>
      </c>
      <c r="D18" s="37" t="e">
        <f>'4-22Master'!#REF!</f>
        <v>#REF!</v>
      </c>
      <c r="E18" s="19"/>
      <c r="F18" s="19"/>
      <c r="G18" s="19"/>
    </row>
    <row r="19" spans="2:7">
      <c r="B19" s="19">
        <v>20</v>
      </c>
      <c r="C19" s="37" t="e">
        <f>'4-22Master'!#REF!</f>
        <v>#REF!</v>
      </c>
      <c r="D19" s="37" t="e">
        <f>'4-22Master'!#REF!</f>
        <v>#REF!</v>
      </c>
      <c r="E19" s="19"/>
      <c r="F19" s="19"/>
      <c r="G19" s="19"/>
    </row>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763"/>
  <sheetViews>
    <sheetView topLeftCell="A7" workbookViewId="0">
      <selection activeCell="M390" sqref="M390"/>
    </sheetView>
  </sheetViews>
  <sheetFormatPr defaultRowHeight="15"/>
  <cols>
    <col min="6" max="6" width="16.85546875" customWidth="1"/>
    <col min="10" max="10" width="14.5703125" customWidth="1"/>
    <col min="12" max="12" width="22.7109375" customWidth="1"/>
  </cols>
  <sheetData>
    <row r="1" spans="1:12" ht="29.25" customHeight="1">
      <c r="A1" s="94"/>
      <c r="B1" s="797" t="s">
        <v>199</v>
      </c>
      <c r="C1" s="798"/>
      <c r="D1" s="798"/>
      <c r="E1" s="798"/>
      <c r="F1" s="798"/>
      <c r="G1" s="798"/>
      <c r="H1" s="798"/>
      <c r="I1" s="798"/>
      <c r="J1" s="798"/>
      <c r="K1" s="798"/>
      <c r="L1" s="799"/>
    </row>
    <row r="2" spans="1:12" ht="23.25">
      <c r="A2" s="23"/>
      <c r="B2" s="800" t="s">
        <v>200</v>
      </c>
      <c r="C2" s="800"/>
      <c r="D2" s="800"/>
      <c r="E2" s="800"/>
      <c r="F2" s="800"/>
      <c r="G2" s="800"/>
      <c r="H2" s="800"/>
      <c r="I2" s="800"/>
      <c r="J2" s="800"/>
      <c r="K2" s="800"/>
      <c r="L2" s="801"/>
    </row>
    <row r="3" spans="1:12" ht="12.75" customHeight="1" thickBot="1">
      <c r="A3" s="35"/>
      <c r="B3" s="802" t="s">
        <v>201</v>
      </c>
      <c r="C3" s="802"/>
      <c r="D3" s="802"/>
      <c r="E3" s="802"/>
      <c r="F3" s="802"/>
      <c r="G3" s="802"/>
      <c r="H3" s="802"/>
      <c r="I3" s="802"/>
      <c r="J3" s="802"/>
      <c r="K3" s="802"/>
      <c r="L3" s="803"/>
    </row>
    <row r="4" spans="1:12">
      <c r="A4" s="23"/>
      <c r="B4" s="804" t="s">
        <v>126</v>
      </c>
      <c r="C4" s="804"/>
      <c r="D4" s="804"/>
      <c r="E4" s="804"/>
      <c r="F4" s="804"/>
      <c r="H4" s="805" t="s">
        <v>127</v>
      </c>
      <c r="I4" s="805"/>
      <c r="J4" s="805"/>
      <c r="K4" s="805"/>
      <c r="L4" s="806"/>
    </row>
    <row r="5" spans="1:12" ht="15.75" thickBot="1">
      <c r="A5" s="23"/>
      <c r="B5" s="804"/>
      <c r="C5" s="804"/>
      <c r="D5" s="804"/>
      <c r="E5" s="804"/>
      <c r="F5" s="804"/>
      <c r="H5" s="805"/>
      <c r="I5" s="805"/>
      <c r="J5" s="805"/>
      <c r="K5" s="805"/>
      <c r="L5" s="806"/>
    </row>
    <row r="6" spans="1:12">
      <c r="A6" s="23"/>
      <c r="B6" s="94"/>
      <c r="C6" s="95"/>
      <c r="D6" s="95"/>
      <c r="E6" s="95"/>
      <c r="F6" s="96"/>
      <c r="H6" s="94"/>
      <c r="I6" s="95"/>
      <c r="J6" s="95"/>
      <c r="K6" s="95"/>
      <c r="L6" s="96"/>
    </row>
    <row r="7" spans="1:12">
      <c r="A7" s="23"/>
      <c r="B7" s="97" t="e">
        <f>#REF!</f>
        <v>#REF!</v>
      </c>
      <c r="F7" s="24"/>
      <c r="H7" s="97" t="e">
        <f>#REF!</f>
        <v>#REF!</v>
      </c>
      <c r="L7" s="24"/>
    </row>
    <row r="8" spans="1:12">
      <c r="A8" s="23"/>
      <c r="B8" s="23"/>
      <c r="F8" s="24"/>
      <c r="H8" s="23"/>
      <c r="L8" s="24"/>
    </row>
    <row r="9" spans="1:12">
      <c r="A9" s="23"/>
      <c r="B9" s="97" t="e">
        <f>#REF!</f>
        <v>#REF!</v>
      </c>
      <c r="F9" s="24"/>
      <c r="H9" s="97" t="e">
        <f>#REF!</f>
        <v>#REF!</v>
      </c>
      <c r="L9" s="24"/>
    </row>
    <row r="10" spans="1:12" ht="15.75" thickBot="1">
      <c r="A10" s="23"/>
      <c r="B10" s="35"/>
      <c r="C10" s="33"/>
      <c r="D10" s="33"/>
      <c r="E10" s="33"/>
      <c r="F10" s="34"/>
      <c r="H10" s="35"/>
      <c r="I10" s="33"/>
      <c r="J10" s="33"/>
      <c r="K10" s="33"/>
      <c r="L10" s="34"/>
    </row>
    <row r="11" spans="1:12">
      <c r="A11" s="23"/>
      <c r="J11" t="s">
        <v>128</v>
      </c>
      <c r="L11" s="24"/>
    </row>
    <row r="12" spans="1:12">
      <c r="A12" s="23"/>
      <c r="B12" s="725" t="s">
        <v>129</v>
      </c>
      <c r="C12" s="725"/>
      <c r="D12" s="725"/>
      <c r="E12" s="725"/>
      <c r="F12" s="725"/>
      <c r="H12" s="725" t="s">
        <v>4</v>
      </c>
      <c r="I12" s="725"/>
      <c r="J12" s="725"/>
      <c r="K12" s="725"/>
      <c r="L12" s="815"/>
    </row>
    <row r="13" spans="1:12" ht="15.75" thickBot="1">
      <c r="A13" s="23"/>
      <c r="L13" s="24"/>
    </row>
    <row r="14" spans="1:12">
      <c r="A14" s="23"/>
      <c r="B14" s="94"/>
      <c r="C14" s="95"/>
      <c r="D14" s="95"/>
      <c r="E14" s="95"/>
      <c r="F14" s="96"/>
      <c r="H14" s="98"/>
      <c r="I14" s="99"/>
      <c r="J14" s="99"/>
      <c r="K14" s="99"/>
      <c r="L14" s="100"/>
    </row>
    <row r="15" spans="1:12">
      <c r="A15" s="23"/>
      <c r="B15" s="23"/>
      <c r="F15" s="24"/>
      <c r="H15" s="97" t="e">
        <f>#REF!</f>
        <v>#REF!</v>
      </c>
      <c r="I15" s="4"/>
      <c r="J15" s="4"/>
      <c r="K15" s="4"/>
      <c r="L15" s="101"/>
    </row>
    <row r="16" spans="1:12">
      <c r="A16" s="23"/>
      <c r="B16" s="97" t="e">
        <f>#REF!</f>
        <v>#REF!</v>
      </c>
      <c r="F16" s="24"/>
      <c r="H16" s="97"/>
      <c r="I16" s="4"/>
      <c r="J16" s="4"/>
      <c r="K16" s="4"/>
      <c r="L16" s="101"/>
    </row>
    <row r="17" spans="1:12">
      <c r="A17" s="23"/>
      <c r="B17" s="23"/>
      <c r="F17" s="24"/>
      <c r="H17" s="97" t="e">
        <f>#REF!</f>
        <v>#REF!</v>
      </c>
      <c r="I17" s="4"/>
      <c r="J17" s="4"/>
      <c r="K17" s="4"/>
      <c r="L17" s="101"/>
    </row>
    <row r="18" spans="1:12" ht="15.75" thickBot="1">
      <c r="A18" s="23"/>
      <c r="B18" s="35"/>
      <c r="C18" s="33"/>
      <c r="D18" s="33"/>
      <c r="E18" s="33"/>
      <c r="F18" s="34"/>
      <c r="H18" s="102"/>
      <c r="I18" s="103"/>
      <c r="J18" s="103"/>
      <c r="K18" s="103"/>
      <c r="L18" s="104"/>
    </row>
    <row r="19" spans="1:12" ht="27.95" customHeight="1">
      <c r="A19" s="105"/>
      <c r="B19" s="807" t="s">
        <v>202</v>
      </c>
      <c r="C19" s="807"/>
      <c r="D19" s="807"/>
      <c r="E19" s="807"/>
      <c r="F19" s="807"/>
      <c r="G19" s="807"/>
      <c r="H19" s="816" t="e">
        <f>'4-22Master'!#REF!</f>
        <v>#REF!</v>
      </c>
      <c r="I19" s="809"/>
      <c r="J19" s="809"/>
      <c r="K19" s="809"/>
      <c r="L19" s="810"/>
    </row>
    <row r="20" spans="1:12" ht="27.95" customHeight="1">
      <c r="A20" s="105"/>
      <c r="B20" s="817" t="s">
        <v>203</v>
      </c>
      <c r="C20" s="817"/>
      <c r="D20" s="817"/>
      <c r="E20" s="817"/>
      <c r="F20" s="817"/>
      <c r="G20" s="817"/>
      <c r="H20" s="816" t="e">
        <f>'4-22Master'!#REF!</f>
        <v>#REF!</v>
      </c>
      <c r="I20" s="809"/>
      <c r="J20" s="809"/>
      <c r="K20" s="809"/>
      <c r="L20" s="810"/>
    </row>
    <row r="21" spans="1:12" ht="27.95" customHeight="1">
      <c r="A21" s="105"/>
      <c r="B21" s="807" t="s">
        <v>204</v>
      </c>
      <c r="C21" s="807"/>
      <c r="D21" s="807"/>
      <c r="E21" s="807"/>
      <c r="F21" s="807"/>
      <c r="G21" s="807"/>
      <c r="H21" s="816" t="e">
        <f>'4-22Master'!#REF!</f>
        <v>#REF!</v>
      </c>
      <c r="I21" s="809"/>
      <c r="J21" s="809"/>
      <c r="K21" s="809"/>
      <c r="L21" s="810"/>
    </row>
    <row r="22" spans="1:12" ht="27.95" customHeight="1">
      <c r="A22" s="105"/>
      <c r="B22" s="807" t="s">
        <v>205</v>
      </c>
      <c r="C22" s="807"/>
      <c r="D22" s="807"/>
      <c r="E22" s="807"/>
      <c r="F22" s="807"/>
      <c r="G22" s="807"/>
      <c r="H22" s="941" t="e">
        <f>'4-22Master'!#REF!</f>
        <v>#REF!</v>
      </c>
      <c r="I22" s="809"/>
      <c r="J22" s="809"/>
      <c r="K22" s="809"/>
      <c r="L22" s="810"/>
    </row>
    <row r="23" spans="1:12" ht="27.95" customHeight="1">
      <c r="A23" s="105"/>
      <c r="B23" s="106" t="s">
        <v>206</v>
      </c>
      <c r="C23" s="107"/>
      <c r="D23" s="107"/>
      <c r="E23" s="107"/>
      <c r="F23" s="107"/>
      <c r="G23" s="107"/>
      <c r="H23" s="938" t="s">
        <v>207</v>
      </c>
      <c r="I23" s="939"/>
      <c r="J23" s="939"/>
      <c r="K23" s="939"/>
      <c r="L23" s="940"/>
    </row>
    <row r="24" spans="1:12" ht="27.95" customHeight="1">
      <c r="A24" s="105"/>
      <c r="B24" s="106" t="s">
        <v>208</v>
      </c>
      <c r="C24" s="107"/>
      <c r="D24" s="107"/>
      <c r="E24" s="107"/>
      <c r="F24" s="107"/>
      <c r="G24" s="107"/>
      <c r="H24" s="108"/>
      <c r="I24" s="110"/>
      <c r="J24" s="221"/>
      <c r="K24" s="110"/>
      <c r="L24" s="115"/>
    </row>
    <row r="25" spans="1:12" ht="27.95" customHeight="1">
      <c r="A25" s="105"/>
      <c r="B25" s="811" t="s">
        <v>209</v>
      </c>
      <c r="C25" s="811"/>
      <c r="D25" s="811"/>
      <c r="E25" s="811"/>
      <c r="F25" s="811"/>
      <c r="G25" s="811"/>
      <c r="H25" s="812" t="e">
        <f>'4-22Master'!#REF!</f>
        <v>#REF!</v>
      </c>
      <c r="I25" s="813"/>
      <c r="J25" s="813"/>
      <c r="K25" s="813"/>
      <c r="L25" s="814"/>
    </row>
    <row r="26" spans="1:12" ht="27.95" customHeight="1">
      <c r="A26" s="105"/>
      <c r="B26" s="807"/>
      <c r="C26" s="807"/>
      <c r="D26" s="807"/>
      <c r="E26" s="807"/>
      <c r="F26" s="807"/>
      <c r="G26" s="807"/>
      <c r="H26" s="808" t="e">
        <f>'4-22Master'!#REF!</f>
        <v>#REF!</v>
      </c>
      <c r="I26" s="809"/>
      <c r="J26" s="809"/>
      <c r="K26" s="809"/>
      <c r="L26" s="810"/>
    </row>
    <row r="27" spans="1:12" ht="27.95" customHeight="1">
      <c r="A27" s="23"/>
      <c r="B27" s="807"/>
      <c r="C27" s="807"/>
      <c r="D27" s="807"/>
      <c r="E27" s="807"/>
      <c r="F27" s="807"/>
      <c r="G27" s="807"/>
      <c r="H27" s="816" t="e">
        <f>'4-22Master'!#REF!</f>
        <v>#REF!</v>
      </c>
      <c r="I27" s="809"/>
      <c r="J27" s="809"/>
      <c r="K27" s="809"/>
      <c r="L27" s="810"/>
    </row>
    <row r="28" spans="1:12" ht="27.95" customHeight="1">
      <c r="A28" s="23"/>
      <c r="B28" s="106" t="s">
        <v>210</v>
      </c>
      <c r="C28" s="107"/>
      <c r="D28" s="107"/>
      <c r="E28" s="107"/>
      <c r="F28" s="107"/>
      <c r="G28" s="111"/>
      <c r="H28" s="930" t="e">
        <f>'4-22Master'!#REF!</f>
        <v>#REF!</v>
      </c>
      <c r="I28" s="931"/>
      <c r="J28" s="931"/>
      <c r="K28" s="931"/>
      <c r="L28" s="932"/>
    </row>
    <row r="29" spans="1:12" ht="27.95" customHeight="1">
      <c r="A29" s="23"/>
      <c r="B29" s="106"/>
      <c r="C29" s="107"/>
      <c r="D29" s="107"/>
      <c r="E29" s="107"/>
      <c r="F29" s="107"/>
      <c r="G29" s="111"/>
      <c r="H29" s="930" t="e">
        <f>'4-22Master'!#REF!</f>
        <v>#REF!</v>
      </c>
      <c r="I29" s="931"/>
      <c r="J29" s="931"/>
      <c r="K29" s="931"/>
      <c r="L29" s="932"/>
    </row>
    <row r="30" spans="1:12" ht="27.95" customHeight="1">
      <c r="A30" s="23"/>
      <c r="B30" s="106"/>
      <c r="C30" s="107"/>
      <c r="D30" s="107"/>
      <c r="E30" s="107"/>
      <c r="F30" s="107"/>
      <c r="G30" s="111"/>
      <c r="H30" s="930" t="e">
        <f>'4-22Master'!#REF!</f>
        <v>#REF!</v>
      </c>
      <c r="I30" s="931"/>
      <c r="J30" s="931"/>
      <c r="K30" s="931"/>
      <c r="L30" s="932"/>
    </row>
    <row r="31" spans="1:12" ht="27.95" customHeight="1">
      <c r="A31" s="23"/>
      <c r="B31" s="106" t="s">
        <v>217</v>
      </c>
      <c r="C31" s="107"/>
      <c r="D31" s="107"/>
      <c r="E31" s="107"/>
      <c r="F31" s="107"/>
      <c r="G31" s="111"/>
      <c r="H31" s="108"/>
      <c r="I31" s="110"/>
      <c r="J31" s="110"/>
      <c r="K31" s="110"/>
      <c r="L31" s="115"/>
    </row>
    <row r="32" spans="1:12" ht="27.95" customHeight="1">
      <c r="A32" s="23"/>
      <c r="B32" s="118" t="s">
        <v>218</v>
      </c>
      <c r="C32" s="202"/>
      <c r="D32" s="202"/>
      <c r="E32" s="202"/>
      <c r="F32" s="202"/>
      <c r="G32" s="203"/>
      <c r="H32" s="204"/>
      <c r="I32" s="205"/>
      <c r="J32" s="206"/>
      <c r="K32" s="205"/>
      <c r="L32" s="207"/>
    </row>
    <row r="33" spans="1:12" ht="49.5" customHeight="1">
      <c r="A33" s="23"/>
      <c r="B33" s="106" t="s">
        <v>221</v>
      </c>
      <c r="C33" s="107"/>
      <c r="D33" s="110"/>
      <c r="E33" s="214" t="s">
        <v>223</v>
      </c>
      <c r="F33" s="78"/>
      <c r="G33" s="933" t="s">
        <v>222</v>
      </c>
      <c r="H33" s="934"/>
      <c r="I33" s="218" t="s">
        <v>219</v>
      </c>
      <c r="J33" s="216" t="s">
        <v>224</v>
      </c>
      <c r="K33" s="933" t="s">
        <v>220</v>
      </c>
      <c r="L33" s="935"/>
    </row>
    <row r="34" spans="1:12" ht="27.95" customHeight="1">
      <c r="A34" s="23"/>
      <c r="B34" s="217">
        <v>1</v>
      </c>
      <c r="C34" s="107"/>
      <c r="D34" s="107"/>
      <c r="E34" s="220">
        <v>2</v>
      </c>
      <c r="F34" s="111"/>
      <c r="G34" s="220">
        <v>3</v>
      </c>
      <c r="H34" s="236"/>
      <c r="I34" s="236">
        <v>4</v>
      </c>
      <c r="J34" s="129">
        <v>5</v>
      </c>
      <c r="K34" s="113"/>
      <c r="L34" s="114">
        <v>6</v>
      </c>
    </row>
    <row r="35" spans="1:12" ht="27.95" customHeight="1">
      <c r="A35" s="23"/>
      <c r="B35" s="334" t="e">
        <f>'4-22Master'!#REF!</f>
        <v>#REF!</v>
      </c>
      <c r="C35" s="232"/>
      <c r="D35" s="233"/>
      <c r="E35" s="235" t="s">
        <v>380</v>
      </c>
      <c r="F35" s="233"/>
      <c r="G35" s="235" t="s">
        <v>381</v>
      </c>
      <c r="H35" s="78"/>
      <c r="I35" s="19" t="s">
        <v>382</v>
      </c>
      <c r="J35" s="333">
        <v>1</v>
      </c>
      <c r="K35" s="936" t="s">
        <v>37</v>
      </c>
      <c r="L35" s="942"/>
    </row>
    <row r="36" spans="1:12" ht="27.95" customHeight="1">
      <c r="A36" s="23"/>
      <c r="B36" s="106"/>
      <c r="C36" s="232"/>
      <c r="D36" s="233"/>
      <c r="E36" s="234"/>
      <c r="F36" s="233"/>
      <c r="G36" s="234"/>
      <c r="H36" s="78"/>
      <c r="I36" s="19"/>
      <c r="J36" s="19"/>
      <c r="K36" s="235"/>
      <c r="L36" s="78"/>
    </row>
    <row r="37" spans="1:12" ht="26.25" customHeight="1">
      <c r="A37" s="23"/>
      <c r="B37" s="106"/>
      <c r="C37" s="232"/>
      <c r="D37" s="233"/>
      <c r="E37" s="234"/>
      <c r="F37" s="233"/>
      <c r="G37" s="234"/>
      <c r="H37" s="78"/>
      <c r="I37" s="19"/>
      <c r="J37" s="19"/>
      <c r="K37" s="235"/>
      <c r="L37" s="78"/>
    </row>
    <row r="38" spans="1:12" ht="27.75" customHeight="1">
      <c r="A38" s="23"/>
      <c r="B38" s="85"/>
      <c r="C38" s="27"/>
      <c r="D38" s="86"/>
      <c r="E38" s="234"/>
      <c r="F38" s="233"/>
      <c r="G38" s="234"/>
      <c r="H38" s="78"/>
      <c r="I38" s="19"/>
      <c r="J38" s="19"/>
      <c r="K38" s="235"/>
      <c r="L38" s="78"/>
    </row>
    <row r="39" spans="1:12">
      <c r="A39" s="23"/>
      <c r="B39" t="s">
        <v>225</v>
      </c>
      <c r="L39" s="24"/>
    </row>
    <row r="40" spans="1:12">
      <c r="A40" s="23"/>
      <c r="B40" t="s">
        <v>226</v>
      </c>
      <c r="L40" s="24"/>
    </row>
    <row r="41" spans="1:12">
      <c r="A41" s="23"/>
      <c r="B41" t="s">
        <v>227</v>
      </c>
      <c r="L41" s="24"/>
    </row>
    <row r="42" spans="1:12">
      <c r="A42" s="23"/>
      <c r="L42" s="24"/>
    </row>
    <row r="43" spans="1:12">
      <c r="A43" s="23"/>
      <c r="I43" t="s">
        <v>228</v>
      </c>
      <c r="L43" s="24"/>
    </row>
    <row r="44" spans="1:12" ht="18.75">
      <c r="A44" s="23"/>
      <c r="F44" s="222" t="s">
        <v>211</v>
      </c>
      <c r="L44" s="24"/>
    </row>
    <row r="45" spans="1:12">
      <c r="A45" s="23" t="s">
        <v>212</v>
      </c>
      <c r="K45" s="272" t="e">
        <f>'4-22Master'!#REF!</f>
        <v>#REF!</v>
      </c>
      <c r="L45" s="24"/>
    </row>
    <row r="46" spans="1:12">
      <c r="A46" s="23" t="s">
        <v>213</v>
      </c>
      <c r="L46" s="24"/>
    </row>
    <row r="47" spans="1:12">
      <c r="A47" s="23"/>
      <c r="L47" s="24"/>
    </row>
    <row r="48" spans="1:12">
      <c r="A48" s="23"/>
      <c r="L48" s="24"/>
    </row>
    <row r="49" spans="1:12">
      <c r="A49" s="23"/>
      <c r="F49" t="s">
        <v>214</v>
      </c>
      <c r="L49" s="24"/>
    </row>
    <row r="50" spans="1:12">
      <c r="A50" s="23" t="s">
        <v>215</v>
      </c>
      <c r="B50" t="s">
        <v>379</v>
      </c>
      <c r="F50" t="str">
        <f>'4-22Master'!AQ5</f>
        <v>Burgeon IT Services Pvt.Ltd.</v>
      </c>
      <c r="L50" s="24"/>
    </row>
    <row r="51" spans="1:12">
      <c r="A51" s="23" t="s">
        <v>216</v>
      </c>
      <c r="B51" s="332" t="e">
        <f>'4-22Master'!#REF!</f>
        <v>#REF!</v>
      </c>
      <c r="F51" t="str">
        <f>'4-22Master'!AQ6</f>
        <v>Siri Mansion LIGB 436 Dr.A S Rao Nagar,Hyderabad</v>
      </c>
      <c r="L51" s="24"/>
    </row>
    <row r="52" spans="1:12" ht="15.75" thickBot="1">
      <c r="A52" s="35"/>
      <c r="B52" s="33"/>
      <c r="C52" s="33"/>
      <c r="D52" s="33"/>
      <c r="E52" s="33"/>
      <c r="F52" s="33"/>
      <c r="G52" s="33"/>
      <c r="H52" s="33"/>
      <c r="I52" s="33"/>
      <c r="J52" s="33"/>
      <c r="K52" s="33"/>
      <c r="L52" s="34"/>
    </row>
    <row r="53" spans="1:12" ht="27.95" customHeight="1">
      <c r="A53" s="94"/>
      <c r="B53" s="797" t="s">
        <v>199</v>
      </c>
      <c r="C53" s="798"/>
      <c r="D53" s="798"/>
      <c r="E53" s="798"/>
      <c r="F53" s="798"/>
      <c r="G53" s="798"/>
      <c r="H53" s="798"/>
      <c r="I53" s="798"/>
      <c r="J53" s="798"/>
      <c r="K53" s="798"/>
      <c r="L53" s="799"/>
    </row>
    <row r="54" spans="1:12" ht="27.95" customHeight="1">
      <c r="A54" s="23"/>
      <c r="B54" s="800" t="s">
        <v>200</v>
      </c>
      <c r="C54" s="800"/>
      <c r="D54" s="800"/>
      <c r="E54" s="800"/>
      <c r="F54" s="800"/>
      <c r="G54" s="800"/>
      <c r="H54" s="800"/>
      <c r="I54" s="800"/>
      <c r="J54" s="800"/>
      <c r="K54" s="800"/>
      <c r="L54" s="801"/>
    </row>
    <row r="55" spans="1:12" ht="27.95" customHeight="1" thickBot="1">
      <c r="A55" s="35"/>
      <c r="B55" s="802" t="s">
        <v>201</v>
      </c>
      <c r="C55" s="802"/>
      <c r="D55" s="802"/>
      <c r="E55" s="802"/>
      <c r="F55" s="802"/>
      <c r="G55" s="802"/>
      <c r="H55" s="802"/>
      <c r="I55" s="802"/>
      <c r="J55" s="802"/>
      <c r="K55" s="802"/>
      <c r="L55" s="803"/>
    </row>
    <row r="56" spans="1:12" ht="27.95" customHeight="1">
      <c r="A56" s="23"/>
      <c r="B56" s="804" t="s">
        <v>126</v>
      </c>
      <c r="C56" s="804"/>
      <c r="D56" s="804"/>
      <c r="E56" s="804"/>
      <c r="F56" s="804"/>
      <c r="H56" s="805" t="s">
        <v>127</v>
      </c>
      <c r="I56" s="805"/>
      <c r="J56" s="805"/>
      <c r="K56" s="805"/>
      <c r="L56" s="806"/>
    </row>
    <row r="57" spans="1:12" ht="27.95" customHeight="1" thickBot="1">
      <c r="A57" s="23"/>
      <c r="B57" s="804"/>
      <c r="C57" s="804"/>
      <c r="D57" s="804"/>
      <c r="E57" s="804"/>
      <c r="F57" s="804"/>
      <c r="H57" s="805"/>
      <c r="I57" s="805"/>
      <c r="J57" s="805"/>
      <c r="K57" s="805"/>
      <c r="L57" s="806"/>
    </row>
    <row r="58" spans="1:12" ht="27.95" customHeight="1">
      <c r="A58" s="23"/>
      <c r="B58" s="94"/>
      <c r="C58" s="95"/>
      <c r="D58" s="95"/>
      <c r="E58" s="95"/>
      <c r="F58" s="96"/>
      <c r="H58" s="94"/>
      <c r="I58" s="95"/>
      <c r="J58" s="95"/>
      <c r="K58" s="95"/>
      <c r="L58" s="96"/>
    </row>
    <row r="59" spans="1:12">
      <c r="A59" s="23"/>
      <c r="B59" s="97" t="str">
        <f>'4-22Master'!G5</f>
        <v>Burgeon IT Services Pvt.Ltd.</v>
      </c>
      <c r="F59" s="24"/>
      <c r="H59" s="97" t="str">
        <f>'4-22Master'!AQ5</f>
        <v>Burgeon IT Services Pvt.Ltd.</v>
      </c>
      <c r="L59" s="24"/>
    </row>
    <row r="60" spans="1:12">
      <c r="A60" s="23"/>
      <c r="B60" s="23"/>
      <c r="F60" s="24"/>
      <c r="H60" s="23"/>
      <c r="L60" s="24"/>
    </row>
    <row r="61" spans="1:12">
      <c r="A61" s="23"/>
      <c r="B61" s="97" t="str">
        <f>'4-22Master'!G6</f>
        <v>Siri Mansion LIGB 436 Dr.A S Rao Nagar,Hyderabad</v>
      </c>
      <c r="F61" s="24"/>
      <c r="H61" s="97" t="str">
        <f>'4-22Master'!AQ6</f>
        <v>Siri Mansion LIGB 436 Dr.A S Rao Nagar,Hyderabad</v>
      </c>
      <c r="L61" s="24"/>
    </row>
    <row r="62" spans="1:12" ht="15.75" thickBot="1">
      <c r="A62" s="23"/>
      <c r="B62" s="35"/>
      <c r="C62" s="33"/>
      <c r="D62" s="33"/>
      <c r="E62" s="33"/>
      <c r="F62" s="34"/>
      <c r="H62" s="35"/>
      <c r="I62" s="33"/>
      <c r="J62" s="33"/>
      <c r="K62" s="33"/>
      <c r="L62" s="34"/>
    </row>
    <row r="63" spans="1:12">
      <c r="A63" s="23"/>
      <c r="J63" t="s">
        <v>128</v>
      </c>
      <c r="L63" s="24"/>
    </row>
    <row r="64" spans="1:12">
      <c r="A64" s="23"/>
      <c r="B64" s="725" t="s">
        <v>129</v>
      </c>
      <c r="C64" s="725"/>
      <c r="D64" s="725"/>
      <c r="E64" s="725"/>
      <c r="F64" s="725"/>
      <c r="H64" s="725" t="s">
        <v>4</v>
      </c>
      <c r="I64" s="725"/>
      <c r="J64" s="725"/>
      <c r="K64" s="725"/>
      <c r="L64" s="815"/>
    </row>
    <row r="65" spans="1:12" ht="15.75" thickBot="1">
      <c r="A65" s="23"/>
      <c r="L65" s="24"/>
    </row>
    <row r="66" spans="1:12">
      <c r="A66" s="23"/>
      <c r="B66" s="94"/>
      <c r="C66" s="95"/>
      <c r="D66" s="95"/>
      <c r="E66" s="95"/>
      <c r="F66" s="96"/>
      <c r="H66" s="98"/>
      <c r="I66" s="99"/>
      <c r="J66" s="99"/>
      <c r="K66" s="99"/>
      <c r="L66" s="100"/>
    </row>
    <row r="67" spans="1:12">
      <c r="A67" s="23"/>
      <c r="B67" s="23"/>
      <c r="F67" s="24"/>
      <c r="H67" s="97" t="str">
        <f>'4-22Master'!AQ10</f>
        <v>INFOSYS  LTD.IL Pune STP Unit,Plot No.1</v>
      </c>
      <c r="I67" s="4"/>
      <c r="J67" s="4"/>
      <c r="K67" s="4"/>
      <c r="L67" s="101"/>
    </row>
    <row r="68" spans="1:12">
      <c r="A68" s="23"/>
      <c r="B68" s="97" t="str">
        <f>'4-22Master'!G8</f>
        <v>IT SUPPORTIVE SERVICES&amp; PUNE STP</v>
      </c>
      <c r="F68" s="24"/>
      <c r="H68" s="97"/>
      <c r="I68" s="4"/>
      <c r="J68" s="4"/>
      <c r="K68" s="4"/>
      <c r="L68" s="101"/>
    </row>
    <row r="69" spans="1:12">
      <c r="A69" s="23"/>
      <c r="B69" s="23"/>
      <c r="F69" s="24"/>
      <c r="H69" s="97" t="str">
        <f>'4-22Master'!AQ11</f>
        <v>Rajiv gandhi Info tech park,Hinjawadi,Taluk Mulshi,Pune,Maharashtra 411057</v>
      </c>
      <c r="I69" s="4"/>
      <c r="J69" s="4"/>
      <c r="K69" s="4"/>
      <c r="L69" s="101"/>
    </row>
    <row r="70" spans="1:12" ht="15.75" thickBot="1">
      <c r="A70" s="23"/>
      <c r="B70" s="35"/>
      <c r="C70" s="33"/>
      <c r="D70" s="33"/>
      <c r="E70" s="33"/>
      <c r="F70" s="34"/>
      <c r="H70" s="102"/>
      <c r="I70" s="103"/>
      <c r="J70" s="103"/>
      <c r="K70" s="103"/>
      <c r="L70" s="104"/>
    </row>
    <row r="71" spans="1:12">
      <c r="A71" s="105"/>
      <c r="B71" s="807" t="s">
        <v>202</v>
      </c>
      <c r="C71" s="807"/>
      <c r="D71" s="807"/>
      <c r="E71" s="807"/>
      <c r="F71" s="807"/>
      <c r="G71" s="807"/>
      <c r="H71" s="816" t="e">
        <f>'4-22Master'!#REF!</f>
        <v>#REF!</v>
      </c>
      <c r="I71" s="809"/>
      <c r="J71" s="809"/>
      <c r="K71" s="809"/>
      <c r="L71" s="810"/>
    </row>
    <row r="72" spans="1:12">
      <c r="A72" s="105"/>
      <c r="B72" s="817" t="s">
        <v>203</v>
      </c>
      <c r="C72" s="817"/>
      <c r="D72" s="817"/>
      <c r="E72" s="817"/>
      <c r="F72" s="817"/>
      <c r="G72" s="817"/>
      <c r="H72" s="816" t="e">
        <f>'4-22Master'!#REF!</f>
        <v>#REF!</v>
      </c>
      <c r="I72" s="809"/>
      <c r="J72" s="809"/>
      <c r="K72" s="809"/>
      <c r="L72" s="810"/>
    </row>
    <row r="73" spans="1:12">
      <c r="A73" s="105"/>
      <c r="B73" s="807" t="s">
        <v>204</v>
      </c>
      <c r="C73" s="807"/>
      <c r="D73" s="807"/>
      <c r="E73" s="807"/>
      <c r="F73" s="807"/>
      <c r="G73" s="807"/>
      <c r="H73" s="816" t="e">
        <f>'4-22Master'!#REF!</f>
        <v>#REF!</v>
      </c>
      <c r="I73" s="809"/>
      <c r="J73" s="809"/>
      <c r="K73" s="809"/>
      <c r="L73" s="810"/>
    </row>
    <row r="74" spans="1:12">
      <c r="A74" s="105"/>
      <c r="B74" s="807" t="s">
        <v>205</v>
      </c>
      <c r="C74" s="807"/>
      <c r="D74" s="807"/>
      <c r="E74" s="807"/>
      <c r="F74" s="807"/>
      <c r="G74" s="807"/>
      <c r="H74" s="941" t="e">
        <f>'4-22Master'!#REF!</f>
        <v>#REF!</v>
      </c>
      <c r="I74" s="809"/>
      <c r="J74" s="809"/>
      <c r="K74" s="809"/>
      <c r="L74" s="810"/>
    </row>
    <row r="75" spans="1:12">
      <c r="A75" s="105"/>
      <c r="B75" s="106" t="s">
        <v>206</v>
      </c>
      <c r="C75" s="107"/>
      <c r="D75" s="107"/>
      <c r="E75" s="107"/>
      <c r="F75" s="107"/>
      <c r="G75" s="107"/>
      <c r="H75" s="938" t="s">
        <v>207</v>
      </c>
      <c r="I75" s="939"/>
      <c r="J75" s="939"/>
      <c r="K75" s="939"/>
      <c r="L75" s="940"/>
    </row>
    <row r="76" spans="1:12">
      <c r="A76" s="105"/>
      <c r="B76" s="106" t="s">
        <v>208</v>
      </c>
      <c r="C76" s="107"/>
      <c r="D76" s="107"/>
      <c r="E76" s="107"/>
      <c r="F76" s="107"/>
      <c r="G76" s="107"/>
      <c r="H76" s="108"/>
      <c r="I76" s="110"/>
      <c r="J76" s="221"/>
      <c r="K76" s="110"/>
      <c r="L76" s="115"/>
    </row>
    <row r="77" spans="1:12">
      <c r="A77" s="105"/>
      <c r="B77" s="811" t="s">
        <v>209</v>
      </c>
      <c r="C77" s="811"/>
      <c r="D77" s="811"/>
      <c r="E77" s="811"/>
      <c r="F77" s="811"/>
      <c r="G77" s="811"/>
      <c r="H77" s="812" t="e">
        <f>'4-22Master'!#REF!</f>
        <v>#REF!</v>
      </c>
      <c r="I77" s="813"/>
      <c r="J77" s="813"/>
      <c r="K77" s="813"/>
      <c r="L77" s="814"/>
    </row>
    <row r="78" spans="1:12">
      <c r="A78" s="105"/>
      <c r="B78" s="807"/>
      <c r="C78" s="807"/>
      <c r="D78" s="807"/>
      <c r="E78" s="807"/>
      <c r="F78" s="807"/>
      <c r="G78" s="807"/>
      <c r="H78" s="808" t="e">
        <f>'4-22Master'!#REF!</f>
        <v>#REF!</v>
      </c>
      <c r="I78" s="809"/>
      <c r="J78" s="809"/>
      <c r="K78" s="809"/>
      <c r="L78" s="810"/>
    </row>
    <row r="79" spans="1:12">
      <c r="A79" s="23"/>
      <c r="B79" s="807"/>
      <c r="C79" s="807"/>
      <c r="D79" s="807"/>
      <c r="E79" s="807"/>
      <c r="F79" s="807"/>
      <c r="G79" s="807"/>
      <c r="H79" s="816" t="e">
        <f>'4-22Master'!#REF!</f>
        <v>#REF!</v>
      </c>
      <c r="I79" s="809"/>
      <c r="J79" s="809"/>
      <c r="K79" s="809"/>
      <c r="L79" s="810"/>
    </row>
    <row r="80" spans="1:12" ht="15" customHeight="1">
      <c r="A80" s="23"/>
      <c r="B80" s="106" t="s">
        <v>210</v>
      </c>
      <c r="C80" s="107"/>
      <c r="D80" s="107"/>
      <c r="E80" s="107"/>
      <c r="F80" s="107"/>
      <c r="G80" s="111"/>
      <c r="H80" s="930" t="e">
        <f>'4-22Master'!#REF!</f>
        <v>#REF!</v>
      </c>
      <c r="I80" s="931"/>
      <c r="J80" s="931"/>
      <c r="K80" s="931"/>
      <c r="L80" s="932"/>
    </row>
    <row r="81" spans="1:12">
      <c r="A81" s="23"/>
      <c r="B81" s="106"/>
      <c r="C81" s="107"/>
      <c r="D81" s="107"/>
      <c r="E81" s="107"/>
      <c r="F81" s="107"/>
      <c r="G81" s="111"/>
      <c r="H81" s="930" t="e">
        <f>'4-22Master'!#REF!</f>
        <v>#REF!</v>
      </c>
      <c r="I81" s="931"/>
      <c r="J81" s="931"/>
      <c r="K81" s="931"/>
      <c r="L81" s="932"/>
    </row>
    <row r="82" spans="1:12">
      <c r="A82" s="23"/>
      <c r="B82" s="106"/>
      <c r="C82" s="107"/>
      <c r="D82" s="107"/>
      <c r="E82" s="107"/>
      <c r="F82" s="107"/>
      <c r="G82" s="111"/>
      <c r="H82" s="930" t="e">
        <f>'4-22Master'!#REF!</f>
        <v>#REF!</v>
      </c>
      <c r="I82" s="931"/>
      <c r="J82" s="931"/>
      <c r="K82" s="931"/>
      <c r="L82" s="932"/>
    </row>
    <row r="83" spans="1:12">
      <c r="A83" s="23"/>
      <c r="B83" s="106" t="s">
        <v>217</v>
      </c>
      <c r="C83" s="107"/>
      <c r="D83" s="107"/>
      <c r="E83" s="107"/>
      <c r="F83" s="107"/>
      <c r="G83" s="111"/>
      <c r="H83" s="108"/>
      <c r="I83" s="110"/>
      <c r="J83" s="110"/>
      <c r="K83" s="110"/>
      <c r="L83" s="115"/>
    </row>
    <row r="84" spans="1:12">
      <c r="A84" s="23"/>
      <c r="B84" s="118" t="s">
        <v>218</v>
      </c>
      <c r="C84" s="202"/>
      <c r="D84" s="202"/>
      <c r="E84" s="202"/>
      <c r="F84" s="202"/>
      <c r="G84" s="203"/>
      <c r="H84" s="204"/>
      <c r="I84" s="205"/>
      <c r="J84" s="206"/>
      <c r="K84" s="205"/>
      <c r="L84" s="207"/>
    </row>
    <row r="85" spans="1:12" ht="45">
      <c r="A85" s="23"/>
      <c r="B85" s="106" t="s">
        <v>221</v>
      </c>
      <c r="C85" s="107"/>
      <c r="D85" s="110"/>
      <c r="E85" s="214" t="s">
        <v>223</v>
      </c>
      <c r="F85" s="78"/>
      <c r="G85" s="933" t="s">
        <v>222</v>
      </c>
      <c r="H85" s="934"/>
      <c r="I85" s="218" t="s">
        <v>219</v>
      </c>
      <c r="J85" s="216" t="s">
        <v>224</v>
      </c>
      <c r="K85" s="933" t="s">
        <v>220</v>
      </c>
      <c r="L85" s="935"/>
    </row>
    <row r="86" spans="1:12">
      <c r="A86" s="23"/>
      <c r="B86" s="217">
        <v>1</v>
      </c>
      <c r="C86" s="107"/>
      <c r="D86" s="107"/>
      <c r="E86" s="220">
        <v>2</v>
      </c>
      <c r="F86" s="111"/>
      <c r="G86" s="220">
        <v>3</v>
      </c>
      <c r="H86" s="236"/>
      <c r="I86" s="236">
        <v>4</v>
      </c>
      <c r="J86" s="129">
        <v>5</v>
      </c>
      <c r="K86" s="113"/>
      <c r="L86" s="114">
        <v>6</v>
      </c>
    </row>
    <row r="87" spans="1:12">
      <c r="A87" s="23"/>
      <c r="B87" s="334" t="e">
        <f>'4-22Master'!#REF!</f>
        <v>#REF!</v>
      </c>
      <c r="C87" s="232"/>
      <c r="D87" s="233"/>
      <c r="E87" s="235" t="s">
        <v>380</v>
      </c>
      <c r="F87" s="233"/>
      <c r="G87" s="235" t="s">
        <v>381</v>
      </c>
      <c r="H87" s="78"/>
      <c r="I87" s="19" t="s">
        <v>382</v>
      </c>
      <c r="J87" s="333">
        <v>1</v>
      </c>
      <c r="K87" s="936" t="s">
        <v>37</v>
      </c>
      <c r="L87" s="942"/>
    </row>
    <row r="88" spans="1:12">
      <c r="A88" s="23"/>
      <c r="B88" s="106"/>
      <c r="C88" s="232"/>
      <c r="D88" s="233"/>
      <c r="E88" s="234"/>
      <c r="F88" s="233"/>
      <c r="G88" s="234"/>
      <c r="H88" s="78"/>
      <c r="I88" s="19"/>
      <c r="J88" s="19"/>
      <c r="K88" s="235"/>
      <c r="L88" s="78"/>
    </row>
    <row r="89" spans="1:12">
      <c r="A89" s="23"/>
      <c r="B89" s="106"/>
      <c r="C89" s="232"/>
      <c r="D89" s="233"/>
      <c r="E89" s="234"/>
      <c r="F89" s="233"/>
      <c r="G89" s="234"/>
      <c r="H89" s="78"/>
      <c r="I89" s="19"/>
      <c r="J89" s="19"/>
      <c r="K89" s="235"/>
      <c r="L89" s="78"/>
    </row>
    <row r="90" spans="1:12">
      <c r="A90" s="23"/>
      <c r="B90" s="85"/>
      <c r="C90" s="27"/>
      <c r="D90" s="86"/>
      <c r="E90" s="234"/>
      <c r="F90" s="233"/>
      <c r="G90" s="234"/>
      <c r="H90" s="78"/>
      <c r="I90" s="19"/>
      <c r="J90" s="19"/>
      <c r="K90" s="235"/>
      <c r="L90" s="78"/>
    </row>
    <row r="91" spans="1:12">
      <c r="A91" s="23"/>
      <c r="B91" t="s">
        <v>225</v>
      </c>
      <c r="L91" s="24"/>
    </row>
    <row r="92" spans="1:12">
      <c r="A92" s="23"/>
      <c r="B92" t="s">
        <v>226</v>
      </c>
      <c r="L92" s="24"/>
    </row>
    <row r="93" spans="1:12">
      <c r="A93" s="23"/>
      <c r="B93" t="s">
        <v>227</v>
      </c>
      <c r="L93" s="24"/>
    </row>
    <row r="94" spans="1:12">
      <c r="A94" s="23"/>
      <c r="L94" s="24"/>
    </row>
    <row r="95" spans="1:12" ht="27.95" customHeight="1">
      <c r="A95" s="23"/>
      <c r="I95" t="s">
        <v>228</v>
      </c>
      <c r="L95" s="24"/>
    </row>
    <row r="96" spans="1:12" ht="27.95" customHeight="1">
      <c r="A96" s="23"/>
      <c r="F96" s="222" t="s">
        <v>211</v>
      </c>
      <c r="L96" s="24"/>
    </row>
    <row r="97" spans="1:12" ht="27.95" customHeight="1">
      <c r="A97" s="23" t="s">
        <v>212</v>
      </c>
      <c r="K97" s="272" t="e">
        <f>'4-22Master'!#REF!</f>
        <v>#REF!</v>
      </c>
      <c r="L97" s="24"/>
    </row>
    <row r="98" spans="1:12" ht="27.95" customHeight="1">
      <c r="A98" s="23" t="s">
        <v>213</v>
      </c>
      <c r="L98" s="24"/>
    </row>
    <row r="99" spans="1:12" ht="27.95" customHeight="1">
      <c r="A99" s="23"/>
      <c r="L99" s="24"/>
    </row>
    <row r="100" spans="1:12" ht="27.95" customHeight="1">
      <c r="A100" s="23"/>
      <c r="L100" s="24"/>
    </row>
    <row r="101" spans="1:12" ht="27.95" customHeight="1">
      <c r="A101" s="23"/>
      <c r="F101" t="s">
        <v>214</v>
      </c>
      <c r="L101" s="24"/>
    </row>
    <row r="102" spans="1:12" ht="27.95" customHeight="1">
      <c r="A102" s="23" t="s">
        <v>215</v>
      </c>
      <c r="B102" t="s">
        <v>379</v>
      </c>
      <c r="F102" t="str">
        <f>'4-22Master'!G5</f>
        <v>Burgeon IT Services Pvt.Ltd.</v>
      </c>
      <c r="L102" s="24"/>
    </row>
    <row r="103" spans="1:12" ht="27.95" customHeight="1">
      <c r="A103" s="23" t="s">
        <v>216</v>
      </c>
      <c r="B103" s="332" t="e">
        <f>'4-22Master'!#REF!</f>
        <v>#REF!</v>
      </c>
      <c r="F103" t="str">
        <f>'4-22Master'!G6</f>
        <v>Siri Mansion LIGB 436 Dr.A S Rao Nagar,Hyderabad</v>
      </c>
      <c r="L103" s="24"/>
    </row>
    <row r="104" spans="1:12" ht="27.95" customHeight="1" thickBot="1">
      <c r="A104" s="35"/>
      <c r="B104" s="33"/>
      <c r="C104" s="33"/>
      <c r="D104" s="33"/>
      <c r="E104" s="33"/>
      <c r="F104" s="33"/>
      <c r="G104" s="33"/>
      <c r="H104" s="33"/>
      <c r="I104" s="33"/>
      <c r="J104" s="33"/>
      <c r="K104" s="33"/>
      <c r="L104" s="34"/>
    </row>
    <row r="105" spans="1:12" ht="27.95" customHeight="1">
      <c r="B105" s="223"/>
      <c r="C105" s="219"/>
      <c r="D105" s="219"/>
      <c r="E105" s="219"/>
      <c r="F105" s="219"/>
      <c r="G105" s="219"/>
      <c r="H105" s="922"/>
      <c r="I105" s="923"/>
      <c r="J105" s="923"/>
      <c r="K105" s="923"/>
      <c r="L105" s="923"/>
    </row>
    <row r="106" spans="1:12" ht="27.95" customHeight="1" thickBot="1">
      <c r="B106" s="223"/>
      <c r="C106" s="219"/>
      <c r="D106" s="219"/>
      <c r="E106" s="219"/>
      <c r="F106" s="219"/>
      <c r="G106" s="219"/>
      <c r="H106" s="922"/>
      <c r="I106" s="923"/>
      <c r="J106" s="923"/>
      <c r="K106" s="923"/>
      <c r="L106" s="923"/>
    </row>
    <row r="107" spans="1:12" ht="27.95" customHeight="1">
      <c r="A107" s="94"/>
      <c r="B107" s="797" t="s">
        <v>199</v>
      </c>
      <c r="C107" s="798"/>
      <c r="D107" s="798"/>
      <c r="E107" s="798"/>
      <c r="F107" s="798"/>
      <c r="G107" s="798"/>
      <c r="H107" s="798"/>
      <c r="I107" s="798"/>
      <c r="J107" s="798"/>
      <c r="K107" s="798"/>
      <c r="L107" s="799"/>
    </row>
    <row r="108" spans="1:12" ht="27.95" customHeight="1">
      <c r="A108" s="23"/>
      <c r="B108" s="800" t="s">
        <v>200</v>
      </c>
      <c r="C108" s="800"/>
      <c r="D108" s="800"/>
      <c r="E108" s="800"/>
      <c r="F108" s="800"/>
      <c r="G108" s="800"/>
      <c r="H108" s="800"/>
      <c r="I108" s="800"/>
      <c r="J108" s="800"/>
      <c r="K108" s="800"/>
      <c r="L108" s="801"/>
    </row>
    <row r="109" spans="1:12" ht="27.95" customHeight="1" thickBot="1">
      <c r="A109" s="35"/>
      <c r="B109" s="802" t="s">
        <v>201</v>
      </c>
      <c r="C109" s="802"/>
      <c r="D109" s="802"/>
      <c r="E109" s="802"/>
      <c r="F109" s="802"/>
      <c r="G109" s="802"/>
      <c r="H109" s="802"/>
      <c r="I109" s="802"/>
      <c r="J109" s="802"/>
      <c r="K109" s="802"/>
      <c r="L109" s="803"/>
    </row>
    <row r="110" spans="1:12" ht="27.95" customHeight="1">
      <c r="A110" s="23"/>
      <c r="B110" s="804" t="s">
        <v>126</v>
      </c>
      <c r="C110" s="804"/>
      <c r="D110" s="804"/>
      <c r="E110" s="804"/>
      <c r="F110" s="804"/>
      <c r="H110" s="805" t="s">
        <v>127</v>
      </c>
      <c r="I110" s="805"/>
      <c r="J110" s="805"/>
      <c r="K110" s="805"/>
      <c r="L110" s="806"/>
    </row>
    <row r="111" spans="1:12" ht="27.95" customHeight="1" thickBot="1">
      <c r="A111" s="23"/>
      <c r="B111" s="804"/>
      <c r="C111" s="804"/>
      <c r="D111" s="804"/>
      <c r="E111" s="804"/>
      <c r="F111" s="804"/>
      <c r="H111" s="805"/>
      <c r="I111" s="805"/>
      <c r="J111" s="805"/>
      <c r="K111" s="805"/>
      <c r="L111" s="806"/>
    </row>
    <row r="112" spans="1:12" ht="27.95" customHeight="1">
      <c r="A112" s="23"/>
      <c r="B112" s="94"/>
      <c r="C112" s="95"/>
      <c r="D112" s="95"/>
      <c r="E112" s="95"/>
      <c r="F112" s="96"/>
      <c r="H112" s="94"/>
      <c r="I112" s="95"/>
      <c r="J112" s="95"/>
      <c r="K112" s="95"/>
      <c r="L112" s="96"/>
    </row>
    <row r="113" spans="1:12">
      <c r="A113" s="23"/>
      <c r="B113" s="97" t="str">
        <f>'4-22Master'!G5</f>
        <v>Burgeon IT Services Pvt.Ltd.</v>
      </c>
      <c r="F113" s="24"/>
      <c r="H113" s="97" t="str">
        <f>'4-22Master'!AQ5</f>
        <v>Burgeon IT Services Pvt.Ltd.</v>
      </c>
      <c r="L113" s="24"/>
    </row>
    <row r="114" spans="1:12">
      <c r="A114" s="23"/>
      <c r="B114" s="23"/>
      <c r="F114" s="24"/>
      <c r="H114" s="23"/>
      <c r="L114" s="24"/>
    </row>
    <row r="115" spans="1:12">
      <c r="A115" s="23"/>
      <c r="B115" s="97" t="str">
        <f>'4-22Master'!G6</f>
        <v>Siri Mansion LIGB 436 Dr.A S Rao Nagar,Hyderabad</v>
      </c>
      <c r="F115" s="24"/>
      <c r="H115" s="97" t="str">
        <f>'4-22Master'!AQ6</f>
        <v>Siri Mansion LIGB 436 Dr.A S Rao Nagar,Hyderabad</v>
      </c>
      <c r="L115" s="24"/>
    </row>
    <row r="116" spans="1:12" ht="15.75" thickBot="1">
      <c r="A116" s="23"/>
      <c r="B116" s="35"/>
      <c r="C116" s="33"/>
      <c r="D116" s="33"/>
      <c r="E116" s="33"/>
      <c r="F116" s="34"/>
      <c r="H116" s="35"/>
      <c r="I116" s="33"/>
      <c r="J116" s="33"/>
      <c r="K116" s="33"/>
      <c r="L116" s="34"/>
    </row>
    <row r="117" spans="1:12">
      <c r="A117" s="23"/>
      <c r="J117" t="s">
        <v>128</v>
      </c>
      <c r="L117" s="24"/>
    </row>
    <row r="118" spans="1:12">
      <c r="A118" s="23"/>
      <c r="B118" s="725" t="s">
        <v>129</v>
      </c>
      <c r="C118" s="725"/>
      <c r="D118" s="725"/>
      <c r="E118" s="725"/>
      <c r="F118" s="725"/>
      <c r="H118" s="725" t="s">
        <v>4</v>
      </c>
      <c r="I118" s="725"/>
      <c r="J118" s="725"/>
      <c r="K118" s="725"/>
      <c r="L118" s="815"/>
    </row>
    <row r="119" spans="1:12" ht="15.75" thickBot="1">
      <c r="A119" s="23"/>
      <c r="L119" s="24"/>
    </row>
    <row r="120" spans="1:12">
      <c r="A120" s="23"/>
      <c r="B120" s="94"/>
      <c r="C120" s="95"/>
      <c r="D120" s="95"/>
      <c r="E120" s="95"/>
      <c r="F120" s="96"/>
      <c r="H120" s="98"/>
      <c r="I120" s="99"/>
      <c r="J120" s="99"/>
      <c r="K120" s="99"/>
      <c r="L120" s="100"/>
    </row>
    <row r="121" spans="1:12">
      <c r="A121" s="23"/>
      <c r="B121" s="23"/>
      <c r="F121" s="24"/>
      <c r="H121" s="97" t="str">
        <f>'4-22Master'!AQ10</f>
        <v>INFOSYS  LTD.IL Pune STP Unit,Plot No.1</v>
      </c>
      <c r="I121" s="4"/>
      <c r="J121" s="4"/>
      <c r="K121" s="4"/>
      <c r="L121" s="101"/>
    </row>
    <row r="122" spans="1:12">
      <c r="A122" s="23"/>
      <c r="B122" s="97" t="str">
        <f>'4-22Master'!G8</f>
        <v>IT SUPPORTIVE SERVICES&amp; PUNE STP</v>
      </c>
      <c r="F122" s="24"/>
      <c r="H122" s="97"/>
      <c r="I122" s="4"/>
      <c r="J122" s="4"/>
      <c r="K122" s="4"/>
      <c r="L122" s="101"/>
    </row>
    <row r="123" spans="1:12">
      <c r="A123" s="23"/>
      <c r="B123" s="23"/>
      <c r="F123" s="24"/>
      <c r="H123" s="97" t="str">
        <f>'4-22Master'!AQ11</f>
        <v>Rajiv gandhi Info tech park,Hinjawadi,Taluk Mulshi,Pune,Maharashtra 411057</v>
      </c>
      <c r="I123" s="4"/>
      <c r="J123" s="4"/>
      <c r="K123" s="4"/>
      <c r="L123" s="101"/>
    </row>
    <row r="124" spans="1:12" ht="15.75" thickBot="1">
      <c r="A124" s="23"/>
      <c r="B124" s="35"/>
      <c r="C124" s="33"/>
      <c r="D124" s="33"/>
      <c r="E124" s="33"/>
      <c r="F124" s="34"/>
      <c r="H124" s="102"/>
      <c r="I124" s="103"/>
      <c r="J124" s="103"/>
      <c r="K124" s="103"/>
      <c r="L124" s="104"/>
    </row>
    <row r="125" spans="1:12">
      <c r="A125" s="105"/>
      <c r="B125" s="807" t="s">
        <v>202</v>
      </c>
      <c r="C125" s="807"/>
      <c r="D125" s="807"/>
      <c r="E125" s="807"/>
      <c r="F125" s="807"/>
      <c r="G125" s="807"/>
      <c r="H125" s="816" t="e">
        <f>'4-22Master'!#REF!</f>
        <v>#REF!</v>
      </c>
      <c r="I125" s="809"/>
      <c r="J125" s="809"/>
      <c r="K125" s="809"/>
      <c r="L125" s="810"/>
    </row>
    <row r="126" spans="1:12">
      <c r="A126" s="105"/>
      <c r="B126" s="817" t="s">
        <v>203</v>
      </c>
      <c r="C126" s="817"/>
      <c r="D126" s="817"/>
      <c r="E126" s="817"/>
      <c r="F126" s="817"/>
      <c r="G126" s="817"/>
      <c r="H126" s="816" t="e">
        <f>'4-22Master'!#REF!</f>
        <v>#REF!</v>
      </c>
      <c r="I126" s="809"/>
      <c r="J126" s="809"/>
      <c r="K126" s="809"/>
      <c r="L126" s="810"/>
    </row>
    <row r="127" spans="1:12">
      <c r="A127" s="105"/>
      <c r="B127" s="807" t="s">
        <v>204</v>
      </c>
      <c r="C127" s="807"/>
      <c r="D127" s="807"/>
      <c r="E127" s="807"/>
      <c r="F127" s="807"/>
      <c r="G127" s="807"/>
      <c r="H127" s="816" t="e">
        <f>'4-22Master'!#REF!</f>
        <v>#REF!</v>
      </c>
      <c r="I127" s="809"/>
      <c r="J127" s="809"/>
      <c r="K127" s="809"/>
      <c r="L127" s="810"/>
    </row>
    <row r="128" spans="1:12">
      <c r="A128" s="105"/>
      <c r="B128" s="807" t="s">
        <v>205</v>
      </c>
      <c r="C128" s="807"/>
      <c r="D128" s="807"/>
      <c r="E128" s="807"/>
      <c r="F128" s="807"/>
      <c r="G128" s="807"/>
      <c r="H128" s="941" t="e">
        <f>'4-22Master'!#REF!</f>
        <v>#REF!</v>
      </c>
      <c r="I128" s="809"/>
      <c r="J128" s="809"/>
      <c r="K128" s="809"/>
      <c r="L128" s="810"/>
    </row>
    <row r="129" spans="1:12">
      <c r="A129" s="105"/>
      <c r="B129" s="106" t="s">
        <v>206</v>
      </c>
      <c r="C129" s="107"/>
      <c r="D129" s="107"/>
      <c r="E129" s="107"/>
      <c r="F129" s="107"/>
      <c r="G129" s="107"/>
      <c r="H129" s="938" t="s">
        <v>207</v>
      </c>
      <c r="I129" s="939"/>
      <c r="J129" s="939"/>
      <c r="K129" s="939"/>
      <c r="L129" s="940"/>
    </row>
    <row r="130" spans="1:12">
      <c r="A130" s="105"/>
      <c r="B130" s="106" t="s">
        <v>208</v>
      </c>
      <c r="C130" s="107"/>
      <c r="D130" s="107"/>
      <c r="E130" s="107"/>
      <c r="F130" s="107"/>
      <c r="G130" s="107"/>
      <c r="H130" s="108"/>
      <c r="I130" s="110"/>
      <c r="J130" s="221"/>
      <c r="K130" s="110"/>
      <c r="L130" s="115"/>
    </row>
    <row r="131" spans="1:12">
      <c r="A131" s="105"/>
      <c r="B131" s="811" t="s">
        <v>209</v>
      </c>
      <c r="C131" s="811"/>
      <c r="D131" s="811"/>
      <c r="E131" s="811"/>
      <c r="F131" s="811"/>
      <c r="G131" s="811"/>
      <c r="H131" s="812" t="e">
        <f>'4-22Master'!#REF!</f>
        <v>#REF!</v>
      </c>
      <c r="I131" s="813"/>
      <c r="J131" s="813"/>
      <c r="K131" s="813"/>
      <c r="L131" s="814"/>
    </row>
    <row r="132" spans="1:12">
      <c r="A132" s="105"/>
      <c r="B132" s="807"/>
      <c r="C132" s="807"/>
      <c r="D132" s="807"/>
      <c r="E132" s="807"/>
      <c r="F132" s="807"/>
      <c r="G132" s="807"/>
      <c r="H132" s="808" t="e">
        <f>'4-22Master'!#REF!</f>
        <v>#REF!</v>
      </c>
      <c r="I132" s="809"/>
      <c r="J132" s="809"/>
      <c r="K132" s="809"/>
      <c r="L132" s="810"/>
    </row>
    <row r="133" spans="1:12">
      <c r="A133" s="23"/>
      <c r="B133" s="807"/>
      <c r="C133" s="807"/>
      <c r="D133" s="807"/>
      <c r="E133" s="807"/>
      <c r="F133" s="807"/>
      <c r="G133" s="807"/>
      <c r="H133" s="816" t="e">
        <f>'4-22Master'!#REF!</f>
        <v>#REF!</v>
      </c>
      <c r="I133" s="809"/>
      <c r="J133" s="809"/>
      <c r="K133" s="809"/>
      <c r="L133" s="810"/>
    </row>
    <row r="134" spans="1:12">
      <c r="A134" s="23"/>
      <c r="B134" s="106" t="s">
        <v>210</v>
      </c>
      <c r="C134" s="107"/>
      <c r="D134" s="107"/>
      <c r="E134" s="107"/>
      <c r="F134" s="107"/>
      <c r="G134" s="111"/>
      <c r="H134" s="930" t="e">
        <f>'4-22Master'!#REF!</f>
        <v>#REF!</v>
      </c>
      <c r="I134" s="931"/>
      <c r="J134" s="931"/>
      <c r="K134" s="931"/>
      <c r="L134" s="932"/>
    </row>
    <row r="135" spans="1:12">
      <c r="A135" s="23"/>
      <c r="B135" s="106"/>
      <c r="C135" s="107"/>
      <c r="D135" s="107"/>
      <c r="E135" s="107"/>
      <c r="F135" s="107"/>
      <c r="G135" s="111"/>
      <c r="H135" s="930" t="e">
        <f>'4-22Master'!#REF!</f>
        <v>#REF!</v>
      </c>
      <c r="I135" s="931"/>
      <c r="J135" s="931"/>
      <c r="K135" s="931"/>
      <c r="L135" s="932"/>
    </row>
    <row r="136" spans="1:12">
      <c r="A136" s="23"/>
      <c r="B136" s="106"/>
      <c r="C136" s="107"/>
      <c r="D136" s="107"/>
      <c r="E136" s="107"/>
      <c r="F136" s="107"/>
      <c r="G136" s="111"/>
      <c r="H136" s="930" t="e">
        <f>'4-22Master'!#REF!</f>
        <v>#REF!</v>
      </c>
      <c r="I136" s="931"/>
      <c r="J136" s="931"/>
      <c r="K136" s="931"/>
      <c r="L136" s="932"/>
    </row>
    <row r="137" spans="1:12">
      <c r="A137" s="23"/>
      <c r="B137" s="106" t="s">
        <v>217</v>
      </c>
      <c r="C137" s="107"/>
      <c r="D137" s="107"/>
      <c r="E137" s="107"/>
      <c r="F137" s="107"/>
      <c r="G137" s="111"/>
      <c r="H137" s="108"/>
      <c r="I137" s="110"/>
      <c r="J137" s="110"/>
      <c r="K137" s="110"/>
      <c r="L137" s="115"/>
    </row>
    <row r="138" spans="1:12">
      <c r="A138" s="23"/>
      <c r="B138" s="118" t="s">
        <v>218</v>
      </c>
      <c r="C138" s="202"/>
      <c r="D138" s="202"/>
      <c r="E138" s="202"/>
      <c r="F138" s="202"/>
      <c r="G138" s="203"/>
      <c r="H138" s="204"/>
      <c r="I138" s="205"/>
      <c r="J138" s="206"/>
      <c r="K138" s="205"/>
      <c r="L138" s="207"/>
    </row>
    <row r="139" spans="1:12" ht="45">
      <c r="A139" s="23"/>
      <c r="B139" s="106" t="s">
        <v>221</v>
      </c>
      <c r="C139" s="107"/>
      <c r="D139" s="110"/>
      <c r="E139" s="214" t="s">
        <v>223</v>
      </c>
      <c r="F139" s="78"/>
      <c r="G139" s="933" t="s">
        <v>222</v>
      </c>
      <c r="H139" s="934"/>
      <c r="I139" s="218" t="s">
        <v>219</v>
      </c>
      <c r="J139" s="216" t="s">
        <v>224</v>
      </c>
      <c r="K139" s="933" t="s">
        <v>220</v>
      </c>
      <c r="L139" s="935"/>
    </row>
    <row r="140" spans="1:12">
      <c r="A140" s="23"/>
      <c r="B140" s="217">
        <v>1</v>
      </c>
      <c r="C140" s="107"/>
      <c r="D140" s="107"/>
      <c r="E140" s="220">
        <v>2</v>
      </c>
      <c r="F140" s="111"/>
      <c r="G140" s="220">
        <v>3</v>
      </c>
      <c r="H140" s="236"/>
      <c r="I140" s="236">
        <v>4</v>
      </c>
      <c r="J140" s="129">
        <v>5</v>
      </c>
      <c r="K140" s="113"/>
      <c r="L140" s="114">
        <v>6</v>
      </c>
    </row>
    <row r="141" spans="1:12">
      <c r="A141" s="23"/>
      <c r="B141" s="334" t="e">
        <f>'4-22Master'!#REF!</f>
        <v>#REF!</v>
      </c>
      <c r="C141" s="232"/>
      <c r="D141" s="233"/>
      <c r="E141" s="235" t="s">
        <v>380</v>
      </c>
      <c r="F141" s="233"/>
      <c r="G141" s="235" t="s">
        <v>381</v>
      </c>
      <c r="H141" s="78"/>
      <c r="I141" s="19" t="s">
        <v>382</v>
      </c>
      <c r="J141" s="333">
        <v>1</v>
      </c>
      <c r="K141" s="936" t="s">
        <v>37</v>
      </c>
      <c r="L141" s="942"/>
    </row>
    <row r="142" spans="1:12">
      <c r="A142" s="23"/>
      <c r="B142" s="106"/>
      <c r="C142" s="232"/>
      <c r="D142" s="233"/>
      <c r="E142" s="234"/>
      <c r="F142" s="233"/>
      <c r="G142" s="234"/>
      <c r="H142" s="78"/>
      <c r="I142" s="19"/>
      <c r="J142" s="19"/>
      <c r="K142" s="235"/>
      <c r="L142" s="78"/>
    </row>
    <row r="143" spans="1:12">
      <c r="A143" s="23"/>
      <c r="B143" s="106"/>
      <c r="C143" s="232"/>
      <c r="D143" s="233"/>
      <c r="E143" s="234"/>
      <c r="F143" s="233"/>
      <c r="G143" s="234"/>
      <c r="H143" s="78"/>
      <c r="I143" s="19"/>
      <c r="J143" s="19"/>
      <c r="K143" s="235"/>
      <c r="L143" s="78"/>
    </row>
    <row r="144" spans="1:12">
      <c r="A144" s="23"/>
      <c r="B144" s="85"/>
      <c r="C144" s="27"/>
      <c r="D144" s="86"/>
      <c r="E144" s="234"/>
      <c r="F144" s="233"/>
      <c r="G144" s="234"/>
      <c r="H144" s="78"/>
      <c r="I144" s="19"/>
      <c r="J144" s="19"/>
      <c r="K144" s="235"/>
      <c r="L144" s="78"/>
    </row>
    <row r="145" spans="1:12">
      <c r="A145" s="23"/>
      <c r="B145" t="s">
        <v>225</v>
      </c>
      <c r="L145" s="24"/>
    </row>
    <row r="146" spans="1:12">
      <c r="A146" s="23"/>
      <c r="B146" t="s">
        <v>226</v>
      </c>
      <c r="L146" s="24"/>
    </row>
    <row r="147" spans="1:12">
      <c r="A147" s="23"/>
      <c r="B147" t="s">
        <v>227</v>
      </c>
      <c r="L147" s="24"/>
    </row>
    <row r="148" spans="1:12" ht="27.95" customHeight="1">
      <c r="A148" s="23"/>
      <c r="L148" s="24"/>
    </row>
    <row r="149" spans="1:12" ht="27.95" customHeight="1">
      <c r="A149" s="23"/>
      <c r="I149" t="s">
        <v>228</v>
      </c>
      <c r="L149" s="24"/>
    </row>
    <row r="150" spans="1:12" ht="27.95" customHeight="1">
      <c r="A150" s="23"/>
      <c r="F150" s="222" t="s">
        <v>211</v>
      </c>
      <c r="L150" s="24"/>
    </row>
    <row r="151" spans="1:12" ht="27.95" customHeight="1">
      <c r="A151" s="23" t="s">
        <v>212</v>
      </c>
      <c r="K151" s="272" t="e">
        <f>'4-22Master'!#REF!</f>
        <v>#REF!</v>
      </c>
      <c r="L151" s="24"/>
    </row>
    <row r="152" spans="1:12" ht="27.95" customHeight="1">
      <c r="A152" s="23" t="s">
        <v>213</v>
      </c>
      <c r="L152" s="24"/>
    </row>
    <row r="153" spans="1:12" ht="27.95" customHeight="1">
      <c r="A153" s="23"/>
      <c r="L153" s="24"/>
    </row>
    <row r="154" spans="1:12" ht="27.95" customHeight="1">
      <c r="A154" s="23"/>
      <c r="L154" s="24"/>
    </row>
    <row r="155" spans="1:12" ht="27.95" customHeight="1">
      <c r="A155" s="23"/>
      <c r="F155" t="s">
        <v>214</v>
      </c>
      <c r="L155" s="24"/>
    </row>
    <row r="156" spans="1:12" ht="27.95" customHeight="1">
      <c r="A156" s="23" t="s">
        <v>215</v>
      </c>
      <c r="B156" t="s">
        <v>379</v>
      </c>
      <c r="F156" t="str">
        <f>'4-22Master'!G5</f>
        <v>Burgeon IT Services Pvt.Ltd.</v>
      </c>
      <c r="L156" s="24"/>
    </row>
    <row r="157" spans="1:12" ht="27.95" customHeight="1">
      <c r="A157" s="23" t="s">
        <v>216</v>
      </c>
      <c r="B157" s="332" t="e">
        <f>'4-22Master'!#REF!</f>
        <v>#REF!</v>
      </c>
      <c r="F157" t="str">
        <f>'4-22Master'!G6</f>
        <v>Siri Mansion LIGB 436 Dr.A S Rao Nagar,Hyderabad</v>
      </c>
      <c r="L157" s="24"/>
    </row>
    <row r="158" spans="1:12" ht="27.95" customHeight="1" thickBot="1">
      <c r="A158" s="35"/>
      <c r="B158" s="33"/>
      <c r="C158" s="33"/>
      <c r="D158" s="33"/>
      <c r="E158" s="33"/>
      <c r="F158" s="33"/>
      <c r="G158" s="33"/>
      <c r="H158" s="33"/>
      <c r="I158" s="33"/>
      <c r="J158" s="33"/>
      <c r="K158" s="33"/>
      <c r="L158" s="34"/>
    </row>
    <row r="159" spans="1:12" ht="27.95" customHeight="1" thickBot="1">
      <c r="B159" s="223"/>
      <c r="C159" s="219"/>
      <c r="D159" s="219"/>
      <c r="E159" s="219"/>
      <c r="F159" s="219"/>
      <c r="G159" s="219"/>
      <c r="H159" s="208"/>
      <c r="I159" s="208"/>
      <c r="J159" s="209"/>
      <c r="K159" s="208"/>
      <c r="L159" s="208"/>
    </row>
    <row r="160" spans="1:12" ht="27.95" customHeight="1">
      <c r="A160" s="94"/>
      <c r="B160" s="797" t="s">
        <v>199</v>
      </c>
      <c r="C160" s="798"/>
      <c r="D160" s="798"/>
      <c r="E160" s="798"/>
      <c r="F160" s="798"/>
      <c r="G160" s="798"/>
      <c r="H160" s="798"/>
      <c r="I160" s="798"/>
      <c r="J160" s="798"/>
      <c r="K160" s="798"/>
      <c r="L160" s="799"/>
    </row>
    <row r="161" spans="1:12" ht="27.95" customHeight="1">
      <c r="A161" s="23"/>
      <c r="B161" s="800" t="s">
        <v>200</v>
      </c>
      <c r="C161" s="800"/>
      <c r="D161" s="800"/>
      <c r="E161" s="800"/>
      <c r="F161" s="800"/>
      <c r="G161" s="800"/>
      <c r="H161" s="800"/>
      <c r="I161" s="800"/>
      <c r="J161" s="800"/>
      <c r="K161" s="800"/>
      <c r="L161" s="801"/>
    </row>
    <row r="162" spans="1:12" ht="27.95" customHeight="1" thickBot="1">
      <c r="A162" s="35"/>
      <c r="B162" s="802" t="s">
        <v>201</v>
      </c>
      <c r="C162" s="802"/>
      <c r="D162" s="802"/>
      <c r="E162" s="802"/>
      <c r="F162" s="802"/>
      <c r="G162" s="802"/>
      <c r="H162" s="802"/>
      <c r="I162" s="802"/>
      <c r="J162" s="802"/>
      <c r="K162" s="802"/>
      <c r="L162" s="803"/>
    </row>
    <row r="163" spans="1:12" ht="27.95" customHeight="1">
      <c r="A163" s="23"/>
      <c r="B163" s="804" t="s">
        <v>126</v>
      </c>
      <c r="C163" s="804"/>
      <c r="D163" s="804"/>
      <c r="E163" s="804"/>
      <c r="F163" s="804"/>
      <c r="H163" s="805" t="s">
        <v>127</v>
      </c>
      <c r="I163" s="805"/>
      <c r="J163" s="805"/>
      <c r="K163" s="805"/>
      <c r="L163" s="806"/>
    </row>
    <row r="164" spans="1:12" ht="27.95" customHeight="1" thickBot="1">
      <c r="A164" s="23"/>
      <c r="B164" s="804"/>
      <c r="C164" s="804"/>
      <c r="D164" s="804"/>
      <c r="E164" s="804"/>
      <c r="F164" s="804"/>
      <c r="H164" s="805"/>
      <c r="I164" s="805"/>
      <c r="J164" s="805"/>
      <c r="K164" s="805"/>
      <c r="L164" s="806"/>
    </row>
    <row r="165" spans="1:12" ht="27.95" customHeight="1">
      <c r="A165" s="23"/>
      <c r="B165" s="94"/>
      <c r="C165" s="95"/>
      <c r="D165" s="95"/>
      <c r="E165" s="95"/>
      <c r="F165" s="96"/>
      <c r="H165" s="94"/>
      <c r="I165" s="95"/>
      <c r="J165" s="95"/>
      <c r="K165" s="95"/>
      <c r="L165" s="96"/>
    </row>
    <row r="166" spans="1:12">
      <c r="A166" s="23"/>
      <c r="B166" s="97" t="str">
        <f>'4-22Master'!G5</f>
        <v>Burgeon IT Services Pvt.Ltd.</v>
      </c>
      <c r="F166" s="24"/>
      <c r="H166" s="97" t="str">
        <f>'4-22Master'!AQ5</f>
        <v>Burgeon IT Services Pvt.Ltd.</v>
      </c>
      <c r="L166" s="24"/>
    </row>
    <row r="167" spans="1:12">
      <c r="A167" s="23"/>
      <c r="B167" s="23"/>
      <c r="F167" s="24"/>
      <c r="H167" s="23"/>
      <c r="L167" s="24"/>
    </row>
    <row r="168" spans="1:12">
      <c r="A168" s="23"/>
      <c r="B168" s="97" t="str">
        <f>'4-22Master'!G6</f>
        <v>Siri Mansion LIGB 436 Dr.A S Rao Nagar,Hyderabad</v>
      </c>
      <c r="F168" s="24"/>
      <c r="H168" s="97" t="str">
        <f>'4-22Master'!AQ6</f>
        <v>Siri Mansion LIGB 436 Dr.A S Rao Nagar,Hyderabad</v>
      </c>
      <c r="L168" s="24"/>
    </row>
    <row r="169" spans="1:12" ht="15.75" thickBot="1">
      <c r="A169" s="23"/>
      <c r="B169" s="35"/>
      <c r="C169" s="33"/>
      <c r="D169" s="33"/>
      <c r="E169" s="33"/>
      <c r="F169" s="34"/>
      <c r="H169" s="35"/>
      <c r="I169" s="33"/>
      <c r="J169" s="33"/>
      <c r="K169" s="33"/>
      <c r="L169" s="34"/>
    </row>
    <row r="170" spans="1:12">
      <c r="A170" s="23"/>
      <c r="J170" t="s">
        <v>128</v>
      </c>
      <c r="L170" s="24"/>
    </row>
    <row r="171" spans="1:12">
      <c r="A171" s="23"/>
      <c r="B171" s="725" t="s">
        <v>129</v>
      </c>
      <c r="C171" s="725"/>
      <c r="D171" s="725"/>
      <c r="E171" s="725"/>
      <c r="F171" s="725"/>
      <c r="H171" s="725" t="s">
        <v>4</v>
      </c>
      <c r="I171" s="725"/>
      <c r="J171" s="725"/>
      <c r="K171" s="725"/>
      <c r="L171" s="815"/>
    </row>
    <row r="172" spans="1:12" ht="15.75" thickBot="1">
      <c r="A172" s="23"/>
      <c r="L172" s="24"/>
    </row>
    <row r="173" spans="1:12">
      <c r="A173" s="23"/>
      <c r="B173" s="94"/>
      <c r="C173" s="95"/>
      <c r="D173" s="95"/>
      <c r="E173" s="95"/>
      <c r="F173" s="96"/>
      <c r="H173" s="98"/>
      <c r="I173" s="99"/>
      <c r="J173" s="99"/>
      <c r="K173" s="99"/>
      <c r="L173" s="100"/>
    </row>
    <row r="174" spans="1:12">
      <c r="A174" s="23"/>
      <c r="B174" s="23"/>
      <c r="F174" s="24"/>
      <c r="H174" s="97" t="str">
        <f>'4-22Master'!AQ10</f>
        <v>INFOSYS  LTD.IL Pune STP Unit,Plot No.1</v>
      </c>
      <c r="I174" s="4"/>
      <c r="J174" s="4"/>
      <c r="K174" s="4"/>
      <c r="L174" s="101"/>
    </row>
    <row r="175" spans="1:12">
      <c r="A175" s="23"/>
      <c r="B175" s="97" t="str">
        <f>'4-22Master'!G8</f>
        <v>IT SUPPORTIVE SERVICES&amp; PUNE STP</v>
      </c>
      <c r="F175" s="24"/>
      <c r="H175" s="97"/>
      <c r="I175" s="4"/>
      <c r="J175" s="4"/>
      <c r="K175" s="4"/>
      <c r="L175" s="101"/>
    </row>
    <row r="176" spans="1:12">
      <c r="A176" s="23"/>
      <c r="B176" s="23"/>
      <c r="F176" s="24"/>
      <c r="H176" s="97" t="str">
        <f>'4-22Master'!AQ11</f>
        <v>Rajiv gandhi Info tech park,Hinjawadi,Taluk Mulshi,Pune,Maharashtra 411057</v>
      </c>
      <c r="I176" s="4"/>
      <c r="J176" s="4"/>
      <c r="K176" s="4"/>
      <c r="L176" s="101"/>
    </row>
    <row r="177" spans="1:12" ht="15.75" thickBot="1">
      <c r="A177" s="23"/>
      <c r="B177" s="35"/>
      <c r="C177" s="33"/>
      <c r="D177" s="33"/>
      <c r="E177" s="33"/>
      <c r="F177" s="34"/>
      <c r="H177" s="102"/>
      <c r="I177" s="103"/>
      <c r="J177" s="103"/>
      <c r="K177" s="103"/>
      <c r="L177" s="104"/>
    </row>
    <row r="178" spans="1:12">
      <c r="A178" s="105"/>
      <c r="B178" s="807" t="s">
        <v>202</v>
      </c>
      <c r="C178" s="807"/>
      <c r="D178" s="807"/>
      <c r="E178" s="807"/>
      <c r="F178" s="807"/>
      <c r="G178" s="807"/>
      <c r="H178" s="816" t="e">
        <f>'4-22Master'!#REF!</f>
        <v>#REF!</v>
      </c>
      <c r="I178" s="809"/>
      <c r="J178" s="809"/>
      <c r="K178" s="809"/>
      <c r="L178" s="810"/>
    </row>
    <row r="179" spans="1:12">
      <c r="A179" s="105"/>
      <c r="B179" s="817" t="s">
        <v>203</v>
      </c>
      <c r="C179" s="817"/>
      <c r="D179" s="817"/>
      <c r="E179" s="817"/>
      <c r="F179" s="817"/>
      <c r="G179" s="817"/>
      <c r="H179" s="816" t="e">
        <f>'4-22Master'!#REF!</f>
        <v>#REF!</v>
      </c>
      <c r="I179" s="809"/>
      <c r="J179" s="809"/>
      <c r="K179" s="809"/>
      <c r="L179" s="810"/>
    </row>
    <row r="180" spans="1:12">
      <c r="A180" s="105"/>
      <c r="B180" s="807" t="s">
        <v>204</v>
      </c>
      <c r="C180" s="807"/>
      <c r="D180" s="807"/>
      <c r="E180" s="807"/>
      <c r="F180" s="807"/>
      <c r="G180" s="807"/>
      <c r="H180" s="816" t="e">
        <f>'4-22Master'!#REF!</f>
        <v>#REF!</v>
      </c>
      <c r="I180" s="809"/>
      <c r="J180" s="809"/>
      <c r="K180" s="809"/>
      <c r="L180" s="810"/>
    </row>
    <row r="181" spans="1:12">
      <c r="A181" s="105"/>
      <c r="B181" s="807" t="s">
        <v>205</v>
      </c>
      <c r="C181" s="807"/>
      <c r="D181" s="807"/>
      <c r="E181" s="807"/>
      <c r="F181" s="807"/>
      <c r="G181" s="807"/>
      <c r="H181" s="941" t="e">
        <f>'4-22Master'!#REF!</f>
        <v>#REF!</v>
      </c>
      <c r="I181" s="809"/>
      <c r="J181" s="809"/>
      <c r="K181" s="809"/>
      <c r="L181" s="810"/>
    </row>
    <row r="182" spans="1:12">
      <c r="A182" s="105"/>
      <c r="B182" s="106" t="s">
        <v>206</v>
      </c>
      <c r="C182" s="107"/>
      <c r="D182" s="107"/>
      <c r="E182" s="107"/>
      <c r="F182" s="107"/>
      <c r="G182" s="107"/>
      <c r="H182" s="938" t="s">
        <v>207</v>
      </c>
      <c r="I182" s="939"/>
      <c r="J182" s="939"/>
      <c r="K182" s="939"/>
      <c r="L182" s="940"/>
    </row>
    <row r="183" spans="1:12">
      <c r="A183" s="105"/>
      <c r="B183" s="106" t="s">
        <v>208</v>
      </c>
      <c r="C183" s="107"/>
      <c r="D183" s="107"/>
      <c r="E183" s="107"/>
      <c r="F183" s="107"/>
      <c r="G183" s="107"/>
      <c r="H183" s="108"/>
      <c r="I183" s="110"/>
      <c r="J183" s="221"/>
      <c r="K183" s="110"/>
      <c r="L183" s="115"/>
    </row>
    <row r="184" spans="1:12">
      <c r="A184" s="105"/>
      <c r="B184" s="811" t="s">
        <v>209</v>
      </c>
      <c r="C184" s="811"/>
      <c r="D184" s="811"/>
      <c r="E184" s="811"/>
      <c r="F184" s="811"/>
      <c r="G184" s="811"/>
      <c r="H184" s="812" t="e">
        <f>'4-22Master'!#REF!</f>
        <v>#REF!</v>
      </c>
      <c r="I184" s="813"/>
      <c r="J184" s="813"/>
      <c r="K184" s="813"/>
      <c r="L184" s="814"/>
    </row>
    <row r="185" spans="1:12">
      <c r="A185" s="105"/>
      <c r="B185" s="807"/>
      <c r="C185" s="807"/>
      <c r="D185" s="807"/>
      <c r="E185" s="807"/>
      <c r="F185" s="807"/>
      <c r="G185" s="807"/>
      <c r="H185" s="808" t="e">
        <f>'4-22Master'!#REF!</f>
        <v>#REF!</v>
      </c>
      <c r="I185" s="809"/>
      <c r="J185" s="809"/>
      <c r="K185" s="809"/>
      <c r="L185" s="810"/>
    </row>
    <row r="186" spans="1:12">
      <c r="A186" s="23"/>
      <c r="B186" s="807"/>
      <c r="C186" s="807"/>
      <c r="D186" s="807"/>
      <c r="E186" s="807"/>
      <c r="F186" s="807"/>
      <c r="G186" s="807"/>
      <c r="H186" s="816" t="e">
        <f>'4-22Master'!#REF!</f>
        <v>#REF!</v>
      </c>
      <c r="I186" s="809"/>
      <c r="J186" s="809"/>
      <c r="K186" s="809"/>
      <c r="L186" s="810"/>
    </row>
    <row r="187" spans="1:12">
      <c r="A187" s="23"/>
      <c r="B187" s="106" t="s">
        <v>210</v>
      </c>
      <c r="C187" s="107"/>
      <c r="D187" s="107"/>
      <c r="E187" s="107"/>
      <c r="F187" s="107"/>
      <c r="G187" s="111"/>
      <c r="H187" s="930" t="e">
        <f>'4-22Master'!#REF!</f>
        <v>#REF!</v>
      </c>
      <c r="I187" s="931"/>
      <c r="J187" s="931"/>
      <c r="K187" s="931"/>
      <c r="L187" s="932"/>
    </row>
    <row r="188" spans="1:12">
      <c r="A188" s="23"/>
      <c r="B188" s="106"/>
      <c r="C188" s="107"/>
      <c r="D188" s="107"/>
      <c r="E188" s="107"/>
      <c r="F188" s="107"/>
      <c r="G188" s="111"/>
      <c r="H188" s="930" t="e">
        <f>'4-22Master'!#REF!</f>
        <v>#REF!</v>
      </c>
      <c r="I188" s="931"/>
      <c r="J188" s="931"/>
      <c r="K188" s="931"/>
      <c r="L188" s="932"/>
    </row>
    <row r="189" spans="1:12">
      <c r="A189" s="23"/>
      <c r="B189" s="106"/>
      <c r="C189" s="107"/>
      <c r="D189" s="107"/>
      <c r="E189" s="107"/>
      <c r="F189" s="107"/>
      <c r="G189" s="111"/>
      <c r="H189" s="930" t="e">
        <f>'4-22Master'!#REF!</f>
        <v>#REF!</v>
      </c>
      <c r="I189" s="931"/>
      <c r="J189" s="931"/>
      <c r="K189" s="931"/>
      <c r="L189" s="932"/>
    </row>
    <row r="190" spans="1:12">
      <c r="A190" s="23"/>
      <c r="B190" s="106" t="s">
        <v>217</v>
      </c>
      <c r="C190" s="107"/>
      <c r="D190" s="107"/>
      <c r="E190" s="107"/>
      <c r="F190" s="107"/>
      <c r="G190" s="111"/>
      <c r="H190" s="108"/>
      <c r="I190" s="110"/>
      <c r="J190" s="110"/>
      <c r="K190" s="110"/>
      <c r="L190" s="115"/>
    </row>
    <row r="191" spans="1:12">
      <c r="A191" s="23"/>
      <c r="B191" s="118" t="s">
        <v>218</v>
      </c>
      <c r="C191" s="202"/>
      <c r="D191" s="202"/>
      <c r="E191" s="202"/>
      <c r="F191" s="202"/>
      <c r="G191" s="203"/>
      <c r="H191" s="204"/>
      <c r="I191" s="205"/>
      <c r="J191" s="206"/>
      <c r="K191" s="205"/>
      <c r="L191" s="207"/>
    </row>
    <row r="192" spans="1:12" ht="45">
      <c r="A192" s="23"/>
      <c r="B192" s="106" t="s">
        <v>221</v>
      </c>
      <c r="C192" s="107"/>
      <c r="D192" s="110"/>
      <c r="E192" s="214" t="s">
        <v>223</v>
      </c>
      <c r="F192" s="78"/>
      <c r="G192" s="933" t="s">
        <v>222</v>
      </c>
      <c r="H192" s="934"/>
      <c r="I192" s="218" t="s">
        <v>219</v>
      </c>
      <c r="J192" s="216" t="s">
        <v>224</v>
      </c>
      <c r="K192" s="933" t="s">
        <v>220</v>
      </c>
      <c r="L192" s="935"/>
    </row>
    <row r="193" spans="1:12">
      <c r="A193" s="23"/>
      <c r="B193" s="217">
        <v>1</v>
      </c>
      <c r="C193" s="107"/>
      <c r="D193" s="107"/>
      <c r="E193" s="220">
        <v>2</v>
      </c>
      <c r="F193" s="111"/>
      <c r="G193" s="220">
        <v>3</v>
      </c>
      <c r="H193" s="236"/>
      <c r="I193" s="236">
        <v>4</v>
      </c>
      <c r="J193" s="129">
        <v>5</v>
      </c>
      <c r="K193" s="113"/>
      <c r="L193" s="114">
        <v>6</v>
      </c>
    </row>
    <row r="194" spans="1:12">
      <c r="A194" s="23"/>
      <c r="B194" s="334" t="e">
        <f>'4-22Master'!#REF!</f>
        <v>#REF!</v>
      </c>
      <c r="C194" s="232"/>
      <c r="D194" s="233"/>
      <c r="E194" s="235" t="s">
        <v>380</v>
      </c>
      <c r="F194" s="233"/>
      <c r="G194" s="235" t="s">
        <v>381</v>
      </c>
      <c r="H194" s="78"/>
      <c r="I194" s="19" t="s">
        <v>382</v>
      </c>
      <c r="J194" s="333">
        <v>1</v>
      </c>
      <c r="K194" s="936" t="s">
        <v>37</v>
      </c>
      <c r="L194" s="942"/>
    </row>
    <row r="195" spans="1:12">
      <c r="A195" s="23"/>
      <c r="B195" s="106"/>
      <c r="C195" s="232"/>
      <c r="D195" s="233"/>
      <c r="E195" s="234"/>
      <c r="F195" s="233"/>
      <c r="G195" s="234"/>
      <c r="H195" s="78"/>
      <c r="I195" s="19"/>
      <c r="J195" s="19"/>
      <c r="K195" s="235"/>
      <c r="L195" s="78"/>
    </row>
    <row r="196" spans="1:12">
      <c r="A196" s="23"/>
      <c r="B196" s="106"/>
      <c r="C196" s="232"/>
      <c r="D196" s="233"/>
      <c r="E196" s="234"/>
      <c r="F196" s="233"/>
      <c r="G196" s="234"/>
      <c r="H196" s="78"/>
      <c r="I196" s="19"/>
      <c r="J196" s="19"/>
      <c r="K196" s="235"/>
      <c r="L196" s="78"/>
    </row>
    <row r="197" spans="1:12">
      <c r="A197" s="23"/>
      <c r="B197" s="85"/>
      <c r="C197" s="27"/>
      <c r="D197" s="86"/>
      <c r="E197" s="234"/>
      <c r="F197" s="233"/>
      <c r="G197" s="234"/>
      <c r="H197" s="78"/>
      <c r="I197" s="19"/>
      <c r="J197" s="19"/>
      <c r="K197" s="235"/>
      <c r="L197" s="78"/>
    </row>
    <row r="198" spans="1:12">
      <c r="A198" s="23"/>
      <c r="B198" t="s">
        <v>225</v>
      </c>
      <c r="L198" s="24"/>
    </row>
    <row r="199" spans="1:12">
      <c r="A199" s="23"/>
      <c r="B199" t="s">
        <v>226</v>
      </c>
      <c r="L199" s="24"/>
    </row>
    <row r="200" spans="1:12">
      <c r="A200" s="23"/>
      <c r="B200" t="s">
        <v>227</v>
      </c>
      <c r="L200" s="24"/>
    </row>
    <row r="201" spans="1:12" ht="27.95" customHeight="1">
      <c r="A201" s="23"/>
      <c r="L201" s="24"/>
    </row>
    <row r="202" spans="1:12" ht="27.95" customHeight="1">
      <c r="A202" s="23"/>
      <c r="I202" t="s">
        <v>228</v>
      </c>
      <c r="L202" s="24"/>
    </row>
    <row r="203" spans="1:12" ht="27.95" customHeight="1">
      <c r="A203" s="23"/>
      <c r="F203" s="222" t="s">
        <v>211</v>
      </c>
      <c r="L203" s="24"/>
    </row>
    <row r="204" spans="1:12" ht="27.95" customHeight="1">
      <c r="A204" s="23" t="s">
        <v>212</v>
      </c>
      <c r="K204" s="272" t="e">
        <f>'4-22Master'!#REF!</f>
        <v>#REF!</v>
      </c>
      <c r="L204" s="24"/>
    </row>
    <row r="205" spans="1:12" ht="27.95" customHeight="1">
      <c r="A205" s="23" t="s">
        <v>213</v>
      </c>
      <c r="L205" s="24"/>
    </row>
    <row r="206" spans="1:12" ht="27.95" customHeight="1">
      <c r="A206" s="23"/>
      <c r="L206" s="24"/>
    </row>
    <row r="207" spans="1:12" ht="27.95" customHeight="1">
      <c r="A207" s="23"/>
      <c r="L207" s="24"/>
    </row>
    <row r="208" spans="1:12" ht="27.95" customHeight="1">
      <c r="A208" s="23"/>
      <c r="F208" t="s">
        <v>214</v>
      </c>
      <c r="L208" s="24"/>
    </row>
    <row r="209" spans="1:12" ht="27.95" customHeight="1">
      <c r="A209" s="23" t="s">
        <v>215</v>
      </c>
      <c r="B209" t="s">
        <v>379</v>
      </c>
      <c r="F209" t="str">
        <f>'4-22Master'!G5</f>
        <v>Burgeon IT Services Pvt.Ltd.</v>
      </c>
      <c r="L209" s="24"/>
    </row>
    <row r="210" spans="1:12" ht="27.95" customHeight="1">
      <c r="A210" s="23" t="s">
        <v>216</v>
      </c>
      <c r="B210" s="332" t="e">
        <f>'4-22Master'!#REF!</f>
        <v>#REF!</v>
      </c>
      <c r="F210" t="str">
        <f>'4-22Master'!G6</f>
        <v>Siri Mansion LIGB 436 Dr.A S Rao Nagar,Hyderabad</v>
      </c>
      <c r="L210" s="24"/>
    </row>
    <row r="211" spans="1:12" ht="27.95" customHeight="1" thickBot="1">
      <c r="A211" s="35"/>
      <c r="B211" s="33"/>
      <c r="C211" s="33"/>
      <c r="D211" s="33"/>
      <c r="E211" s="33"/>
      <c r="F211" s="33"/>
      <c r="G211" s="33"/>
      <c r="H211" s="33"/>
      <c r="I211" s="33"/>
      <c r="J211" s="33"/>
      <c r="K211" s="33"/>
      <c r="L211" s="34"/>
    </row>
    <row r="212" spans="1:12" ht="27.95" customHeight="1" thickBot="1">
      <c r="B212" s="223"/>
      <c r="C212" s="219"/>
      <c r="D212" s="219"/>
      <c r="E212" s="219"/>
      <c r="F212" s="219"/>
      <c r="G212" s="219"/>
      <c r="H212" s="208"/>
      <c r="I212" s="208"/>
      <c r="J212" s="209"/>
      <c r="K212" s="208"/>
      <c r="L212" s="208"/>
    </row>
    <row r="213" spans="1:12" ht="27.95" customHeight="1">
      <c r="A213" s="94"/>
      <c r="B213" s="797" t="s">
        <v>199</v>
      </c>
      <c r="C213" s="798"/>
      <c r="D213" s="798"/>
      <c r="E213" s="798"/>
      <c r="F213" s="798"/>
      <c r="G213" s="798"/>
      <c r="H213" s="798"/>
      <c r="I213" s="798"/>
      <c r="J213" s="798"/>
      <c r="K213" s="798"/>
      <c r="L213" s="799"/>
    </row>
    <row r="214" spans="1:12" ht="27.95" customHeight="1">
      <c r="A214" s="23"/>
      <c r="B214" s="800" t="s">
        <v>200</v>
      </c>
      <c r="C214" s="800"/>
      <c r="D214" s="800"/>
      <c r="E214" s="800"/>
      <c r="F214" s="800"/>
      <c r="G214" s="800"/>
      <c r="H214" s="800"/>
      <c r="I214" s="800"/>
      <c r="J214" s="800"/>
      <c r="K214" s="800"/>
      <c r="L214" s="801"/>
    </row>
    <row r="215" spans="1:12" ht="27.95" customHeight="1" thickBot="1">
      <c r="A215" s="35"/>
      <c r="B215" s="802" t="s">
        <v>201</v>
      </c>
      <c r="C215" s="802"/>
      <c r="D215" s="802"/>
      <c r="E215" s="802"/>
      <c r="F215" s="802"/>
      <c r="G215" s="802"/>
      <c r="H215" s="802"/>
      <c r="I215" s="802"/>
      <c r="J215" s="802"/>
      <c r="K215" s="802"/>
      <c r="L215" s="803"/>
    </row>
    <row r="216" spans="1:12" ht="27.95" customHeight="1">
      <c r="A216" s="23"/>
      <c r="B216" s="804" t="s">
        <v>126</v>
      </c>
      <c r="C216" s="804"/>
      <c r="D216" s="804"/>
      <c r="E216" s="804"/>
      <c r="F216" s="804"/>
      <c r="H216" s="805" t="s">
        <v>127</v>
      </c>
      <c r="I216" s="805"/>
      <c r="J216" s="805"/>
      <c r="K216" s="805"/>
      <c r="L216" s="806"/>
    </row>
    <row r="217" spans="1:12" ht="27.95" customHeight="1" thickBot="1">
      <c r="A217" s="23"/>
      <c r="B217" s="804"/>
      <c r="C217" s="804"/>
      <c r="D217" s="804"/>
      <c r="E217" s="804"/>
      <c r="F217" s="804"/>
      <c r="H217" s="805"/>
      <c r="I217" s="805"/>
      <c r="J217" s="805"/>
      <c r="K217" s="805"/>
      <c r="L217" s="806"/>
    </row>
    <row r="218" spans="1:12" ht="27.95" customHeight="1">
      <c r="A218" s="23"/>
      <c r="B218" s="94"/>
      <c r="C218" s="95"/>
      <c r="D218" s="95"/>
      <c r="E218" s="95"/>
      <c r="F218" s="96"/>
      <c r="H218" s="94"/>
      <c r="I218" s="95"/>
      <c r="J218" s="95"/>
      <c r="K218" s="95"/>
      <c r="L218" s="96"/>
    </row>
    <row r="219" spans="1:12">
      <c r="A219" s="23"/>
      <c r="B219" s="97" t="str">
        <f>'4-22Master'!G5</f>
        <v>Burgeon IT Services Pvt.Ltd.</v>
      </c>
      <c r="F219" s="24"/>
      <c r="H219" s="97" t="str">
        <f>'4-22Master'!AQ5</f>
        <v>Burgeon IT Services Pvt.Ltd.</v>
      </c>
      <c r="L219" s="24"/>
    </row>
    <row r="220" spans="1:12">
      <c r="A220" s="23"/>
      <c r="B220" s="23"/>
      <c r="F220" s="24"/>
      <c r="H220" s="23"/>
      <c r="L220" s="24"/>
    </row>
    <row r="221" spans="1:12">
      <c r="A221" s="23"/>
      <c r="B221" s="97" t="str">
        <f>'4-22Master'!G6</f>
        <v>Siri Mansion LIGB 436 Dr.A S Rao Nagar,Hyderabad</v>
      </c>
      <c r="F221" s="24"/>
      <c r="H221" s="97" t="str">
        <f>'4-22Master'!AQ6</f>
        <v>Siri Mansion LIGB 436 Dr.A S Rao Nagar,Hyderabad</v>
      </c>
      <c r="L221" s="24"/>
    </row>
    <row r="222" spans="1:12" ht="15.75" thickBot="1">
      <c r="A222" s="23"/>
      <c r="B222" s="35"/>
      <c r="C222" s="33"/>
      <c r="D222" s="33"/>
      <c r="E222" s="33"/>
      <c r="F222" s="34"/>
      <c r="H222" s="35"/>
      <c r="I222" s="33"/>
      <c r="J222" s="33"/>
      <c r="K222" s="33"/>
      <c r="L222" s="34"/>
    </row>
    <row r="223" spans="1:12">
      <c r="A223" s="23"/>
      <c r="J223" t="s">
        <v>128</v>
      </c>
      <c r="L223" s="24"/>
    </row>
    <row r="224" spans="1:12">
      <c r="A224" s="23"/>
      <c r="B224" s="725" t="s">
        <v>129</v>
      </c>
      <c r="C224" s="725"/>
      <c r="D224" s="725"/>
      <c r="E224" s="725"/>
      <c r="F224" s="725"/>
      <c r="H224" s="725" t="s">
        <v>4</v>
      </c>
      <c r="I224" s="725"/>
      <c r="J224" s="725"/>
      <c r="K224" s="725"/>
      <c r="L224" s="815"/>
    </row>
    <row r="225" spans="1:12" ht="15.75" thickBot="1">
      <c r="A225" s="23"/>
      <c r="L225" s="24"/>
    </row>
    <row r="226" spans="1:12">
      <c r="A226" s="23"/>
      <c r="B226" s="94"/>
      <c r="C226" s="95"/>
      <c r="D226" s="95"/>
      <c r="E226" s="95"/>
      <c r="F226" s="96"/>
      <c r="H226" s="98"/>
      <c r="I226" s="99"/>
      <c r="J226" s="99"/>
      <c r="K226" s="99"/>
      <c r="L226" s="100"/>
    </row>
    <row r="227" spans="1:12">
      <c r="A227" s="23"/>
      <c r="B227" s="23"/>
      <c r="F227" s="24"/>
      <c r="H227" s="97" t="str">
        <f>'4-22Master'!AQ10</f>
        <v>INFOSYS  LTD.IL Pune STP Unit,Plot No.1</v>
      </c>
      <c r="I227" s="4"/>
      <c r="J227" s="4"/>
      <c r="K227" s="4"/>
      <c r="L227" s="101"/>
    </row>
    <row r="228" spans="1:12">
      <c r="A228" s="23"/>
      <c r="B228" s="97" t="str">
        <f>'4-22Master'!G8</f>
        <v>IT SUPPORTIVE SERVICES&amp; PUNE STP</v>
      </c>
      <c r="F228" s="24"/>
      <c r="H228" s="97"/>
      <c r="I228" s="4"/>
      <c r="J228" s="4"/>
      <c r="K228" s="4"/>
      <c r="L228" s="101"/>
    </row>
    <row r="229" spans="1:12">
      <c r="A229" s="23"/>
      <c r="B229" s="23"/>
      <c r="F229" s="24"/>
      <c r="H229" s="97" t="str">
        <f>'4-22Master'!AQ11</f>
        <v>Rajiv gandhi Info tech park,Hinjawadi,Taluk Mulshi,Pune,Maharashtra 411057</v>
      </c>
      <c r="I229" s="4"/>
      <c r="J229" s="4"/>
      <c r="K229" s="4"/>
      <c r="L229" s="101"/>
    </row>
    <row r="230" spans="1:12" ht="15.75" thickBot="1">
      <c r="A230" s="23"/>
      <c r="B230" s="35"/>
      <c r="C230" s="33"/>
      <c r="D230" s="33"/>
      <c r="E230" s="33"/>
      <c r="F230" s="34"/>
      <c r="H230" s="102"/>
      <c r="I230" s="103"/>
      <c r="J230" s="103"/>
      <c r="K230" s="103"/>
      <c r="L230" s="104"/>
    </row>
    <row r="231" spans="1:12">
      <c r="A231" s="105"/>
      <c r="B231" s="807" t="s">
        <v>202</v>
      </c>
      <c r="C231" s="807"/>
      <c r="D231" s="807"/>
      <c r="E231" s="807"/>
      <c r="F231" s="807"/>
      <c r="G231" s="807"/>
      <c r="H231" s="816" t="e">
        <f>'4-22Master'!#REF!</f>
        <v>#REF!</v>
      </c>
      <c r="I231" s="809"/>
      <c r="J231" s="809"/>
      <c r="K231" s="809"/>
      <c r="L231" s="810"/>
    </row>
    <row r="232" spans="1:12">
      <c r="A232" s="105"/>
      <c r="B232" s="817" t="s">
        <v>203</v>
      </c>
      <c r="C232" s="817"/>
      <c r="D232" s="817"/>
      <c r="E232" s="817"/>
      <c r="F232" s="817"/>
      <c r="G232" s="817"/>
      <c r="H232" s="816" t="e">
        <f>'4-22Master'!#REF!</f>
        <v>#REF!</v>
      </c>
      <c r="I232" s="809"/>
      <c r="J232" s="809"/>
      <c r="K232" s="809"/>
      <c r="L232" s="810"/>
    </row>
    <row r="233" spans="1:12">
      <c r="A233" s="105"/>
      <c r="B233" s="807" t="s">
        <v>204</v>
      </c>
      <c r="C233" s="807"/>
      <c r="D233" s="807"/>
      <c r="E233" s="807"/>
      <c r="F233" s="807"/>
      <c r="G233" s="807"/>
      <c r="H233" s="816" t="e">
        <f>'4-22Master'!#REF!</f>
        <v>#REF!</v>
      </c>
      <c r="I233" s="809"/>
      <c r="J233" s="809"/>
      <c r="K233" s="809"/>
      <c r="L233" s="810"/>
    </row>
    <row r="234" spans="1:12">
      <c r="A234" s="105"/>
      <c r="B234" s="807" t="s">
        <v>205</v>
      </c>
      <c r="C234" s="807"/>
      <c r="D234" s="807"/>
      <c r="E234" s="807"/>
      <c r="F234" s="807"/>
      <c r="G234" s="807"/>
      <c r="H234" s="941" t="e">
        <f>'4-22Master'!#REF!</f>
        <v>#REF!</v>
      </c>
      <c r="I234" s="809"/>
      <c r="J234" s="809"/>
      <c r="K234" s="809"/>
      <c r="L234" s="810"/>
    </row>
    <row r="235" spans="1:12">
      <c r="A235" s="105"/>
      <c r="B235" s="106" t="s">
        <v>206</v>
      </c>
      <c r="C235" s="107"/>
      <c r="D235" s="107"/>
      <c r="E235" s="107"/>
      <c r="F235" s="107"/>
      <c r="G235" s="107"/>
      <c r="H235" s="938" t="s">
        <v>207</v>
      </c>
      <c r="I235" s="939"/>
      <c r="J235" s="939"/>
      <c r="K235" s="939"/>
      <c r="L235" s="940"/>
    </row>
    <row r="236" spans="1:12">
      <c r="A236" s="105"/>
      <c r="B236" s="106" t="s">
        <v>208</v>
      </c>
      <c r="C236" s="107"/>
      <c r="D236" s="107"/>
      <c r="E236" s="107"/>
      <c r="F236" s="107"/>
      <c r="G236" s="107"/>
      <c r="H236" s="108"/>
      <c r="I236" s="110"/>
      <c r="J236" s="221"/>
      <c r="K236" s="110"/>
      <c r="L236" s="115"/>
    </row>
    <row r="237" spans="1:12">
      <c r="A237" s="105"/>
      <c r="B237" s="811" t="s">
        <v>209</v>
      </c>
      <c r="C237" s="811"/>
      <c r="D237" s="811"/>
      <c r="E237" s="811"/>
      <c r="F237" s="811"/>
      <c r="G237" s="811"/>
      <c r="H237" s="812" t="e">
        <f>'4-22Master'!#REF!</f>
        <v>#REF!</v>
      </c>
      <c r="I237" s="813"/>
      <c r="J237" s="813"/>
      <c r="K237" s="813"/>
      <c r="L237" s="814"/>
    </row>
    <row r="238" spans="1:12">
      <c r="A238" s="105"/>
      <c r="B238" s="807"/>
      <c r="C238" s="807"/>
      <c r="D238" s="807"/>
      <c r="E238" s="807"/>
      <c r="F238" s="807"/>
      <c r="G238" s="807"/>
      <c r="H238" s="808" t="e">
        <f>'4-22Master'!#REF!</f>
        <v>#REF!</v>
      </c>
      <c r="I238" s="809"/>
      <c r="J238" s="809"/>
      <c r="K238" s="809"/>
      <c r="L238" s="810"/>
    </row>
    <row r="239" spans="1:12">
      <c r="A239" s="23"/>
      <c r="B239" s="807"/>
      <c r="C239" s="807"/>
      <c r="D239" s="807"/>
      <c r="E239" s="807"/>
      <c r="F239" s="807"/>
      <c r="G239" s="807"/>
      <c r="H239" s="816" t="e">
        <f>'4-22Master'!#REF!</f>
        <v>#REF!</v>
      </c>
      <c r="I239" s="809"/>
      <c r="J239" s="809"/>
      <c r="K239" s="809"/>
      <c r="L239" s="810"/>
    </row>
    <row r="240" spans="1:12">
      <c r="A240" s="23"/>
      <c r="B240" s="106" t="s">
        <v>210</v>
      </c>
      <c r="C240" s="107"/>
      <c r="D240" s="107"/>
      <c r="E240" s="107"/>
      <c r="F240" s="107"/>
      <c r="G240" s="111"/>
      <c r="H240" s="930" t="e">
        <f>'4-22Master'!#REF!</f>
        <v>#REF!</v>
      </c>
      <c r="I240" s="931"/>
      <c r="J240" s="931"/>
      <c r="K240" s="931"/>
      <c r="L240" s="932"/>
    </row>
    <row r="241" spans="1:12">
      <c r="A241" s="23"/>
      <c r="B241" s="106"/>
      <c r="C241" s="107"/>
      <c r="D241" s="107"/>
      <c r="E241" s="107"/>
      <c r="F241" s="107"/>
      <c r="G241" s="111"/>
      <c r="H241" s="930" t="e">
        <f>'4-22Master'!#REF!</f>
        <v>#REF!</v>
      </c>
      <c r="I241" s="931"/>
      <c r="J241" s="931"/>
      <c r="K241" s="931"/>
      <c r="L241" s="932"/>
    </row>
    <row r="242" spans="1:12">
      <c r="A242" s="23"/>
      <c r="B242" s="106"/>
      <c r="C242" s="107"/>
      <c r="D242" s="107"/>
      <c r="E242" s="107"/>
      <c r="F242" s="107"/>
      <c r="G242" s="111"/>
      <c r="H242" s="930" t="e">
        <f>'4-22Master'!#REF!</f>
        <v>#REF!</v>
      </c>
      <c r="I242" s="931"/>
      <c r="J242" s="931"/>
      <c r="K242" s="931"/>
      <c r="L242" s="932"/>
    </row>
    <row r="243" spans="1:12">
      <c r="A243" s="23"/>
      <c r="B243" s="106" t="s">
        <v>217</v>
      </c>
      <c r="C243" s="107"/>
      <c r="D243" s="107"/>
      <c r="E243" s="107"/>
      <c r="F243" s="107"/>
      <c r="G243" s="111"/>
      <c r="H243" s="108"/>
      <c r="I243" s="110"/>
      <c r="J243" s="110"/>
      <c r="K243" s="110"/>
      <c r="L243" s="115"/>
    </row>
    <row r="244" spans="1:12">
      <c r="A244" s="23"/>
      <c r="B244" s="118" t="s">
        <v>218</v>
      </c>
      <c r="C244" s="202"/>
      <c r="D244" s="202"/>
      <c r="E244" s="202"/>
      <c r="F244" s="202"/>
      <c r="G244" s="203"/>
      <c r="H244" s="204"/>
      <c r="I244" s="205"/>
      <c r="J244" s="206"/>
      <c r="K244" s="205"/>
      <c r="L244" s="207"/>
    </row>
    <row r="245" spans="1:12" ht="45">
      <c r="A245" s="23"/>
      <c r="B245" s="106" t="s">
        <v>221</v>
      </c>
      <c r="C245" s="107"/>
      <c r="D245" s="110"/>
      <c r="E245" s="214" t="s">
        <v>223</v>
      </c>
      <c r="F245" s="78"/>
      <c r="G245" s="933" t="s">
        <v>222</v>
      </c>
      <c r="H245" s="934"/>
      <c r="I245" s="218" t="s">
        <v>219</v>
      </c>
      <c r="J245" s="216" t="s">
        <v>224</v>
      </c>
      <c r="K245" s="933" t="s">
        <v>220</v>
      </c>
      <c r="L245" s="935"/>
    </row>
    <row r="246" spans="1:12">
      <c r="A246" s="23"/>
      <c r="B246" s="217">
        <v>1</v>
      </c>
      <c r="C246" s="107"/>
      <c r="D246" s="107"/>
      <c r="E246" s="220">
        <v>2</v>
      </c>
      <c r="F246" s="111"/>
      <c r="G246" s="220">
        <v>3</v>
      </c>
      <c r="H246" s="236"/>
      <c r="I246" s="236">
        <v>4</v>
      </c>
      <c r="J246" s="129">
        <v>5</v>
      </c>
      <c r="K246" s="113"/>
      <c r="L246" s="114">
        <v>6</v>
      </c>
    </row>
    <row r="247" spans="1:12">
      <c r="A247" s="23"/>
      <c r="B247" s="334" t="e">
        <f>'4-22Master'!#REF!</f>
        <v>#REF!</v>
      </c>
      <c r="C247" s="232"/>
      <c r="D247" s="233"/>
      <c r="E247" s="235" t="s">
        <v>380</v>
      </c>
      <c r="F247" s="233"/>
      <c r="G247" s="235" t="s">
        <v>381</v>
      </c>
      <c r="H247" s="78"/>
      <c r="I247" s="19" t="s">
        <v>382</v>
      </c>
      <c r="J247" s="333">
        <v>1</v>
      </c>
      <c r="K247" s="936" t="s">
        <v>37</v>
      </c>
      <c r="L247" s="942"/>
    </row>
    <row r="248" spans="1:12">
      <c r="A248" s="23"/>
      <c r="B248" s="106"/>
      <c r="C248" s="232"/>
      <c r="D248" s="233"/>
      <c r="E248" s="234"/>
      <c r="F248" s="233"/>
      <c r="G248" s="234"/>
      <c r="H248" s="78"/>
      <c r="I248" s="19"/>
      <c r="J248" s="19"/>
      <c r="K248" s="235"/>
      <c r="L248" s="78"/>
    </row>
    <row r="249" spans="1:12">
      <c r="A249" s="23"/>
      <c r="B249" s="106"/>
      <c r="C249" s="232"/>
      <c r="D249" s="233"/>
      <c r="E249" s="234"/>
      <c r="F249" s="233"/>
      <c r="G249" s="234"/>
      <c r="H249" s="78"/>
      <c r="I249" s="19"/>
      <c r="J249" s="19"/>
      <c r="K249" s="235"/>
      <c r="L249" s="78"/>
    </row>
    <row r="250" spans="1:12">
      <c r="A250" s="23"/>
      <c r="B250" s="85"/>
      <c r="C250" s="27"/>
      <c r="D250" s="86"/>
      <c r="E250" s="234"/>
      <c r="F250" s="233"/>
      <c r="G250" s="234"/>
      <c r="H250" s="78"/>
      <c r="I250" s="19"/>
      <c r="J250" s="19"/>
      <c r="K250" s="235"/>
      <c r="L250" s="78"/>
    </row>
    <row r="251" spans="1:12">
      <c r="A251" s="23"/>
      <c r="B251" t="s">
        <v>225</v>
      </c>
      <c r="L251" s="24"/>
    </row>
    <row r="252" spans="1:12">
      <c r="A252" s="23"/>
      <c r="B252" t="s">
        <v>226</v>
      </c>
      <c r="L252" s="24"/>
    </row>
    <row r="253" spans="1:12">
      <c r="A253" s="23"/>
      <c r="B253" t="s">
        <v>227</v>
      </c>
      <c r="L253" s="24"/>
    </row>
    <row r="254" spans="1:12" ht="27.95" customHeight="1">
      <c r="A254" s="23"/>
      <c r="L254" s="24"/>
    </row>
    <row r="255" spans="1:12" ht="27.95" customHeight="1">
      <c r="A255" s="23"/>
      <c r="I255" t="s">
        <v>228</v>
      </c>
      <c r="L255" s="24"/>
    </row>
    <row r="256" spans="1:12" ht="27.95" customHeight="1">
      <c r="A256" s="23"/>
      <c r="F256" s="222" t="s">
        <v>211</v>
      </c>
      <c r="L256" s="24"/>
    </row>
    <row r="257" spans="1:12" ht="27.95" customHeight="1">
      <c r="A257" s="23" t="s">
        <v>212</v>
      </c>
      <c r="K257" s="272" t="e">
        <f>'4-22Master'!#REF!</f>
        <v>#REF!</v>
      </c>
      <c r="L257" s="24"/>
    </row>
    <row r="258" spans="1:12" ht="27.95" customHeight="1">
      <c r="A258" s="23" t="s">
        <v>213</v>
      </c>
      <c r="L258" s="24"/>
    </row>
    <row r="259" spans="1:12" ht="27.95" customHeight="1">
      <c r="A259" s="23"/>
      <c r="L259" s="24"/>
    </row>
    <row r="260" spans="1:12" ht="27.95" customHeight="1">
      <c r="A260" s="23"/>
      <c r="L260" s="24"/>
    </row>
    <row r="261" spans="1:12" ht="27.95" customHeight="1">
      <c r="A261" s="23"/>
      <c r="F261" t="s">
        <v>214</v>
      </c>
      <c r="L261" s="24"/>
    </row>
    <row r="262" spans="1:12" ht="27.95" customHeight="1">
      <c r="A262" s="23" t="s">
        <v>215</v>
      </c>
      <c r="B262" t="s">
        <v>379</v>
      </c>
      <c r="F262" t="str">
        <f>'4-22Master'!G5</f>
        <v>Burgeon IT Services Pvt.Ltd.</v>
      </c>
      <c r="L262" s="24"/>
    </row>
    <row r="263" spans="1:12" ht="27.95" customHeight="1">
      <c r="A263" s="23" t="s">
        <v>216</v>
      </c>
      <c r="B263" s="332" t="e">
        <f>'4-22Master'!#REF!</f>
        <v>#REF!</v>
      </c>
      <c r="F263" t="str">
        <f>'4-22Master'!G6</f>
        <v>Siri Mansion LIGB 436 Dr.A S Rao Nagar,Hyderabad</v>
      </c>
      <c r="L263" s="24"/>
    </row>
    <row r="264" spans="1:12" ht="27.95" customHeight="1" thickBot="1">
      <c r="A264" s="35"/>
      <c r="B264" s="33"/>
      <c r="C264" s="33"/>
      <c r="D264" s="33"/>
      <c r="E264" s="33"/>
      <c r="F264" s="33"/>
      <c r="G264" s="33"/>
      <c r="H264" s="33"/>
      <c r="I264" s="33"/>
      <c r="J264" s="33"/>
      <c r="K264" s="33"/>
      <c r="L264" s="34"/>
    </row>
    <row r="265" spans="1:12" ht="27.95" customHeight="1" thickBot="1">
      <c r="B265" s="223"/>
      <c r="C265" s="219"/>
      <c r="D265" s="219"/>
      <c r="E265" s="219"/>
      <c r="F265" s="219"/>
      <c r="G265" s="219"/>
      <c r="H265" s="208"/>
      <c r="I265" s="208"/>
      <c r="J265" s="209"/>
      <c r="K265" s="208"/>
      <c r="L265" s="208"/>
    </row>
    <row r="266" spans="1:12" ht="27.95" customHeight="1">
      <c r="A266" s="94"/>
      <c r="B266" s="797" t="s">
        <v>199</v>
      </c>
      <c r="C266" s="798"/>
      <c r="D266" s="798"/>
      <c r="E266" s="798"/>
      <c r="F266" s="798"/>
      <c r="G266" s="798"/>
      <c r="H266" s="798"/>
      <c r="I266" s="798"/>
      <c r="J266" s="798"/>
      <c r="K266" s="798"/>
      <c r="L266" s="799"/>
    </row>
    <row r="267" spans="1:12" ht="27.95" customHeight="1">
      <c r="A267" s="23"/>
      <c r="B267" s="800" t="s">
        <v>200</v>
      </c>
      <c r="C267" s="800"/>
      <c r="D267" s="800"/>
      <c r="E267" s="800"/>
      <c r="F267" s="800"/>
      <c r="G267" s="800"/>
      <c r="H267" s="800"/>
      <c r="I267" s="800"/>
      <c r="J267" s="800"/>
      <c r="K267" s="800"/>
      <c r="L267" s="801"/>
    </row>
    <row r="268" spans="1:12" ht="27.95" customHeight="1" thickBot="1">
      <c r="A268" s="35"/>
      <c r="B268" s="802" t="s">
        <v>201</v>
      </c>
      <c r="C268" s="802"/>
      <c r="D268" s="802"/>
      <c r="E268" s="802"/>
      <c r="F268" s="802"/>
      <c r="G268" s="802"/>
      <c r="H268" s="802"/>
      <c r="I268" s="802"/>
      <c r="J268" s="802"/>
      <c r="K268" s="802"/>
      <c r="L268" s="803"/>
    </row>
    <row r="269" spans="1:12" ht="27.95" customHeight="1">
      <c r="A269" s="23"/>
      <c r="B269" s="804" t="s">
        <v>126</v>
      </c>
      <c r="C269" s="804"/>
      <c r="D269" s="804"/>
      <c r="E269" s="804"/>
      <c r="F269" s="804"/>
      <c r="H269" s="805" t="s">
        <v>127</v>
      </c>
      <c r="I269" s="805"/>
      <c r="J269" s="805"/>
      <c r="K269" s="805"/>
      <c r="L269" s="806"/>
    </row>
    <row r="270" spans="1:12" ht="27.95" customHeight="1" thickBot="1">
      <c r="A270" s="23"/>
      <c r="B270" s="804"/>
      <c r="C270" s="804"/>
      <c r="D270" s="804"/>
      <c r="E270" s="804"/>
      <c r="F270" s="804"/>
      <c r="H270" s="805"/>
      <c r="I270" s="805"/>
      <c r="J270" s="805"/>
      <c r="K270" s="805"/>
      <c r="L270" s="806"/>
    </row>
    <row r="271" spans="1:12" ht="27.95" customHeight="1">
      <c r="A271" s="23"/>
      <c r="B271" s="94"/>
      <c r="C271" s="95"/>
      <c r="D271" s="95"/>
      <c r="E271" s="95"/>
      <c r="F271" s="96"/>
      <c r="H271" s="94"/>
      <c r="I271" s="95"/>
      <c r="J271" s="95"/>
      <c r="K271" s="95"/>
      <c r="L271" s="96"/>
    </row>
    <row r="272" spans="1:12">
      <c r="A272" s="23"/>
      <c r="B272" s="97" t="str">
        <f>'4-22Master'!G5</f>
        <v>Burgeon IT Services Pvt.Ltd.</v>
      </c>
      <c r="F272" s="24"/>
      <c r="H272" s="97" t="str">
        <f>'4-22Master'!AQ5</f>
        <v>Burgeon IT Services Pvt.Ltd.</v>
      </c>
      <c r="L272" s="24"/>
    </row>
    <row r="273" spans="1:12">
      <c r="A273" s="23"/>
      <c r="B273" s="23"/>
      <c r="F273" s="24"/>
      <c r="H273" s="23"/>
      <c r="L273" s="24"/>
    </row>
    <row r="274" spans="1:12">
      <c r="A274" s="23"/>
      <c r="B274" s="97" t="str">
        <f>'4-22Master'!G6</f>
        <v>Siri Mansion LIGB 436 Dr.A S Rao Nagar,Hyderabad</v>
      </c>
      <c r="F274" s="24"/>
      <c r="H274" s="97" t="str">
        <f>'4-22Master'!AQ6</f>
        <v>Siri Mansion LIGB 436 Dr.A S Rao Nagar,Hyderabad</v>
      </c>
      <c r="L274" s="24"/>
    </row>
    <row r="275" spans="1:12" ht="15.75" thickBot="1">
      <c r="A275" s="23"/>
      <c r="B275" s="35"/>
      <c r="C275" s="33"/>
      <c r="D275" s="33"/>
      <c r="E275" s="33"/>
      <c r="F275" s="34"/>
      <c r="H275" s="35"/>
      <c r="I275" s="33"/>
      <c r="J275" s="33"/>
      <c r="K275" s="33"/>
      <c r="L275" s="34"/>
    </row>
    <row r="276" spans="1:12">
      <c r="A276" s="23"/>
      <c r="J276" t="s">
        <v>128</v>
      </c>
      <c r="L276" s="24"/>
    </row>
    <row r="277" spans="1:12">
      <c r="A277" s="23"/>
      <c r="B277" s="725" t="s">
        <v>129</v>
      </c>
      <c r="C277" s="725"/>
      <c r="D277" s="725"/>
      <c r="E277" s="725"/>
      <c r="F277" s="725"/>
      <c r="H277" s="725" t="s">
        <v>4</v>
      </c>
      <c r="I277" s="725"/>
      <c r="J277" s="725"/>
      <c r="K277" s="725"/>
      <c r="L277" s="815"/>
    </row>
    <row r="278" spans="1:12" ht="15.75" thickBot="1">
      <c r="A278" s="23"/>
      <c r="L278" s="24"/>
    </row>
    <row r="279" spans="1:12">
      <c r="A279" s="23"/>
      <c r="B279" s="94"/>
      <c r="C279" s="95"/>
      <c r="D279" s="95"/>
      <c r="E279" s="95"/>
      <c r="F279" s="96"/>
      <c r="H279" s="98"/>
      <c r="I279" s="99"/>
      <c r="J279" s="99"/>
      <c r="K279" s="99"/>
      <c r="L279" s="100"/>
    </row>
    <row r="280" spans="1:12">
      <c r="A280" s="23"/>
      <c r="B280" s="23"/>
      <c r="F280" s="24"/>
      <c r="H280" s="97" t="str">
        <f>'4-22Master'!AQ10</f>
        <v>INFOSYS  LTD.IL Pune STP Unit,Plot No.1</v>
      </c>
      <c r="I280" s="4"/>
      <c r="J280" s="4"/>
      <c r="K280" s="4"/>
      <c r="L280" s="101"/>
    </row>
    <row r="281" spans="1:12">
      <c r="A281" s="23"/>
      <c r="B281" s="97" t="str">
        <f>'4-22Master'!G8</f>
        <v>IT SUPPORTIVE SERVICES&amp; PUNE STP</v>
      </c>
      <c r="F281" s="24"/>
      <c r="H281" s="97"/>
      <c r="I281" s="4"/>
      <c r="J281" s="4"/>
      <c r="K281" s="4"/>
      <c r="L281" s="101"/>
    </row>
    <row r="282" spans="1:12">
      <c r="A282" s="23"/>
      <c r="B282" s="23"/>
      <c r="F282" s="24"/>
      <c r="H282" s="97" t="str">
        <f>'4-22Master'!AQ11</f>
        <v>Rajiv gandhi Info tech park,Hinjawadi,Taluk Mulshi,Pune,Maharashtra 411057</v>
      </c>
      <c r="I282" s="4"/>
      <c r="J282" s="4"/>
      <c r="K282" s="4"/>
      <c r="L282" s="101"/>
    </row>
    <row r="283" spans="1:12" ht="15.75" thickBot="1">
      <c r="A283" s="23"/>
      <c r="B283" s="35"/>
      <c r="C283" s="33"/>
      <c r="D283" s="33"/>
      <c r="E283" s="33"/>
      <c r="F283" s="34"/>
      <c r="H283" s="102"/>
      <c r="I283" s="103"/>
      <c r="J283" s="103"/>
      <c r="K283" s="103"/>
      <c r="L283" s="104"/>
    </row>
    <row r="284" spans="1:12">
      <c r="A284" s="105"/>
      <c r="B284" s="807" t="s">
        <v>202</v>
      </c>
      <c r="C284" s="807"/>
      <c r="D284" s="807"/>
      <c r="E284" s="807"/>
      <c r="F284" s="807"/>
      <c r="G284" s="807"/>
      <c r="H284" s="816" t="e">
        <f>'4-22Master'!#REF!</f>
        <v>#REF!</v>
      </c>
      <c r="I284" s="809"/>
      <c r="J284" s="809"/>
      <c r="K284" s="809"/>
      <c r="L284" s="810"/>
    </row>
    <row r="285" spans="1:12">
      <c r="A285" s="105"/>
      <c r="B285" s="817" t="s">
        <v>203</v>
      </c>
      <c r="C285" s="817"/>
      <c r="D285" s="817"/>
      <c r="E285" s="817"/>
      <c r="F285" s="817"/>
      <c r="G285" s="817"/>
      <c r="H285" s="816" t="e">
        <f>'4-22Master'!#REF!</f>
        <v>#REF!</v>
      </c>
      <c r="I285" s="809"/>
      <c r="J285" s="809"/>
      <c r="K285" s="809"/>
      <c r="L285" s="810"/>
    </row>
    <row r="286" spans="1:12">
      <c r="A286" s="105"/>
      <c r="B286" s="807" t="s">
        <v>204</v>
      </c>
      <c r="C286" s="807"/>
      <c r="D286" s="807"/>
      <c r="E286" s="807"/>
      <c r="F286" s="807"/>
      <c r="G286" s="807"/>
      <c r="H286" s="816" t="e">
        <f>'4-22Master'!#REF!</f>
        <v>#REF!</v>
      </c>
      <c r="I286" s="809"/>
      <c r="J286" s="809"/>
      <c r="K286" s="809"/>
      <c r="L286" s="810"/>
    </row>
    <row r="287" spans="1:12">
      <c r="A287" s="105"/>
      <c r="B287" s="807" t="s">
        <v>205</v>
      </c>
      <c r="C287" s="807"/>
      <c r="D287" s="807"/>
      <c r="E287" s="807"/>
      <c r="F287" s="807"/>
      <c r="G287" s="807"/>
      <c r="H287" s="941" t="e">
        <f>'4-22Master'!#REF!</f>
        <v>#REF!</v>
      </c>
      <c r="I287" s="809"/>
      <c r="J287" s="809"/>
      <c r="K287" s="809"/>
      <c r="L287" s="810"/>
    </row>
    <row r="288" spans="1:12">
      <c r="A288" s="105"/>
      <c r="B288" s="106" t="s">
        <v>206</v>
      </c>
      <c r="C288" s="107"/>
      <c r="D288" s="107"/>
      <c r="E288" s="107"/>
      <c r="F288" s="107"/>
      <c r="G288" s="107"/>
      <c r="H288" s="938" t="s">
        <v>207</v>
      </c>
      <c r="I288" s="939"/>
      <c r="J288" s="939"/>
      <c r="K288" s="939"/>
      <c r="L288" s="940"/>
    </row>
    <row r="289" spans="1:12">
      <c r="A289" s="105"/>
      <c r="B289" s="106" t="s">
        <v>208</v>
      </c>
      <c r="C289" s="107"/>
      <c r="D289" s="107"/>
      <c r="E289" s="107"/>
      <c r="F289" s="107"/>
      <c r="G289" s="107"/>
      <c r="H289" s="108"/>
      <c r="I289" s="110"/>
      <c r="J289" s="221"/>
      <c r="K289" s="110"/>
      <c r="L289" s="115"/>
    </row>
    <row r="290" spans="1:12">
      <c r="A290" s="105"/>
      <c r="B290" s="811" t="s">
        <v>209</v>
      </c>
      <c r="C290" s="811"/>
      <c r="D290" s="811"/>
      <c r="E290" s="811"/>
      <c r="F290" s="811"/>
      <c r="G290" s="811"/>
      <c r="H290" s="812" t="e">
        <f>'4-22Master'!#REF!</f>
        <v>#REF!</v>
      </c>
      <c r="I290" s="813"/>
      <c r="J290" s="813"/>
      <c r="K290" s="813"/>
      <c r="L290" s="814"/>
    </row>
    <row r="291" spans="1:12">
      <c r="A291" s="105"/>
      <c r="B291" s="807"/>
      <c r="C291" s="807"/>
      <c r="D291" s="807"/>
      <c r="E291" s="807"/>
      <c r="F291" s="807"/>
      <c r="G291" s="807"/>
      <c r="H291" s="808" t="e">
        <f>'4-22Master'!#REF!</f>
        <v>#REF!</v>
      </c>
      <c r="I291" s="809"/>
      <c r="J291" s="809"/>
      <c r="K291" s="809"/>
      <c r="L291" s="810"/>
    </row>
    <row r="292" spans="1:12">
      <c r="A292" s="23"/>
      <c r="B292" s="807"/>
      <c r="C292" s="807"/>
      <c r="D292" s="807"/>
      <c r="E292" s="807"/>
      <c r="F292" s="807"/>
      <c r="G292" s="807"/>
      <c r="H292" s="816" t="e">
        <f>'4-22Master'!#REF!</f>
        <v>#REF!</v>
      </c>
      <c r="I292" s="809"/>
      <c r="J292" s="809"/>
      <c r="K292" s="809"/>
      <c r="L292" s="810"/>
    </row>
    <row r="293" spans="1:12">
      <c r="A293" s="23"/>
      <c r="B293" s="106" t="s">
        <v>210</v>
      </c>
      <c r="C293" s="107"/>
      <c r="D293" s="107"/>
      <c r="E293" s="107"/>
      <c r="F293" s="107"/>
      <c r="G293" s="111"/>
      <c r="H293" s="930" t="e">
        <f>'4-22Master'!#REF!</f>
        <v>#REF!</v>
      </c>
      <c r="I293" s="931"/>
      <c r="J293" s="931"/>
      <c r="K293" s="931"/>
      <c r="L293" s="932"/>
    </row>
    <row r="294" spans="1:12">
      <c r="A294" s="23"/>
      <c r="B294" s="106"/>
      <c r="C294" s="107"/>
      <c r="D294" s="107"/>
      <c r="E294" s="107"/>
      <c r="F294" s="107"/>
      <c r="G294" s="111"/>
      <c r="H294" s="930" t="e">
        <f>'4-22Master'!#REF!</f>
        <v>#REF!</v>
      </c>
      <c r="I294" s="931"/>
      <c r="J294" s="931"/>
      <c r="K294" s="931"/>
      <c r="L294" s="932"/>
    </row>
    <row r="295" spans="1:12">
      <c r="A295" s="23"/>
      <c r="B295" s="106"/>
      <c r="C295" s="107"/>
      <c r="D295" s="107"/>
      <c r="E295" s="107"/>
      <c r="F295" s="107"/>
      <c r="G295" s="111"/>
      <c r="H295" s="930" t="e">
        <f>'4-22Master'!#REF!</f>
        <v>#REF!</v>
      </c>
      <c r="I295" s="931"/>
      <c r="J295" s="931"/>
      <c r="K295" s="931"/>
      <c r="L295" s="932"/>
    </row>
    <row r="296" spans="1:12">
      <c r="A296" s="23"/>
      <c r="B296" s="106" t="s">
        <v>217</v>
      </c>
      <c r="C296" s="107"/>
      <c r="D296" s="107"/>
      <c r="E296" s="107"/>
      <c r="F296" s="107"/>
      <c r="G296" s="111"/>
      <c r="H296" s="108"/>
      <c r="I296" s="110"/>
      <c r="J296" s="110"/>
      <c r="K296" s="110"/>
      <c r="L296" s="115"/>
    </row>
    <row r="297" spans="1:12">
      <c r="A297" s="23"/>
      <c r="B297" s="118" t="s">
        <v>218</v>
      </c>
      <c r="C297" s="202"/>
      <c r="D297" s="202"/>
      <c r="E297" s="202"/>
      <c r="F297" s="202"/>
      <c r="G297" s="203"/>
      <c r="H297" s="204"/>
      <c r="I297" s="205"/>
      <c r="J297" s="206"/>
      <c r="K297" s="205"/>
      <c r="L297" s="207"/>
    </row>
    <row r="298" spans="1:12" ht="45">
      <c r="A298" s="23"/>
      <c r="B298" s="106" t="s">
        <v>221</v>
      </c>
      <c r="C298" s="107"/>
      <c r="D298" s="110"/>
      <c r="E298" s="214" t="s">
        <v>223</v>
      </c>
      <c r="F298" s="78"/>
      <c r="G298" s="933" t="s">
        <v>222</v>
      </c>
      <c r="H298" s="934"/>
      <c r="I298" s="218" t="s">
        <v>219</v>
      </c>
      <c r="J298" s="216" t="s">
        <v>224</v>
      </c>
      <c r="K298" s="933" t="s">
        <v>220</v>
      </c>
      <c r="L298" s="935"/>
    </row>
    <row r="299" spans="1:12">
      <c r="A299" s="23"/>
      <c r="B299" s="217">
        <v>1</v>
      </c>
      <c r="C299" s="107"/>
      <c r="D299" s="107"/>
      <c r="E299" s="220">
        <v>2</v>
      </c>
      <c r="F299" s="111"/>
      <c r="G299" s="220">
        <v>3</v>
      </c>
      <c r="H299" s="236"/>
      <c r="I299" s="236">
        <v>4</v>
      </c>
      <c r="J299" s="129">
        <v>5</v>
      </c>
      <c r="K299" s="113"/>
      <c r="L299" s="114">
        <v>6</v>
      </c>
    </row>
    <row r="300" spans="1:12">
      <c r="A300" s="23"/>
      <c r="B300" s="334" t="e">
        <f>'4-22Master'!#REF!</f>
        <v>#REF!</v>
      </c>
      <c r="C300" s="232"/>
      <c r="D300" s="233"/>
      <c r="E300" s="235" t="s">
        <v>380</v>
      </c>
      <c r="F300" s="233"/>
      <c r="G300" s="235" t="s">
        <v>381</v>
      </c>
      <c r="H300" s="78"/>
      <c r="I300" s="19" t="s">
        <v>382</v>
      </c>
      <c r="J300" s="333">
        <v>1</v>
      </c>
      <c r="K300" s="936" t="s">
        <v>37</v>
      </c>
      <c r="L300" s="942"/>
    </row>
    <row r="301" spans="1:12">
      <c r="A301" s="23"/>
      <c r="B301" s="106"/>
      <c r="C301" s="232"/>
      <c r="D301" s="233"/>
      <c r="E301" s="234"/>
      <c r="F301" s="233"/>
      <c r="G301" s="234"/>
      <c r="H301" s="78"/>
      <c r="I301" s="19"/>
      <c r="J301" s="19"/>
      <c r="K301" s="235"/>
      <c r="L301" s="78"/>
    </row>
    <row r="302" spans="1:12">
      <c r="A302" s="23"/>
      <c r="B302" s="106"/>
      <c r="C302" s="232"/>
      <c r="D302" s="233"/>
      <c r="E302" s="234"/>
      <c r="F302" s="233"/>
      <c r="G302" s="234"/>
      <c r="H302" s="78"/>
      <c r="I302" s="19"/>
      <c r="J302" s="19"/>
      <c r="K302" s="235"/>
      <c r="L302" s="78"/>
    </row>
    <row r="303" spans="1:12">
      <c r="A303" s="23"/>
      <c r="B303" s="85"/>
      <c r="C303" s="27"/>
      <c r="D303" s="86"/>
      <c r="E303" s="234"/>
      <c r="F303" s="233"/>
      <c r="G303" s="234"/>
      <c r="H303" s="78"/>
      <c r="I303" s="19"/>
      <c r="J303" s="19"/>
      <c r="K303" s="235"/>
      <c r="L303" s="78"/>
    </row>
    <row r="304" spans="1:12">
      <c r="A304" s="23"/>
      <c r="B304" t="s">
        <v>225</v>
      </c>
      <c r="L304" s="24"/>
    </row>
    <row r="305" spans="1:12">
      <c r="A305" s="23"/>
      <c r="B305" t="s">
        <v>226</v>
      </c>
      <c r="L305" s="24"/>
    </row>
    <row r="306" spans="1:12">
      <c r="A306" s="23"/>
      <c r="B306" t="s">
        <v>227</v>
      </c>
      <c r="L306" s="24"/>
    </row>
    <row r="307" spans="1:12" ht="27.95" customHeight="1">
      <c r="A307" s="23"/>
      <c r="L307" s="24"/>
    </row>
    <row r="308" spans="1:12" ht="27.95" customHeight="1">
      <c r="A308" s="23"/>
      <c r="I308" t="s">
        <v>228</v>
      </c>
      <c r="L308" s="24"/>
    </row>
    <row r="309" spans="1:12" ht="27.95" customHeight="1">
      <c r="A309" s="23"/>
      <c r="F309" s="222" t="s">
        <v>211</v>
      </c>
      <c r="L309" s="24"/>
    </row>
    <row r="310" spans="1:12" ht="27.95" customHeight="1">
      <c r="A310" s="23" t="s">
        <v>212</v>
      </c>
      <c r="K310" s="272" t="e">
        <f>'4-22Master'!#REF!</f>
        <v>#REF!</v>
      </c>
      <c r="L310" s="24"/>
    </row>
    <row r="311" spans="1:12" ht="27.95" customHeight="1">
      <c r="A311" s="23" t="s">
        <v>213</v>
      </c>
      <c r="L311" s="24"/>
    </row>
    <row r="312" spans="1:12" ht="27.95" customHeight="1">
      <c r="A312" s="23"/>
      <c r="L312" s="24"/>
    </row>
    <row r="313" spans="1:12" ht="27.95" customHeight="1">
      <c r="A313" s="23"/>
      <c r="L313" s="24"/>
    </row>
    <row r="314" spans="1:12" ht="27.95" customHeight="1">
      <c r="A314" s="23"/>
      <c r="F314" t="s">
        <v>214</v>
      </c>
      <c r="L314" s="24"/>
    </row>
    <row r="315" spans="1:12" ht="27.95" customHeight="1">
      <c r="A315" s="23" t="s">
        <v>215</v>
      </c>
      <c r="B315" t="s">
        <v>379</v>
      </c>
      <c r="F315" t="str">
        <f>'4-22Master'!G5</f>
        <v>Burgeon IT Services Pvt.Ltd.</v>
      </c>
      <c r="L315" s="24"/>
    </row>
    <row r="316" spans="1:12" ht="27.95" customHeight="1">
      <c r="A316" s="23" t="s">
        <v>216</v>
      </c>
      <c r="B316" s="332" t="e">
        <f>'4-22Master'!#REF!</f>
        <v>#REF!</v>
      </c>
      <c r="F316" t="str">
        <f>'4-22Master'!G6</f>
        <v>Siri Mansion LIGB 436 Dr.A S Rao Nagar,Hyderabad</v>
      </c>
      <c r="L316" s="24"/>
    </row>
    <row r="317" spans="1:12" ht="27.95" customHeight="1" thickBot="1">
      <c r="A317" s="35"/>
      <c r="B317" s="33"/>
      <c r="C317" s="33"/>
      <c r="D317" s="33"/>
      <c r="E317" s="33"/>
      <c r="F317" s="33"/>
      <c r="G317" s="33"/>
      <c r="H317" s="33"/>
      <c r="I317" s="33"/>
      <c r="J317" s="33"/>
      <c r="K317" s="33"/>
      <c r="L317" s="34"/>
    </row>
    <row r="318" spans="1:12" ht="27.95" customHeight="1" thickBot="1">
      <c r="B318" s="223"/>
      <c r="C318" s="219"/>
      <c r="D318" s="219"/>
      <c r="E318" s="219"/>
      <c r="F318" s="219"/>
      <c r="G318" s="219"/>
      <c r="H318" s="208"/>
      <c r="I318" s="208"/>
      <c r="J318" s="209"/>
      <c r="K318" s="208"/>
      <c r="L318" s="208"/>
    </row>
    <row r="319" spans="1:12" ht="27.95" customHeight="1">
      <c r="A319" s="94"/>
      <c r="B319" s="797" t="s">
        <v>199</v>
      </c>
      <c r="C319" s="798"/>
      <c r="D319" s="798"/>
      <c r="E319" s="798"/>
      <c r="F319" s="798"/>
      <c r="G319" s="798"/>
      <c r="H319" s="798"/>
      <c r="I319" s="798"/>
      <c r="J319" s="798"/>
      <c r="K319" s="798"/>
      <c r="L319" s="799"/>
    </row>
    <row r="320" spans="1:12" ht="27.95" customHeight="1">
      <c r="A320" s="23"/>
      <c r="B320" s="800" t="s">
        <v>200</v>
      </c>
      <c r="C320" s="800"/>
      <c r="D320" s="800"/>
      <c r="E320" s="800"/>
      <c r="F320" s="800"/>
      <c r="G320" s="800"/>
      <c r="H320" s="800"/>
      <c r="I320" s="800"/>
      <c r="J320" s="800"/>
      <c r="K320" s="800"/>
      <c r="L320" s="801"/>
    </row>
    <row r="321" spans="1:12" ht="27.95" customHeight="1" thickBot="1">
      <c r="A321" s="35"/>
      <c r="B321" s="802" t="s">
        <v>201</v>
      </c>
      <c r="C321" s="802"/>
      <c r="D321" s="802"/>
      <c r="E321" s="802"/>
      <c r="F321" s="802"/>
      <c r="G321" s="802"/>
      <c r="H321" s="802"/>
      <c r="I321" s="802"/>
      <c r="J321" s="802"/>
      <c r="K321" s="802"/>
      <c r="L321" s="803"/>
    </row>
    <row r="322" spans="1:12" ht="27.95" customHeight="1">
      <c r="A322" s="23"/>
      <c r="B322" s="804" t="s">
        <v>126</v>
      </c>
      <c r="C322" s="804"/>
      <c r="D322" s="804"/>
      <c r="E322" s="804"/>
      <c r="F322" s="804"/>
      <c r="H322" s="805" t="s">
        <v>127</v>
      </c>
      <c r="I322" s="805"/>
      <c r="J322" s="805"/>
      <c r="K322" s="805"/>
      <c r="L322" s="806"/>
    </row>
    <row r="323" spans="1:12" ht="27.95" customHeight="1" thickBot="1">
      <c r="A323" s="23"/>
      <c r="B323" s="804"/>
      <c r="C323" s="804"/>
      <c r="D323" s="804"/>
      <c r="E323" s="804"/>
      <c r="F323" s="804"/>
      <c r="H323" s="805"/>
      <c r="I323" s="805"/>
      <c r="J323" s="805"/>
      <c r="K323" s="805"/>
      <c r="L323" s="806"/>
    </row>
    <row r="324" spans="1:12" ht="27.95" customHeight="1">
      <c r="A324" s="23"/>
      <c r="B324" s="94"/>
      <c r="C324" s="95"/>
      <c r="D324" s="95"/>
      <c r="E324" s="95"/>
      <c r="F324" s="96"/>
      <c r="H324" s="94"/>
      <c r="I324" s="95"/>
      <c r="J324" s="95"/>
      <c r="K324" s="95"/>
      <c r="L324" s="96"/>
    </row>
    <row r="325" spans="1:12">
      <c r="A325" s="23"/>
      <c r="B325" s="201" t="str">
        <f>'4-22Master'!G5</f>
        <v>Burgeon IT Services Pvt.Ltd.</v>
      </c>
      <c r="F325" s="24"/>
      <c r="H325" s="97" t="str">
        <f>'4-22Master'!AQ5</f>
        <v>Burgeon IT Services Pvt.Ltd.</v>
      </c>
      <c r="L325" s="24"/>
    </row>
    <row r="326" spans="1:12">
      <c r="A326" s="23"/>
      <c r="B326" s="23"/>
      <c r="F326" s="24"/>
      <c r="H326" s="23"/>
      <c r="L326" s="24"/>
    </row>
    <row r="327" spans="1:12">
      <c r="A327" s="23"/>
      <c r="B327" s="97" t="str">
        <f>'4-22Master'!G6</f>
        <v>Siri Mansion LIGB 436 Dr.A S Rao Nagar,Hyderabad</v>
      </c>
      <c r="F327" s="24"/>
      <c r="H327" s="97" t="str">
        <f>'4-22Master'!AQ6</f>
        <v>Siri Mansion LIGB 436 Dr.A S Rao Nagar,Hyderabad</v>
      </c>
      <c r="L327" s="24"/>
    </row>
    <row r="328" spans="1:12" ht="15.75" thickBot="1">
      <c r="A328" s="23"/>
      <c r="B328" s="35"/>
      <c r="C328" s="33"/>
      <c r="D328" s="33"/>
      <c r="E328" s="33"/>
      <c r="F328" s="34"/>
      <c r="H328" s="35"/>
      <c r="I328" s="33"/>
      <c r="J328" s="33"/>
      <c r="K328" s="33"/>
      <c r="L328" s="34"/>
    </row>
    <row r="329" spans="1:12">
      <c r="A329" s="23"/>
      <c r="J329" t="s">
        <v>128</v>
      </c>
      <c r="L329" s="24"/>
    </row>
    <row r="330" spans="1:12">
      <c r="A330" s="23"/>
      <c r="B330" s="725" t="s">
        <v>129</v>
      </c>
      <c r="C330" s="725"/>
      <c r="D330" s="725"/>
      <c r="E330" s="725"/>
      <c r="F330" s="725"/>
      <c r="H330" s="725" t="s">
        <v>4</v>
      </c>
      <c r="I330" s="725"/>
      <c r="J330" s="725"/>
      <c r="K330" s="725"/>
      <c r="L330" s="815"/>
    </row>
    <row r="331" spans="1:12" ht="15.75" thickBot="1">
      <c r="A331" s="23"/>
      <c r="L331" s="24"/>
    </row>
    <row r="332" spans="1:12">
      <c r="A332" s="23"/>
      <c r="B332" s="94"/>
      <c r="C332" s="95"/>
      <c r="D332" s="95"/>
      <c r="E332" s="95"/>
      <c r="F332" s="96"/>
      <c r="H332" s="98"/>
      <c r="I332" s="99"/>
      <c r="J332" s="99"/>
      <c r="K332" s="99"/>
      <c r="L332" s="100"/>
    </row>
    <row r="333" spans="1:12">
      <c r="A333" s="23"/>
      <c r="B333" s="23"/>
      <c r="F333" s="24"/>
      <c r="H333" s="97" t="str">
        <f>'4-22Master'!AQ10</f>
        <v>INFOSYS  LTD.IL Pune STP Unit,Plot No.1</v>
      </c>
      <c r="I333" s="4"/>
      <c r="J333" s="4"/>
      <c r="K333" s="4"/>
      <c r="L333" s="101"/>
    </row>
    <row r="334" spans="1:12">
      <c r="A334" s="23"/>
      <c r="B334" s="97" t="str">
        <f>'4-22Master'!G8</f>
        <v>IT SUPPORTIVE SERVICES&amp; PUNE STP</v>
      </c>
      <c r="F334" s="24"/>
      <c r="H334" s="97"/>
      <c r="I334" s="4"/>
      <c r="J334" s="4"/>
      <c r="K334" s="4"/>
      <c r="L334" s="101"/>
    </row>
    <row r="335" spans="1:12">
      <c r="A335" s="23"/>
      <c r="B335" s="23"/>
      <c r="F335" s="24"/>
      <c r="H335" s="97" t="str">
        <f>'4-22Master'!AQ11</f>
        <v>Rajiv gandhi Info tech park,Hinjawadi,Taluk Mulshi,Pune,Maharashtra 411057</v>
      </c>
      <c r="I335" s="4"/>
      <c r="J335" s="4"/>
      <c r="K335" s="4"/>
      <c r="L335" s="101"/>
    </row>
    <row r="336" spans="1:12" ht="15.75" thickBot="1">
      <c r="A336" s="23"/>
      <c r="B336" s="35"/>
      <c r="C336" s="33"/>
      <c r="D336" s="33"/>
      <c r="E336" s="33"/>
      <c r="F336" s="34"/>
      <c r="H336" s="102"/>
      <c r="I336" s="103"/>
      <c r="J336" s="103"/>
      <c r="K336" s="103"/>
      <c r="L336" s="104"/>
    </row>
    <row r="337" spans="1:12">
      <c r="A337" s="105"/>
      <c r="B337" s="807" t="s">
        <v>202</v>
      </c>
      <c r="C337" s="807"/>
      <c r="D337" s="807"/>
      <c r="E337" s="807"/>
      <c r="F337" s="807"/>
      <c r="G337" s="807"/>
      <c r="H337" s="816" t="str">
        <f>'4-22Master'!C18</f>
        <v>Amith a</v>
      </c>
      <c r="I337" s="809"/>
      <c r="J337" s="809"/>
      <c r="K337" s="809"/>
      <c r="L337" s="810"/>
    </row>
    <row r="338" spans="1:12">
      <c r="A338" s="105"/>
      <c r="B338" s="817" t="s">
        <v>203</v>
      </c>
      <c r="C338" s="817"/>
      <c r="D338" s="817"/>
      <c r="E338" s="817"/>
      <c r="F338" s="817"/>
      <c r="G338" s="817"/>
      <c r="H338" s="816" t="str">
        <f>'4-22Master'!F18</f>
        <v>N.Ananda</v>
      </c>
      <c r="I338" s="809"/>
      <c r="J338" s="809"/>
      <c r="K338" s="809"/>
      <c r="L338" s="810"/>
    </row>
    <row r="339" spans="1:12">
      <c r="A339" s="105"/>
      <c r="B339" s="807" t="s">
        <v>204</v>
      </c>
      <c r="C339" s="807"/>
      <c r="D339" s="807"/>
      <c r="E339" s="807"/>
      <c r="F339" s="807"/>
      <c r="G339" s="807"/>
      <c r="H339" s="816">
        <f>'4-22Master'!D18</f>
        <v>29351</v>
      </c>
      <c r="I339" s="809"/>
      <c r="J339" s="809"/>
      <c r="K339" s="809"/>
      <c r="L339" s="810"/>
    </row>
    <row r="340" spans="1:12">
      <c r="A340" s="105"/>
      <c r="B340" s="807" t="s">
        <v>205</v>
      </c>
      <c r="C340" s="807"/>
      <c r="D340" s="807"/>
      <c r="E340" s="807"/>
      <c r="F340" s="807"/>
      <c r="G340" s="807"/>
      <c r="H340" s="941" t="str">
        <f>'4-22Master'!E18</f>
        <v>Male</v>
      </c>
      <c r="I340" s="809"/>
      <c r="J340" s="809"/>
      <c r="K340" s="809"/>
      <c r="L340" s="810"/>
    </row>
    <row r="341" spans="1:12">
      <c r="A341" s="105"/>
      <c r="B341" s="106" t="s">
        <v>206</v>
      </c>
      <c r="C341" s="107"/>
      <c r="D341" s="107"/>
      <c r="E341" s="107"/>
      <c r="F341" s="107"/>
      <c r="G341" s="107"/>
      <c r="H341" s="938" t="s">
        <v>207</v>
      </c>
      <c r="I341" s="939"/>
      <c r="J341" s="939"/>
      <c r="K341" s="939"/>
      <c r="L341" s="940"/>
    </row>
    <row r="342" spans="1:12">
      <c r="A342" s="105"/>
      <c r="B342" s="106" t="s">
        <v>208</v>
      </c>
      <c r="C342" s="107"/>
      <c r="D342" s="107"/>
      <c r="E342" s="107"/>
      <c r="F342" s="107"/>
      <c r="G342" s="107"/>
      <c r="H342" s="108"/>
      <c r="I342" s="110"/>
      <c r="J342" s="221"/>
      <c r="K342" s="110"/>
      <c r="L342" s="115"/>
    </row>
    <row r="343" spans="1:12">
      <c r="A343" s="105"/>
      <c r="B343" s="811" t="s">
        <v>209</v>
      </c>
      <c r="C343" s="811"/>
      <c r="D343" s="811"/>
      <c r="E343" s="811"/>
      <c r="F343" s="811"/>
      <c r="G343" s="811"/>
      <c r="H343" s="812" t="str">
        <f>'4-22Master'!H18</f>
        <v>Door no - 3-3/33, 1st main road, Prasantha Nagara, Derabail, Mangaluru- 575006</v>
      </c>
      <c r="I343" s="813"/>
      <c r="J343" s="813"/>
      <c r="K343" s="813"/>
      <c r="L343" s="814"/>
    </row>
    <row r="344" spans="1:12">
      <c r="A344" s="105"/>
      <c r="B344" s="807"/>
      <c r="C344" s="807"/>
      <c r="D344" s="807"/>
      <c r="E344" s="807"/>
      <c r="F344" s="807"/>
      <c r="G344" s="807"/>
      <c r="H344" s="808" t="str">
        <f>'4-22Master'!I18</f>
        <v>OOO</v>
      </c>
      <c r="I344" s="809"/>
      <c r="J344" s="809"/>
      <c r="K344" s="809"/>
      <c r="L344" s="810"/>
    </row>
    <row r="345" spans="1:12">
      <c r="A345" s="23"/>
      <c r="B345" s="807"/>
      <c r="C345" s="807"/>
      <c r="D345" s="807"/>
      <c r="E345" s="807"/>
      <c r="F345" s="807"/>
      <c r="G345" s="807"/>
      <c r="H345" s="816" t="str">
        <f>'4-22Master'!J18</f>
        <v>OOO</v>
      </c>
      <c r="I345" s="809"/>
      <c r="J345" s="809"/>
      <c r="K345" s="809"/>
      <c r="L345" s="810"/>
    </row>
    <row r="346" spans="1:12">
      <c r="A346" s="23"/>
      <c r="B346" s="106" t="s">
        <v>210</v>
      </c>
      <c r="C346" s="107"/>
      <c r="D346" s="107"/>
      <c r="E346" s="107"/>
      <c r="F346" s="107"/>
      <c r="G346" s="111"/>
      <c r="H346" s="930" t="str">
        <f>'4-22Master'!K18</f>
        <v>MIG-109, i Block, 2nd Stage, 5th Cross, Ramakrishana-Nagara, Mysuru, Karnataka-570022</v>
      </c>
      <c r="I346" s="931"/>
      <c r="J346" s="931"/>
      <c r="K346" s="931"/>
      <c r="L346" s="932"/>
    </row>
    <row r="347" spans="1:12">
      <c r="A347" s="23"/>
      <c r="B347" s="106"/>
      <c r="C347" s="107"/>
      <c r="D347" s="107"/>
      <c r="E347" s="107"/>
      <c r="F347" s="107"/>
      <c r="G347" s="111"/>
      <c r="H347" s="930" t="str">
        <f>'4-22Master'!L18</f>
        <v>OOO</v>
      </c>
      <c r="I347" s="931"/>
      <c r="J347" s="931"/>
      <c r="K347" s="931"/>
      <c r="L347" s="932"/>
    </row>
    <row r="348" spans="1:12">
      <c r="A348" s="23"/>
      <c r="B348" s="106"/>
      <c r="C348" s="107"/>
      <c r="D348" s="107"/>
      <c r="E348" s="107"/>
      <c r="F348" s="107"/>
      <c r="G348" s="111"/>
      <c r="H348" s="930" t="str">
        <f>'4-22Master'!M18</f>
        <v>OOO</v>
      </c>
      <c r="I348" s="931"/>
      <c r="J348" s="931"/>
      <c r="K348" s="931"/>
      <c r="L348" s="932"/>
    </row>
    <row r="349" spans="1:12">
      <c r="A349" s="23"/>
      <c r="B349" s="106" t="s">
        <v>217</v>
      </c>
      <c r="C349" s="107"/>
      <c r="D349" s="107"/>
      <c r="E349" s="107"/>
      <c r="F349" s="107"/>
      <c r="G349" s="111"/>
      <c r="H349" s="108"/>
      <c r="I349" s="110"/>
      <c r="J349" s="110"/>
      <c r="K349" s="110"/>
      <c r="L349" s="115"/>
    </row>
    <row r="350" spans="1:12">
      <c r="A350" s="23"/>
      <c r="B350" s="118" t="s">
        <v>218</v>
      </c>
      <c r="C350" s="202"/>
      <c r="D350" s="202"/>
      <c r="E350" s="202"/>
      <c r="F350" s="202"/>
      <c r="G350" s="203"/>
      <c r="H350" s="204"/>
      <c r="I350" s="205"/>
      <c r="J350" s="206"/>
      <c r="K350" s="205"/>
      <c r="L350" s="207"/>
    </row>
    <row r="351" spans="1:12" ht="45">
      <c r="A351" s="23"/>
      <c r="B351" s="106" t="s">
        <v>221</v>
      </c>
      <c r="C351" s="107"/>
      <c r="D351" s="110"/>
      <c r="E351" s="214" t="s">
        <v>223</v>
      </c>
      <c r="F351" s="78"/>
      <c r="G351" s="933" t="s">
        <v>222</v>
      </c>
      <c r="H351" s="934"/>
      <c r="I351" s="218" t="s">
        <v>219</v>
      </c>
      <c r="J351" s="216" t="s">
        <v>224</v>
      </c>
      <c r="K351" s="933" t="s">
        <v>220</v>
      </c>
      <c r="L351" s="935"/>
    </row>
    <row r="352" spans="1:12">
      <c r="A352" s="23"/>
      <c r="B352" s="217">
        <v>1</v>
      </c>
      <c r="C352" s="107"/>
      <c r="D352" s="107"/>
      <c r="E352" s="220">
        <v>2</v>
      </c>
      <c r="F352" s="111"/>
      <c r="G352" s="220">
        <v>3</v>
      </c>
      <c r="H352" s="236"/>
      <c r="I352" s="236">
        <v>4</v>
      </c>
      <c r="J352" s="129">
        <v>5</v>
      </c>
      <c r="K352" s="113"/>
      <c r="L352" s="114">
        <v>6</v>
      </c>
    </row>
    <row r="353" spans="1:12">
      <c r="A353" s="23"/>
      <c r="B353" s="334" t="str">
        <f>'4-22Master'!F18</f>
        <v>N.Ananda</v>
      </c>
      <c r="C353" s="232"/>
      <c r="D353" s="233"/>
      <c r="E353" s="235" t="s">
        <v>380</v>
      </c>
      <c r="F353" s="233"/>
      <c r="G353" s="235" t="s">
        <v>381</v>
      </c>
      <c r="H353" s="78"/>
      <c r="I353" s="19" t="s">
        <v>382</v>
      </c>
      <c r="J353" s="333">
        <v>1</v>
      </c>
      <c r="K353" s="936" t="s">
        <v>37</v>
      </c>
      <c r="L353" s="942"/>
    </row>
    <row r="354" spans="1:12">
      <c r="A354" s="23"/>
      <c r="B354" s="106"/>
      <c r="C354" s="232"/>
      <c r="D354" s="233"/>
      <c r="E354" s="234"/>
      <c r="F354" s="233"/>
      <c r="G354" s="234"/>
      <c r="H354" s="78"/>
      <c r="I354" s="19"/>
      <c r="J354" s="19"/>
      <c r="K354" s="235"/>
      <c r="L354" s="78"/>
    </row>
    <row r="355" spans="1:12">
      <c r="A355" s="23"/>
      <c r="B355" s="106"/>
      <c r="C355" s="232"/>
      <c r="D355" s="233"/>
      <c r="E355" s="234"/>
      <c r="F355" s="233"/>
      <c r="G355" s="234"/>
      <c r="H355" s="78"/>
      <c r="I355" s="19"/>
      <c r="J355" s="19"/>
      <c r="K355" s="235"/>
      <c r="L355" s="78"/>
    </row>
    <row r="356" spans="1:12">
      <c r="A356" s="23"/>
      <c r="B356" s="85"/>
      <c r="C356" s="27"/>
      <c r="D356" s="86"/>
      <c r="E356" s="234"/>
      <c r="F356" s="233"/>
      <c r="G356" s="234"/>
      <c r="H356" s="78"/>
      <c r="I356" s="19"/>
      <c r="J356" s="19"/>
      <c r="K356" s="235"/>
      <c r="L356" s="78"/>
    </row>
    <row r="357" spans="1:12">
      <c r="A357" s="23"/>
      <c r="B357" t="s">
        <v>225</v>
      </c>
      <c r="L357" s="24"/>
    </row>
    <row r="358" spans="1:12">
      <c r="A358" s="23"/>
      <c r="B358" t="s">
        <v>226</v>
      </c>
      <c r="L358" s="24"/>
    </row>
    <row r="359" spans="1:12">
      <c r="A359" s="23"/>
      <c r="B359" t="s">
        <v>227</v>
      </c>
      <c r="L359" s="24"/>
    </row>
    <row r="360" spans="1:12" ht="27.95" customHeight="1">
      <c r="A360" s="23"/>
      <c r="L360" s="24"/>
    </row>
    <row r="361" spans="1:12" ht="27.95" customHeight="1">
      <c r="A361" s="23"/>
      <c r="I361" t="s">
        <v>228</v>
      </c>
      <c r="L361" s="24"/>
    </row>
    <row r="362" spans="1:12" ht="27.95" customHeight="1">
      <c r="A362" s="23"/>
      <c r="F362" s="222" t="s">
        <v>211</v>
      </c>
      <c r="L362" s="24"/>
    </row>
    <row r="363" spans="1:12" ht="27.95" customHeight="1">
      <c r="A363" s="23" t="s">
        <v>212</v>
      </c>
      <c r="K363" s="272" t="str">
        <f>'4-22Master'!C18</f>
        <v>Amith a</v>
      </c>
      <c r="L363" s="24"/>
    </row>
    <row r="364" spans="1:12" ht="27.95" customHeight="1">
      <c r="A364" s="23" t="s">
        <v>213</v>
      </c>
      <c r="L364" s="24"/>
    </row>
    <row r="365" spans="1:12" ht="27.95" customHeight="1">
      <c r="A365" s="23"/>
      <c r="L365" s="24"/>
    </row>
    <row r="366" spans="1:12" ht="27.95" customHeight="1">
      <c r="A366" s="23"/>
      <c r="L366" s="24"/>
    </row>
    <row r="367" spans="1:12" ht="27.95" customHeight="1">
      <c r="A367" s="23"/>
      <c r="F367" t="s">
        <v>214</v>
      </c>
      <c r="L367" s="24"/>
    </row>
    <row r="368" spans="1:12" ht="27.95" customHeight="1">
      <c r="A368" s="23" t="s">
        <v>215</v>
      </c>
      <c r="B368" t="s">
        <v>379</v>
      </c>
      <c r="F368" t="str">
        <f>'4-22Master'!G5</f>
        <v>Burgeon IT Services Pvt.Ltd.</v>
      </c>
      <c r="L368" s="24"/>
    </row>
    <row r="369" spans="1:12" ht="27.95" customHeight="1">
      <c r="A369" s="23" t="s">
        <v>216</v>
      </c>
      <c r="B369" s="332">
        <f>'4-22Master'!O18</f>
        <v>44326</v>
      </c>
      <c r="F369" t="str">
        <f>'4-22Master'!G6</f>
        <v>Siri Mansion LIGB 436 Dr.A S Rao Nagar,Hyderabad</v>
      </c>
      <c r="L369" s="24"/>
    </row>
    <row r="370" spans="1:12" ht="27.95" customHeight="1" thickBot="1">
      <c r="A370" s="35"/>
      <c r="B370" s="33"/>
      <c r="C370" s="33"/>
      <c r="D370" s="33"/>
      <c r="E370" s="33"/>
      <c r="F370" s="33"/>
      <c r="G370" s="33"/>
      <c r="H370" s="33"/>
      <c r="I370" s="33"/>
      <c r="J370" s="33"/>
      <c r="K370" s="33"/>
      <c r="L370" s="34"/>
    </row>
    <row r="371" spans="1:12" ht="27.95" customHeight="1" thickBot="1">
      <c r="B371" s="223"/>
      <c r="C371" s="219"/>
      <c r="D371" s="219"/>
      <c r="E371" s="219"/>
      <c r="F371" s="219"/>
      <c r="G371" s="219"/>
      <c r="H371" s="208"/>
      <c r="I371" s="208"/>
      <c r="J371" s="209"/>
      <c r="K371" s="208"/>
      <c r="L371" s="208"/>
    </row>
    <row r="372" spans="1:12" ht="27.95" customHeight="1">
      <c r="A372" s="94"/>
      <c r="B372" s="797" t="s">
        <v>199</v>
      </c>
      <c r="C372" s="798"/>
      <c r="D372" s="798"/>
      <c r="E372" s="798"/>
      <c r="F372" s="798"/>
      <c r="G372" s="798"/>
      <c r="H372" s="798"/>
      <c r="I372" s="798"/>
      <c r="J372" s="798"/>
      <c r="K372" s="798"/>
      <c r="L372" s="799"/>
    </row>
    <row r="373" spans="1:12" ht="27.95" customHeight="1">
      <c r="A373" s="23"/>
      <c r="B373" s="800" t="s">
        <v>200</v>
      </c>
      <c r="C373" s="800"/>
      <c r="D373" s="800"/>
      <c r="E373" s="800"/>
      <c r="F373" s="800"/>
      <c r="G373" s="800"/>
      <c r="H373" s="800"/>
      <c r="I373" s="800"/>
      <c r="J373" s="800"/>
      <c r="K373" s="800"/>
      <c r="L373" s="801"/>
    </row>
    <row r="374" spans="1:12" ht="27.95" customHeight="1" thickBot="1">
      <c r="A374" s="35"/>
      <c r="B374" s="802" t="s">
        <v>201</v>
      </c>
      <c r="C374" s="802"/>
      <c r="D374" s="802"/>
      <c r="E374" s="802"/>
      <c r="F374" s="802"/>
      <c r="G374" s="802"/>
      <c r="H374" s="802"/>
      <c r="I374" s="802"/>
      <c r="J374" s="802"/>
      <c r="K374" s="802"/>
      <c r="L374" s="803"/>
    </row>
    <row r="375" spans="1:12" ht="27.95" customHeight="1">
      <c r="A375" s="23"/>
      <c r="B375" s="804" t="s">
        <v>126</v>
      </c>
      <c r="C375" s="804"/>
      <c r="D375" s="804"/>
      <c r="E375" s="804"/>
      <c r="F375" s="804"/>
      <c r="H375" s="805" t="s">
        <v>127</v>
      </c>
      <c r="I375" s="805"/>
      <c r="J375" s="805"/>
      <c r="K375" s="805"/>
      <c r="L375" s="806"/>
    </row>
    <row r="376" spans="1:12" ht="27.95" customHeight="1" thickBot="1">
      <c r="A376" s="23"/>
      <c r="B376" s="804"/>
      <c r="C376" s="804"/>
      <c r="D376" s="804"/>
      <c r="E376" s="804"/>
      <c r="F376" s="804"/>
      <c r="H376" s="805"/>
      <c r="I376" s="805"/>
      <c r="J376" s="805"/>
      <c r="K376" s="805"/>
      <c r="L376" s="806"/>
    </row>
    <row r="377" spans="1:12" ht="27.95" customHeight="1">
      <c r="A377" s="23"/>
      <c r="B377" s="94"/>
      <c r="C377" s="95"/>
      <c r="D377" s="95"/>
      <c r="E377" s="95"/>
      <c r="F377" s="96"/>
      <c r="H377" s="94"/>
      <c r="I377" s="95"/>
      <c r="J377" s="95"/>
      <c r="K377" s="95"/>
      <c r="L377" s="96"/>
    </row>
    <row r="378" spans="1:12">
      <c r="A378" s="23"/>
      <c r="B378" s="97" t="str">
        <f>'4-22Master'!G5</f>
        <v>Burgeon IT Services Pvt.Ltd.</v>
      </c>
      <c r="F378" s="24"/>
      <c r="H378" s="97" t="str">
        <f>'4-22Master'!AQ5</f>
        <v>Burgeon IT Services Pvt.Ltd.</v>
      </c>
      <c r="L378" s="24"/>
    </row>
    <row r="379" spans="1:12">
      <c r="A379" s="23"/>
      <c r="B379" s="23"/>
      <c r="F379" s="24"/>
      <c r="H379" s="23"/>
      <c r="L379" s="24"/>
    </row>
    <row r="380" spans="1:12">
      <c r="A380" s="23"/>
      <c r="B380" s="97" t="str">
        <f>'4-22Master'!G6</f>
        <v>Siri Mansion LIGB 436 Dr.A S Rao Nagar,Hyderabad</v>
      </c>
      <c r="F380" s="24"/>
      <c r="H380" s="97" t="str">
        <f>'4-22Master'!AQ6</f>
        <v>Siri Mansion LIGB 436 Dr.A S Rao Nagar,Hyderabad</v>
      </c>
      <c r="L380" s="24"/>
    </row>
    <row r="381" spans="1:12" ht="15.75" thickBot="1">
      <c r="A381" s="23"/>
      <c r="B381" s="35"/>
      <c r="C381" s="33"/>
      <c r="D381" s="33"/>
      <c r="E381" s="33"/>
      <c r="F381" s="34"/>
      <c r="H381" s="35"/>
      <c r="I381" s="33"/>
      <c r="J381" s="33"/>
      <c r="K381" s="33"/>
      <c r="L381" s="34"/>
    </row>
    <row r="382" spans="1:12">
      <c r="A382" s="23"/>
      <c r="J382" t="s">
        <v>128</v>
      </c>
      <c r="L382" s="24"/>
    </row>
    <row r="383" spans="1:12">
      <c r="A383" s="23"/>
      <c r="B383" s="725" t="s">
        <v>129</v>
      </c>
      <c r="C383" s="725"/>
      <c r="D383" s="725"/>
      <c r="E383" s="725"/>
      <c r="F383" s="725"/>
      <c r="H383" s="725" t="s">
        <v>4</v>
      </c>
      <c r="I383" s="725"/>
      <c r="J383" s="725"/>
      <c r="K383" s="725"/>
      <c r="L383" s="815"/>
    </row>
    <row r="384" spans="1:12" ht="15" customHeight="1" thickBot="1">
      <c r="A384" s="23"/>
      <c r="L384" s="24"/>
    </row>
    <row r="385" spans="1:12">
      <c r="A385" s="23"/>
      <c r="B385" s="94"/>
      <c r="C385" s="95"/>
      <c r="D385" s="95"/>
      <c r="E385" s="95"/>
      <c r="F385" s="96"/>
      <c r="H385" s="98"/>
      <c r="I385" s="99"/>
      <c r="J385" s="99"/>
      <c r="K385" s="99"/>
      <c r="L385" s="100"/>
    </row>
    <row r="386" spans="1:12">
      <c r="A386" s="23"/>
      <c r="B386" s="23"/>
      <c r="F386" s="24"/>
      <c r="H386" s="97" t="str">
        <f>'4-22Master'!AQ10</f>
        <v>INFOSYS  LTD.IL Pune STP Unit,Plot No.1</v>
      </c>
      <c r="I386" s="4"/>
      <c r="J386" s="4"/>
      <c r="K386" s="4"/>
      <c r="L386" s="101"/>
    </row>
    <row r="387" spans="1:12">
      <c r="A387" s="23"/>
      <c r="B387" s="97" t="str">
        <f>'4-22Master'!G8</f>
        <v>IT SUPPORTIVE SERVICES&amp; PUNE STP</v>
      </c>
      <c r="F387" s="24"/>
      <c r="H387" s="97"/>
      <c r="I387" s="4"/>
      <c r="J387" s="4"/>
      <c r="K387" s="4"/>
      <c r="L387" s="101"/>
    </row>
    <row r="388" spans="1:12">
      <c r="A388" s="23"/>
      <c r="B388" s="23"/>
      <c r="F388" s="24"/>
      <c r="H388" s="97" t="str">
        <f>'4-22Master'!AQ11</f>
        <v>Rajiv gandhi Info tech park,Hinjawadi,Taluk Mulshi,Pune,Maharashtra 411057</v>
      </c>
      <c r="I388" s="4"/>
      <c r="J388" s="4"/>
      <c r="K388" s="4"/>
      <c r="L388" s="101"/>
    </row>
    <row r="389" spans="1:12" ht="15.75" thickBot="1">
      <c r="A389" s="23"/>
      <c r="B389" s="35"/>
      <c r="C389" s="33"/>
      <c r="D389" s="33"/>
      <c r="E389" s="33"/>
      <c r="F389" s="34"/>
      <c r="H389" s="102"/>
      <c r="I389" s="103"/>
      <c r="J389" s="103"/>
      <c r="K389" s="103"/>
      <c r="L389" s="104"/>
    </row>
    <row r="390" spans="1:12">
      <c r="A390" s="105"/>
      <c r="B390" s="807" t="s">
        <v>202</v>
      </c>
      <c r="C390" s="807"/>
      <c r="D390" s="807"/>
      <c r="E390" s="807"/>
      <c r="F390" s="807"/>
      <c r="G390" s="807"/>
      <c r="H390" s="816" t="e">
        <f>'4-22Master'!#REF!</f>
        <v>#REF!</v>
      </c>
      <c r="I390" s="809"/>
      <c r="J390" s="809"/>
      <c r="K390" s="809"/>
      <c r="L390" s="810"/>
    </row>
    <row r="391" spans="1:12">
      <c r="A391" s="105"/>
      <c r="B391" s="817" t="s">
        <v>203</v>
      </c>
      <c r="C391" s="817"/>
      <c r="D391" s="817"/>
      <c r="E391" s="817"/>
      <c r="F391" s="817"/>
      <c r="G391" s="817"/>
      <c r="H391" s="816" t="e">
        <f>'4-22Master'!#REF!</f>
        <v>#REF!</v>
      </c>
      <c r="I391" s="809"/>
      <c r="J391" s="809"/>
      <c r="K391" s="809"/>
      <c r="L391" s="810"/>
    </row>
    <row r="392" spans="1:12">
      <c r="A392" s="105"/>
      <c r="B392" s="807" t="s">
        <v>204</v>
      </c>
      <c r="C392" s="807"/>
      <c r="D392" s="807"/>
      <c r="E392" s="807"/>
      <c r="F392" s="807"/>
      <c r="G392" s="807"/>
      <c r="H392" s="816" t="e">
        <f>'4-22Master'!#REF!</f>
        <v>#REF!</v>
      </c>
      <c r="I392" s="809"/>
      <c r="J392" s="809"/>
      <c r="K392" s="809"/>
      <c r="L392" s="810"/>
    </row>
    <row r="393" spans="1:12">
      <c r="A393" s="105"/>
      <c r="B393" s="807" t="s">
        <v>205</v>
      </c>
      <c r="C393" s="807"/>
      <c r="D393" s="807"/>
      <c r="E393" s="807"/>
      <c r="F393" s="807"/>
      <c r="G393" s="807"/>
      <c r="H393" s="941" t="e">
        <f>'4-22Master'!#REF!</f>
        <v>#REF!</v>
      </c>
      <c r="I393" s="809"/>
      <c r="J393" s="809"/>
      <c r="K393" s="809"/>
      <c r="L393" s="810"/>
    </row>
    <row r="394" spans="1:12">
      <c r="A394" s="105"/>
      <c r="B394" s="106" t="s">
        <v>206</v>
      </c>
      <c r="C394" s="107"/>
      <c r="D394" s="107"/>
      <c r="E394" s="107"/>
      <c r="F394" s="107"/>
      <c r="G394" s="107"/>
      <c r="H394" s="938" t="s">
        <v>207</v>
      </c>
      <c r="I394" s="939"/>
      <c r="J394" s="939"/>
      <c r="K394" s="939"/>
      <c r="L394" s="940"/>
    </row>
    <row r="395" spans="1:12">
      <c r="A395" s="105"/>
      <c r="B395" s="106" t="s">
        <v>208</v>
      </c>
      <c r="C395" s="107"/>
      <c r="D395" s="107"/>
      <c r="E395" s="107"/>
      <c r="F395" s="107"/>
      <c r="G395" s="107"/>
      <c r="H395" s="108"/>
      <c r="I395" s="110"/>
      <c r="J395" s="221"/>
      <c r="K395" s="110"/>
      <c r="L395" s="115"/>
    </row>
    <row r="396" spans="1:12">
      <c r="A396" s="105"/>
      <c r="B396" s="811" t="s">
        <v>209</v>
      </c>
      <c r="C396" s="811"/>
      <c r="D396" s="811"/>
      <c r="E396" s="811"/>
      <c r="F396" s="811"/>
      <c r="G396" s="811"/>
      <c r="H396" s="812" t="e">
        <f>'4-22Master'!#REF!</f>
        <v>#REF!</v>
      </c>
      <c r="I396" s="813"/>
      <c r="J396" s="813"/>
      <c r="K396" s="813"/>
      <c r="L396" s="814"/>
    </row>
    <row r="397" spans="1:12">
      <c r="A397" s="105"/>
      <c r="B397" s="807"/>
      <c r="C397" s="807"/>
      <c r="D397" s="807"/>
      <c r="E397" s="807"/>
      <c r="F397" s="807"/>
      <c r="G397" s="807"/>
      <c r="H397" s="808" t="e">
        <f>'4-22Master'!#REF!</f>
        <v>#REF!</v>
      </c>
      <c r="I397" s="809"/>
      <c r="J397" s="809"/>
      <c r="K397" s="809"/>
      <c r="L397" s="810"/>
    </row>
    <row r="398" spans="1:12">
      <c r="A398" s="23"/>
      <c r="B398" s="807"/>
      <c r="C398" s="807"/>
      <c r="D398" s="807"/>
      <c r="E398" s="807"/>
      <c r="F398" s="807"/>
      <c r="G398" s="807"/>
      <c r="H398" s="816" t="e">
        <f>'4-22Master'!#REF!</f>
        <v>#REF!</v>
      </c>
      <c r="I398" s="809"/>
      <c r="J398" s="809"/>
      <c r="K398" s="809"/>
      <c r="L398" s="810"/>
    </row>
    <row r="399" spans="1:12" ht="27.95" customHeight="1">
      <c r="A399" s="23"/>
      <c r="B399" s="106" t="s">
        <v>210</v>
      </c>
      <c r="C399" s="107"/>
      <c r="D399" s="107"/>
      <c r="E399" s="107"/>
      <c r="F399" s="107"/>
      <c r="G399" s="111"/>
      <c r="H399" s="930" t="e">
        <f>'4-22Master'!#REF!</f>
        <v>#REF!</v>
      </c>
      <c r="I399" s="931"/>
      <c r="J399" s="931"/>
      <c r="K399" s="931"/>
      <c r="L399" s="932"/>
    </row>
    <row r="400" spans="1:12" ht="27.95" customHeight="1">
      <c r="A400" s="23"/>
      <c r="B400" s="106"/>
      <c r="C400" s="107"/>
      <c r="D400" s="107"/>
      <c r="E400" s="107"/>
      <c r="F400" s="107"/>
      <c r="G400" s="111"/>
      <c r="H400" s="930" t="e">
        <f>'4-22Master'!#REF!</f>
        <v>#REF!</v>
      </c>
      <c r="I400" s="931"/>
      <c r="J400" s="931"/>
      <c r="K400" s="931"/>
      <c r="L400" s="932"/>
    </row>
    <row r="401" spans="1:12" ht="27.95" customHeight="1">
      <c r="A401" s="23"/>
      <c r="B401" s="106"/>
      <c r="C401" s="107"/>
      <c r="D401" s="107"/>
      <c r="E401" s="107"/>
      <c r="F401" s="107"/>
      <c r="G401" s="111"/>
      <c r="H401" s="930" t="e">
        <f>'4-22Master'!#REF!</f>
        <v>#REF!</v>
      </c>
      <c r="I401" s="931"/>
      <c r="J401" s="931"/>
      <c r="K401" s="931"/>
      <c r="L401" s="932"/>
    </row>
    <row r="402" spans="1:12" ht="27.95" customHeight="1">
      <c r="A402" s="23"/>
      <c r="B402" s="106" t="s">
        <v>217</v>
      </c>
      <c r="C402" s="107"/>
      <c r="D402" s="107"/>
      <c r="E402" s="107"/>
      <c r="F402" s="107"/>
      <c r="G402" s="111"/>
      <c r="H402" s="108"/>
      <c r="I402" s="110"/>
      <c r="J402" s="110"/>
      <c r="K402" s="110"/>
      <c r="L402" s="115"/>
    </row>
    <row r="403" spans="1:12" ht="27.95" customHeight="1">
      <c r="A403" s="23"/>
      <c r="B403" s="118" t="s">
        <v>218</v>
      </c>
      <c r="C403" s="202"/>
      <c r="D403" s="202"/>
      <c r="E403" s="202"/>
      <c r="F403" s="202"/>
      <c r="G403" s="203"/>
      <c r="H403" s="204"/>
      <c r="I403" s="205"/>
      <c r="J403" s="206"/>
      <c r="K403" s="205"/>
      <c r="L403" s="207"/>
    </row>
    <row r="404" spans="1:12" ht="27.95" customHeight="1">
      <c r="A404" s="23"/>
      <c r="B404" s="106" t="s">
        <v>221</v>
      </c>
      <c r="C404" s="107"/>
      <c r="D404" s="110"/>
      <c r="E404" s="214" t="s">
        <v>223</v>
      </c>
      <c r="F404" s="78"/>
      <c r="G404" s="933" t="s">
        <v>222</v>
      </c>
      <c r="H404" s="934"/>
      <c r="I404" s="218" t="s">
        <v>219</v>
      </c>
      <c r="J404" s="216" t="s">
        <v>224</v>
      </c>
      <c r="K404" s="933" t="s">
        <v>220</v>
      </c>
      <c r="L404" s="935"/>
    </row>
    <row r="405" spans="1:12" ht="27.95" customHeight="1">
      <c r="A405" s="23"/>
      <c r="B405" s="217">
        <v>1</v>
      </c>
      <c r="C405" s="107"/>
      <c r="D405" s="107"/>
      <c r="E405" s="220">
        <v>2</v>
      </c>
      <c r="F405" s="111"/>
      <c r="G405" s="220">
        <v>3</v>
      </c>
      <c r="H405" s="236"/>
      <c r="I405" s="236">
        <v>4</v>
      </c>
      <c r="J405" s="129">
        <v>5</v>
      </c>
      <c r="K405" s="113"/>
      <c r="L405" s="114">
        <v>6</v>
      </c>
    </row>
    <row r="406" spans="1:12" ht="27.95" customHeight="1">
      <c r="A406" s="23"/>
      <c r="B406" s="334" t="e">
        <f>'4-22Master'!#REF!</f>
        <v>#REF!</v>
      </c>
      <c r="C406" s="232"/>
      <c r="D406" s="233"/>
      <c r="E406" s="235" t="s">
        <v>380</v>
      </c>
      <c r="F406" s="233"/>
      <c r="G406" s="235" t="s">
        <v>381</v>
      </c>
      <c r="H406" s="78"/>
      <c r="I406" s="19" t="s">
        <v>382</v>
      </c>
      <c r="J406" s="333">
        <v>1</v>
      </c>
      <c r="K406" s="936" t="s">
        <v>37</v>
      </c>
      <c r="L406" s="942"/>
    </row>
    <row r="407" spans="1:12" ht="27.95" customHeight="1">
      <c r="A407" s="23"/>
      <c r="B407" s="106"/>
      <c r="C407" s="232"/>
      <c r="D407" s="233"/>
      <c r="E407" s="234"/>
      <c r="F407" s="233"/>
      <c r="G407" s="234"/>
      <c r="H407" s="78"/>
      <c r="I407" s="19"/>
      <c r="J407" s="19"/>
      <c r="K407" s="235"/>
      <c r="L407" s="78"/>
    </row>
    <row r="408" spans="1:12" ht="27.95" customHeight="1">
      <c r="A408" s="23"/>
      <c r="B408" s="106"/>
      <c r="C408" s="232"/>
      <c r="D408" s="233"/>
      <c r="E408" s="234"/>
      <c r="F408" s="233"/>
      <c r="G408" s="234"/>
      <c r="H408" s="78"/>
      <c r="I408" s="19"/>
      <c r="J408" s="19"/>
      <c r="K408" s="235"/>
      <c r="L408" s="78"/>
    </row>
    <row r="409" spans="1:12" ht="27.95" customHeight="1">
      <c r="A409" s="23"/>
      <c r="B409" s="85"/>
      <c r="C409" s="27"/>
      <c r="D409" s="86"/>
      <c r="E409" s="234"/>
      <c r="F409" s="233"/>
      <c r="G409" s="234"/>
      <c r="H409" s="78"/>
      <c r="I409" s="19"/>
      <c r="J409" s="19"/>
      <c r="K409" s="235"/>
      <c r="L409" s="78"/>
    </row>
    <row r="410" spans="1:12" ht="27.95" customHeight="1">
      <c r="A410" s="23"/>
      <c r="B410" t="s">
        <v>225</v>
      </c>
      <c r="L410" s="24"/>
    </row>
    <row r="411" spans="1:12" ht="27.95" customHeight="1">
      <c r="A411" s="23"/>
      <c r="B411" t="s">
        <v>226</v>
      </c>
      <c r="L411" s="24"/>
    </row>
    <row r="412" spans="1:12" ht="27.95" customHeight="1">
      <c r="A412" s="23"/>
      <c r="B412" t="s">
        <v>227</v>
      </c>
      <c r="L412" s="24"/>
    </row>
    <row r="413" spans="1:12" ht="27.95" customHeight="1">
      <c r="A413" s="23"/>
      <c r="I413" t="s">
        <v>228</v>
      </c>
      <c r="L413" s="24"/>
    </row>
    <row r="414" spans="1:12" ht="27.95" customHeight="1">
      <c r="A414" s="23"/>
      <c r="F414" s="222" t="s">
        <v>211</v>
      </c>
      <c r="L414" s="24"/>
    </row>
    <row r="415" spans="1:12" ht="27.95" customHeight="1">
      <c r="A415" s="23" t="s">
        <v>212</v>
      </c>
      <c r="K415" s="272" t="e">
        <f>'4-22Master'!#REF!</f>
        <v>#REF!</v>
      </c>
      <c r="L415" s="24"/>
    </row>
    <row r="416" spans="1:12">
      <c r="A416" s="23" t="s">
        <v>213</v>
      </c>
      <c r="L416" s="24"/>
    </row>
    <row r="417" spans="1:12">
      <c r="A417" s="23"/>
      <c r="L417" s="24"/>
    </row>
    <row r="418" spans="1:12">
      <c r="A418" s="23"/>
      <c r="L418" s="24"/>
    </row>
    <row r="419" spans="1:12">
      <c r="A419" s="23"/>
      <c r="F419" t="s">
        <v>214</v>
      </c>
      <c r="L419" s="24"/>
    </row>
    <row r="420" spans="1:12">
      <c r="A420" s="23" t="s">
        <v>215</v>
      </c>
      <c r="B420" t="s">
        <v>379</v>
      </c>
      <c r="F420" t="str">
        <f>'4-22Master'!G5</f>
        <v>Burgeon IT Services Pvt.Ltd.</v>
      </c>
      <c r="L420" s="24"/>
    </row>
    <row r="421" spans="1:12">
      <c r="A421" s="23" t="s">
        <v>216</v>
      </c>
      <c r="B421" s="332" t="e">
        <f>'4-22Master'!#REF!</f>
        <v>#REF!</v>
      </c>
      <c r="F421" t="str">
        <f>'4-22Master'!G6</f>
        <v>Siri Mansion LIGB 436 Dr.A S Rao Nagar,Hyderabad</v>
      </c>
      <c r="L421" s="24"/>
    </row>
    <row r="422" spans="1:12" ht="15" customHeight="1" thickBot="1">
      <c r="A422" s="35"/>
      <c r="B422" s="33"/>
      <c r="C422" s="33"/>
      <c r="D422" s="33"/>
      <c r="E422" s="33"/>
      <c r="F422" s="33"/>
      <c r="G422" s="33"/>
      <c r="H422" s="33"/>
      <c r="I422" s="33"/>
      <c r="J422" s="33"/>
      <c r="K422" s="33"/>
      <c r="L422" s="34"/>
    </row>
    <row r="423" spans="1:12" ht="15.75" thickBot="1">
      <c r="B423" s="223"/>
      <c r="C423" s="219"/>
      <c r="D423" s="219"/>
      <c r="E423" s="219"/>
      <c r="F423" s="219"/>
      <c r="G423" s="219"/>
      <c r="H423" s="208"/>
      <c r="I423" s="208"/>
      <c r="J423" s="209"/>
      <c r="K423" s="208"/>
      <c r="L423" s="208"/>
    </row>
    <row r="424" spans="1:12" ht="32.25">
      <c r="A424" s="94"/>
      <c r="B424" s="797" t="s">
        <v>199</v>
      </c>
      <c r="C424" s="798"/>
      <c r="D424" s="798"/>
      <c r="E424" s="798"/>
      <c r="F424" s="798"/>
      <c r="G424" s="798"/>
      <c r="H424" s="798"/>
      <c r="I424" s="798"/>
      <c r="J424" s="798"/>
      <c r="K424" s="798"/>
      <c r="L424" s="799"/>
    </row>
    <row r="425" spans="1:12" ht="23.25">
      <c r="A425" s="23"/>
      <c r="B425" s="800" t="s">
        <v>200</v>
      </c>
      <c r="C425" s="800"/>
      <c r="D425" s="800"/>
      <c r="E425" s="800"/>
      <c r="F425" s="800"/>
      <c r="G425" s="800"/>
      <c r="H425" s="800"/>
      <c r="I425" s="800"/>
      <c r="J425" s="800"/>
      <c r="K425" s="800"/>
      <c r="L425" s="801"/>
    </row>
    <row r="426" spans="1:12" ht="16.5" thickBot="1">
      <c r="A426" s="35"/>
      <c r="B426" s="802" t="s">
        <v>201</v>
      </c>
      <c r="C426" s="802"/>
      <c r="D426" s="802"/>
      <c r="E426" s="802"/>
      <c r="F426" s="802"/>
      <c r="G426" s="802"/>
      <c r="H426" s="802"/>
      <c r="I426" s="802"/>
      <c r="J426" s="802"/>
      <c r="K426" s="802"/>
      <c r="L426" s="803"/>
    </row>
    <row r="427" spans="1:12">
      <c r="A427" s="23"/>
      <c r="B427" s="804" t="s">
        <v>126</v>
      </c>
      <c r="C427" s="804"/>
      <c r="D427" s="804"/>
      <c r="E427" s="804"/>
      <c r="F427" s="804"/>
      <c r="H427" s="805" t="s">
        <v>127</v>
      </c>
      <c r="I427" s="805"/>
      <c r="J427" s="805"/>
      <c r="K427" s="805"/>
      <c r="L427" s="806"/>
    </row>
    <row r="428" spans="1:12" ht="15.75" thickBot="1">
      <c r="A428" s="23"/>
      <c r="B428" s="804"/>
      <c r="C428" s="804"/>
      <c r="D428" s="804"/>
      <c r="E428" s="804"/>
      <c r="F428" s="804"/>
      <c r="H428" s="805"/>
      <c r="I428" s="805"/>
      <c r="J428" s="805"/>
      <c r="K428" s="805"/>
      <c r="L428" s="806"/>
    </row>
    <row r="429" spans="1:12">
      <c r="A429" s="23"/>
      <c r="B429" s="94"/>
      <c r="C429" s="95"/>
      <c r="D429" s="95"/>
      <c r="E429" s="95"/>
      <c r="F429" s="96"/>
      <c r="H429" s="94"/>
      <c r="I429" s="95"/>
      <c r="J429" s="95"/>
      <c r="K429" s="95"/>
      <c r="L429" s="96"/>
    </row>
    <row r="430" spans="1:12">
      <c r="A430" s="23"/>
      <c r="B430" s="97" t="str">
        <f>'4-22Master'!G5</f>
        <v>Burgeon IT Services Pvt.Ltd.</v>
      </c>
      <c r="F430" s="24"/>
      <c r="H430" s="97" t="str">
        <f>'4-22Master'!AQ5</f>
        <v>Burgeon IT Services Pvt.Ltd.</v>
      </c>
      <c r="L430" s="24"/>
    </row>
    <row r="431" spans="1:12">
      <c r="A431" s="23"/>
      <c r="B431" s="23"/>
      <c r="F431" s="24"/>
      <c r="H431" s="23"/>
      <c r="L431" s="24"/>
    </row>
    <row r="432" spans="1:12">
      <c r="A432" s="23"/>
      <c r="B432" s="97" t="str">
        <f>'4-22Master'!G6</f>
        <v>Siri Mansion LIGB 436 Dr.A S Rao Nagar,Hyderabad</v>
      </c>
      <c r="F432" s="24"/>
      <c r="H432" s="97" t="str">
        <f>'4-22Master'!AQ6</f>
        <v>Siri Mansion LIGB 436 Dr.A S Rao Nagar,Hyderabad</v>
      </c>
      <c r="L432" s="24"/>
    </row>
    <row r="433" spans="1:12" ht="15.75" thickBot="1">
      <c r="A433" s="23"/>
      <c r="B433" s="35"/>
      <c r="C433" s="33"/>
      <c r="D433" s="33"/>
      <c r="E433" s="33"/>
      <c r="F433" s="34"/>
      <c r="H433" s="35"/>
      <c r="I433" s="33"/>
      <c r="J433" s="33"/>
      <c r="K433" s="33"/>
      <c r="L433" s="34"/>
    </row>
    <row r="434" spans="1:12">
      <c r="A434" s="23"/>
      <c r="J434" t="s">
        <v>128</v>
      </c>
      <c r="L434" s="24"/>
    </row>
    <row r="435" spans="1:12">
      <c r="A435" s="23"/>
      <c r="B435" s="725" t="s">
        <v>129</v>
      </c>
      <c r="C435" s="725"/>
      <c r="D435" s="725"/>
      <c r="E435" s="725"/>
      <c r="F435" s="725"/>
      <c r="H435" s="725" t="s">
        <v>4</v>
      </c>
      <c r="I435" s="725"/>
      <c r="J435" s="725"/>
      <c r="K435" s="725"/>
      <c r="L435" s="815"/>
    </row>
    <row r="436" spans="1:12" ht="15.75" thickBot="1">
      <c r="A436" s="23"/>
      <c r="L436" s="24"/>
    </row>
    <row r="437" spans="1:12" ht="15" customHeight="1">
      <c r="A437" s="23"/>
      <c r="B437" s="94"/>
      <c r="C437" s="95"/>
      <c r="D437" s="95"/>
      <c r="E437" s="95"/>
      <c r="F437" s="96"/>
      <c r="H437" s="98"/>
      <c r="I437" s="99"/>
      <c r="J437" s="99"/>
      <c r="K437" s="99"/>
      <c r="L437" s="100"/>
    </row>
    <row r="438" spans="1:12" ht="15" customHeight="1">
      <c r="A438" s="23"/>
      <c r="B438" s="23"/>
      <c r="F438" s="24"/>
      <c r="H438" s="97" t="str">
        <f>'4-22Master'!AQ10</f>
        <v>INFOSYS  LTD.IL Pune STP Unit,Plot No.1</v>
      </c>
      <c r="I438" s="4"/>
      <c r="J438" s="4"/>
      <c r="K438" s="4"/>
      <c r="L438" s="101"/>
    </row>
    <row r="439" spans="1:12" ht="15" customHeight="1">
      <c r="A439" s="23"/>
      <c r="B439" s="97" t="str">
        <f>'4-22Master'!G8</f>
        <v>IT SUPPORTIVE SERVICES&amp; PUNE STP</v>
      </c>
      <c r="F439" s="24"/>
      <c r="H439" s="97"/>
      <c r="I439" s="4"/>
      <c r="J439" s="4"/>
      <c r="K439" s="4"/>
      <c r="L439" s="101"/>
    </row>
    <row r="440" spans="1:12" ht="15" customHeight="1">
      <c r="A440" s="23"/>
      <c r="B440" s="23"/>
      <c r="F440" s="24"/>
      <c r="H440" s="97" t="str">
        <f>'4-22Master'!AQ11</f>
        <v>Rajiv gandhi Info tech park,Hinjawadi,Taluk Mulshi,Pune,Maharashtra 411057</v>
      </c>
      <c r="I440" s="4"/>
      <c r="J440" s="4"/>
      <c r="K440" s="4"/>
      <c r="L440" s="101"/>
    </row>
    <row r="441" spans="1:12" ht="15" customHeight="1" thickBot="1">
      <c r="A441" s="23"/>
      <c r="B441" s="35"/>
      <c r="C441" s="33"/>
      <c r="D441" s="33"/>
      <c r="E441" s="33"/>
      <c r="F441" s="34"/>
      <c r="H441" s="102"/>
      <c r="I441" s="103"/>
      <c r="J441" s="103"/>
      <c r="K441" s="103"/>
      <c r="L441" s="104"/>
    </row>
    <row r="442" spans="1:12" ht="27.95" customHeight="1">
      <c r="A442" s="105"/>
      <c r="B442" s="807" t="s">
        <v>202</v>
      </c>
      <c r="C442" s="807"/>
      <c r="D442" s="807"/>
      <c r="E442" s="807"/>
      <c r="F442" s="807"/>
      <c r="G442" s="807"/>
      <c r="H442" s="816" t="e">
        <f>'4-22Master'!#REF!</f>
        <v>#REF!</v>
      </c>
      <c r="I442" s="809"/>
      <c r="J442" s="809"/>
      <c r="K442" s="809"/>
      <c r="L442" s="810"/>
    </row>
    <row r="443" spans="1:12" ht="27.95" customHeight="1">
      <c r="A443" s="105"/>
      <c r="B443" s="817" t="s">
        <v>203</v>
      </c>
      <c r="C443" s="817"/>
      <c r="D443" s="817"/>
      <c r="E443" s="817"/>
      <c r="F443" s="817"/>
      <c r="G443" s="817"/>
      <c r="H443" s="816" t="e">
        <f>'4-22Master'!#REF!</f>
        <v>#REF!</v>
      </c>
      <c r="I443" s="809"/>
      <c r="J443" s="809"/>
      <c r="K443" s="809"/>
      <c r="L443" s="810"/>
    </row>
    <row r="444" spans="1:12" ht="27.95" customHeight="1">
      <c r="A444" s="105"/>
      <c r="B444" s="807" t="s">
        <v>204</v>
      </c>
      <c r="C444" s="807"/>
      <c r="D444" s="807"/>
      <c r="E444" s="807"/>
      <c r="F444" s="807"/>
      <c r="G444" s="807"/>
      <c r="H444" s="816" t="e">
        <f>'4-22Master'!#REF!</f>
        <v>#REF!</v>
      </c>
      <c r="I444" s="809"/>
      <c r="J444" s="809"/>
      <c r="K444" s="809"/>
      <c r="L444" s="810"/>
    </row>
    <row r="445" spans="1:12" ht="27.95" customHeight="1">
      <c r="A445" s="105"/>
      <c r="B445" s="807" t="s">
        <v>205</v>
      </c>
      <c r="C445" s="807"/>
      <c r="D445" s="807"/>
      <c r="E445" s="807"/>
      <c r="F445" s="807"/>
      <c r="G445" s="807"/>
      <c r="H445" s="941" t="e">
        <f>'4-22Master'!#REF!</f>
        <v>#REF!</v>
      </c>
      <c r="I445" s="809"/>
      <c r="J445" s="809"/>
      <c r="K445" s="809"/>
      <c r="L445" s="810"/>
    </row>
    <row r="446" spans="1:12" ht="27.95" customHeight="1">
      <c r="A446" s="105"/>
      <c r="B446" s="106" t="s">
        <v>206</v>
      </c>
      <c r="C446" s="107"/>
      <c r="D446" s="107"/>
      <c r="E446" s="107"/>
      <c r="F446" s="107"/>
      <c r="G446" s="107"/>
      <c r="H446" s="938" t="s">
        <v>207</v>
      </c>
      <c r="I446" s="939"/>
      <c r="J446" s="939"/>
      <c r="K446" s="939"/>
      <c r="L446" s="940"/>
    </row>
    <row r="447" spans="1:12" ht="27.95" customHeight="1">
      <c r="A447" s="105"/>
      <c r="B447" s="106" t="s">
        <v>208</v>
      </c>
      <c r="C447" s="107"/>
      <c r="D447" s="107"/>
      <c r="E447" s="107"/>
      <c r="F447" s="107"/>
      <c r="G447" s="107"/>
      <c r="H447" s="108"/>
      <c r="I447" s="110"/>
      <c r="J447" s="221"/>
      <c r="K447" s="110"/>
      <c r="L447" s="115"/>
    </row>
    <row r="448" spans="1:12" ht="27.95" customHeight="1">
      <c r="A448" s="105"/>
      <c r="B448" s="811" t="s">
        <v>209</v>
      </c>
      <c r="C448" s="811"/>
      <c r="D448" s="811"/>
      <c r="E448" s="811"/>
      <c r="F448" s="811"/>
      <c r="G448" s="811"/>
      <c r="H448" s="812" t="e">
        <f>'4-22Master'!#REF!</f>
        <v>#REF!</v>
      </c>
      <c r="I448" s="813"/>
      <c r="J448" s="813"/>
      <c r="K448" s="813"/>
      <c r="L448" s="814"/>
    </row>
    <row r="449" spans="1:12" ht="27.95" customHeight="1">
      <c r="A449" s="105"/>
      <c r="B449" s="807"/>
      <c r="C449" s="807"/>
      <c r="D449" s="807"/>
      <c r="E449" s="807"/>
      <c r="F449" s="807"/>
      <c r="G449" s="807"/>
      <c r="H449" s="808" t="e">
        <f>'4-22Master'!#REF!</f>
        <v>#REF!</v>
      </c>
      <c r="I449" s="809"/>
      <c r="J449" s="809"/>
      <c r="K449" s="809"/>
      <c r="L449" s="810"/>
    </row>
    <row r="450" spans="1:12" ht="27.95" customHeight="1">
      <c r="A450" s="23"/>
      <c r="B450" s="807"/>
      <c r="C450" s="807"/>
      <c r="D450" s="807"/>
      <c r="E450" s="807"/>
      <c r="F450" s="807"/>
      <c r="G450" s="807"/>
      <c r="H450" s="816" t="e">
        <f>'4-22Master'!#REF!</f>
        <v>#REF!</v>
      </c>
      <c r="I450" s="809"/>
      <c r="J450" s="809"/>
      <c r="K450" s="809"/>
      <c r="L450" s="810"/>
    </row>
    <row r="451" spans="1:12" ht="27.95" customHeight="1">
      <c r="A451" s="23"/>
      <c r="B451" s="106" t="s">
        <v>210</v>
      </c>
      <c r="C451" s="107"/>
      <c r="D451" s="107"/>
      <c r="E451" s="107"/>
      <c r="F451" s="107"/>
      <c r="G451" s="111"/>
      <c r="H451" s="930" t="e">
        <f>'4-22Master'!#REF!</f>
        <v>#REF!</v>
      </c>
      <c r="I451" s="931"/>
      <c r="J451" s="931"/>
      <c r="K451" s="931"/>
      <c r="L451" s="932"/>
    </row>
    <row r="452" spans="1:12" ht="27.95" customHeight="1">
      <c r="A452" s="23"/>
      <c r="B452" s="106"/>
      <c r="C452" s="107"/>
      <c r="D452" s="107"/>
      <c r="E452" s="107"/>
      <c r="F452" s="107"/>
      <c r="G452" s="111"/>
      <c r="H452" s="930" t="e">
        <f>'4-22Master'!#REF!</f>
        <v>#REF!</v>
      </c>
      <c r="I452" s="931"/>
      <c r="J452" s="931"/>
      <c r="K452" s="931"/>
      <c r="L452" s="932"/>
    </row>
    <row r="453" spans="1:12" ht="27.95" customHeight="1">
      <c r="A453" s="23"/>
      <c r="B453" s="106"/>
      <c r="C453" s="107"/>
      <c r="D453" s="107"/>
      <c r="E453" s="107"/>
      <c r="F453" s="107"/>
      <c r="G453" s="111"/>
      <c r="H453" s="930" t="e">
        <f>'4-22Master'!#REF!</f>
        <v>#REF!</v>
      </c>
      <c r="I453" s="931"/>
      <c r="J453" s="931"/>
      <c r="K453" s="931"/>
      <c r="L453" s="932"/>
    </row>
    <row r="454" spans="1:12" ht="27.95" customHeight="1">
      <c r="A454" s="23"/>
      <c r="B454" s="106" t="s">
        <v>217</v>
      </c>
      <c r="C454" s="107"/>
      <c r="D454" s="107"/>
      <c r="E454" s="107"/>
      <c r="F454" s="107"/>
      <c r="G454" s="111"/>
      <c r="H454" s="108"/>
      <c r="I454" s="110"/>
      <c r="J454" s="110"/>
      <c r="K454" s="110"/>
      <c r="L454" s="115"/>
    </row>
    <row r="455" spans="1:12">
      <c r="A455" s="23"/>
      <c r="B455" s="118" t="s">
        <v>218</v>
      </c>
      <c r="C455" s="202"/>
      <c r="D455" s="202"/>
      <c r="E455" s="202"/>
      <c r="F455" s="202"/>
      <c r="G455" s="203"/>
      <c r="H455" s="204"/>
      <c r="I455" s="205"/>
      <c r="J455" s="206"/>
      <c r="K455" s="205"/>
      <c r="L455" s="207"/>
    </row>
    <row r="456" spans="1:12" ht="45">
      <c r="A456" s="23"/>
      <c r="B456" s="106" t="s">
        <v>221</v>
      </c>
      <c r="C456" s="107"/>
      <c r="D456" s="110"/>
      <c r="E456" s="214" t="s">
        <v>223</v>
      </c>
      <c r="F456" s="78"/>
      <c r="G456" s="933" t="s">
        <v>222</v>
      </c>
      <c r="H456" s="934"/>
      <c r="I456" s="218" t="s">
        <v>219</v>
      </c>
      <c r="J456" s="216" t="s">
        <v>224</v>
      </c>
      <c r="K456" s="933" t="s">
        <v>220</v>
      </c>
      <c r="L456" s="935"/>
    </row>
    <row r="457" spans="1:12">
      <c r="A457" s="23"/>
      <c r="B457" s="217">
        <v>1</v>
      </c>
      <c r="C457" s="107"/>
      <c r="D457" s="107"/>
      <c r="E457" s="220">
        <v>2</v>
      </c>
      <c r="F457" s="111"/>
      <c r="G457" s="220">
        <v>3</v>
      </c>
      <c r="H457" s="236"/>
      <c r="I457" s="236">
        <v>4</v>
      </c>
      <c r="J457" s="129">
        <v>5</v>
      </c>
      <c r="K457" s="113"/>
      <c r="L457" s="114">
        <v>6</v>
      </c>
    </row>
    <row r="458" spans="1:12">
      <c r="A458" s="23"/>
      <c r="B458" s="334" t="e">
        <f>'4-22Master'!#REF!</f>
        <v>#REF!</v>
      </c>
      <c r="C458" s="232"/>
      <c r="D458" s="233"/>
      <c r="E458" s="235" t="s">
        <v>380</v>
      </c>
      <c r="F458" s="233"/>
      <c r="G458" s="235" t="s">
        <v>381</v>
      </c>
      <c r="H458" s="78"/>
      <c r="I458" s="19" t="s">
        <v>382</v>
      </c>
      <c r="J458" s="333">
        <v>1</v>
      </c>
      <c r="K458" s="936" t="s">
        <v>37</v>
      </c>
      <c r="L458" s="942"/>
    </row>
    <row r="459" spans="1:12">
      <c r="A459" s="23"/>
      <c r="B459" s="106"/>
      <c r="C459" s="232"/>
      <c r="D459" s="233"/>
      <c r="E459" s="234"/>
      <c r="F459" s="233"/>
      <c r="G459" s="234"/>
      <c r="H459" s="78"/>
      <c r="I459" s="19"/>
      <c r="J459" s="19"/>
      <c r="K459" s="235"/>
      <c r="L459" s="78"/>
    </row>
    <row r="460" spans="1:12" ht="15" customHeight="1">
      <c r="A460" s="23"/>
      <c r="B460" s="106"/>
      <c r="C460" s="232"/>
      <c r="D460" s="233"/>
      <c r="E460" s="234"/>
      <c r="F460" s="233"/>
      <c r="G460" s="234"/>
      <c r="H460" s="78"/>
      <c r="I460" s="19"/>
      <c r="J460" s="19"/>
      <c r="K460" s="235"/>
      <c r="L460" s="78"/>
    </row>
    <row r="461" spans="1:12">
      <c r="A461" s="23"/>
      <c r="B461" s="85"/>
      <c r="C461" s="27"/>
      <c r="D461" s="86"/>
      <c r="E461" s="234"/>
      <c r="F461" s="233"/>
      <c r="G461" s="234"/>
      <c r="H461" s="78"/>
      <c r="I461" s="19"/>
      <c r="J461" s="19"/>
      <c r="K461" s="235"/>
      <c r="L461" s="78"/>
    </row>
    <row r="462" spans="1:12" ht="24.95" customHeight="1">
      <c r="A462" s="23"/>
      <c r="B462" t="s">
        <v>225</v>
      </c>
      <c r="L462" s="24"/>
    </row>
    <row r="463" spans="1:12" ht="24.95" customHeight="1">
      <c r="A463" s="23"/>
      <c r="B463" t="s">
        <v>226</v>
      </c>
      <c r="L463" s="24"/>
    </row>
    <row r="464" spans="1:12" ht="24.95" customHeight="1">
      <c r="A464" s="23"/>
      <c r="B464" t="s">
        <v>227</v>
      </c>
      <c r="L464" s="24"/>
    </row>
    <row r="465" spans="1:12">
      <c r="A465" s="23"/>
      <c r="L465" s="24"/>
    </row>
    <row r="466" spans="1:12">
      <c r="A466" s="23"/>
      <c r="I466" t="s">
        <v>228</v>
      </c>
      <c r="L466" s="24"/>
    </row>
    <row r="467" spans="1:12" ht="18.75">
      <c r="A467" s="23"/>
      <c r="F467" s="222" t="s">
        <v>211</v>
      </c>
      <c r="L467" s="24"/>
    </row>
    <row r="468" spans="1:12">
      <c r="A468" s="23" t="s">
        <v>212</v>
      </c>
      <c r="K468" s="272" t="e">
        <f>'4-22Master'!#REF!</f>
        <v>#REF!</v>
      </c>
      <c r="L468" s="24"/>
    </row>
    <row r="469" spans="1:12">
      <c r="A469" s="23" t="s">
        <v>213</v>
      </c>
      <c r="L469" s="24"/>
    </row>
    <row r="470" spans="1:12">
      <c r="A470" s="23"/>
      <c r="L470" s="24"/>
    </row>
    <row r="471" spans="1:12">
      <c r="A471" s="23"/>
      <c r="L471" s="24"/>
    </row>
    <row r="472" spans="1:12">
      <c r="A472" s="23"/>
      <c r="F472" t="s">
        <v>214</v>
      </c>
      <c r="L472" s="24"/>
    </row>
    <row r="473" spans="1:12">
      <c r="A473" s="23" t="s">
        <v>215</v>
      </c>
      <c r="B473" t="s">
        <v>379</v>
      </c>
      <c r="F473" t="str">
        <f>'4-22Master'!G5</f>
        <v>Burgeon IT Services Pvt.Ltd.</v>
      </c>
      <c r="L473" s="24"/>
    </row>
    <row r="474" spans="1:12">
      <c r="A474" s="23" t="s">
        <v>216</v>
      </c>
      <c r="B474" s="332" t="e">
        <f>'4-22Master'!#REF!</f>
        <v>#REF!</v>
      </c>
      <c r="F474" t="str">
        <f>'4-22Master'!G6</f>
        <v>Siri Mansion LIGB 436 Dr.A S Rao Nagar,Hyderabad</v>
      </c>
      <c r="L474" s="24"/>
    </row>
    <row r="475" spans="1:12">
      <c r="A475" s="23"/>
      <c r="B475" s="332"/>
      <c r="L475" s="24"/>
    </row>
    <row r="476" spans="1:12">
      <c r="A476" s="23"/>
      <c r="B476" s="332"/>
      <c r="L476" s="24"/>
    </row>
    <row r="477" spans="1:12" ht="15.75" thickBot="1">
      <c r="A477" s="35"/>
      <c r="B477" s="33"/>
      <c r="C477" s="33"/>
      <c r="D477" s="33"/>
      <c r="E477" s="33"/>
      <c r="F477" s="33"/>
      <c r="G477" s="33"/>
      <c r="H477" s="33"/>
      <c r="I477" s="33"/>
      <c r="J477" s="33"/>
      <c r="K477" s="33"/>
      <c r="L477" s="34"/>
    </row>
    <row r="478" spans="1:12" ht="27.95" customHeight="1">
      <c r="A478" s="94"/>
      <c r="B478" s="797" t="s">
        <v>199</v>
      </c>
      <c r="C478" s="798"/>
      <c r="D478" s="798"/>
      <c r="E478" s="798"/>
      <c r="F478" s="798"/>
      <c r="G478" s="798"/>
      <c r="H478" s="798"/>
      <c r="I478" s="798"/>
      <c r="J478" s="798"/>
      <c r="K478" s="798"/>
      <c r="L478" s="799"/>
    </row>
    <row r="479" spans="1:12" ht="27.95" customHeight="1">
      <c r="A479" s="23"/>
      <c r="B479" s="800" t="s">
        <v>200</v>
      </c>
      <c r="C479" s="800"/>
      <c r="D479" s="800"/>
      <c r="E479" s="800"/>
      <c r="F479" s="800"/>
      <c r="G479" s="800"/>
      <c r="H479" s="800"/>
      <c r="I479" s="800"/>
      <c r="J479" s="800"/>
      <c r="K479" s="800"/>
      <c r="L479" s="801"/>
    </row>
    <row r="480" spans="1:12" ht="27.95" customHeight="1" thickBot="1">
      <c r="A480" s="35"/>
      <c r="B480" s="802" t="s">
        <v>201</v>
      </c>
      <c r="C480" s="802"/>
      <c r="D480" s="802"/>
      <c r="E480" s="802"/>
      <c r="F480" s="802"/>
      <c r="G480" s="802"/>
      <c r="H480" s="802"/>
      <c r="I480" s="802"/>
      <c r="J480" s="802"/>
      <c r="K480" s="802"/>
      <c r="L480" s="803"/>
    </row>
    <row r="481" spans="1:12" ht="27.95" customHeight="1">
      <c r="A481" s="23"/>
      <c r="B481" s="804" t="s">
        <v>126</v>
      </c>
      <c r="C481" s="804"/>
      <c r="D481" s="804"/>
      <c r="E481" s="804"/>
      <c r="F481" s="804"/>
      <c r="H481" s="805" t="s">
        <v>127</v>
      </c>
      <c r="I481" s="805"/>
      <c r="J481" s="805"/>
      <c r="K481" s="805"/>
      <c r="L481" s="806"/>
    </row>
    <row r="482" spans="1:12" ht="27.95" customHeight="1" thickBot="1">
      <c r="A482" s="23"/>
      <c r="B482" s="804"/>
      <c r="C482" s="804"/>
      <c r="D482" s="804"/>
      <c r="E482" s="804"/>
      <c r="F482" s="804"/>
      <c r="H482" s="805"/>
      <c r="I482" s="805"/>
      <c r="J482" s="805"/>
      <c r="K482" s="805"/>
      <c r="L482" s="806"/>
    </row>
    <row r="483" spans="1:12" ht="27.95" customHeight="1">
      <c r="A483" s="23"/>
      <c r="B483" s="94"/>
      <c r="C483" s="95"/>
      <c r="D483" s="95"/>
      <c r="E483" s="95"/>
      <c r="F483" s="96"/>
      <c r="H483" s="94"/>
      <c r="I483" s="95"/>
      <c r="J483" s="95"/>
      <c r="K483" s="95"/>
      <c r="L483" s="96"/>
    </row>
    <row r="484" spans="1:12" ht="27.95" customHeight="1">
      <c r="A484" s="23"/>
      <c r="B484" s="97" t="e">
        <f>#REF!</f>
        <v>#REF!</v>
      </c>
      <c r="F484" s="24"/>
      <c r="H484" s="97" t="e">
        <f>#REF!</f>
        <v>#REF!</v>
      </c>
      <c r="L484" s="24"/>
    </row>
    <row r="485" spans="1:12" ht="27.95" customHeight="1">
      <c r="A485" s="23"/>
      <c r="B485" s="23"/>
      <c r="F485" s="24"/>
      <c r="H485" s="23"/>
      <c r="L485" s="24"/>
    </row>
    <row r="486" spans="1:12" ht="27.95" customHeight="1">
      <c r="A486" s="23"/>
      <c r="B486" s="97" t="e">
        <f>#REF!</f>
        <v>#REF!</v>
      </c>
      <c r="F486" s="24"/>
      <c r="H486" s="97" t="e">
        <f>#REF!</f>
        <v>#REF!</v>
      </c>
      <c r="L486" s="24"/>
    </row>
    <row r="487" spans="1:12" ht="27.95" customHeight="1" thickBot="1">
      <c r="A487" s="23"/>
      <c r="B487" s="35"/>
      <c r="C487" s="33"/>
      <c r="D487" s="33"/>
      <c r="E487" s="33"/>
      <c r="F487" s="34"/>
      <c r="H487" s="35"/>
      <c r="I487" s="33"/>
      <c r="J487" s="33"/>
      <c r="K487" s="33"/>
      <c r="L487" s="34"/>
    </row>
    <row r="488" spans="1:12" ht="27.95" customHeight="1">
      <c r="A488" s="23"/>
      <c r="J488" t="s">
        <v>128</v>
      </c>
      <c r="L488" s="24"/>
    </row>
    <row r="489" spans="1:12" ht="27.95" customHeight="1">
      <c r="A489" s="23"/>
      <c r="B489" s="725" t="s">
        <v>129</v>
      </c>
      <c r="C489" s="725"/>
      <c r="D489" s="725"/>
      <c r="E489" s="725"/>
      <c r="F489" s="725"/>
      <c r="H489" s="725" t="s">
        <v>4</v>
      </c>
      <c r="I489" s="725"/>
      <c r="J489" s="725"/>
      <c r="K489" s="725"/>
      <c r="L489" s="815"/>
    </row>
    <row r="490" spans="1:12" ht="27.95" customHeight="1" thickBot="1">
      <c r="A490" s="23"/>
      <c r="L490" s="24"/>
    </row>
    <row r="491" spans="1:12" ht="15" customHeight="1">
      <c r="A491" s="23"/>
      <c r="B491" s="94"/>
      <c r="C491" s="95"/>
      <c r="D491" s="95"/>
      <c r="E491" s="95"/>
      <c r="F491" s="96"/>
      <c r="H491" s="98"/>
      <c r="I491" s="99"/>
      <c r="J491" s="99"/>
      <c r="K491" s="99"/>
      <c r="L491" s="100"/>
    </row>
    <row r="492" spans="1:12" ht="15" customHeight="1">
      <c r="A492" s="23"/>
      <c r="B492" s="23"/>
      <c r="F492" s="24"/>
      <c r="H492" s="97" t="e">
        <f>#REF!</f>
        <v>#REF!</v>
      </c>
      <c r="I492" s="4"/>
      <c r="J492" s="4"/>
      <c r="K492" s="4"/>
      <c r="L492" s="101"/>
    </row>
    <row r="493" spans="1:12" ht="15" customHeight="1">
      <c r="A493" s="23"/>
      <c r="B493" s="97" t="e">
        <f>#REF!</f>
        <v>#REF!</v>
      </c>
      <c r="F493" s="24"/>
      <c r="H493" s="97"/>
      <c r="I493" s="4"/>
      <c r="J493" s="4"/>
      <c r="K493" s="4"/>
      <c r="L493" s="101"/>
    </row>
    <row r="494" spans="1:12" ht="15" customHeight="1">
      <c r="A494" s="23"/>
      <c r="B494" s="23"/>
      <c r="F494" s="24"/>
      <c r="H494" s="97" t="e">
        <f>#REF!</f>
        <v>#REF!</v>
      </c>
      <c r="I494" s="4"/>
      <c r="J494" s="4"/>
      <c r="K494" s="4"/>
      <c r="L494" s="101"/>
    </row>
    <row r="495" spans="1:12" ht="15" customHeight="1" thickBot="1">
      <c r="A495" s="23"/>
      <c r="B495" s="35"/>
      <c r="C495" s="33"/>
      <c r="D495" s="33"/>
      <c r="E495" s="33"/>
      <c r="F495" s="34"/>
      <c r="H495" s="102"/>
      <c r="I495" s="103"/>
      <c r="J495" s="103"/>
      <c r="K495" s="103"/>
      <c r="L495" s="104"/>
    </row>
    <row r="496" spans="1:12">
      <c r="A496" s="105"/>
      <c r="B496" s="807" t="s">
        <v>202</v>
      </c>
      <c r="C496" s="807"/>
      <c r="D496" s="807"/>
      <c r="E496" s="807"/>
      <c r="F496" s="807"/>
      <c r="G496" s="807"/>
      <c r="H496" s="816">
        <f>'4-22Master'!C415</f>
        <v>0</v>
      </c>
      <c r="I496" s="809"/>
      <c r="J496" s="809"/>
      <c r="K496" s="809"/>
      <c r="L496" s="810"/>
    </row>
    <row r="497" spans="1:12" ht="15" customHeight="1">
      <c r="A497" s="105"/>
      <c r="B497" s="817" t="s">
        <v>203</v>
      </c>
      <c r="C497" s="817"/>
      <c r="D497" s="817"/>
      <c r="E497" s="817"/>
      <c r="F497" s="817"/>
      <c r="G497" s="817"/>
      <c r="H497" s="816">
        <f>'4-22Master'!F415</f>
        <v>0</v>
      </c>
      <c r="I497" s="809"/>
      <c r="J497" s="809"/>
      <c r="K497" s="809"/>
      <c r="L497" s="810"/>
    </row>
    <row r="498" spans="1:12">
      <c r="A498" s="105"/>
      <c r="B498" s="807" t="s">
        <v>204</v>
      </c>
      <c r="C498" s="807"/>
      <c r="D498" s="807"/>
      <c r="E498" s="807"/>
      <c r="F498" s="807"/>
      <c r="G498" s="807"/>
      <c r="H498" s="816">
        <f>'4-22Master'!D415</f>
        <v>0</v>
      </c>
      <c r="I498" s="809"/>
      <c r="J498" s="809"/>
      <c r="K498" s="809"/>
      <c r="L498" s="810"/>
    </row>
    <row r="499" spans="1:12">
      <c r="A499" s="105"/>
      <c r="B499" s="807" t="s">
        <v>205</v>
      </c>
      <c r="C499" s="807"/>
      <c r="D499" s="807"/>
      <c r="E499" s="807"/>
      <c r="F499" s="807"/>
      <c r="G499" s="807"/>
      <c r="H499" s="941">
        <f>'4-22Master'!E415</f>
        <v>0</v>
      </c>
      <c r="I499" s="809"/>
      <c r="J499" s="809"/>
      <c r="K499" s="809"/>
      <c r="L499" s="810"/>
    </row>
    <row r="500" spans="1:12">
      <c r="A500" s="105"/>
      <c r="B500" s="106" t="s">
        <v>206</v>
      </c>
      <c r="C500" s="107"/>
      <c r="D500" s="107"/>
      <c r="E500" s="107"/>
      <c r="F500" s="107"/>
      <c r="G500" s="107"/>
      <c r="H500" s="938" t="s">
        <v>207</v>
      </c>
      <c r="I500" s="939"/>
      <c r="J500" s="939"/>
      <c r="K500" s="939"/>
      <c r="L500" s="940"/>
    </row>
    <row r="501" spans="1:12" ht="15" customHeight="1">
      <c r="A501" s="105"/>
      <c r="B501" s="106" t="s">
        <v>208</v>
      </c>
      <c r="C501" s="107"/>
      <c r="D501" s="107"/>
      <c r="E501" s="107"/>
      <c r="F501" s="107"/>
      <c r="G501" s="107"/>
      <c r="H501" s="108"/>
      <c r="I501" s="110"/>
      <c r="J501" s="221"/>
      <c r="K501" s="110"/>
      <c r="L501" s="115"/>
    </row>
    <row r="502" spans="1:12" ht="15" customHeight="1">
      <c r="A502" s="105"/>
      <c r="B502" s="811" t="s">
        <v>209</v>
      </c>
      <c r="C502" s="811"/>
      <c r="D502" s="811"/>
      <c r="E502" s="811"/>
      <c r="F502" s="811"/>
      <c r="G502" s="811"/>
      <c r="H502" s="812">
        <f>'4-22Master'!H415</f>
        <v>0</v>
      </c>
      <c r="I502" s="813"/>
      <c r="J502" s="813"/>
      <c r="K502" s="813"/>
      <c r="L502" s="814"/>
    </row>
    <row r="503" spans="1:12">
      <c r="A503" s="105"/>
      <c r="B503" s="807"/>
      <c r="C503" s="807"/>
      <c r="D503" s="807"/>
      <c r="E503" s="807"/>
      <c r="F503" s="807"/>
      <c r="G503" s="807"/>
      <c r="H503" s="808">
        <f>'4-22Master'!I415</f>
        <v>0</v>
      </c>
      <c r="I503" s="809"/>
      <c r="J503" s="809"/>
      <c r="K503" s="809"/>
      <c r="L503" s="810"/>
    </row>
    <row r="504" spans="1:12">
      <c r="A504" s="23"/>
      <c r="B504" s="807"/>
      <c r="C504" s="807"/>
      <c r="D504" s="807"/>
      <c r="E504" s="807"/>
      <c r="F504" s="807"/>
      <c r="G504" s="807"/>
      <c r="H504" s="816">
        <f>'4-22Master'!J415</f>
        <v>0</v>
      </c>
      <c r="I504" s="809"/>
      <c r="J504" s="809"/>
      <c r="K504" s="809"/>
      <c r="L504" s="810"/>
    </row>
    <row r="505" spans="1:12">
      <c r="A505" s="23"/>
      <c r="B505" s="106" t="s">
        <v>210</v>
      </c>
      <c r="C505" s="107"/>
      <c r="D505" s="107"/>
      <c r="E505" s="107"/>
      <c r="F505" s="107"/>
      <c r="G505" s="111"/>
      <c r="H505" s="930">
        <f>'4-22Master'!K415</f>
        <v>0</v>
      </c>
      <c r="I505" s="931"/>
      <c r="J505" s="931"/>
      <c r="K505" s="931"/>
      <c r="L505" s="932"/>
    </row>
    <row r="506" spans="1:12">
      <c r="A506" s="23"/>
      <c r="B506" s="106"/>
      <c r="C506" s="107"/>
      <c r="D506" s="107"/>
      <c r="E506" s="107"/>
      <c r="F506" s="107"/>
      <c r="G506" s="111"/>
      <c r="H506" s="930">
        <f>'4-22Master'!L415</f>
        <v>0</v>
      </c>
      <c r="I506" s="931"/>
      <c r="J506" s="931"/>
      <c r="K506" s="931"/>
      <c r="L506" s="932"/>
    </row>
    <row r="507" spans="1:12">
      <c r="A507" s="23"/>
      <c r="B507" s="106"/>
      <c r="C507" s="107"/>
      <c r="D507" s="107"/>
      <c r="E507" s="107"/>
      <c r="F507" s="107"/>
      <c r="G507" s="111"/>
      <c r="H507" s="930">
        <f>'4-22Master'!M415</f>
        <v>0</v>
      </c>
      <c r="I507" s="931"/>
      <c r="J507" s="931"/>
      <c r="K507" s="931"/>
      <c r="L507" s="932"/>
    </row>
    <row r="508" spans="1:12">
      <c r="A508" s="23"/>
      <c r="B508" s="106" t="s">
        <v>217</v>
      </c>
      <c r="C508" s="107"/>
      <c r="D508" s="107"/>
      <c r="E508" s="107"/>
      <c r="F508" s="107"/>
      <c r="G508" s="111"/>
      <c r="H508" s="108"/>
      <c r="I508" s="110"/>
      <c r="J508" s="110"/>
      <c r="K508" s="110"/>
      <c r="L508" s="115"/>
    </row>
    <row r="509" spans="1:12">
      <c r="A509" s="23"/>
      <c r="B509" s="118" t="s">
        <v>218</v>
      </c>
      <c r="C509" s="202"/>
      <c r="D509" s="202"/>
      <c r="E509" s="202"/>
      <c r="F509" s="202"/>
      <c r="G509" s="203"/>
      <c r="H509" s="204"/>
      <c r="I509" s="205"/>
      <c r="J509" s="206"/>
      <c r="K509" s="205"/>
      <c r="L509" s="207"/>
    </row>
    <row r="510" spans="1:12" ht="45" customHeight="1">
      <c r="A510" s="23"/>
      <c r="B510" s="106" t="s">
        <v>221</v>
      </c>
      <c r="C510" s="107"/>
      <c r="D510" s="110"/>
      <c r="E510" s="214" t="s">
        <v>223</v>
      </c>
      <c r="F510" s="78"/>
      <c r="G510" s="933" t="s">
        <v>222</v>
      </c>
      <c r="H510" s="934"/>
      <c r="I510" s="218" t="s">
        <v>219</v>
      </c>
      <c r="J510" s="216" t="s">
        <v>224</v>
      </c>
      <c r="K510" s="933" t="s">
        <v>220</v>
      </c>
      <c r="L510" s="935"/>
    </row>
    <row r="511" spans="1:12">
      <c r="A511" s="23"/>
      <c r="B511" s="217">
        <v>1</v>
      </c>
      <c r="C511" s="107"/>
      <c r="D511" s="107"/>
      <c r="E511" s="220">
        <v>2</v>
      </c>
      <c r="F511" s="111"/>
      <c r="G511" s="220">
        <v>3</v>
      </c>
      <c r="H511" s="236"/>
      <c r="I511" s="236">
        <v>4</v>
      </c>
      <c r="J511" s="129">
        <v>5</v>
      </c>
      <c r="K511" s="113"/>
      <c r="L511" s="114">
        <v>6</v>
      </c>
    </row>
    <row r="512" spans="1:12">
      <c r="A512" s="23"/>
      <c r="B512" s="334">
        <f>'4-22Master'!F415</f>
        <v>0</v>
      </c>
      <c r="C512" s="232"/>
      <c r="D512" s="233"/>
      <c r="E512" s="235" t="s">
        <v>380</v>
      </c>
      <c r="F512" s="233"/>
      <c r="G512" s="235" t="s">
        <v>381</v>
      </c>
      <c r="H512" s="78"/>
      <c r="I512" s="19" t="s">
        <v>382</v>
      </c>
      <c r="J512" s="333">
        <v>1</v>
      </c>
      <c r="K512" s="936" t="s">
        <v>37</v>
      </c>
      <c r="L512" s="942"/>
    </row>
    <row r="513" spans="1:12">
      <c r="A513" s="23"/>
      <c r="B513" s="106"/>
      <c r="C513" s="232"/>
      <c r="D513" s="233"/>
      <c r="E513" s="234"/>
      <c r="F513" s="233"/>
      <c r="G513" s="234"/>
      <c r="H513" s="78"/>
      <c r="I513" s="19"/>
      <c r="J513" s="19"/>
      <c r="K513" s="235"/>
      <c r="L513" s="78"/>
    </row>
    <row r="514" spans="1:12">
      <c r="A514" s="23"/>
      <c r="B514" s="106"/>
      <c r="C514" s="232"/>
      <c r="D514" s="233"/>
      <c r="E514" s="234"/>
      <c r="F514" s="233"/>
      <c r="G514" s="234"/>
      <c r="H514" s="78"/>
      <c r="I514" s="19"/>
      <c r="J514" s="19"/>
      <c r="K514" s="235"/>
      <c r="L514" s="78"/>
    </row>
    <row r="515" spans="1:12">
      <c r="A515" s="23"/>
      <c r="B515" s="85"/>
      <c r="C515" s="27"/>
      <c r="D515" s="86"/>
      <c r="E515" s="234"/>
      <c r="F515" s="233"/>
      <c r="G515" s="234"/>
      <c r="H515" s="78"/>
      <c r="I515" s="19"/>
      <c r="J515" s="19"/>
      <c r="K515" s="235"/>
      <c r="L515" s="78"/>
    </row>
    <row r="516" spans="1:12" ht="27.95" customHeight="1">
      <c r="A516" s="23"/>
      <c r="B516" t="s">
        <v>225</v>
      </c>
      <c r="L516" s="24"/>
    </row>
    <row r="517" spans="1:12" ht="27.95" customHeight="1">
      <c r="A517" s="23"/>
      <c r="B517" t="s">
        <v>226</v>
      </c>
      <c r="L517" s="24"/>
    </row>
    <row r="518" spans="1:12" ht="27.95" customHeight="1">
      <c r="A518" s="23"/>
      <c r="B518" t="s">
        <v>227</v>
      </c>
      <c r="L518" s="24"/>
    </row>
    <row r="519" spans="1:12" ht="27.95" customHeight="1">
      <c r="A519" s="23"/>
      <c r="I519" t="s">
        <v>228</v>
      </c>
      <c r="L519" s="24"/>
    </row>
    <row r="520" spans="1:12" ht="27.95" customHeight="1">
      <c r="A520" s="23"/>
      <c r="F520" s="222" t="s">
        <v>211</v>
      </c>
      <c r="L520" s="24"/>
    </row>
    <row r="521" spans="1:12" ht="27.95" customHeight="1">
      <c r="A521" s="23" t="s">
        <v>212</v>
      </c>
      <c r="K521" s="272">
        <f>'4-22Master'!C415</f>
        <v>0</v>
      </c>
      <c r="L521" s="24"/>
    </row>
    <row r="522" spans="1:12" ht="27.95" customHeight="1">
      <c r="A522" s="23" t="s">
        <v>213</v>
      </c>
      <c r="L522" s="24"/>
    </row>
    <row r="523" spans="1:12" ht="27.95" customHeight="1">
      <c r="A523" s="23"/>
      <c r="F523" t="s">
        <v>214</v>
      </c>
      <c r="L523" s="24"/>
    </row>
    <row r="524" spans="1:12" ht="27.95" customHeight="1">
      <c r="A524" s="23" t="s">
        <v>215</v>
      </c>
      <c r="B524" t="s">
        <v>379</v>
      </c>
      <c r="F524">
        <f>'4-22Master'!AQ405</f>
        <v>0</v>
      </c>
      <c r="L524" s="24"/>
    </row>
    <row r="525" spans="1:12" ht="27.95" customHeight="1">
      <c r="A525" s="23" t="s">
        <v>216</v>
      </c>
      <c r="B525" s="332">
        <f>'4-22Master'!O415</f>
        <v>0</v>
      </c>
      <c r="F525">
        <f>'4-22Master'!AQ406</f>
        <v>0</v>
      </c>
      <c r="L525" s="24"/>
    </row>
    <row r="526" spans="1:12" ht="27.95" customHeight="1" thickBot="1">
      <c r="A526" s="35"/>
      <c r="B526" s="33"/>
      <c r="C526" s="33"/>
      <c r="D526" s="33"/>
      <c r="E526" s="33"/>
      <c r="F526" s="33"/>
      <c r="G526" s="33"/>
      <c r="H526" s="33"/>
      <c r="I526" s="33"/>
      <c r="J526" s="33"/>
      <c r="K526" s="33"/>
      <c r="L526" s="34"/>
    </row>
    <row r="527" spans="1:12" ht="27.95" customHeight="1">
      <c r="A527" s="94"/>
      <c r="B527" s="797" t="s">
        <v>199</v>
      </c>
      <c r="C527" s="798"/>
      <c r="D527" s="798"/>
      <c r="E527" s="798"/>
      <c r="F527" s="798"/>
      <c r="G527" s="798"/>
      <c r="H527" s="798"/>
      <c r="I527" s="798"/>
      <c r="J527" s="798"/>
      <c r="K527" s="798"/>
      <c r="L527" s="799"/>
    </row>
    <row r="528" spans="1:12" ht="27.95" customHeight="1">
      <c r="A528" s="23"/>
      <c r="B528" s="800" t="s">
        <v>200</v>
      </c>
      <c r="C528" s="800"/>
      <c r="D528" s="800"/>
      <c r="E528" s="800"/>
      <c r="F528" s="800"/>
      <c r="G528" s="800"/>
      <c r="H528" s="800"/>
      <c r="I528" s="800"/>
      <c r="J528" s="800"/>
      <c r="K528" s="800"/>
      <c r="L528" s="801"/>
    </row>
    <row r="529" spans="1:12" ht="27.95" customHeight="1" thickBot="1">
      <c r="A529" s="35"/>
      <c r="B529" s="802" t="s">
        <v>201</v>
      </c>
      <c r="C529" s="802"/>
      <c r="D529" s="802"/>
      <c r="E529" s="802"/>
      <c r="F529" s="802"/>
      <c r="G529" s="802"/>
      <c r="H529" s="802"/>
      <c r="I529" s="802"/>
      <c r="J529" s="802"/>
      <c r="K529" s="802"/>
      <c r="L529" s="803"/>
    </row>
    <row r="530" spans="1:12" ht="27.95" customHeight="1">
      <c r="A530" s="23"/>
      <c r="B530" s="804" t="s">
        <v>126</v>
      </c>
      <c r="C530" s="804"/>
      <c r="D530" s="804"/>
      <c r="E530" s="804"/>
      <c r="F530" s="804"/>
      <c r="H530" s="805" t="s">
        <v>127</v>
      </c>
      <c r="I530" s="805"/>
      <c r="J530" s="805"/>
      <c r="K530" s="805"/>
      <c r="L530" s="806"/>
    </row>
    <row r="531" spans="1:12" ht="27.95" customHeight="1" thickBot="1">
      <c r="A531" s="23"/>
      <c r="B531" s="804"/>
      <c r="C531" s="804"/>
      <c r="D531" s="804"/>
      <c r="E531" s="804"/>
      <c r="F531" s="804"/>
      <c r="H531" s="805"/>
      <c r="I531" s="805"/>
      <c r="J531" s="805"/>
      <c r="K531" s="805"/>
      <c r="L531" s="806"/>
    </row>
    <row r="532" spans="1:12">
      <c r="A532" s="23"/>
      <c r="B532" s="94"/>
      <c r="C532" s="95"/>
      <c r="D532" s="95"/>
      <c r="E532" s="95"/>
      <c r="F532" s="96"/>
      <c r="H532" s="94"/>
      <c r="I532" s="95"/>
      <c r="J532" s="95"/>
      <c r="K532" s="95"/>
      <c r="L532" s="96"/>
    </row>
    <row r="533" spans="1:12">
      <c r="A533" s="23"/>
      <c r="B533" s="97" t="e">
        <f>#REF!</f>
        <v>#REF!</v>
      </c>
      <c r="F533" s="24"/>
      <c r="H533" s="97" t="e">
        <f>#REF!</f>
        <v>#REF!</v>
      </c>
      <c r="L533" s="24"/>
    </row>
    <row r="534" spans="1:12">
      <c r="A534" s="23"/>
      <c r="B534" s="23"/>
      <c r="F534" s="24"/>
      <c r="H534" s="23"/>
      <c r="L534" s="24"/>
    </row>
    <row r="535" spans="1:12">
      <c r="A535" s="23"/>
      <c r="B535" s="97" t="e">
        <f>#REF!</f>
        <v>#REF!</v>
      </c>
      <c r="F535" s="24"/>
      <c r="H535" s="97" t="e">
        <f>#REF!</f>
        <v>#REF!</v>
      </c>
      <c r="L535" s="24"/>
    </row>
    <row r="536" spans="1:12" ht="15.75" thickBot="1">
      <c r="A536" s="23"/>
      <c r="B536" s="35"/>
      <c r="C536" s="33"/>
      <c r="D536" s="33"/>
      <c r="E536" s="33"/>
      <c r="F536" s="34"/>
      <c r="H536" s="35"/>
      <c r="I536" s="33"/>
      <c r="J536" s="33"/>
      <c r="K536" s="33"/>
      <c r="L536" s="34"/>
    </row>
    <row r="537" spans="1:12" ht="15" customHeight="1">
      <c r="A537" s="23"/>
      <c r="J537" t="s">
        <v>128</v>
      </c>
      <c r="L537" s="24"/>
    </row>
    <row r="538" spans="1:12">
      <c r="A538" s="23"/>
      <c r="B538" s="725" t="s">
        <v>129</v>
      </c>
      <c r="C538" s="725"/>
      <c r="D538" s="725"/>
      <c r="E538" s="725"/>
      <c r="F538" s="725"/>
      <c r="H538" s="725" t="s">
        <v>4</v>
      </c>
      <c r="I538" s="725"/>
      <c r="J538" s="725"/>
      <c r="K538" s="725"/>
      <c r="L538" s="815"/>
    </row>
    <row r="539" spans="1:12" ht="15.75" thickBot="1">
      <c r="A539" s="23"/>
      <c r="L539" s="24"/>
    </row>
    <row r="540" spans="1:12">
      <c r="A540" s="23"/>
      <c r="B540" s="94"/>
      <c r="C540" s="95"/>
      <c r="D540" s="95"/>
      <c r="E540" s="95"/>
      <c r="F540" s="96"/>
      <c r="H540" s="98"/>
      <c r="I540" s="99"/>
      <c r="J540" s="99"/>
      <c r="K540" s="99"/>
      <c r="L540" s="100"/>
    </row>
    <row r="541" spans="1:12">
      <c r="A541" s="23"/>
      <c r="B541" s="23"/>
      <c r="F541" s="24"/>
      <c r="H541" s="97" t="e">
        <f>#REF!</f>
        <v>#REF!</v>
      </c>
      <c r="I541" s="4"/>
      <c r="J541" s="4"/>
      <c r="K541" s="4"/>
      <c r="L541" s="101"/>
    </row>
    <row r="542" spans="1:12">
      <c r="A542" s="23"/>
      <c r="B542" s="97" t="e">
        <f>#REF!</f>
        <v>#REF!</v>
      </c>
      <c r="F542" s="24"/>
      <c r="H542" s="97"/>
      <c r="I542" s="4"/>
      <c r="J542" s="4"/>
      <c r="K542" s="4"/>
      <c r="L542" s="101"/>
    </row>
    <row r="543" spans="1:12">
      <c r="A543" s="23"/>
      <c r="B543" s="23"/>
      <c r="F543" s="24"/>
      <c r="H543" s="97" t="e">
        <f>#REF!</f>
        <v>#REF!</v>
      </c>
      <c r="I543" s="4"/>
      <c r="J543" s="4"/>
      <c r="K543" s="4"/>
      <c r="L543" s="101"/>
    </row>
    <row r="544" spans="1:12" ht="15.75" thickBot="1">
      <c r="A544" s="23"/>
      <c r="B544" s="35"/>
      <c r="C544" s="33"/>
      <c r="D544" s="33"/>
      <c r="E544" s="33"/>
      <c r="F544" s="34"/>
      <c r="H544" s="102"/>
      <c r="I544" s="103"/>
      <c r="J544" s="103"/>
      <c r="K544" s="103"/>
      <c r="L544" s="104"/>
    </row>
    <row r="545" spans="1:12">
      <c r="A545" s="105"/>
      <c r="B545" s="807" t="s">
        <v>202</v>
      </c>
      <c r="C545" s="807"/>
      <c r="D545" s="807"/>
      <c r="E545" s="807"/>
      <c r="F545" s="807"/>
      <c r="G545" s="807"/>
      <c r="H545" s="816">
        <f>'4-22Master'!C466</f>
        <v>0</v>
      </c>
      <c r="I545" s="809"/>
      <c r="J545" s="809"/>
      <c r="K545" s="809"/>
      <c r="L545" s="810"/>
    </row>
    <row r="546" spans="1:12">
      <c r="A546" s="105"/>
      <c r="B546" s="817" t="s">
        <v>203</v>
      </c>
      <c r="C546" s="817"/>
      <c r="D546" s="817"/>
      <c r="E546" s="817"/>
      <c r="F546" s="817"/>
      <c r="G546" s="817"/>
      <c r="H546" s="816">
        <f>'4-22Master'!F466</f>
        <v>0</v>
      </c>
      <c r="I546" s="809"/>
      <c r="J546" s="809"/>
      <c r="K546" s="809"/>
      <c r="L546" s="810"/>
    </row>
    <row r="547" spans="1:12">
      <c r="A547" s="105"/>
      <c r="B547" s="807" t="s">
        <v>204</v>
      </c>
      <c r="C547" s="807"/>
      <c r="D547" s="807"/>
      <c r="E547" s="807"/>
      <c r="F547" s="807"/>
      <c r="G547" s="807"/>
      <c r="H547" s="816">
        <f>'4-22Master'!D466</f>
        <v>0</v>
      </c>
      <c r="I547" s="809"/>
      <c r="J547" s="809"/>
      <c r="K547" s="809"/>
      <c r="L547" s="810"/>
    </row>
    <row r="548" spans="1:12">
      <c r="A548" s="105"/>
      <c r="B548" s="807" t="s">
        <v>205</v>
      </c>
      <c r="C548" s="807"/>
      <c r="D548" s="807"/>
      <c r="E548" s="807"/>
      <c r="F548" s="807"/>
      <c r="G548" s="807"/>
      <c r="H548" s="941">
        <f>'4-22Master'!E466</f>
        <v>0</v>
      </c>
      <c r="I548" s="809"/>
      <c r="J548" s="809"/>
      <c r="K548" s="809"/>
      <c r="L548" s="810"/>
    </row>
    <row r="549" spans="1:12">
      <c r="A549" s="105"/>
      <c r="B549" s="106" t="s">
        <v>206</v>
      </c>
      <c r="C549" s="107"/>
      <c r="D549" s="107"/>
      <c r="E549" s="107"/>
      <c r="F549" s="107"/>
      <c r="G549" s="107"/>
      <c r="H549" s="938" t="s">
        <v>207</v>
      </c>
      <c r="I549" s="939"/>
      <c r="J549" s="939"/>
      <c r="K549" s="939"/>
      <c r="L549" s="940"/>
    </row>
    <row r="550" spans="1:12">
      <c r="A550" s="105"/>
      <c r="B550" s="106" t="s">
        <v>208</v>
      </c>
      <c r="C550" s="107"/>
      <c r="D550" s="107"/>
      <c r="E550" s="107"/>
      <c r="F550" s="107"/>
      <c r="G550" s="107"/>
      <c r="H550" s="108"/>
      <c r="I550" s="110"/>
      <c r="J550" s="221"/>
      <c r="K550" s="110"/>
      <c r="L550" s="115"/>
    </row>
    <row r="551" spans="1:12">
      <c r="A551" s="105"/>
      <c r="B551" s="811" t="s">
        <v>209</v>
      </c>
      <c r="C551" s="811"/>
      <c r="D551" s="811"/>
      <c r="E551" s="811"/>
      <c r="F551" s="811"/>
      <c r="G551" s="811"/>
      <c r="H551" s="812">
        <f>'4-22Master'!H466</f>
        <v>0</v>
      </c>
      <c r="I551" s="813"/>
      <c r="J551" s="813"/>
      <c r="K551" s="813"/>
      <c r="L551" s="814"/>
    </row>
    <row r="552" spans="1:12" ht="27.95" customHeight="1">
      <c r="A552" s="105"/>
      <c r="B552" s="807"/>
      <c r="C552" s="807"/>
      <c r="D552" s="807"/>
      <c r="E552" s="807"/>
      <c r="F552" s="807"/>
      <c r="G552" s="807"/>
      <c r="H552" s="808">
        <f>'4-22Master'!I466</f>
        <v>0</v>
      </c>
      <c r="I552" s="809"/>
      <c r="J552" s="809"/>
      <c r="K552" s="809"/>
      <c r="L552" s="810"/>
    </row>
    <row r="553" spans="1:12" ht="27.95" customHeight="1">
      <c r="A553" s="23"/>
      <c r="B553" s="807"/>
      <c r="C553" s="807"/>
      <c r="D553" s="807"/>
      <c r="E553" s="807"/>
      <c r="F553" s="807"/>
      <c r="G553" s="807"/>
      <c r="H553" s="816">
        <f>'4-22Master'!J466</f>
        <v>0</v>
      </c>
      <c r="I553" s="809"/>
      <c r="J553" s="809"/>
      <c r="K553" s="809"/>
      <c r="L553" s="810"/>
    </row>
    <row r="554" spans="1:12" ht="27.95" customHeight="1">
      <c r="A554" s="23"/>
      <c r="B554" s="106" t="s">
        <v>210</v>
      </c>
      <c r="C554" s="107"/>
      <c r="D554" s="107"/>
      <c r="E554" s="107"/>
      <c r="F554" s="107"/>
      <c r="G554" s="111"/>
      <c r="H554" s="930">
        <f>'4-22Master'!K466</f>
        <v>0</v>
      </c>
      <c r="I554" s="931"/>
      <c r="J554" s="931"/>
      <c r="K554" s="931"/>
      <c r="L554" s="932"/>
    </row>
    <row r="555" spans="1:12" ht="27.95" customHeight="1">
      <c r="A555" s="23"/>
      <c r="B555" s="106"/>
      <c r="C555" s="107"/>
      <c r="D555" s="107"/>
      <c r="E555" s="107"/>
      <c r="F555" s="107"/>
      <c r="G555" s="111"/>
      <c r="H555" s="930">
        <f>'4-22Master'!L466</f>
        <v>0</v>
      </c>
      <c r="I555" s="931"/>
      <c r="J555" s="931"/>
      <c r="K555" s="931"/>
      <c r="L555" s="932"/>
    </row>
    <row r="556" spans="1:12" ht="27.95" customHeight="1">
      <c r="A556" s="23"/>
      <c r="B556" s="106"/>
      <c r="C556" s="107"/>
      <c r="D556" s="107"/>
      <c r="E556" s="107"/>
      <c r="F556" s="107"/>
      <c r="G556" s="111"/>
      <c r="H556" s="930">
        <f>'4-22Master'!M466</f>
        <v>0</v>
      </c>
      <c r="I556" s="931"/>
      <c r="J556" s="931"/>
      <c r="K556" s="931"/>
      <c r="L556" s="932"/>
    </row>
    <row r="557" spans="1:12" ht="27.95" customHeight="1">
      <c r="A557" s="23"/>
      <c r="B557" s="106" t="s">
        <v>217</v>
      </c>
      <c r="C557" s="107"/>
      <c r="D557" s="107"/>
      <c r="E557" s="107"/>
      <c r="F557" s="107"/>
      <c r="G557" s="111"/>
      <c r="H557" s="108"/>
      <c r="I557" s="110"/>
      <c r="J557" s="110"/>
      <c r="K557" s="110"/>
      <c r="L557" s="115"/>
    </row>
    <row r="558" spans="1:12" ht="27.95" customHeight="1">
      <c r="A558" s="23"/>
      <c r="B558" s="118" t="s">
        <v>218</v>
      </c>
      <c r="C558" s="202"/>
      <c r="D558" s="202"/>
      <c r="E558" s="202"/>
      <c r="F558" s="202"/>
      <c r="G558" s="203"/>
      <c r="H558" s="204"/>
      <c r="I558" s="205"/>
      <c r="J558" s="206"/>
      <c r="K558" s="205"/>
      <c r="L558" s="207"/>
    </row>
    <row r="559" spans="1:12" ht="27.95" customHeight="1">
      <c r="A559" s="23"/>
      <c r="B559" s="106" t="s">
        <v>221</v>
      </c>
      <c r="C559" s="107"/>
      <c r="D559" s="110"/>
      <c r="E559" s="214" t="s">
        <v>223</v>
      </c>
      <c r="F559" s="78"/>
      <c r="G559" s="933" t="s">
        <v>222</v>
      </c>
      <c r="H559" s="934"/>
      <c r="I559" s="218" t="s">
        <v>219</v>
      </c>
      <c r="J559" s="216" t="s">
        <v>224</v>
      </c>
      <c r="K559" s="933" t="s">
        <v>220</v>
      </c>
      <c r="L559" s="935"/>
    </row>
    <row r="560" spans="1:12" ht="27.95" customHeight="1">
      <c r="A560" s="23"/>
      <c r="B560" s="217">
        <v>1</v>
      </c>
      <c r="C560" s="107"/>
      <c r="D560" s="107"/>
      <c r="E560" s="220">
        <v>2</v>
      </c>
      <c r="F560" s="111"/>
      <c r="G560" s="220">
        <v>3</v>
      </c>
      <c r="H560" s="236"/>
      <c r="I560" s="236">
        <v>4</v>
      </c>
      <c r="J560" s="129">
        <v>5</v>
      </c>
      <c r="K560" s="113"/>
      <c r="L560" s="114">
        <v>6</v>
      </c>
    </row>
    <row r="561" spans="1:12" ht="27.95" customHeight="1">
      <c r="A561" s="23"/>
      <c r="B561" s="334">
        <f>'4-22Master'!F466</f>
        <v>0</v>
      </c>
      <c r="C561" s="232"/>
      <c r="D561" s="233"/>
      <c r="E561" s="235" t="s">
        <v>380</v>
      </c>
      <c r="F561" s="233"/>
      <c r="G561" s="235" t="s">
        <v>381</v>
      </c>
      <c r="H561" s="78"/>
      <c r="I561" s="19" t="s">
        <v>382</v>
      </c>
      <c r="J561" s="333">
        <v>1</v>
      </c>
      <c r="K561" s="936" t="s">
        <v>37</v>
      </c>
      <c r="L561" s="937"/>
    </row>
    <row r="562" spans="1:12" ht="27.95" customHeight="1">
      <c r="A562" s="23"/>
      <c r="B562" s="106"/>
      <c r="C562" s="232"/>
      <c r="D562" s="233"/>
      <c r="E562" s="234"/>
      <c r="F562" s="233"/>
      <c r="G562" s="234"/>
      <c r="H562" s="78"/>
      <c r="I562" s="19"/>
      <c r="J562" s="19"/>
      <c r="K562" s="235"/>
      <c r="L562" s="240"/>
    </row>
    <row r="563" spans="1:12" ht="27.95" customHeight="1">
      <c r="A563" s="23"/>
      <c r="B563" s="106"/>
      <c r="C563" s="232"/>
      <c r="D563" s="233"/>
      <c r="E563" s="234"/>
      <c r="F563" s="233"/>
      <c r="G563" s="234"/>
      <c r="H563" s="78"/>
      <c r="I563" s="19"/>
      <c r="J563" s="19"/>
      <c r="K563" s="235"/>
      <c r="L563" s="240"/>
    </row>
    <row r="564" spans="1:12" ht="27.95" customHeight="1">
      <c r="A564" s="23"/>
      <c r="B564" s="85"/>
      <c r="C564" s="27"/>
      <c r="D564" s="86"/>
      <c r="E564" s="234"/>
      <c r="F564" s="233"/>
      <c r="G564" s="234"/>
      <c r="H564" s="78"/>
      <c r="I564" s="19"/>
      <c r="J564" s="19"/>
      <c r="K564" s="235"/>
      <c r="L564" s="240"/>
    </row>
    <row r="565" spans="1:12" ht="27.95" customHeight="1">
      <c r="A565" s="23"/>
      <c r="B565" t="s">
        <v>225</v>
      </c>
      <c r="L565" s="24"/>
    </row>
    <row r="566" spans="1:12" ht="27.95" customHeight="1">
      <c r="A566" s="23"/>
      <c r="B566" t="s">
        <v>226</v>
      </c>
      <c r="L566" s="24"/>
    </row>
    <row r="567" spans="1:12" ht="27.95" customHeight="1">
      <c r="A567" s="23"/>
      <c r="B567" t="s">
        <v>227</v>
      </c>
      <c r="L567" s="24"/>
    </row>
    <row r="568" spans="1:12" ht="27.95" customHeight="1">
      <c r="A568" s="23"/>
      <c r="I568" t="s">
        <v>228</v>
      </c>
      <c r="L568" s="24"/>
    </row>
    <row r="569" spans="1:12" ht="27.95" customHeight="1">
      <c r="A569" s="23"/>
      <c r="F569" s="222" t="s">
        <v>211</v>
      </c>
      <c r="L569" s="24"/>
    </row>
    <row r="570" spans="1:12">
      <c r="A570" s="23" t="s">
        <v>212</v>
      </c>
      <c r="K570" s="272">
        <f>'4-22Master'!C466</f>
        <v>0</v>
      </c>
      <c r="L570" s="24"/>
    </row>
    <row r="571" spans="1:12">
      <c r="A571" s="23" t="s">
        <v>213</v>
      </c>
      <c r="L571" s="24"/>
    </row>
    <row r="572" spans="1:12">
      <c r="A572" s="23"/>
      <c r="L572" s="24"/>
    </row>
    <row r="573" spans="1:12">
      <c r="A573" s="23"/>
      <c r="L573" s="24"/>
    </row>
    <row r="574" spans="1:12">
      <c r="A574" s="23"/>
      <c r="F574" t="s">
        <v>214</v>
      </c>
      <c r="L574" s="24"/>
    </row>
    <row r="575" spans="1:12">
      <c r="A575" s="23" t="s">
        <v>215</v>
      </c>
      <c r="B575" t="s">
        <v>379</v>
      </c>
      <c r="F575">
        <f>'4-22Master'!AQ456</f>
        <v>0</v>
      </c>
      <c r="L575" s="24"/>
    </row>
    <row r="576" spans="1:12" ht="15" customHeight="1">
      <c r="A576" s="23" t="s">
        <v>216</v>
      </c>
      <c r="B576" s="332">
        <f>'4-22Master'!O466</f>
        <v>0</v>
      </c>
      <c r="F576">
        <f>'4-22Master'!AQ457</f>
        <v>0</v>
      </c>
      <c r="L576" s="24"/>
    </row>
    <row r="577" spans="1:12" ht="15.75" thickBot="1">
      <c r="A577" s="35"/>
      <c r="B577" s="33"/>
      <c r="C577" s="33"/>
      <c r="D577" s="33"/>
      <c r="E577" s="33"/>
      <c r="F577" s="33"/>
      <c r="G577" s="33"/>
      <c r="H577" s="33"/>
      <c r="I577" s="33"/>
      <c r="J577" s="33"/>
      <c r="K577" s="33"/>
      <c r="L577" s="34"/>
    </row>
    <row r="579" spans="1:12">
      <c r="B579" s="4"/>
      <c r="H579" s="4"/>
    </row>
    <row r="581" spans="1:12">
      <c r="B581" s="4"/>
      <c r="H581" s="4"/>
    </row>
    <row r="584" spans="1:12">
      <c r="B584" s="725"/>
      <c r="C584" s="725"/>
      <c r="D584" s="725"/>
      <c r="E584" s="725"/>
      <c r="F584" s="725"/>
      <c r="H584" s="725"/>
      <c r="I584" s="725"/>
      <c r="J584" s="725"/>
      <c r="K584" s="725"/>
      <c r="L584" s="725"/>
    </row>
    <row r="586" spans="1:12">
      <c r="H586" s="4"/>
      <c r="I586" s="4"/>
      <c r="J586" s="4"/>
      <c r="K586" s="4"/>
      <c r="L586" s="4"/>
    </row>
    <row r="587" spans="1:12">
      <c r="H587" s="4"/>
      <c r="I587" s="4"/>
      <c r="J587" s="4"/>
      <c r="K587" s="4"/>
      <c r="L587" s="4"/>
    </row>
    <row r="588" spans="1:12">
      <c r="B588" s="4"/>
      <c r="H588" s="4"/>
      <c r="I588" s="4"/>
      <c r="J588" s="4"/>
      <c r="K588" s="4"/>
      <c r="L588" s="4"/>
    </row>
    <row r="589" spans="1:12">
      <c r="H589" s="4"/>
      <c r="I589" s="4"/>
      <c r="J589" s="4"/>
      <c r="K589" s="4"/>
      <c r="L589" s="4"/>
    </row>
    <row r="590" spans="1:12">
      <c r="H590" s="4"/>
      <c r="I590" s="4"/>
      <c r="J590" s="4"/>
      <c r="K590" s="4"/>
      <c r="L590" s="4"/>
    </row>
    <row r="591" spans="1:12" ht="27.95" customHeight="1">
      <c r="A591" s="18"/>
      <c r="B591" s="924"/>
      <c r="C591" s="924"/>
      <c r="D591" s="924"/>
      <c r="E591" s="924"/>
      <c r="F591" s="924"/>
      <c r="G591" s="924"/>
      <c r="H591" s="922"/>
      <c r="I591" s="923"/>
      <c r="J591" s="923"/>
      <c r="K591" s="923"/>
      <c r="L591" s="923"/>
    </row>
    <row r="592" spans="1:12" ht="27.95" customHeight="1">
      <c r="A592" s="18"/>
      <c r="B592" s="805"/>
      <c r="C592" s="805"/>
      <c r="D592" s="805"/>
      <c r="E592" s="805"/>
      <c r="F592" s="805"/>
      <c r="G592" s="805"/>
      <c r="H592" s="922"/>
      <c r="I592" s="923"/>
      <c r="J592" s="923"/>
      <c r="K592" s="923"/>
      <c r="L592" s="923"/>
    </row>
    <row r="593" spans="1:12" ht="27.95" customHeight="1">
      <c r="A593" s="18"/>
      <c r="B593" s="924"/>
      <c r="C593" s="924"/>
      <c r="D593" s="924"/>
      <c r="E593" s="924"/>
      <c r="F593" s="924"/>
      <c r="G593" s="924"/>
      <c r="H593" s="922"/>
      <c r="I593" s="923"/>
      <c r="J593" s="923"/>
      <c r="K593" s="923"/>
      <c r="L593" s="923"/>
    </row>
    <row r="594" spans="1:12" ht="27.95" customHeight="1">
      <c r="A594" s="18"/>
      <c r="B594" s="924"/>
      <c r="C594" s="924"/>
      <c r="D594" s="924"/>
      <c r="E594" s="924"/>
      <c r="F594" s="924"/>
      <c r="G594" s="924"/>
      <c r="H594" s="926"/>
      <c r="I594" s="923"/>
      <c r="J594" s="923"/>
      <c r="K594" s="923"/>
      <c r="L594" s="923"/>
    </row>
    <row r="595" spans="1:12" ht="27.95" customHeight="1">
      <c r="A595" s="18"/>
      <c r="B595" s="223"/>
      <c r="C595" s="219"/>
      <c r="D595" s="219"/>
      <c r="E595" s="219"/>
      <c r="F595" s="219"/>
      <c r="G595" s="219"/>
      <c r="H595" s="208"/>
      <c r="I595" s="18"/>
      <c r="J595" s="292"/>
      <c r="K595" s="208"/>
      <c r="L595" s="208"/>
    </row>
    <row r="596" spans="1:12" ht="27.95" customHeight="1">
      <c r="A596" s="18"/>
      <c r="B596" s="223"/>
      <c r="C596" s="219"/>
      <c r="D596" s="219"/>
      <c r="E596" s="219"/>
      <c r="F596" s="219"/>
      <c r="G596" s="219"/>
      <c r="H596" s="208"/>
      <c r="I596" s="208"/>
      <c r="J596" s="292"/>
      <c r="K596" s="208"/>
      <c r="L596" s="208"/>
    </row>
    <row r="597" spans="1:12" ht="27.95" customHeight="1">
      <c r="A597" s="18"/>
      <c r="B597" s="805"/>
      <c r="C597" s="805"/>
      <c r="D597" s="805"/>
      <c r="E597" s="805"/>
      <c r="F597" s="805"/>
      <c r="G597" s="805"/>
      <c r="H597" s="922"/>
      <c r="I597" s="923"/>
      <c r="J597" s="923"/>
      <c r="K597" s="923"/>
      <c r="L597" s="923"/>
    </row>
    <row r="598" spans="1:12" ht="27.95" customHeight="1">
      <c r="A598" s="18"/>
      <c r="B598" s="924"/>
      <c r="C598" s="924"/>
      <c r="D598" s="924"/>
      <c r="E598" s="924"/>
      <c r="F598" s="924"/>
      <c r="G598" s="924"/>
      <c r="H598" s="925"/>
      <c r="I598" s="923"/>
      <c r="J598" s="923"/>
      <c r="K598" s="923"/>
      <c r="L598" s="923"/>
    </row>
    <row r="599" spans="1:12" ht="27.95" customHeight="1">
      <c r="B599" s="924"/>
      <c r="C599" s="924"/>
      <c r="D599" s="924"/>
      <c r="E599" s="924"/>
      <c r="F599" s="924"/>
      <c r="G599" s="924"/>
      <c r="H599" s="923"/>
      <c r="I599" s="923"/>
      <c r="J599" s="923"/>
      <c r="K599" s="923"/>
      <c r="L599" s="923"/>
    </row>
    <row r="600" spans="1:12" ht="27.95" customHeight="1">
      <c r="B600" s="223"/>
      <c r="C600" s="219"/>
      <c r="D600" s="219"/>
      <c r="E600" s="219"/>
      <c r="F600" s="219"/>
      <c r="G600" s="219"/>
      <c r="H600" s="208"/>
      <c r="I600" s="208"/>
      <c r="J600" s="208"/>
      <c r="K600" s="208"/>
      <c r="L600" s="208"/>
    </row>
    <row r="601" spans="1:12" ht="27.95" customHeight="1">
      <c r="B601" s="223"/>
      <c r="C601" s="219"/>
      <c r="D601" s="219"/>
      <c r="E601" s="219"/>
      <c r="F601" s="219"/>
      <c r="G601" s="219"/>
      <c r="H601" s="208"/>
      <c r="I601" s="208"/>
      <c r="J601" s="208"/>
      <c r="K601" s="208"/>
      <c r="L601" s="208"/>
    </row>
    <row r="602" spans="1:12" ht="27.95" customHeight="1">
      <c r="B602" s="223"/>
      <c r="C602" s="219"/>
      <c r="D602" s="219"/>
      <c r="E602" s="219"/>
      <c r="F602" s="219"/>
      <c r="G602" s="219"/>
      <c r="H602" s="208"/>
      <c r="I602" s="208"/>
      <c r="J602" s="209"/>
      <c r="K602" s="208"/>
      <c r="L602" s="208"/>
    </row>
    <row r="603" spans="1:12" ht="27.95" customHeight="1">
      <c r="B603" s="223"/>
      <c r="C603" s="219"/>
      <c r="D603" s="219"/>
      <c r="E603" s="219"/>
      <c r="F603" s="219"/>
      <c r="G603" s="219"/>
      <c r="H603" s="208"/>
      <c r="I603" s="208"/>
      <c r="J603" s="208"/>
      <c r="K603" s="208"/>
      <c r="L603" s="208"/>
    </row>
    <row r="604" spans="1:12" ht="27.95" customHeight="1">
      <c r="B604" s="223"/>
      <c r="C604" s="219"/>
      <c r="D604" s="219"/>
      <c r="E604" s="219"/>
      <c r="F604" s="219"/>
      <c r="G604" s="219"/>
      <c r="H604" s="208"/>
      <c r="I604" s="208"/>
      <c r="J604" s="209"/>
      <c r="K604" s="208"/>
      <c r="L604" s="208"/>
    </row>
    <row r="605" spans="1:12" ht="27.95" customHeight="1">
      <c r="B605" s="223"/>
      <c r="C605" s="219"/>
      <c r="D605" s="208"/>
      <c r="E605" s="209"/>
      <c r="F605" s="208"/>
      <c r="G605" s="209"/>
      <c r="H605" s="208"/>
      <c r="I605" s="209"/>
      <c r="J605" s="208"/>
      <c r="K605" s="209"/>
      <c r="L605" s="209"/>
    </row>
    <row r="606" spans="1:12" ht="27.95" customHeight="1">
      <c r="B606" s="223"/>
      <c r="C606" s="219"/>
      <c r="D606" s="219"/>
      <c r="E606" s="219"/>
      <c r="F606" s="219"/>
      <c r="G606" s="219"/>
      <c r="H606" s="208"/>
      <c r="I606" s="208"/>
      <c r="J606" s="293"/>
      <c r="K606" s="208"/>
      <c r="L606" s="208"/>
    </row>
    <row r="607" spans="1:12" ht="27.95" customHeight="1">
      <c r="B607" s="223"/>
      <c r="C607" s="4"/>
      <c r="D607" s="4"/>
      <c r="E607" s="4"/>
      <c r="F607" s="4"/>
      <c r="G607" s="4"/>
    </row>
    <row r="608" spans="1:12" ht="27.95" customHeight="1">
      <c r="B608" s="223"/>
      <c r="C608" s="4"/>
      <c r="D608" s="4"/>
      <c r="E608" s="4"/>
      <c r="F608" s="4"/>
      <c r="G608" s="4"/>
    </row>
    <row r="611" spans="2:12" ht="32.25">
      <c r="B611" s="928"/>
      <c r="C611" s="929"/>
      <c r="D611" s="929"/>
      <c r="E611" s="929"/>
      <c r="F611" s="929"/>
      <c r="G611" s="929"/>
      <c r="H611" s="929"/>
      <c r="I611" s="929"/>
      <c r="J611" s="929"/>
      <c r="K611" s="929"/>
      <c r="L611" s="929"/>
    </row>
    <row r="612" spans="2:12" ht="23.25">
      <c r="B612" s="800"/>
      <c r="C612" s="800"/>
      <c r="D612" s="800"/>
      <c r="E612" s="800"/>
      <c r="F612" s="800"/>
      <c r="G612" s="800"/>
      <c r="H612" s="800"/>
      <c r="I612" s="800"/>
      <c r="J612" s="800"/>
      <c r="K612" s="800"/>
      <c r="L612" s="800"/>
    </row>
    <row r="613" spans="2:12" ht="15.75">
      <c r="B613" s="927"/>
      <c r="C613" s="927"/>
      <c r="D613" s="927"/>
      <c r="E613" s="927"/>
      <c r="F613" s="927"/>
      <c r="G613" s="927"/>
      <c r="H613" s="927"/>
      <c r="I613" s="927"/>
      <c r="J613" s="927"/>
      <c r="K613" s="927"/>
      <c r="L613" s="927"/>
    </row>
    <row r="614" spans="2:12" ht="15" customHeight="1">
      <c r="B614" s="804"/>
      <c r="C614" s="804"/>
      <c r="D614" s="804"/>
      <c r="E614" s="804"/>
      <c r="F614" s="804"/>
      <c r="H614" s="805"/>
      <c r="I614" s="805"/>
      <c r="J614" s="805"/>
      <c r="K614" s="805"/>
      <c r="L614" s="805"/>
    </row>
    <row r="615" spans="2:12">
      <c r="B615" s="804"/>
      <c r="C615" s="804"/>
      <c r="D615" s="804"/>
      <c r="E615" s="804"/>
      <c r="F615" s="804"/>
      <c r="H615" s="805"/>
      <c r="I615" s="805"/>
      <c r="J615" s="805"/>
      <c r="K615" s="805"/>
      <c r="L615" s="805"/>
    </row>
    <row r="617" spans="2:12">
      <c r="B617" s="4"/>
      <c r="H617" s="4"/>
    </row>
    <row r="619" spans="2:12">
      <c r="B619" s="4"/>
      <c r="H619" s="4"/>
    </row>
    <row r="622" spans="2:12">
      <c r="B622" s="725"/>
      <c r="C622" s="725"/>
      <c r="D622" s="725"/>
      <c r="E622" s="725"/>
      <c r="F622" s="725"/>
      <c r="H622" s="725"/>
      <c r="I622" s="725"/>
      <c r="J622" s="725"/>
      <c r="K622" s="725"/>
      <c r="L622" s="725"/>
    </row>
    <row r="624" spans="2:12">
      <c r="H624" s="4"/>
      <c r="I624" s="4"/>
      <c r="J624" s="4"/>
      <c r="K624" s="4"/>
      <c r="L624" s="4"/>
    </row>
    <row r="625" spans="1:12">
      <c r="H625" s="4"/>
      <c r="I625" s="4"/>
      <c r="J625" s="4"/>
      <c r="K625" s="4"/>
      <c r="L625" s="4"/>
    </row>
    <row r="626" spans="1:12">
      <c r="B626" s="4"/>
      <c r="H626" s="4"/>
      <c r="I626" s="4"/>
      <c r="J626" s="4"/>
      <c r="K626" s="4"/>
      <c r="L626" s="4"/>
    </row>
    <row r="627" spans="1:12">
      <c r="H627" s="4"/>
      <c r="I627" s="4"/>
      <c r="J627" s="4"/>
      <c r="K627" s="4"/>
      <c r="L627" s="4"/>
    </row>
    <row r="628" spans="1:12">
      <c r="H628" s="4"/>
      <c r="I628" s="4"/>
      <c r="J628" s="4"/>
      <c r="K628" s="4"/>
      <c r="L628" s="4"/>
    </row>
    <row r="629" spans="1:12" ht="27.95" customHeight="1">
      <c r="A629" s="18"/>
      <c r="B629" s="924"/>
      <c r="C629" s="924"/>
      <c r="D629" s="924"/>
      <c r="E629" s="924"/>
      <c r="F629" s="924"/>
      <c r="G629" s="924"/>
      <c r="H629" s="922"/>
      <c r="I629" s="923"/>
      <c r="J629" s="923"/>
      <c r="K629" s="923"/>
      <c r="L629" s="923"/>
    </row>
    <row r="630" spans="1:12" ht="27.95" customHeight="1">
      <c r="A630" s="18"/>
      <c r="B630" s="805"/>
      <c r="C630" s="805"/>
      <c r="D630" s="805"/>
      <c r="E630" s="805"/>
      <c r="F630" s="805"/>
      <c r="G630" s="805"/>
      <c r="H630" s="922"/>
      <c r="I630" s="923"/>
      <c r="J630" s="923"/>
      <c r="K630" s="923"/>
      <c r="L630" s="923"/>
    </row>
    <row r="631" spans="1:12" ht="27.95" customHeight="1">
      <c r="A631" s="18"/>
      <c r="B631" s="924"/>
      <c r="C631" s="924"/>
      <c r="D631" s="924"/>
      <c r="E631" s="924"/>
      <c r="F631" s="924"/>
      <c r="G631" s="924"/>
      <c r="H631" s="922"/>
      <c r="I631" s="923"/>
      <c r="J631" s="923"/>
      <c r="K631" s="923"/>
      <c r="L631" s="923"/>
    </row>
    <row r="632" spans="1:12" ht="27.95" customHeight="1">
      <c r="A632" s="18"/>
      <c r="B632" s="924"/>
      <c r="C632" s="924"/>
      <c r="D632" s="924"/>
      <c r="E632" s="924"/>
      <c r="F632" s="924"/>
      <c r="G632" s="924"/>
      <c r="H632" s="926"/>
      <c r="I632" s="923"/>
      <c r="J632" s="923"/>
      <c r="K632" s="923"/>
      <c r="L632" s="923"/>
    </row>
    <row r="633" spans="1:12" ht="27.95" customHeight="1">
      <c r="A633" s="18"/>
      <c r="B633" s="223"/>
      <c r="C633" s="219"/>
      <c r="D633" s="219"/>
      <c r="E633" s="219"/>
      <c r="F633" s="219"/>
      <c r="G633" s="219"/>
      <c r="H633" s="208"/>
      <c r="I633" s="18"/>
      <c r="J633" s="292"/>
      <c r="K633" s="208"/>
      <c r="L633" s="208"/>
    </row>
    <row r="634" spans="1:12" ht="27.95" customHeight="1">
      <c r="A634" s="18"/>
      <c r="B634" s="223"/>
      <c r="C634" s="219"/>
      <c r="D634" s="219"/>
      <c r="E634" s="219"/>
      <c r="F634" s="219"/>
      <c r="G634" s="219"/>
      <c r="H634" s="208"/>
      <c r="I634" s="208"/>
      <c r="J634" s="292"/>
      <c r="K634" s="208"/>
      <c r="L634" s="208"/>
    </row>
    <row r="635" spans="1:12" ht="27.95" customHeight="1">
      <c r="A635" s="18"/>
      <c r="B635" s="805"/>
      <c r="C635" s="805"/>
      <c r="D635" s="805"/>
      <c r="E635" s="805"/>
      <c r="F635" s="805"/>
      <c r="G635" s="805"/>
      <c r="H635" s="922"/>
      <c r="I635" s="923"/>
      <c r="J635" s="923"/>
      <c r="K635" s="923"/>
      <c r="L635" s="923"/>
    </row>
    <row r="636" spans="1:12" ht="27.95" customHeight="1">
      <c r="A636" s="18"/>
      <c r="B636" s="924"/>
      <c r="C636" s="924"/>
      <c r="D636" s="924"/>
      <c r="E636" s="924"/>
      <c r="F636" s="924"/>
      <c r="G636" s="924"/>
      <c r="H636" s="925"/>
      <c r="I636" s="923"/>
      <c r="J636" s="923"/>
      <c r="K636" s="923"/>
      <c r="L636" s="923"/>
    </row>
    <row r="637" spans="1:12" ht="27.95" customHeight="1">
      <c r="B637" s="924"/>
      <c r="C637" s="924"/>
      <c r="D637" s="924"/>
      <c r="E637" s="924"/>
      <c r="F637" s="924"/>
      <c r="G637" s="924"/>
      <c r="H637" s="923"/>
      <c r="I637" s="923"/>
      <c r="J637" s="923"/>
      <c r="K637" s="923"/>
      <c r="L637" s="923"/>
    </row>
    <row r="638" spans="1:12" ht="27.95" customHeight="1">
      <c r="B638" s="223"/>
      <c r="C638" s="219"/>
      <c r="D638" s="219"/>
      <c r="E638" s="219"/>
      <c r="F638" s="219"/>
      <c r="G638" s="219"/>
      <c r="H638" s="208"/>
      <c r="I638" s="208"/>
      <c r="J638" s="208"/>
      <c r="K638" s="208"/>
      <c r="L638" s="208"/>
    </row>
    <row r="639" spans="1:12" ht="27.95" customHeight="1">
      <c r="B639" s="223"/>
      <c r="C639" s="219"/>
      <c r="D639" s="219"/>
      <c r="E639" s="219"/>
      <c r="F639" s="219"/>
      <c r="G639" s="219"/>
      <c r="H639" s="208"/>
      <c r="I639" s="208"/>
      <c r="J639" s="208"/>
      <c r="K639" s="208"/>
      <c r="L639" s="208"/>
    </row>
    <row r="640" spans="1:12" ht="27.95" customHeight="1">
      <c r="B640" s="223"/>
      <c r="C640" s="219"/>
      <c r="D640" s="219"/>
      <c r="E640" s="219"/>
      <c r="F640" s="219"/>
      <c r="G640" s="219"/>
      <c r="H640" s="208"/>
      <c r="I640" s="208"/>
      <c r="J640" s="209"/>
      <c r="K640" s="208"/>
      <c r="L640" s="208"/>
    </row>
    <row r="641" spans="2:12" ht="27.95" customHeight="1">
      <c r="B641" s="223"/>
      <c r="C641" s="219"/>
      <c r="D641" s="219"/>
      <c r="E641" s="219"/>
      <c r="F641" s="219"/>
      <c r="G641" s="219"/>
      <c r="H641" s="208"/>
      <c r="I641" s="208"/>
      <c r="J641" s="208"/>
      <c r="K641" s="208"/>
      <c r="L641" s="208"/>
    </row>
    <row r="642" spans="2:12" ht="27.95" customHeight="1">
      <c r="B642" s="223"/>
      <c r="C642" s="219"/>
      <c r="D642" s="219"/>
      <c r="E642" s="219"/>
      <c r="F642" s="219"/>
      <c r="G642" s="219"/>
      <c r="H642" s="208"/>
      <c r="I642" s="208"/>
      <c r="J642" s="209"/>
      <c r="K642" s="208"/>
      <c r="L642" s="208"/>
    </row>
    <row r="643" spans="2:12" ht="27.95" customHeight="1">
      <c r="B643" s="223"/>
      <c r="C643" s="219"/>
      <c r="D643" s="208"/>
      <c r="E643" s="209"/>
      <c r="F643" s="208"/>
      <c r="G643" s="209"/>
      <c r="H643" s="208"/>
      <c r="I643" s="209"/>
      <c r="J643" s="208"/>
      <c r="K643" s="209"/>
      <c r="L643" s="209"/>
    </row>
    <row r="644" spans="2:12" ht="27.95" customHeight="1">
      <c r="B644" s="223"/>
      <c r="C644" s="219"/>
      <c r="D644" s="219"/>
      <c r="E644" s="219"/>
      <c r="F644" s="219"/>
      <c r="G644" s="219"/>
      <c r="H644" s="208"/>
      <c r="I644" s="208"/>
      <c r="J644" s="293"/>
      <c r="K644" s="208"/>
      <c r="L644" s="208"/>
    </row>
    <row r="645" spans="2:12" ht="27.95" customHeight="1">
      <c r="B645" s="223"/>
      <c r="C645" s="4"/>
      <c r="D645" s="4"/>
      <c r="E645" s="4"/>
      <c r="F645" s="4"/>
      <c r="G645" s="4"/>
    </row>
    <row r="646" spans="2:12" ht="27.95" customHeight="1">
      <c r="B646" s="223"/>
      <c r="C646" s="4"/>
      <c r="D646" s="4"/>
      <c r="E646" s="4"/>
      <c r="F646" s="4"/>
      <c r="G646" s="4"/>
    </row>
    <row r="650" spans="2:12" ht="32.25">
      <c r="B650" s="928"/>
      <c r="C650" s="929"/>
      <c r="D650" s="929"/>
      <c r="E650" s="929"/>
      <c r="F650" s="929"/>
      <c r="G650" s="929"/>
      <c r="H650" s="929"/>
      <c r="I650" s="929"/>
      <c r="J650" s="929"/>
      <c r="K650" s="929"/>
      <c r="L650" s="929"/>
    </row>
    <row r="651" spans="2:12" ht="23.25">
      <c r="B651" s="800"/>
      <c r="C651" s="800"/>
      <c r="D651" s="800"/>
      <c r="E651" s="800"/>
      <c r="F651" s="800"/>
      <c r="G651" s="800"/>
      <c r="H651" s="800"/>
      <c r="I651" s="800"/>
      <c r="J651" s="800"/>
      <c r="K651" s="800"/>
      <c r="L651" s="800"/>
    </row>
    <row r="652" spans="2:12" ht="15.75">
      <c r="B652" s="927"/>
      <c r="C652" s="927"/>
      <c r="D652" s="927"/>
      <c r="E652" s="927"/>
      <c r="F652" s="927"/>
      <c r="G652" s="927"/>
      <c r="H652" s="927"/>
      <c r="I652" s="927"/>
      <c r="J652" s="927"/>
      <c r="K652" s="927"/>
      <c r="L652" s="927"/>
    </row>
    <row r="653" spans="2:12" ht="15" customHeight="1">
      <c r="B653" s="804"/>
      <c r="C653" s="804"/>
      <c r="D653" s="804"/>
      <c r="E653" s="804"/>
      <c r="F653" s="804"/>
      <c r="H653" s="805"/>
      <c r="I653" s="805"/>
      <c r="J653" s="805"/>
      <c r="K653" s="805"/>
      <c r="L653" s="805"/>
    </row>
    <row r="654" spans="2:12">
      <c r="B654" s="804"/>
      <c r="C654" s="804"/>
      <c r="D654" s="804"/>
      <c r="E654" s="804"/>
      <c r="F654" s="804"/>
      <c r="H654" s="805"/>
      <c r="I654" s="805"/>
      <c r="J654" s="805"/>
      <c r="K654" s="805"/>
      <c r="L654" s="805"/>
    </row>
    <row r="656" spans="2:12">
      <c r="B656" s="4"/>
      <c r="H656" s="4"/>
    </row>
    <row r="658" spans="1:12">
      <c r="B658" s="4"/>
      <c r="H658" s="4"/>
    </row>
    <row r="661" spans="1:12">
      <c r="B661" s="725"/>
      <c r="C661" s="725"/>
      <c r="D661" s="725"/>
      <c r="E661" s="725"/>
      <c r="F661" s="725"/>
      <c r="H661" s="725"/>
      <c r="I661" s="725"/>
      <c r="J661" s="725"/>
      <c r="K661" s="725"/>
      <c r="L661" s="725"/>
    </row>
    <row r="663" spans="1:12">
      <c r="H663" s="4"/>
      <c r="I663" s="4"/>
      <c r="J663" s="4"/>
      <c r="K663" s="4"/>
      <c r="L663" s="4"/>
    </row>
    <row r="664" spans="1:12">
      <c r="H664" s="4"/>
      <c r="I664" s="4"/>
      <c r="J664" s="4"/>
      <c r="K664" s="4"/>
      <c r="L664" s="4"/>
    </row>
    <row r="665" spans="1:12">
      <c r="B665" s="4"/>
      <c r="H665" s="4"/>
      <c r="I665" s="4"/>
      <c r="J665" s="4"/>
      <c r="K665" s="4"/>
      <c r="L665" s="4"/>
    </row>
    <row r="666" spans="1:12">
      <c r="H666" s="4"/>
      <c r="I666" s="4"/>
      <c r="J666" s="4"/>
      <c r="K666" s="4"/>
      <c r="L666" s="4"/>
    </row>
    <row r="667" spans="1:12">
      <c r="H667" s="4"/>
      <c r="I667" s="4"/>
      <c r="J667" s="4"/>
      <c r="K667" s="4"/>
      <c r="L667" s="4"/>
    </row>
    <row r="668" spans="1:12" ht="27.95" customHeight="1">
      <c r="A668" s="18"/>
      <c r="B668" s="924"/>
      <c r="C668" s="924"/>
      <c r="D668" s="924"/>
      <c r="E668" s="924"/>
      <c r="F668" s="924"/>
      <c r="G668" s="924"/>
      <c r="H668" s="922"/>
      <c r="I668" s="923"/>
      <c r="J668" s="923"/>
      <c r="K668" s="923"/>
      <c r="L668" s="923"/>
    </row>
    <row r="669" spans="1:12" ht="27.95" customHeight="1">
      <c r="A669" s="18"/>
      <c r="B669" s="805"/>
      <c r="C669" s="805"/>
      <c r="D669" s="805"/>
      <c r="E669" s="805"/>
      <c r="F669" s="805"/>
      <c r="G669" s="805"/>
      <c r="H669" s="922"/>
      <c r="I669" s="923"/>
      <c r="J669" s="923"/>
      <c r="K669" s="923"/>
      <c r="L669" s="923"/>
    </row>
    <row r="670" spans="1:12" ht="27.95" customHeight="1">
      <c r="A670" s="18"/>
      <c r="B670" s="924"/>
      <c r="C670" s="924"/>
      <c r="D670" s="924"/>
      <c r="E670" s="924"/>
      <c r="F670" s="924"/>
      <c r="G670" s="924"/>
      <c r="H670" s="922"/>
      <c r="I670" s="923"/>
      <c r="J670" s="923"/>
      <c r="K670" s="923"/>
      <c r="L670" s="923"/>
    </row>
    <row r="671" spans="1:12" ht="27.95" customHeight="1">
      <c r="A671" s="18"/>
      <c r="B671" s="924"/>
      <c r="C671" s="924"/>
      <c r="D671" s="924"/>
      <c r="E671" s="924"/>
      <c r="F671" s="924"/>
      <c r="G671" s="924"/>
      <c r="H671" s="926"/>
      <c r="I671" s="923"/>
      <c r="J671" s="923"/>
      <c r="K671" s="923"/>
      <c r="L671" s="923"/>
    </row>
    <row r="672" spans="1:12" ht="27.95" customHeight="1">
      <c r="A672" s="18"/>
      <c r="B672" s="223"/>
      <c r="C672" s="219"/>
      <c r="D672" s="219"/>
      <c r="E672" s="219"/>
      <c r="F672" s="219"/>
      <c r="G672" s="219"/>
      <c r="H672" s="208"/>
      <c r="I672" s="18"/>
      <c r="J672" s="292"/>
      <c r="K672" s="208"/>
      <c r="L672" s="208"/>
    </row>
    <row r="673" spans="1:12" ht="27.95" customHeight="1">
      <c r="A673" s="18"/>
      <c r="B673" s="223"/>
      <c r="C673" s="219"/>
      <c r="D673" s="219"/>
      <c r="E673" s="219"/>
      <c r="F673" s="219"/>
      <c r="G673" s="219"/>
      <c r="H673" s="208"/>
      <c r="I673" s="208"/>
      <c r="J673" s="292"/>
      <c r="K673" s="208"/>
      <c r="L673" s="208"/>
    </row>
    <row r="674" spans="1:12" ht="27.95" customHeight="1">
      <c r="A674" s="18"/>
      <c r="B674" s="805"/>
      <c r="C674" s="805"/>
      <c r="D674" s="805"/>
      <c r="E674" s="805"/>
      <c r="F674" s="805"/>
      <c r="G674" s="805"/>
      <c r="H674" s="922"/>
      <c r="I674" s="923"/>
      <c r="J674" s="923"/>
      <c r="K674" s="923"/>
      <c r="L674" s="923"/>
    </row>
    <row r="675" spans="1:12" ht="27.95" customHeight="1">
      <c r="A675" s="18"/>
      <c r="B675" s="924"/>
      <c r="C675" s="924"/>
      <c r="D675" s="924"/>
      <c r="E675" s="924"/>
      <c r="F675" s="924"/>
      <c r="G675" s="924"/>
      <c r="H675" s="925"/>
      <c r="I675" s="923"/>
      <c r="J675" s="923"/>
      <c r="K675" s="923"/>
      <c r="L675" s="923"/>
    </row>
    <row r="676" spans="1:12" ht="27.95" customHeight="1">
      <c r="B676" s="924"/>
      <c r="C676" s="924"/>
      <c r="D676" s="924"/>
      <c r="E676" s="924"/>
      <c r="F676" s="924"/>
      <c r="G676" s="924"/>
      <c r="H676" s="923"/>
      <c r="I676" s="923"/>
      <c r="J676" s="923"/>
      <c r="K676" s="923"/>
      <c r="L676" s="923"/>
    </row>
    <row r="677" spans="1:12" ht="27.95" customHeight="1">
      <c r="B677" s="223"/>
      <c r="C677" s="219"/>
      <c r="D677" s="219"/>
      <c r="E677" s="219"/>
      <c r="F677" s="219"/>
      <c r="G677" s="219"/>
      <c r="H677" s="208"/>
      <c r="I677" s="208"/>
      <c r="J677" s="208"/>
      <c r="K677" s="208"/>
      <c r="L677" s="208"/>
    </row>
    <row r="678" spans="1:12" ht="27.95" customHeight="1">
      <c r="B678" s="223"/>
      <c r="C678" s="219"/>
      <c r="D678" s="219"/>
      <c r="E678" s="219"/>
      <c r="F678" s="219"/>
      <c r="G678" s="219"/>
      <c r="H678" s="208"/>
      <c r="I678" s="208"/>
      <c r="J678" s="208"/>
      <c r="K678" s="208"/>
      <c r="L678" s="208"/>
    </row>
    <row r="679" spans="1:12" ht="27.95" customHeight="1">
      <c r="B679" s="223"/>
      <c r="C679" s="219"/>
      <c r="D679" s="219"/>
      <c r="E679" s="219"/>
      <c r="F679" s="219"/>
      <c r="G679" s="219"/>
      <c r="H679" s="208"/>
      <c r="I679" s="208"/>
      <c r="J679" s="209"/>
      <c r="K679" s="208"/>
      <c r="L679" s="208"/>
    </row>
    <row r="680" spans="1:12" ht="27.95" customHeight="1">
      <c r="B680" s="223"/>
      <c r="C680" s="219"/>
      <c r="D680" s="219"/>
      <c r="E680" s="219"/>
      <c r="F680" s="219"/>
      <c r="G680" s="219"/>
      <c r="H680" s="208"/>
      <c r="I680" s="208"/>
      <c r="J680" s="208"/>
      <c r="K680" s="208"/>
      <c r="L680" s="208"/>
    </row>
    <row r="681" spans="1:12" ht="27.95" customHeight="1">
      <c r="B681" s="223"/>
      <c r="C681" s="219"/>
      <c r="D681" s="219"/>
      <c r="E681" s="219"/>
      <c r="F681" s="219"/>
      <c r="G681" s="219"/>
      <c r="H681" s="208"/>
      <c r="I681" s="208"/>
      <c r="J681" s="209"/>
      <c r="K681" s="208"/>
      <c r="L681" s="208"/>
    </row>
    <row r="682" spans="1:12" ht="27.95" customHeight="1">
      <c r="B682" s="223"/>
      <c r="C682" s="219"/>
      <c r="D682" s="208"/>
      <c r="E682" s="209"/>
      <c r="F682" s="208"/>
      <c r="G682" s="209"/>
      <c r="H682" s="208"/>
      <c r="I682" s="209"/>
      <c r="J682" s="208"/>
      <c r="K682" s="209"/>
      <c r="L682" s="209"/>
    </row>
    <row r="683" spans="1:12" ht="27.95" customHeight="1">
      <c r="B683" s="223"/>
      <c r="C683" s="219"/>
      <c r="D683" s="219"/>
      <c r="E683" s="219"/>
      <c r="F683" s="219"/>
      <c r="G683" s="219"/>
      <c r="H683" s="208"/>
      <c r="I683" s="208"/>
      <c r="J683" s="293"/>
      <c r="K683" s="208"/>
      <c r="L683" s="208"/>
    </row>
    <row r="684" spans="1:12" ht="27.95" customHeight="1">
      <c r="B684" s="223"/>
      <c r="C684" s="4"/>
      <c r="D684" s="4"/>
      <c r="E684" s="4"/>
      <c r="F684" s="4"/>
      <c r="G684" s="4"/>
    </row>
    <row r="685" spans="1:12" ht="27.95" customHeight="1">
      <c r="B685" s="223"/>
      <c r="C685" s="4"/>
      <c r="D685" s="4"/>
      <c r="E685" s="4"/>
      <c r="F685" s="4"/>
      <c r="G685" s="4"/>
    </row>
    <row r="689" spans="2:12" ht="32.25">
      <c r="B689" s="928"/>
      <c r="C689" s="929"/>
      <c r="D689" s="929"/>
      <c r="E689" s="929"/>
      <c r="F689" s="929"/>
      <c r="G689" s="929"/>
      <c r="H689" s="929"/>
      <c r="I689" s="929"/>
      <c r="J689" s="929"/>
      <c r="K689" s="929"/>
      <c r="L689" s="929"/>
    </row>
    <row r="690" spans="2:12" ht="23.25">
      <c r="B690" s="800"/>
      <c r="C690" s="800"/>
      <c r="D690" s="800"/>
      <c r="E690" s="800"/>
      <c r="F690" s="800"/>
      <c r="G690" s="800"/>
      <c r="H690" s="800"/>
      <c r="I690" s="800"/>
      <c r="J690" s="800"/>
      <c r="K690" s="800"/>
      <c r="L690" s="800"/>
    </row>
    <row r="691" spans="2:12" ht="15.75">
      <c r="B691" s="927"/>
      <c r="C691" s="927"/>
      <c r="D691" s="927"/>
      <c r="E691" s="927"/>
      <c r="F691" s="927"/>
      <c r="G691" s="927"/>
      <c r="H691" s="927"/>
      <c r="I691" s="927"/>
      <c r="J691" s="927"/>
      <c r="K691" s="927"/>
      <c r="L691" s="927"/>
    </row>
    <row r="692" spans="2:12" ht="15" customHeight="1">
      <c r="B692" s="804"/>
      <c r="C692" s="804"/>
      <c r="D692" s="804"/>
      <c r="E692" s="804"/>
      <c r="F692" s="804"/>
      <c r="H692" s="805"/>
      <c r="I692" s="805"/>
      <c r="J692" s="805"/>
      <c r="K692" s="805"/>
      <c r="L692" s="805"/>
    </row>
    <row r="693" spans="2:12">
      <c r="B693" s="804"/>
      <c r="C693" s="804"/>
      <c r="D693" s="804"/>
      <c r="E693" s="804"/>
      <c r="F693" s="804"/>
      <c r="H693" s="805"/>
      <c r="I693" s="805"/>
      <c r="J693" s="805"/>
      <c r="K693" s="805"/>
      <c r="L693" s="805"/>
    </row>
    <row r="695" spans="2:12">
      <c r="B695" s="4"/>
      <c r="H695" s="4"/>
    </row>
    <row r="697" spans="2:12">
      <c r="B697" s="4"/>
      <c r="H697" s="4"/>
    </row>
    <row r="700" spans="2:12">
      <c r="B700" s="725"/>
      <c r="C700" s="725"/>
      <c r="D700" s="725"/>
      <c r="E700" s="725"/>
      <c r="F700" s="725"/>
      <c r="H700" s="725"/>
      <c r="I700" s="725"/>
      <c r="J700" s="725"/>
      <c r="K700" s="725"/>
      <c r="L700" s="725"/>
    </row>
    <row r="702" spans="2:12">
      <c r="H702" s="4"/>
      <c r="I702" s="4"/>
      <c r="J702" s="4"/>
      <c r="K702" s="4"/>
      <c r="L702" s="4"/>
    </row>
    <row r="703" spans="2:12">
      <c r="H703" s="4"/>
      <c r="I703" s="4"/>
      <c r="J703" s="4"/>
      <c r="K703" s="4"/>
      <c r="L703" s="4"/>
    </row>
    <row r="704" spans="2:12">
      <c r="B704" s="4"/>
      <c r="H704" s="4"/>
      <c r="I704" s="4"/>
      <c r="J704" s="4"/>
      <c r="K704" s="4"/>
      <c r="L704" s="4"/>
    </row>
    <row r="705" spans="1:12">
      <c r="H705" s="4"/>
      <c r="I705" s="4"/>
      <c r="J705" s="4"/>
      <c r="K705" s="4"/>
      <c r="L705" s="4"/>
    </row>
    <row r="706" spans="1:12">
      <c r="H706" s="4"/>
      <c r="I706" s="4"/>
      <c r="J706" s="4"/>
      <c r="K706" s="4"/>
      <c r="L706" s="4"/>
    </row>
    <row r="707" spans="1:12" ht="27.95" customHeight="1">
      <c r="A707" s="18"/>
      <c r="B707" s="924"/>
      <c r="C707" s="924"/>
      <c r="D707" s="924"/>
      <c r="E707" s="924"/>
      <c r="F707" s="924"/>
      <c r="G707" s="924"/>
      <c r="H707" s="922"/>
      <c r="I707" s="923"/>
      <c r="J707" s="923"/>
      <c r="K707" s="923"/>
      <c r="L707" s="923"/>
    </row>
    <row r="708" spans="1:12" ht="27.95" customHeight="1">
      <c r="A708" s="18"/>
      <c r="B708" s="805"/>
      <c r="C708" s="805"/>
      <c r="D708" s="805"/>
      <c r="E708" s="805"/>
      <c r="F708" s="805"/>
      <c r="G708" s="805"/>
      <c r="H708" s="922"/>
      <c r="I708" s="923"/>
      <c r="J708" s="923"/>
      <c r="K708" s="923"/>
      <c r="L708" s="923"/>
    </row>
    <row r="709" spans="1:12" ht="27.95" customHeight="1">
      <c r="A709" s="18"/>
      <c r="B709" s="924"/>
      <c r="C709" s="924"/>
      <c r="D709" s="924"/>
      <c r="E709" s="924"/>
      <c r="F709" s="924"/>
      <c r="G709" s="924"/>
      <c r="H709" s="922"/>
      <c r="I709" s="923"/>
      <c r="J709" s="923"/>
      <c r="K709" s="923"/>
      <c r="L709" s="923"/>
    </row>
    <row r="710" spans="1:12" ht="27.95" customHeight="1">
      <c r="A710" s="18"/>
      <c r="B710" s="924"/>
      <c r="C710" s="924"/>
      <c r="D710" s="924"/>
      <c r="E710" s="924"/>
      <c r="F710" s="924"/>
      <c r="G710" s="924"/>
      <c r="H710" s="926"/>
      <c r="I710" s="923"/>
      <c r="J710" s="923"/>
      <c r="K710" s="923"/>
      <c r="L710" s="923"/>
    </row>
    <row r="711" spans="1:12" ht="27.95" customHeight="1">
      <c r="A711" s="18"/>
      <c r="B711" s="223"/>
      <c r="C711" s="219"/>
      <c r="D711" s="219"/>
      <c r="E711" s="219"/>
      <c r="F711" s="219"/>
      <c r="G711" s="219"/>
      <c r="H711" s="208"/>
      <c r="I711" s="18"/>
      <c r="J711" s="292"/>
      <c r="K711" s="208"/>
      <c r="L711" s="208"/>
    </row>
    <row r="712" spans="1:12" ht="27.95" customHeight="1">
      <c r="A712" s="18"/>
      <c r="B712" s="223"/>
      <c r="C712" s="219"/>
      <c r="D712" s="219"/>
      <c r="E712" s="219"/>
      <c r="F712" s="219"/>
      <c r="G712" s="219"/>
      <c r="H712" s="208"/>
      <c r="I712" s="208"/>
      <c r="J712" s="292"/>
      <c r="K712" s="208"/>
      <c r="L712" s="208"/>
    </row>
    <row r="713" spans="1:12" ht="27.95" customHeight="1">
      <c r="A713" s="18"/>
      <c r="B713" s="805"/>
      <c r="C713" s="805"/>
      <c r="D713" s="805"/>
      <c r="E713" s="805"/>
      <c r="F713" s="805"/>
      <c r="G713" s="805"/>
      <c r="H713" s="922"/>
      <c r="I713" s="923"/>
      <c r="J713" s="923"/>
      <c r="K713" s="923"/>
      <c r="L713" s="923"/>
    </row>
    <row r="714" spans="1:12" ht="27.95" customHeight="1">
      <c r="A714" s="18"/>
      <c r="B714" s="924"/>
      <c r="C714" s="924"/>
      <c r="D714" s="924"/>
      <c r="E714" s="924"/>
      <c r="F714" s="924"/>
      <c r="G714" s="924"/>
      <c r="H714" s="925"/>
      <c r="I714" s="923"/>
      <c r="J714" s="923"/>
      <c r="K714" s="923"/>
      <c r="L714" s="923"/>
    </row>
    <row r="715" spans="1:12" ht="27.95" customHeight="1">
      <c r="B715" s="924"/>
      <c r="C715" s="924"/>
      <c r="D715" s="924"/>
      <c r="E715" s="924"/>
      <c r="F715" s="924"/>
      <c r="G715" s="924"/>
      <c r="H715" s="923"/>
      <c r="I715" s="923"/>
      <c r="J715" s="923"/>
      <c r="K715" s="923"/>
      <c r="L715" s="923"/>
    </row>
    <row r="716" spans="1:12" ht="27.95" customHeight="1">
      <c r="B716" s="223"/>
      <c r="C716" s="219"/>
      <c r="D716" s="219"/>
      <c r="E716" s="219"/>
      <c r="F716" s="219"/>
      <c r="G716" s="219"/>
      <c r="H716" s="208"/>
      <c r="I716" s="208"/>
      <c r="J716" s="208"/>
      <c r="K716" s="208"/>
      <c r="L716" s="208"/>
    </row>
    <row r="717" spans="1:12" ht="27.95" customHeight="1">
      <c r="B717" s="223"/>
      <c r="C717" s="219"/>
      <c r="D717" s="219"/>
      <c r="E717" s="219"/>
      <c r="F717" s="219"/>
      <c r="G717" s="219"/>
      <c r="H717" s="208"/>
      <c r="I717" s="208"/>
      <c r="J717" s="208"/>
      <c r="K717" s="208"/>
      <c r="L717" s="208"/>
    </row>
    <row r="718" spans="1:12" ht="27.95" customHeight="1">
      <c r="B718" s="223"/>
      <c r="C718" s="219"/>
      <c r="D718" s="219"/>
      <c r="E718" s="219"/>
      <c r="F718" s="219"/>
      <c r="G718" s="219"/>
      <c r="H718" s="208"/>
      <c r="I718" s="208"/>
      <c r="J718" s="209"/>
      <c r="K718" s="208"/>
      <c r="L718" s="208"/>
    </row>
    <row r="719" spans="1:12" ht="27.95" customHeight="1">
      <c r="B719" s="223"/>
      <c r="C719" s="219"/>
      <c r="D719" s="219"/>
      <c r="E719" s="219"/>
      <c r="F719" s="219"/>
      <c r="G719" s="219"/>
      <c r="H719" s="208"/>
      <c r="I719" s="208"/>
      <c r="J719" s="208"/>
      <c r="K719" s="208"/>
      <c r="L719" s="208"/>
    </row>
    <row r="720" spans="1:12" ht="27.95" customHeight="1">
      <c r="B720" s="223"/>
      <c r="C720" s="219"/>
      <c r="D720" s="219"/>
      <c r="E720" s="219"/>
      <c r="F720" s="219"/>
      <c r="G720" s="219"/>
      <c r="H720" s="208"/>
      <c r="I720" s="208"/>
      <c r="J720" s="209"/>
      <c r="K720" s="208"/>
      <c r="L720" s="208"/>
    </row>
    <row r="721" spans="2:12" ht="27.95" customHeight="1">
      <c r="B721" s="223"/>
      <c r="C721" s="219"/>
      <c r="D721" s="208"/>
      <c r="E721" s="209"/>
      <c r="F721" s="208"/>
      <c r="G721" s="209"/>
      <c r="H721" s="208"/>
      <c r="I721" s="209"/>
      <c r="J721" s="208"/>
      <c r="K721" s="209"/>
      <c r="L721" s="209"/>
    </row>
    <row r="722" spans="2:12" ht="27.95" customHeight="1">
      <c r="B722" s="223"/>
      <c r="C722" s="219"/>
      <c r="D722" s="219"/>
      <c r="E722" s="219"/>
      <c r="F722" s="219"/>
      <c r="G722" s="219"/>
      <c r="H722" s="208"/>
      <c r="I722" s="208"/>
      <c r="J722" s="293"/>
      <c r="K722" s="208"/>
      <c r="L722" s="208"/>
    </row>
    <row r="723" spans="2:12" ht="27.95" customHeight="1">
      <c r="B723" s="223"/>
      <c r="C723" s="4"/>
      <c r="D723" s="4"/>
      <c r="E723" s="4"/>
      <c r="F723" s="4"/>
      <c r="G723" s="4"/>
    </row>
    <row r="724" spans="2:12" ht="27.95" customHeight="1">
      <c r="B724" s="223"/>
      <c r="C724" s="4"/>
      <c r="D724" s="4"/>
      <c r="E724" s="4"/>
      <c r="F724" s="4"/>
      <c r="G724" s="4"/>
    </row>
    <row r="728" spans="2:12" ht="32.25">
      <c r="B728" s="928"/>
      <c r="C728" s="929"/>
      <c r="D728" s="929"/>
      <c r="E728" s="929"/>
      <c r="F728" s="929"/>
      <c r="G728" s="929"/>
      <c r="H728" s="929"/>
      <c r="I728" s="929"/>
      <c r="J728" s="929"/>
      <c r="K728" s="929"/>
      <c r="L728" s="929"/>
    </row>
    <row r="729" spans="2:12" ht="23.25">
      <c r="B729" s="800"/>
      <c r="C729" s="800"/>
      <c r="D729" s="800"/>
      <c r="E729" s="800"/>
      <c r="F729" s="800"/>
      <c r="G729" s="800"/>
      <c r="H729" s="800"/>
      <c r="I729" s="800"/>
      <c r="J729" s="800"/>
      <c r="K729" s="800"/>
      <c r="L729" s="800"/>
    </row>
    <row r="730" spans="2:12" ht="15.75">
      <c r="B730" s="927"/>
      <c r="C730" s="927"/>
      <c r="D730" s="927"/>
      <c r="E730" s="927"/>
      <c r="F730" s="927"/>
      <c r="G730" s="927"/>
      <c r="H730" s="927"/>
      <c r="I730" s="927"/>
      <c r="J730" s="927"/>
      <c r="K730" s="927"/>
      <c r="L730" s="927"/>
    </row>
    <row r="731" spans="2:12" ht="15" customHeight="1">
      <c r="B731" s="804"/>
      <c r="C731" s="804"/>
      <c r="D731" s="804"/>
      <c r="E731" s="804"/>
      <c r="F731" s="804"/>
      <c r="H731" s="805"/>
      <c r="I731" s="805"/>
      <c r="J731" s="805"/>
      <c r="K731" s="805"/>
      <c r="L731" s="805"/>
    </row>
    <row r="732" spans="2:12">
      <c r="B732" s="804"/>
      <c r="C732" s="804"/>
      <c r="D732" s="804"/>
      <c r="E732" s="804"/>
      <c r="F732" s="804"/>
      <c r="H732" s="805"/>
      <c r="I732" s="805"/>
      <c r="J732" s="805"/>
      <c r="K732" s="805"/>
      <c r="L732" s="805"/>
    </row>
    <row r="734" spans="2:12">
      <c r="B734" s="4"/>
      <c r="H734" s="4"/>
    </row>
    <row r="736" spans="2:12">
      <c r="B736" s="4"/>
      <c r="H736" s="4"/>
    </row>
    <row r="737" spans="1:12" ht="15" customHeight="1"/>
    <row r="739" spans="1:12">
      <c r="B739" s="725"/>
      <c r="C739" s="725"/>
      <c r="D739" s="725"/>
      <c r="E739" s="725"/>
      <c r="F739" s="725"/>
      <c r="H739" s="725"/>
      <c r="I739" s="725"/>
      <c r="J739" s="725"/>
      <c r="K739" s="725"/>
      <c r="L739" s="725"/>
    </row>
    <row r="741" spans="1:12">
      <c r="H741" s="4"/>
      <c r="I741" s="4"/>
      <c r="J741" s="4"/>
      <c r="K741" s="4"/>
      <c r="L741" s="4"/>
    </row>
    <row r="742" spans="1:12">
      <c r="H742" s="4"/>
      <c r="I742" s="4"/>
      <c r="J742" s="4"/>
      <c r="K742" s="4"/>
      <c r="L742" s="4"/>
    </row>
    <row r="743" spans="1:12">
      <c r="B743" s="4"/>
      <c r="H743" s="4"/>
      <c r="I743" s="4"/>
      <c r="J743" s="4"/>
      <c r="K743" s="4"/>
      <c r="L743" s="4"/>
    </row>
    <row r="744" spans="1:12">
      <c r="H744" s="4"/>
      <c r="I744" s="4"/>
      <c r="J744" s="4"/>
      <c r="K744" s="4"/>
      <c r="L744" s="4"/>
    </row>
    <row r="745" spans="1:12">
      <c r="H745" s="4"/>
      <c r="I745" s="4"/>
      <c r="J745" s="4"/>
      <c r="K745" s="4"/>
      <c r="L745" s="4"/>
    </row>
    <row r="746" spans="1:12" ht="27.95" customHeight="1">
      <c r="A746" s="18"/>
      <c r="B746" s="924"/>
      <c r="C746" s="924"/>
      <c r="D746" s="924"/>
      <c r="E746" s="924"/>
      <c r="F746" s="924"/>
      <c r="G746" s="924"/>
      <c r="H746" s="922"/>
      <c r="I746" s="923"/>
      <c r="J746" s="923"/>
      <c r="K746" s="923"/>
      <c r="L746" s="923"/>
    </row>
    <row r="747" spans="1:12" ht="27.95" customHeight="1">
      <c r="A747" s="18"/>
      <c r="B747" s="805"/>
      <c r="C747" s="805"/>
      <c r="D747" s="805"/>
      <c r="E747" s="805"/>
      <c r="F747" s="805"/>
      <c r="G747" s="805"/>
      <c r="H747" s="922"/>
      <c r="I747" s="923"/>
      <c r="J747" s="923"/>
      <c r="K747" s="923"/>
      <c r="L747" s="923"/>
    </row>
    <row r="748" spans="1:12" ht="27.95" customHeight="1">
      <c r="A748" s="18"/>
      <c r="B748" s="924"/>
      <c r="C748" s="924"/>
      <c r="D748" s="924"/>
      <c r="E748" s="924"/>
      <c r="F748" s="924"/>
      <c r="G748" s="924"/>
      <c r="H748" s="922"/>
      <c r="I748" s="923"/>
      <c r="J748" s="923"/>
      <c r="K748" s="923"/>
      <c r="L748" s="923"/>
    </row>
    <row r="749" spans="1:12" ht="27.95" customHeight="1">
      <c r="A749" s="18"/>
      <c r="B749" s="924"/>
      <c r="C749" s="924"/>
      <c r="D749" s="924"/>
      <c r="E749" s="924"/>
      <c r="F749" s="924"/>
      <c r="G749" s="924"/>
      <c r="H749" s="926"/>
      <c r="I749" s="923"/>
      <c r="J749" s="923"/>
      <c r="K749" s="923"/>
      <c r="L749" s="923"/>
    </row>
    <row r="750" spans="1:12" ht="27.95" customHeight="1">
      <c r="A750" s="18"/>
      <c r="B750" s="223"/>
      <c r="C750" s="219"/>
      <c r="D750" s="219"/>
      <c r="E750" s="219"/>
      <c r="F750" s="219"/>
      <c r="G750" s="219"/>
      <c r="H750" s="208"/>
      <c r="I750" s="18"/>
      <c r="J750" s="292"/>
      <c r="K750" s="208"/>
      <c r="L750" s="208"/>
    </row>
    <row r="751" spans="1:12" ht="27.95" customHeight="1">
      <c r="A751" s="18"/>
      <c r="B751" s="223"/>
      <c r="C751" s="219"/>
      <c r="D751" s="219"/>
      <c r="E751" s="219"/>
      <c r="F751" s="219"/>
      <c r="G751" s="219"/>
      <c r="H751" s="208"/>
      <c r="I751" s="208"/>
      <c r="J751" s="292"/>
      <c r="K751" s="208"/>
      <c r="L751" s="208"/>
    </row>
    <row r="752" spans="1:12" ht="27.95" customHeight="1">
      <c r="A752" s="18"/>
      <c r="B752" s="805"/>
      <c r="C752" s="805"/>
      <c r="D752" s="805"/>
      <c r="E752" s="805"/>
      <c r="F752" s="805"/>
      <c r="G752" s="805"/>
      <c r="H752" s="922"/>
      <c r="I752" s="923"/>
      <c r="J752" s="923"/>
      <c r="K752" s="923"/>
      <c r="L752" s="923"/>
    </row>
    <row r="753" spans="1:12" ht="27.95" customHeight="1">
      <c r="A753" s="18"/>
      <c r="B753" s="924"/>
      <c r="C753" s="924"/>
      <c r="D753" s="924"/>
      <c r="E753" s="924"/>
      <c r="F753" s="924"/>
      <c r="G753" s="924"/>
      <c r="H753" s="925"/>
      <c r="I753" s="923"/>
      <c r="J753" s="923"/>
      <c r="K753" s="923"/>
      <c r="L753" s="923"/>
    </row>
    <row r="754" spans="1:12" ht="27.95" customHeight="1">
      <c r="B754" s="924"/>
      <c r="C754" s="924"/>
      <c r="D754" s="924"/>
      <c r="E754" s="924"/>
      <c r="F754" s="924"/>
      <c r="G754" s="924"/>
      <c r="H754" s="923"/>
      <c r="I754" s="923"/>
      <c r="J754" s="923"/>
      <c r="K754" s="923"/>
      <c r="L754" s="923"/>
    </row>
    <row r="755" spans="1:12" ht="27.95" customHeight="1">
      <c r="B755" s="223"/>
      <c r="C755" s="219"/>
      <c r="D755" s="219"/>
      <c r="E755" s="219"/>
      <c r="F755" s="219"/>
      <c r="G755" s="219"/>
      <c r="H755" s="208"/>
      <c r="I755" s="208"/>
      <c r="J755" s="208"/>
      <c r="K755" s="208"/>
      <c r="L755" s="208"/>
    </row>
    <row r="756" spans="1:12" ht="27.95" customHeight="1">
      <c r="B756" s="223"/>
      <c r="C756" s="219"/>
      <c r="D756" s="219"/>
      <c r="E756" s="219"/>
      <c r="F756" s="219"/>
      <c r="G756" s="219"/>
      <c r="H756" s="208"/>
      <c r="I756" s="208"/>
      <c r="J756" s="208"/>
      <c r="K756" s="208"/>
      <c r="L756" s="208"/>
    </row>
    <row r="757" spans="1:12" ht="27.95" customHeight="1">
      <c r="B757" s="223"/>
      <c r="C757" s="219"/>
      <c r="D757" s="219"/>
      <c r="E757" s="219"/>
      <c r="F757" s="219"/>
      <c r="G757" s="219"/>
      <c r="H757" s="208"/>
      <c r="I757" s="208"/>
      <c r="J757" s="209"/>
      <c r="K757" s="208"/>
      <c r="L757" s="208"/>
    </row>
    <row r="758" spans="1:12" ht="27.95" customHeight="1">
      <c r="B758" s="223"/>
      <c r="C758" s="219"/>
      <c r="D758" s="219"/>
      <c r="E758" s="219"/>
      <c r="F758" s="219"/>
      <c r="G758" s="219"/>
      <c r="H758" s="208"/>
      <c r="I758" s="208"/>
      <c r="J758" s="208"/>
      <c r="K758" s="208"/>
      <c r="L758" s="208"/>
    </row>
    <row r="759" spans="1:12" ht="27.95" customHeight="1">
      <c r="B759" s="223"/>
      <c r="C759" s="219"/>
      <c r="D759" s="219"/>
      <c r="E759" s="219"/>
      <c r="F759" s="219"/>
      <c r="G759" s="219"/>
      <c r="H759" s="208"/>
      <c r="I759" s="208"/>
      <c r="J759" s="209"/>
      <c r="K759" s="208"/>
      <c r="L759" s="208"/>
    </row>
    <row r="760" spans="1:12" ht="27.95" customHeight="1">
      <c r="B760" s="223"/>
      <c r="C760" s="219"/>
      <c r="D760" s="208"/>
      <c r="E760" s="209"/>
      <c r="F760" s="208"/>
      <c r="G760" s="209"/>
      <c r="H760" s="208"/>
      <c r="I760" s="209"/>
      <c r="J760" s="208"/>
      <c r="K760" s="209"/>
      <c r="L760" s="209"/>
    </row>
    <row r="761" spans="1:12" ht="27.95" customHeight="1">
      <c r="B761" s="223"/>
      <c r="C761" s="219"/>
      <c r="D761" s="219"/>
      <c r="E761" s="219"/>
      <c r="F761" s="219"/>
      <c r="G761" s="219"/>
      <c r="H761" s="208"/>
      <c r="I761" s="208"/>
      <c r="J761" s="293"/>
      <c r="K761" s="208"/>
      <c r="L761" s="208"/>
    </row>
    <row r="762" spans="1:12" ht="27.95" customHeight="1">
      <c r="B762" s="223"/>
      <c r="C762" s="4"/>
      <c r="D762" s="4"/>
      <c r="E762" s="4"/>
      <c r="F762" s="4"/>
      <c r="G762" s="4"/>
    </row>
    <row r="763" spans="1:12" ht="27.95" customHeight="1">
      <c r="B763" s="223"/>
      <c r="C763" s="4"/>
      <c r="D763" s="4"/>
      <c r="E763" s="4"/>
      <c r="F763" s="4"/>
      <c r="G763" s="4"/>
    </row>
  </sheetData>
  <mergeCells count="410">
    <mergeCell ref="B545:G545"/>
    <mergeCell ref="B527:L527"/>
    <mergeCell ref="H507:L507"/>
    <mergeCell ref="G510:H510"/>
    <mergeCell ref="K510:L510"/>
    <mergeCell ref="K512:L512"/>
    <mergeCell ref="B528:L528"/>
    <mergeCell ref="B529:L529"/>
    <mergeCell ref="B530:F531"/>
    <mergeCell ref="H530:L531"/>
    <mergeCell ref="B538:F538"/>
    <mergeCell ref="H538:L538"/>
    <mergeCell ref="K351:L351"/>
    <mergeCell ref="K353:L353"/>
    <mergeCell ref="B372:L372"/>
    <mergeCell ref="B393:G393"/>
    <mergeCell ref="H393:L393"/>
    <mergeCell ref="H394:L394"/>
    <mergeCell ref="B396:G396"/>
    <mergeCell ref="H396:L396"/>
    <mergeCell ref="B397:G397"/>
    <mergeCell ref="H397:L397"/>
    <mergeCell ref="B287:G287"/>
    <mergeCell ref="H287:L287"/>
    <mergeCell ref="H288:L288"/>
    <mergeCell ref="B290:G290"/>
    <mergeCell ref="H290:L290"/>
    <mergeCell ref="B291:G291"/>
    <mergeCell ref="H291:L291"/>
    <mergeCell ref="B292:G292"/>
    <mergeCell ref="H292:L292"/>
    <mergeCell ref="B269:F270"/>
    <mergeCell ref="H269:L270"/>
    <mergeCell ref="B277:F277"/>
    <mergeCell ref="H277:L277"/>
    <mergeCell ref="B284:G284"/>
    <mergeCell ref="H284:L284"/>
    <mergeCell ref="B285:G285"/>
    <mergeCell ref="H285:L285"/>
    <mergeCell ref="B286:G286"/>
    <mergeCell ref="H286:L286"/>
    <mergeCell ref="H240:L240"/>
    <mergeCell ref="H241:L241"/>
    <mergeCell ref="H242:L242"/>
    <mergeCell ref="G245:H245"/>
    <mergeCell ref="K245:L245"/>
    <mergeCell ref="K247:L247"/>
    <mergeCell ref="B266:L266"/>
    <mergeCell ref="B267:L267"/>
    <mergeCell ref="B268:L268"/>
    <mergeCell ref="H233:L233"/>
    <mergeCell ref="B234:G234"/>
    <mergeCell ref="H234:L234"/>
    <mergeCell ref="H235:L235"/>
    <mergeCell ref="B237:G237"/>
    <mergeCell ref="H237:L237"/>
    <mergeCell ref="B238:G238"/>
    <mergeCell ref="H238:L238"/>
    <mergeCell ref="B239:G239"/>
    <mergeCell ref="H239:L239"/>
    <mergeCell ref="B233:G233"/>
    <mergeCell ref="B186:G186"/>
    <mergeCell ref="H186:L186"/>
    <mergeCell ref="H187:L187"/>
    <mergeCell ref="H188:L188"/>
    <mergeCell ref="H189:L189"/>
    <mergeCell ref="G192:H192"/>
    <mergeCell ref="K192:L192"/>
    <mergeCell ref="K194:L194"/>
    <mergeCell ref="B213:L213"/>
    <mergeCell ref="B180:G180"/>
    <mergeCell ref="H180:L180"/>
    <mergeCell ref="B181:G181"/>
    <mergeCell ref="H181:L181"/>
    <mergeCell ref="H182:L182"/>
    <mergeCell ref="B184:G184"/>
    <mergeCell ref="H184:L184"/>
    <mergeCell ref="B185:G185"/>
    <mergeCell ref="H185:L185"/>
    <mergeCell ref="B127:G127"/>
    <mergeCell ref="H127:L127"/>
    <mergeCell ref="B128:G128"/>
    <mergeCell ref="H128:L128"/>
    <mergeCell ref="H129:L129"/>
    <mergeCell ref="B131:G131"/>
    <mergeCell ref="H131:L131"/>
    <mergeCell ref="B132:G132"/>
    <mergeCell ref="H132:L132"/>
    <mergeCell ref="B1:L1"/>
    <mergeCell ref="B2:L2"/>
    <mergeCell ref="B3:L3"/>
    <mergeCell ref="B4:F5"/>
    <mergeCell ref="H4:L5"/>
    <mergeCell ref="B12:F12"/>
    <mergeCell ref="H12:L12"/>
    <mergeCell ref="K35:L35"/>
    <mergeCell ref="B53:L53"/>
    <mergeCell ref="B22:G22"/>
    <mergeCell ref="H22:L22"/>
    <mergeCell ref="H23:L23"/>
    <mergeCell ref="B25:G25"/>
    <mergeCell ref="H25:L25"/>
    <mergeCell ref="B26:G26"/>
    <mergeCell ref="H26:L26"/>
    <mergeCell ref="B19:G19"/>
    <mergeCell ref="H19:L19"/>
    <mergeCell ref="B20:G20"/>
    <mergeCell ref="H20:L20"/>
    <mergeCell ref="B21:G21"/>
    <mergeCell ref="H21:L21"/>
    <mergeCell ref="B27:G27"/>
    <mergeCell ref="H27:L27"/>
    <mergeCell ref="H28:L28"/>
    <mergeCell ref="H29:L29"/>
    <mergeCell ref="H30:L30"/>
    <mergeCell ref="G33:H33"/>
    <mergeCell ref="K33:L33"/>
    <mergeCell ref="B54:L54"/>
    <mergeCell ref="B55:L55"/>
    <mergeCell ref="B56:F57"/>
    <mergeCell ref="H56:L57"/>
    <mergeCell ref="B64:F64"/>
    <mergeCell ref="H64:L64"/>
    <mergeCell ref="B71:G71"/>
    <mergeCell ref="H71:L71"/>
    <mergeCell ref="B72:G72"/>
    <mergeCell ref="H72:L72"/>
    <mergeCell ref="B73:G73"/>
    <mergeCell ref="H73:L73"/>
    <mergeCell ref="H80:L80"/>
    <mergeCell ref="B74:G74"/>
    <mergeCell ref="H74:L74"/>
    <mergeCell ref="H75:L75"/>
    <mergeCell ref="B77:G77"/>
    <mergeCell ref="H77:L77"/>
    <mergeCell ref="B78:G78"/>
    <mergeCell ref="H78:L78"/>
    <mergeCell ref="B79:G79"/>
    <mergeCell ref="H79:L79"/>
    <mergeCell ref="H81:L81"/>
    <mergeCell ref="H82:L82"/>
    <mergeCell ref="G85:H85"/>
    <mergeCell ref="K85:L85"/>
    <mergeCell ref="K87:L87"/>
    <mergeCell ref="H105:L105"/>
    <mergeCell ref="H106:L106"/>
    <mergeCell ref="B107:L107"/>
    <mergeCell ref="B108:L108"/>
    <mergeCell ref="B109:L109"/>
    <mergeCell ref="B110:F111"/>
    <mergeCell ref="H110:L111"/>
    <mergeCell ref="B118:F118"/>
    <mergeCell ref="H118:L118"/>
    <mergeCell ref="B125:G125"/>
    <mergeCell ref="H125:L125"/>
    <mergeCell ref="B126:G126"/>
    <mergeCell ref="H126:L126"/>
    <mergeCell ref="B133:G133"/>
    <mergeCell ref="H133:L133"/>
    <mergeCell ref="H134:L134"/>
    <mergeCell ref="H135:L135"/>
    <mergeCell ref="H136:L136"/>
    <mergeCell ref="G139:H139"/>
    <mergeCell ref="K139:L139"/>
    <mergeCell ref="K141:L141"/>
    <mergeCell ref="B160:L160"/>
    <mergeCell ref="B161:L161"/>
    <mergeCell ref="B162:L162"/>
    <mergeCell ref="B163:F164"/>
    <mergeCell ref="H163:L164"/>
    <mergeCell ref="B171:F171"/>
    <mergeCell ref="H171:L171"/>
    <mergeCell ref="B178:G178"/>
    <mergeCell ref="H178:L178"/>
    <mergeCell ref="B179:G179"/>
    <mergeCell ref="H179:L179"/>
    <mergeCell ref="B214:L214"/>
    <mergeCell ref="B215:L215"/>
    <mergeCell ref="B216:F217"/>
    <mergeCell ref="H216:L217"/>
    <mergeCell ref="B224:F224"/>
    <mergeCell ref="H224:L224"/>
    <mergeCell ref="B231:G231"/>
    <mergeCell ref="H231:L231"/>
    <mergeCell ref="B232:G232"/>
    <mergeCell ref="H232:L232"/>
    <mergeCell ref="H293:L293"/>
    <mergeCell ref="H294:L294"/>
    <mergeCell ref="H295:L295"/>
    <mergeCell ref="G298:H298"/>
    <mergeCell ref="K298:L298"/>
    <mergeCell ref="K300:L300"/>
    <mergeCell ref="B319:L319"/>
    <mergeCell ref="B320:L320"/>
    <mergeCell ref="B321:L321"/>
    <mergeCell ref="B322:F323"/>
    <mergeCell ref="H322:L323"/>
    <mergeCell ref="B330:F330"/>
    <mergeCell ref="H330:L330"/>
    <mergeCell ref="B337:G337"/>
    <mergeCell ref="H337:L337"/>
    <mergeCell ref="B338:G338"/>
    <mergeCell ref="H338:L338"/>
    <mergeCell ref="H392:L392"/>
    <mergeCell ref="B339:G339"/>
    <mergeCell ref="H339:L339"/>
    <mergeCell ref="B340:G340"/>
    <mergeCell ref="H340:L340"/>
    <mergeCell ref="H341:L341"/>
    <mergeCell ref="B343:G343"/>
    <mergeCell ref="H343:L343"/>
    <mergeCell ref="B344:G344"/>
    <mergeCell ref="H344:L344"/>
    <mergeCell ref="B345:G345"/>
    <mergeCell ref="H345:L345"/>
    <mergeCell ref="H346:L346"/>
    <mergeCell ref="H347:L347"/>
    <mergeCell ref="H348:L348"/>
    <mergeCell ref="G351:H351"/>
    <mergeCell ref="H399:L399"/>
    <mergeCell ref="B373:L373"/>
    <mergeCell ref="B374:L374"/>
    <mergeCell ref="B375:F376"/>
    <mergeCell ref="H375:L376"/>
    <mergeCell ref="B383:F383"/>
    <mergeCell ref="H383:L383"/>
    <mergeCell ref="B390:G390"/>
    <mergeCell ref="H390:L390"/>
    <mergeCell ref="B391:G391"/>
    <mergeCell ref="H391:L391"/>
    <mergeCell ref="B392:G392"/>
    <mergeCell ref="B398:G398"/>
    <mergeCell ref="H398:L398"/>
    <mergeCell ref="H400:L400"/>
    <mergeCell ref="H401:L401"/>
    <mergeCell ref="G404:H404"/>
    <mergeCell ref="K404:L404"/>
    <mergeCell ref="K406:L406"/>
    <mergeCell ref="B445:G445"/>
    <mergeCell ref="H445:L445"/>
    <mergeCell ref="B443:G443"/>
    <mergeCell ref="H443:L443"/>
    <mergeCell ref="B444:G444"/>
    <mergeCell ref="H444:L444"/>
    <mergeCell ref="B424:L424"/>
    <mergeCell ref="B425:L425"/>
    <mergeCell ref="B426:L426"/>
    <mergeCell ref="B427:F428"/>
    <mergeCell ref="H427:L428"/>
    <mergeCell ref="B435:F435"/>
    <mergeCell ref="H435:L435"/>
    <mergeCell ref="B442:G442"/>
    <mergeCell ref="H442:L442"/>
    <mergeCell ref="H446:L446"/>
    <mergeCell ref="B448:G448"/>
    <mergeCell ref="H448:L448"/>
    <mergeCell ref="B449:G449"/>
    <mergeCell ref="H449:L449"/>
    <mergeCell ref="B450:G450"/>
    <mergeCell ref="H450:L450"/>
    <mergeCell ref="H451:L451"/>
    <mergeCell ref="H452:L452"/>
    <mergeCell ref="H453:L453"/>
    <mergeCell ref="G456:H456"/>
    <mergeCell ref="B496:G496"/>
    <mergeCell ref="H496:L496"/>
    <mergeCell ref="B497:G497"/>
    <mergeCell ref="H497:L497"/>
    <mergeCell ref="B498:G498"/>
    <mergeCell ref="H498:L498"/>
    <mergeCell ref="B499:G499"/>
    <mergeCell ref="H499:L499"/>
    <mergeCell ref="K456:L456"/>
    <mergeCell ref="K458:L458"/>
    <mergeCell ref="B478:L478"/>
    <mergeCell ref="B479:L479"/>
    <mergeCell ref="B480:L480"/>
    <mergeCell ref="B481:F482"/>
    <mergeCell ref="H481:L482"/>
    <mergeCell ref="B489:F489"/>
    <mergeCell ref="H489:L489"/>
    <mergeCell ref="H500:L500"/>
    <mergeCell ref="B502:G502"/>
    <mergeCell ref="H502:L502"/>
    <mergeCell ref="B552:G552"/>
    <mergeCell ref="H552:L552"/>
    <mergeCell ref="B553:G553"/>
    <mergeCell ref="H553:L553"/>
    <mergeCell ref="H554:L554"/>
    <mergeCell ref="H545:L545"/>
    <mergeCell ref="B546:G546"/>
    <mergeCell ref="H546:L546"/>
    <mergeCell ref="B547:G547"/>
    <mergeCell ref="H547:L547"/>
    <mergeCell ref="B548:G548"/>
    <mergeCell ref="H548:L548"/>
    <mergeCell ref="H549:L549"/>
    <mergeCell ref="B551:G551"/>
    <mergeCell ref="H551:L551"/>
    <mergeCell ref="B503:G503"/>
    <mergeCell ref="H503:L503"/>
    <mergeCell ref="B504:G504"/>
    <mergeCell ref="H504:L504"/>
    <mergeCell ref="H505:L505"/>
    <mergeCell ref="H506:L506"/>
    <mergeCell ref="H555:L555"/>
    <mergeCell ref="H556:L556"/>
    <mergeCell ref="G559:H559"/>
    <mergeCell ref="K559:L559"/>
    <mergeCell ref="K561:L561"/>
    <mergeCell ref="B593:G593"/>
    <mergeCell ref="H593:L593"/>
    <mergeCell ref="B594:G594"/>
    <mergeCell ref="H594:L594"/>
    <mergeCell ref="B597:G597"/>
    <mergeCell ref="H597:L597"/>
    <mergeCell ref="B584:F584"/>
    <mergeCell ref="H584:L584"/>
    <mergeCell ref="B591:G591"/>
    <mergeCell ref="H591:L591"/>
    <mergeCell ref="B592:G592"/>
    <mergeCell ref="H592:L592"/>
    <mergeCell ref="B613:L613"/>
    <mergeCell ref="B614:F615"/>
    <mergeCell ref="H614:L615"/>
    <mergeCell ref="B622:F622"/>
    <mergeCell ref="H622:L622"/>
    <mergeCell ref="B629:G629"/>
    <mergeCell ref="H629:L629"/>
    <mergeCell ref="B598:G598"/>
    <mergeCell ref="H598:L598"/>
    <mergeCell ref="B599:G599"/>
    <mergeCell ref="H599:L599"/>
    <mergeCell ref="B611:L611"/>
    <mergeCell ref="B612:L612"/>
    <mergeCell ref="B635:G635"/>
    <mergeCell ref="H635:L635"/>
    <mergeCell ref="B636:G636"/>
    <mergeCell ref="H636:L636"/>
    <mergeCell ref="B637:G637"/>
    <mergeCell ref="H637:L637"/>
    <mergeCell ref="B630:G630"/>
    <mergeCell ref="H630:L630"/>
    <mergeCell ref="B631:G631"/>
    <mergeCell ref="H631:L631"/>
    <mergeCell ref="B632:G632"/>
    <mergeCell ref="H632:L632"/>
    <mergeCell ref="B668:G668"/>
    <mergeCell ref="H668:L668"/>
    <mergeCell ref="B669:G669"/>
    <mergeCell ref="H669:L669"/>
    <mergeCell ref="B670:G670"/>
    <mergeCell ref="H670:L670"/>
    <mergeCell ref="B650:L650"/>
    <mergeCell ref="B651:L651"/>
    <mergeCell ref="B652:L652"/>
    <mergeCell ref="B653:F654"/>
    <mergeCell ref="H653:L654"/>
    <mergeCell ref="B661:F661"/>
    <mergeCell ref="H661:L661"/>
    <mergeCell ref="B676:G676"/>
    <mergeCell ref="H676:L676"/>
    <mergeCell ref="B689:L689"/>
    <mergeCell ref="B690:L690"/>
    <mergeCell ref="B691:L691"/>
    <mergeCell ref="B692:F693"/>
    <mergeCell ref="H692:L693"/>
    <mergeCell ref="B671:G671"/>
    <mergeCell ref="H671:L671"/>
    <mergeCell ref="B674:G674"/>
    <mergeCell ref="H674:L674"/>
    <mergeCell ref="B675:G675"/>
    <mergeCell ref="H675:L675"/>
    <mergeCell ref="B709:G709"/>
    <mergeCell ref="H709:L709"/>
    <mergeCell ref="B710:G710"/>
    <mergeCell ref="H710:L710"/>
    <mergeCell ref="B713:G713"/>
    <mergeCell ref="H713:L713"/>
    <mergeCell ref="B700:F700"/>
    <mergeCell ref="H700:L700"/>
    <mergeCell ref="B707:G707"/>
    <mergeCell ref="H707:L707"/>
    <mergeCell ref="B708:G708"/>
    <mergeCell ref="H708:L708"/>
    <mergeCell ref="B730:L730"/>
    <mergeCell ref="B731:F732"/>
    <mergeCell ref="H731:L732"/>
    <mergeCell ref="B739:F739"/>
    <mergeCell ref="H739:L739"/>
    <mergeCell ref="B746:G746"/>
    <mergeCell ref="H746:L746"/>
    <mergeCell ref="B714:G714"/>
    <mergeCell ref="H714:L714"/>
    <mergeCell ref="B715:G715"/>
    <mergeCell ref="H715:L715"/>
    <mergeCell ref="B728:L728"/>
    <mergeCell ref="B729:L729"/>
    <mergeCell ref="B752:G752"/>
    <mergeCell ref="H752:L752"/>
    <mergeCell ref="B753:G753"/>
    <mergeCell ref="H753:L753"/>
    <mergeCell ref="B754:G754"/>
    <mergeCell ref="H754:L754"/>
    <mergeCell ref="B747:G747"/>
    <mergeCell ref="H747:L747"/>
    <mergeCell ref="B748:G748"/>
    <mergeCell ref="H748:L748"/>
    <mergeCell ref="B749:G749"/>
    <mergeCell ref="H749:L749"/>
  </mergeCells>
  <pageMargins left="0.70866141732283472" right="0.70866141732283472" top="0.74803149606299213" bottom="0.74803149606299213" header="0.31496062992125984" footer="0.31496062992125984"/>
  <pageSetup scale="65" orientation="portrait" horizontalDpi="300" verticalDpi="3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L766"/>
  <sheetViews>
    <sheetView zoomScale="110" zoomScaleNormal="110" workbookViewId="0">
      <selection activeCell="G49" sqref="G49"/>
    </sheetView>
  </sheetViews>
  <sheetFormatPr defaultRowHeight="15"/>
  <cols>
    <col min="3" max="3" width="9.140625" customWidth="1"/>
    <col min="6" max="6" width="16.85546875" customWidth="1"/>
    <col min="10" max="10" width="14.5703125" customWidth="1"/>
    <col min="12" max="12" width="22.7109375" customWidth="1"/>
  </cols>
  <sheetData>
    <row r="1" spans="1:12" ht="32.25" customHeight="1">
      <c r="A1" s="94"/>
      <c r="B1" s="95"/>
      <c r="C1" s="95"/>
      <c r="D1" s="227"/>
      <c r="E1" s="227"/>
      <c r="F1" s="227"/>
      <c r="G1" s="227"/>
      <c r="H1" s="227"/>
      <c r="I1" s="227"/>
      <c r="J1" s="95"/>
      <c r="K1" s="229" t="s">
        <v>230</v>
      </c>
      <c r="L1" s="228"/>
    </row>
    <row r="2" spans="1:12" ht="21">
      <c r="A2" s="23"/>
      <c r="B2" s="952" t="s">
        <v>229</v>
      </c>
      <c r="C2" s="952"/>
      <c r="D2" s="952"/>
      <c r="E2" s="952"/>
      <c r="F2" s="952"/>
      <c r="G2" s="952"/>
      <c r="H2" s="952"/>
      <c r="I2" s="952"/>
      <c r="J2" s="952"/>
      <c r="K2" s="952"/>
      <c r="L2" s="953"/>
    </row>
    <row r="3" spans="1:12" ht="15.75">
      <c r="A3" s="23"/>
      <c r="B3" s="927" t="s">
        <v>231</v>
      </c>
      <c r="C3" s="927"/>
      <c r="D3" s="927"/>
      <c r="E3" s="927"/>
      <c r="F3" s="927"/>
      <c r="G3" s="927"/>
      <c r="H3" s="927"/>
      <c r="I3" s="927"/>
      <c r="J3" s="927"/>
      <c r="K3" s="927"/>
      <c r="L3" s="954"/>
    </row>
    <row r="4" spans="1:12" ht="15" customHeight="1">
      <c r="A4" s="23"/>
      <c r="B4" s="230" t="s">
        <v>232</v>
      </c>
      <c r="C4" s="230"/>
      <c r="D4" s="230"/>
      <c r="E4" s="230"/>
      <c r="F4" s="230"/>
      <c r="H4" s="231"/>
      <c r="I4" s="231"/>
      <c r="J4" s="231"/>
      <c r="K4" s="231"/>
      <c r="L4" s="239"/>
    </row>
    <row r="5" spans="1:12">
      <c r="A5" s="23"/>
      <c r="B5" s="230"/>
      <c r="C5" s="230"/>
      <c r="D5" s="230"/>
      <c r="E5" s="230"/>
      <c r="F5" s="230"/>
      <c r="H5" s="231"/>
      <c r="I5" s="231"/>
      <c r="J5" s="231"/>
      <c r="K5" s="231"/>
      <c r="L5" s="239"/>
    </row>
    <row r="6" spans="1:12">
      <c r="A6" s="23"/>
      <c r="B6" s="807" t="s">
        <v>202</v>
      </c>
      <c r="C6" s="807"/>
      <c r="D6" s="807"/>
      <c r="E6" s="807"/>
      <c r="F6" s="807"/>
      <c r="G6" s="807"/>
      <c r="H6" s="816" t="e">
        <f>'4-22Master'!#REF!</f>
        <v>#REF!</v>
      </c>
      <c r="I6" s="809"/>
      <c r="J6" s="809"/>
      <c r="K6" s="809"/>
      <c r="L6" s="810"/>
    </row>
    <row r="7" spans="1:12">
      <c r="A7" s="23"/>
      <c r="B7" s="817" t="s">
        <v>203</v>
      </c>
      <c r="C7" s="817"/>
      <c r="D7" s="817"/>
      <c r="E7" s="817"/>
      <c r="F7" s="817"/>
      <c r="G7" s="817"/>
      <c r="H7" s="816" t="e">
        <f>'4-22Master'!#REF!</f>
        <v>#REF!</v>
      </c>
      <c r="I7" s="809"/>
      <c r="J7" s="809"/>
      <c r="K7" s="809"/>
      <c r="L7" s="810"/>
    </row>
    <row r="8" spans="1:12">
      <c r="A8" s="23"/>
      <c r="B8" s="807" t="s">
        <v>204</v>
      </c>
      <c r="C8" s="807"/>
      <c r="D8" s="807"/>
      <c r="E8" s="807"/>
      <c r="F8" s="807"/>
      <c r="G8" s="807"/>
      <c r="H8" s="816" t="e">
        <f>'4-22Master'!#REF!</f>
        <v>#REF!</v>
      </c>
      <c r="I8" s="809"/>
      <c r="J8" s="809"/>
      <c r="K8" s="809"/>
      <c r="L8" s="810"/>
    </row>
    <row r="9" spans="1:12">
      <c r="A9" s="23"/>
      <c r="B9" s="807" t="s">
        <v>205</v>
      </c>
      <c r="C9" s="807"/>
      <c r="D9" s="807"/>
      <c r="E9" s="807"/>
      <c r="F9" s="807"/>
      <c r="G9" s="807"/>
      <c r="H9" s="941" t="e">
        <f>'4-22Master'!#REF!</f>
        <v>#REF!</v>
      </c>
      <c r="I9" s="809"/>
      <c r="J9" s="809"/>
      <c r="K9" s="809"/>
      <c r="L9" s="810"/>
    </row>
    <row r="10" spans="1:12">
      <c r="A10" s="23"/>
      <c r="B10" s="106" t="s">
        <v>206</v>
      </c>
      <c r="C10" s="107"/>
      <c r="D10" s="107"/>
      <c r="E10" s="107"/>
      <c r="F10" s="107"/>
      <c r="G10" s="107"/>
      <c r="H10" s="938" t="s">
        <v>207</v>
      </c>
      <c r="I10" s="939"/>
      <c r="J10" s="939"/>
      <c r="K10" s="939"/>
      <c r="L10" s="940"/>
    </row>
    <row r="11" spans="1:12">
      <c r="A11" s="23"/>
      <c r="B11" s="106" t="s">
        <v>208</v>
      </c>
      <c r="C11" s="107"/>
      <c r="D11" s="107"/>
      <c r="E11" s="107"/>
      <c r="F11" s="107"/>
      <c r="G11" s="107"/>
      <c r="H11" s="108"/>
      <c r="I11" s="110"/>
      <c r="J11" s="221"/>
      <c r="K11" s="110"/>
      <c r="L11" s="115"/>
    </row>
    <row r="12" spans="1:12">
      <c r="A12" s="23"/>
      <c r="B12" s="811" t="s">
        <v>209</v>
      </c>
      <c r="C12" s="811"/>
      <c r="D12" s="811"/>
      <c r="E12" s="811"/>
      <c r="F12" s="811"/>
      <c r="G12" s="811"/>
      <c r="H12" s="812" t="e">
        <f>'4-22Master'!#REF!</f>
        <v>#REF!</v>
      </c>
      <c r="I12" s="813"/>
      <c r="J12" s="813"/>
      <c r="K12" s="813"/>
      <c r="L12" s="814"/>
    </row>
    <row r="13" spans="1:12">
      <c r="A13" s="23"/>
      <c r="B13" s="807"/>
      <c r="C13" s="807"/>
      <c r="D13" s="807"/>
      <c r="E13" s="807"/>
      <c r="F13" s="807"/>
      <c r="G13" s="807"/>
      <c r="H13" s="808" t="e">
        <f>'4-22Master'!#REF!</f>
        <v>#REF!</v>
      </c>
      <c r="I13" s="809"/>
      <c r="J13" s="809"/>
      <c r="K13" s="809"/>
      <c r="L13" s="810"/>
    </row>
    <row r="14" spans="1:12">
      <c r="A14" s="23"/>
      <c r="B14" s="807"/>
      <c r="C14" s="807"/>
      <c r="D14" s="807"/>
      <c r="E14" s="807"/>
      <c r="F14" s="807"/>
      <c r="G14" s="807"/>
      <c r="H14" s="816" t="e">
        <f>'4-22Master'!#REF!</f>
        <v>#REF!</v>
      </c>
      <c r="I14" s="809"/>
      <c r="J14" s="809"/>
      <c r="K14" s="809"/>
      <c r="L14" s="810"/>
    </row>
    <row r="15" spans="1:12">
      <c r="A15" s="23"/>
      <c r="G15" s="4" t="s">
        <v>233</v>
      </c>
      <c r="H15" s="4"/>
      <c r="I15" s="4"/>
      <c r="J15" s="4"/>
      <c r="K15" s="4"/>
      <c r="L15" s="101"/>
    </row>
    <row r="16" spans="1:12">
      <c r="A16" s="23"/>
      <c r="B16" s="223" t="s">
        <v>217</v>
      </c>
      <c r="C16" s="219"/>
      <c r="D16" s="219"/>
      <c r="E16" s="219"/>
      <c r="F16" s="219"/>
      <c r="G16" s="219"/>
      <c r="H16" s="208"/>
      <c r="I16" s="208"/>
      <c r="J16" s="208"/>
      <c r="K16" s="208"/>
      <c r="L16" s="226"/>
    </row>
    <row r="17" spans="1:12">
      <c r="A17" s="23"/>
      <c r="B17" s="223" t="s">
        <v>218</v>
      </c>
      <c r="C17" s="219"/>
      <c r="D17" s="219"/>
      <c r="E17" s="219"/>
      <c r="F17" s="219"/>
      <c r="G17" s="219"/>
      <c r="H17" s="208"/>
      <c r="I17" s="208"/>
      <c r="J17" s="209"/>
      <c r="K17" s="208"/>
      <c r="L17" s="226"/>
    </row>
    <row r="18" spans="1:12" ht="27.95" customHeight="1">
      <c r="A18" s="105"/>
      <c r="B18" s="106" t="s">
        <v>221</v>
      </c>
      <c r="C18" s="107"/>
      <c r="D18" s="236"/>
      <c r="E18" s="214" t="s">
        <v>223</v>
      </c>
      <c r="F18" s="78"/>
      <c r="G18" s="933" t="s">
        <v>222</v>
      </c>
      <c r="H18" s="934"/>
      <c r="I18" s="213" t="s">
        <v>219</v>
      </c>
      <c r="J18" s="216" t="s">
        <v>224</v>
      </c>
      <c r="K18" s="933" t="s">
        <v>220</v>
      </c>
      <c r="L18" s="935"/>
    </row>
    <row r="19" spans="1:12" ht="20.100000000000001" customHeight="1">
      <c r="A19" s="105"/>
      <c r="B19" s="217">
        <v>1</v>
      </c>
      <c r="C19" s="107"/>
      <c r="D19" s="107"/>
      <c r="E19" s="220">
        <v>2</v>
      </c>
      <c r="F19" s="111"/>
      <c r="G19" s="220">
        <v>3</v>
      </c>
      <c r="H19" s="236"/>
      <c r="I19" s="236">
        <v>4</v>
      </c>
      <c r="J19" s="129">
        <v>5</v>
      </c>
      <c r="K19" s="113"/>
      <c r="L19" s="114">
        <v>6</v>
      </c>
    </row>
    <row r="20" spans="1:12" ht="20.100000000000001" customHeight="1">
      <c r="A20" s="105"/>
      <c r="B20" s="106" t="e">
        <f>'4-22Master'!#REF!</f>
        <v>#REF!</v>
      </c>
      <c r="C20" s="232"/>
      <c r="D20" s="233"/>
      <c r="E20" s="234" t="s">
        <v>383</v>
      </c>
      <c r="F20" s="233"/>
      <c r="G20" s="234" t="s">
        <v>381</v>
      </c>
      <c r="H20" s="78"/>
      <c r="I20" s="19" t="s">
        <v>384</v>
      </c>
      <c r="J20" s="333">
        <v>1</v>
      </c>
      <c r="K20" s="235" t="s">
        <v>37</v>
      </c>
      <c r="L20" s="240"/>
    </row>
    <row r="21" spans="1:12" ht="20.100000000000001" customHeight="1">
      <c r="A21" s="105"/>
      <c r="B21" s="106"/>
      <c r="C21" s="232"/>
      <c r="D21" s="233"/>
      <c r="E21" s="234"/>
      <c r="F21" s="233"/>
      <c r="G21" s="234"/>
      <c r="H21" s="78"/>
      <c r="I21" s="19"/>
      <c r="J21" s="19"/>
      <c r="K21" s="235"/>
      <c r="L21" s="240"/>
    </row>
    <row r="22" spans="1:12" ht="20.100000000000001" customHeight="1">
      <c r="A22" s="105"/>
      <c r="B22" s="106"/>
      <c r="C22" s="232"/>
      <c r="D22" s="233"/>
      <c r="E22" s="234"/>
      <c r="F22" s="233"/>
      <c r="G22" s="234"/>
      <c r="H22" s="78"/>
      <c r="I22" s="19"/>
      <c r="J22" s="19"/>
      <c r="K22" s="235"/>
      <c r="L22" s="240"/>
    </row>
    <row r="23" spans="1:12" ht="20.100000000000001" customHeight="1">
      <c r="A23" s="105"/>
      <c r="B23" s="85"/>
      <c r="C23" s="27"/>
      <c r="D23" s="86"/>
      <c r="E23" s="234"/>
      <c r="F23" s="233"/>
      <c r="G23" s="234"/>
      <c r="H23" s="78"/>
      <c r="I23" s="19"/>
      <c r="J23" s="19"/>
      <c r="K23" s="235"/>
      <c r="L23" s="240"/>
    </row>
    <row r="24" spans="1:12" ht="27.95" customHeight="1">
      <c r="A24" s="105"/>
      <c r="B24" t="s">
        <v>225</v>
      </c>
      <c r="L24" s="24"/>
    </row>
    <row r="25" spans="1:12" ht="27.95" customHeight="1">
      <c r="A25" s="23"/>
      <c r="B25" t="s">
        <v>226</v>
      </c>
      <c r="L25" s="24"/>
    </row>
    <row r="26" spans="1:12" ht="27.95" customHeight="1">
      <c r="A26" s="23"/>
      <c r="B26" t="s">
        <v>237</v>
      </c>
      <c r="J26" t="s">
        <v>236</v>
      </c>
      <c r="L26" s="24"/>
    </row>
    <row r="27" spans="1:12" ht="19.5" customHeight="1">
      <c r="A27" s="23"/>
      <c r="G27" s="4" t="s">
        <v>234</v>
      </c>
      <c r="H27" s="4"/>
      <c r="I27" s="4"/>
      <c r="J27" s="4"/>
      <c r="K27" s="4"/>
      <c r="L27" s="101"/>
    </row>
    <row r="28" spans="1:12" ht="11.25" customHeight="1">
      <c r="A28" s="23"/>
      <c r="B28" s="4"/>
      <c r="G28" t="s">
        <v>235</v>
      </c>
      <c r="H28" s="4"/>
      <c r="I28" s="4"/>
      <c r="J28" s="4"/>
      <c r="K28" s="4"/>
      <c r="L28" s="101"/>
    </row>
    <row r="29" spans="1:12" ht="27.95" customHeight="1">
      <c r="A29" s="23"/>
      <c r="B29" s="223" t="s">
        <v>238</v>
      </c>
      <c r="C29" s="219"/>
      <c r="D29" s="219"/>
      <c r="E29" s="219"/>
      <c r="F29" s="219"/>
      <c r="G29" s="219"/>
      <c r="H29" s="208"/>
      <c r="I29" s="208"/>
      <c r="J29" s="208"/>
      <c r="K29" s="208"/>
      <c r="L29" s="226"/>
    </row>
    <row r="30" spans="1:12" ht="27.95" customHeight="1">
      <c r="A30" s="23"/>
      <c r="B30" s="223" t="s">
        <v>239</v>
      </c>
      <c r="C30" s="219"/>
      <c r="D30" s="219"/>
      <c r="E30" s="219"/>
      <c r="F30" s="219"/>
      <c r="G30" s="219"/>
      <c r="H30" s="208"/>
      <c r="I30" s="208"/>
      <c r="J30" s="209"/>
      <c r="K30" s="208"/>
      <c r="L30" s="226"/>
    </row>
    <row r="31" spans="1:12" ht="27.95" customHeight="1">
      <c r="A31" s="23"/>
      <c r="B31" s="106" t="s">
        <v>5</v>
      </c>
      <c r="C31" s="945" t="s">
        <v>240</v>
      </c>
      <c r="D31" s="931"/>
      <c r="E31" s="931"/>
      <c r="F31" s="931"/>
      <c r="G31" s="931"/>
      <c r="H31" s="946"/>
      <c r="I31" s="215" t="s">
        <v>108</v>
      </c>
      <c r="J31" s="947" t="s">
        <v>241</v>
      </c>
      <c r="K31" s="948"/>
      <c r="L31" s="949"/>
    </row>
    <row r="32" spans="1:12" ht="20.100000000000001" customHeight="1">
      <c r="A32" s="23"/>
      <c r="B32" s="217">
        <v>1</v>
      </c>
      <c r="C32" s="251"/>
      <c r="D32" s="110"/>
      <c r="E32" s="116">
        <v>2</v>
      </c>
      <c r="F32" s="77"/>
      <c r="G32" s="944"/>
      <c r="H32" s="934"/>
      <c r="I32" s="110">
        <v>3</v>
      </c>
      <c r="J32" s="238" t="s">
        <v>242</v>
      </c>
      <c r="K32" s="950">
        <v>4</v>
      </c>
      <c r="L32" s="951"/>
    </row>
    <row r="33" spans="1:12" ht="20.100000000000001" customHeight="1">
      <c r="A33" s="23"/>
      <c r="B33" s="106"/>
      <c r="C33" s="251"/>
      <c r="D33" s="110"/>
      <c r="E33" s="116"/>
      <c r="F33" s="77"/>
      <c r="G33" s="944"/>
      <c r="H33" s="934"/>
      <c r="I33" s="235"/>
      <c r="J33" s="251"/>
      <c r="K33" s="944"/>
      <c r="L33" s="935"/>
    </row>
    <row r="34" spans="1:12" ht="20.100000000000001" customHeight="1">
      <c r="A34" s="23"/>
      <c r="B34" s="106"/>
      <c r="C34" s="251"/>
      <c r="D34" s="110"/>
      <c r="E34" s="116"/>
      <c r="F34" s="77"/>
      <c r="G34" s="944"/>
      <c r="H34" s="934"/>
      <c r="I34" s="235"/>
      <c r="J34" s="237"/>
      <c r="K34" s="944"/>
      <c r="L34" s="935"/>
    </row>
    <row r="35" spans="1:12" ht="20.100000000000001" customHeight="1">
      <c r="A35" s="23"/>
      <c r="B35" s="106"/>
      <c r="C35" s="251"/>
      <c r="D35" s="110"/>
      <c r="E35" s="116"/>
      <c r="F35" s="77"/>
      <c r="G35" s="944"/>
      <c r="H35" s="934"/>
      <c r="I35" s="235"/>
      <c r="J35" s="237"/>
      <c r="K35" s="944"/>
      <c r="L35" s="935"/>
    </row>
    <row r="36" spans="1:12" ht="20.100000000000001" customHeight="1">
      <c r="A36" s="23"/>
      <c r="B36" s="85"/>
      <c r="C36" s="251"/>
      <c r="D36" s="110"/>
      <c r="E36" s="116"/>
      <c r="F36" s="77"/>
      <c r="G36" s="944"/>
      <c r="H36" s="934"/>
      <c r="I36" s="235"/>
      <c r="J36" s="237"/>
      <c r="K36" s="944"/>
      <c r="L36" s="935"/>
    </row>
    <row r="37" spans="1:12" ht="27.95" customHeight="1">
      <c r="A37" s="23"/>
      <c r="B37" t="s">
        <v>246</v>
      </c>
      <c r="L37" s="24"/>
    </row>
    <row r="38" spans="1:12" ht="19.5" customHeight="1">
      <c r="A38" s="23"/>
      <c r="B38" t="s">
        <v>247</v>
      </c>
      <c r="L38" s="24"/>
    </row>
    <row r="39" spans="1:12" ht="19.5" customHeight="1">
      <c r="A39" s="23"/>
      <c r="B39" t="s">
        <v>248</v>
      </c>
      <c r="L39" s="24"/>
    </row>
    <row r="40" spans="1:12" ht="15.75" customHeight="1">
      <c r="A40" s="23"/>
      <c r="B40" t="s">
        <v>249</v>
      </c>
      <c r="L40" s="24"/>
    </row>
    <row r="41" spans="1:12" ht="27.95" customHeight="1">
      <c r="A41" s="23"/>
      <c r="B41" s="234" t="s">
        <v>243</v>
      </c>
      <c r="C41" s="77"/>
      <c r="D41" s="77"/>
      <c r="E41" s="77"/>
      <c r="F41" s="78"/>
      <c r="G41" s="234" t="s">
        <v>219</v>
      </c>
      <c r="H41" s="78"/>
      <c r="I41" s="234" t="s">
        <v>244</v>
      </c>
      <c r="J41" s="77"/>
      <c r="K41" s="78"/>
      <c r="L41" s="24"/>
    </row>
    <row r="42" spans="1:12" ht="27.95" customHeight="1">
      <c r="A42" s="23"/>
      <c r="B42" s="936"/>
      <c r="C42" s="943"/>
      <c r="D42" s="943"/>
      <c r="E42" s="943"/>
      <c r="F42" s="942"/>
      <c r="G42" s="936"/>
      <c r="H42" s="942"/>
      <c r="I42" s="936"/>
      <c r="J42" s="943"/>
      <c r="K42" s="942"/>
      <c r="L42" s="24"/>
    </row>
    <row r="43" spans="1:12" ht="27.95" customHeight="1">
      <c r="A43" s="23"/>
      <c r="B43" s="936"/>
      <c r="C43" s="943"/>
      <c r="D43" s="943"/>
      <c r="E43" s="943"/>
      <c r="F43" s="942"/>
      <c r="G43" s="936"/>
      <c r="H43" s="942"/>
      <c r="I43" s="936"/>
      <c r="J43" s="943"/>
      <c r="K43" s="942"/>
      <c r="L43" s="24"/>
    </row>
    <row r="44" spans="1:12" ht="27.95" customHeight="1">
      <c r="A44" s="23"/>
      <c r="B44" s="936"/>
      <c r="C44" s="943"/>
      <c r="D44" s="943"/>
      <c r="E44" s="943"/>
      <c r="F44" s="942"/>
      <c r="G44" s="936"/>
      <c r="H44" s="942"/>
      <c r="I44" s="936"/>
      <c r="J44" s="943"/>
      <c r="K44" s="942"/>
      <c r="L44" s="24"/>
    </row>
    <row r="45" spans="1:12" ht="27.95" customHeight="1">
      <c r="A45" s="23"/>
      <c r="B45" s="936"/>
      <c r="C45" s="943"/>
      <c r="D45" s="943"/>
      <c r="E45" s="943"/>
      <c r="F45" s="942"/>
      <c r="G45" s="936"/>
      <c r="H45" s="942"/>
      <c r="I45" s="936"/>
      <c r="J45" s="943"/>
      <c r="K45" s="942"/>
      <c r="L45" s="24"/>
    </row>
    <row r="46" spans="1:12">
      <c r="A46" s="23"/>
      <c r="L46" s="24"/>
    </row>
    <row r="47" spans="1:12">
      <c r="A47" s="23"/>
      <c r="B47" t="s">
        <v>216</v>
      </c>
      <c r="C47" s="332" t="e">
        <f>'4-22Master'!#REF!</f>
        <v>#REF!</v>
      </c>
      <c r="I47" t="s">
        <v>245</v>
      </c>
      <c r="L47" s="24"/>
    </row>
    <row r="48" spans="1:12" ht="18.75">
      <c r="A48" s="23"/>
      <c r="F48" s="222" t="s">
        <v>211</v>
      </c>
      <c r="L48" s="24"/>
    </row>
    <row r="49" spans="1:12">
      <c r="A49" s="23" t="s">
        <v>212</v>
      </c>
      <c r="K49" s="272" t="e">
        <f>'4-22Master'!#REF!</f>
        <v>#REF!</v>
      </c>
      <c r="L49" s="24"/>
    </row>
    <row r="50" spans="1:12">
      <c r="A50" s="23" t="s">
        <v>213</v>
      </c>
      <c r="L50" s="24"/>
    </row>
    <row r="51" spans="1:12">
      <c r="A51" s="23"/>
      <c r="L51" s="24"/>
    </row>
    <row r="52" spans="1:12">
      <c r="A52" s="23"/>
      <c r="F52" t="s">
        <v>214</v>
      </c>
      <c r="L52" s="24"/>
    </row>
    <row r="53" spans="1:12">
      <c r="A53" s="23" t="s">
        <v>215</v>
      </c>
      <c r="B53" t="s">
        <v>379</v>
      </c>
      <c r="F53" t="str">
        <f>'4-22Master'!G5</f>
        <v>Burgeon IT Services Pvt.Ltd.</v>
      </c>
      <c r="L53" s="24"/>
    </row>
    <row r="54" spans="1:12" ht="15.75" thickBot="1">
      <c r="A54" s="35" t="s">
        <v>216</v>
      </c>
      <c r="B54" s="335" t="e">
        <f>'4-22Master'!#REF!</f>
        <v>#REF!</v>
      </c>
      <c r="C54" s="33"/>
      <c r="D54" s="33"/>
      <c r="E54" s="33"/>
      <c r="F54" s="33" t="str">
        <f>'4-22Master'!G6</f>
        <v>Siri Mansion LIGB 436 Dr.A S Rao Nagar,Hyderabad</v>
      </c>
      <c r="G54" s="33"/>
      <c r="H54" s="33"/>
      <c r="I54" s="33"/>
      <c r="J54" s="33"/>
      <c r="K54" s="33"/>
      <c r="L54" s="34"/>
    </row>
    <row r="55" spans="1:12" ht="27.95" customHeight="1">
      <c r="A55" s="94"/>
      <c r="B55" s="95"/>
      <c r="C55" s="95"/>
      <c r="D55" s="227"/>
      <c r="E55" s="227"/>
      <c r="F55" s="227"/>
      <c r="G55" s="227"/>
      <c r="H55" s="227"/>
      <c r="I55" s="227"/>
      <c r="J55" s="95"/>
      <c r="K55" s="229" t="s">
        <v>230</v>
      </c>
      <c r="L55" s="228"/>
    </row>
    <row r="56" spans="1:12" ht="27.95" customHeight="1">
      <c r="A56" s="23"/>
      <c r="B56" s="952" t="s">
        <v>229</v>
      </c>
      <c r="C56" s="952"/>
      <c r="D56" s="952"/>
      <c r="E56" s="952"/>
      <c r="F56" s="952"/>
      <c r="G56" s="952"/>
      <c r="H56" s="952"/>
      <c r="I56" s="952"/>
      <c r="J56" s="952"/>
      <c r="K56" s="952"/>
      <c r="L56" s="953"/>
    </row>
    <row r="57" spans="1:12" ht="27.95" customHeight="1">
      <c r="A57" s="23"/>
      <c r="B57" s="927" t="s">
        <v>231</v>
      </c>
      <c r="C57" s="927"/>
      <c r="D57" s="927"/>
      <c r="E57" s="927"/>
      <c r="F57" s="927"/>
      <c r="G57" s="927"/>
      <c r="H57" s="927"/>
      <c r="I57" s="927"/>
      <c r="J57" s="927"/>
      <c r="K57" s="927"/>
      <c r="L57" s="954"/>
    </row>
    <row r="58" spans="1:12" ht="27.95" customHeight="1">
      <c r="A58" s="23"/>
      <c r="B58" s="230" t="s">
        <v>232</v>
      </c>
      <c r="C58" s="230"/>
      <c r="D58" s="230"/>
      <c r="E58" s="230"/>
      <c r="F58" s="230"/>
      <c r="H58" s="231"/>
      <c r="I58" s="231"/>
      <c r="J58" s="231"/>
      <c r="K58" s="231"/>
      <c r="L58" s="239"/>
    </row>
    <row r="59" spans="1:12" ht="27.95" customHeight="1">
      <c r="A59" s="23"/>
      <c r="B59" s="230"/>
      <c r="C59" s="230"/>
      <c r="D59" s="230"/>
      <c r="E59" s="230"/>
      <c r="F59" s="230"/>
      <c r="H59" s="231"/>
      <c r="I59" s="231"/>
      <c r="J59" s="231"/>
      <c r="K59" s="231"/>
      <c r="L59" s="239"/>
    </row>
    <row r="60" spans="1:12" ht="27.95" customHeight="1">
      <c r="A60" s="23"/>
      <c r="B60" s="807" t="s">
        <v>202</v>
      </c>
      <c r="C60" s="807"/>
      <c r="D60" s="807"/>
      <c r="E60" s="807"/>
      <c r="F60" s="807"/>
      <c r="G60" s="807"/>
      <c r="H60" s="816" t="e">
        <f>'4-22Master'!#REF!</f>
        <v>#REF!</v>
      </c>
      <c r="I60" s="809"/>
      <c r="J60" s="809"/>
      <c r="K60" s="809"/>
      <c r="L60" s="810"/>
    </row>
    <row r="61" spans="1:12" ht="27.95" customHeight="1">
      <c r="A61" s="23"/>
      <c r="B61" s="817" t="s">
        <v>203</v>
      </c>
      <c r="C61" s="817"/>
      <c r="D61" s="817"/>
      <c r="E61" s="817"/>
      <c r="F61" s="817"/>
      <c r="G61" s="817"/>
      <c r="H61" s="816" t="e">
        <f>'4-22Master'!#REF!</f>
        <v>#REF!</v>
      </c>
      <c r="I61" s="809"/>
      <c r="J61" s="809"/>
      <c r="K61" s="809"/>
      <c r="L61" s="810"/>
    </row>
    <row r="62" spans="1:12" ht="27.95" customHeight="1">
      <c r="A62" s="23"/>
      <c r="B62" s="807" t="s">
        <v>204</v>
      </c>
      <c r="C62" s="807"/>
      <c r="D62" s="807"/>
      <c r="E62" s="807"/>
      <c r="F62" s="807"/>
      <c r="G62" s="807"/>
      <c r="H62" s="816" t="e">
        <f>'4-22Master'!#REF!</f>
        <v>#REF!</v>
      </c>
      <c r="I62" s="809"/>
      <c r="J62" s="809"/>
      <c r="K62" s="809"/>
      <c r="L62" s="810"/>
    </row>
    <row r="63" spans="1:12" ht="27.95" customHeight="1">
      <c r="A63" s="23"/>
      <c r="B63" s="807" t="s">
        <v>205</v>
      </c>
      <c r="C63" s="807"/>
      <c r="D63" s="807"/>
      <c r="E63" s="807"/>
      <c r="F63" s="807"/>
      <c r="G63" s="807"/>
      <c r="H63" s="941" t="e">
        <f>'4-22Master'!#REF!</f>
        <v>#REF!</v>
      </c>
      <c r="I63" s="809"/>
      <c r="J63" s="809"/>
      <c r="K63" s="809"/>
      <c r="L63" s="810"/>
    </row>
    <row r="64" spans="1:12" ht="27.95" customHeight="1">
      <c r="A64" s="23"/>
      <c r="B64" s="106" t="s">
        <v>206</v>
      </c>
      <c r="C64" s="107"/>
      <c r="D64" s="107"/>
      <c r="E64" s="107"/>
      <c r="F64" s="107"/>
      <c r="G64" s="107"/>
      <c r="H64" s="938" t="s">
        <v>207</v>
      </c>
      <c r="I64" s="939"/>
      <c r="J64" s="939"/>
      <c r="K64" s="939"/>
      <c r="L64" s="940"/>
    </row>
    <row r="65" spans="1:12" ht="27.95" customHeight="1">
      <c r="A65" s="23"/>
      <c r="B65" s="106" t="s">
        <v>208</v>
      </c>
      <c r="C65" s="107"/>
      <c r="D65" s="107"/>
      <c r="E65" s="107"/>
      <c r="F65" s="107"/>
      <c r="G65" s="107"/>
      <c r="H65" s="108"/>
      <c r="I65" s="110"/>
      <c r="J65" s="221"/>
      <c r="K65" s="110"/>
      <c r="L65" s="115"/>
    </row>
    <row r="66" spans="1:12">
      <c r="A66" s="23"/>
      <c r="B66" s="811" t="s">
        <v>209</v>
      </c>
      <c r="C66" s="811"/>
      <c r="D66" s="811"/>
      <c r="E66" s="811"/>
      <c r="F66" s="811"/>
      <c r="G66" s="811"/>
      <c r="H66" s="812" t="e">
        <f>'4-22Master'!#REF!</f>
        <v>#REF!</v>
      </c>
      <c r="I66" s="813"/>
      <c r="J66" s="813"/>
      <c r="K66" s="813"/>
      <c r="L66" s="814"/>
    </row>
    <row r="67" spans="1:12">
      <c r="A67" s="23"/>
      <c r="B67" s="807"/>
      <c r="C67" s="807"/>
      <c r="D67" s="807"/>
      <c r="E67" s="807"/>
      <c r="F67" s="807"/>
      <c r="G67" s="807"/>
      <c r="H67" s="808" t="e">
        <f>'4-22Master'!#REF!</f>
        <v>#REF!</v>
      </c>
      <c r="I67" s="809"/>
      <c r="J67" s="809"/>
      <c r="K67" s="809"/>
      <c r="L67" s="810"/>
    </row>
    <row r="68" spans="1:12">
      <c r="A68" s="23"/>
      <c r="B68" s="807"/>
      <c r="C68" s="807"/>
      <c r="D68" s="807"/>
      <c r="E68" s="807"/>
      <c r="F68" s="807"/>
      <c r="G68" s="807"/>
      <c r="H68" s="816" t="e">
        <f>'4-22Master'!#REF!</f>
        <v>#REF!</v>
      </c>
      <c r="I68" s="809"/>
      <c r="J68" s="809"/>
      <c r="K68" s="809"/>
      <c r="L68" s="810"/>
    </row>
    <row r="69" spans="1:12">
      <c r="A69" s="23"/>
      <c r="G69" s="4" t="s">
        <v>233</v>
      </c>
      <c r="H69" s="4"/>
      <c r="I69" s="4"/>
      <c r="J69" s="4"/>
      <c r="K69" s="4"/>
      <c r="L69" s="101"/>
    </row>
    <row r="70" spans="1:12">
      <c r="A70" s="23"/>
      <c r="B70" s="223" t="s">
        <v>217</v>
      </c>
      <c r="C70" s="219"/>
      <c r="D70" s="219"/>
      <c r="E70" s="219"/>
      <c r="F70" s="219"/>
      <c r="G70" s="219"/>
      <c r="H70" s="208"/>
      <c r="I70" s="208"/>
      <c r="J70" s="208"/>
      <c r="K70" s="208"/>
      <c r="L70" s="226"/>
    </row>
    <row r="71" spans="1:12">
      <c r="A71" s="23"/>
      <c r="B71" s="223" t="s">
        <v>218</v>
      </c>
      <c r="C71" s="219"/>
      <c r="D71" s="219"/>
      <c r="E71" s="219"/>
      <c r="F71" s="219"/>
      <c r="G71" s="219"/>
      <c r="H71" s="208"/>
      <c r="I71" s="208"/>
      <c r="J71" s="209"/>
      <c r="K71" s="208"/>
      <c r="L71" s="226"/>
    </row>
    <row r="72" spans="1:12" ht="45">
      <c r="A72" s="105"/>
      <c r="B72" s="106" t="s">
        <v>221</v>
      </c>
      <c r="C72" s="107"/>
      <c r="D72" s="236"/>
      <c r="E72" s="214" t="s">
        <v>223</v>
      </c>
      <c r="F72" s="78"/>
      <c r="G72" s="933" t="s">
        <v>222</v>
      </c>
      <c r="H72" s="934"/>
      <c r="I72" s="213" t="s">
        <v>219</v>
      </c>
      <c r="J72" s="216" t="s">
        <v>224</v>
      </c>
      <c r="K72" s="933" t="s">
        <v>220</v>
      </c>
      <c r="L72" s="935"/>
    </row>
    <row r="73" spans="1:12">
      <c r="A73" s="105"/>
      <c r="B73" s="217">
        <v>1</v>
      </c>
      <c r="C73" s="107"/>
      <c r="D73" s="107"/>
      <c r="E73" s="220">
        <v>2</v>
      </c>
      <c r="F73" s="111"/>
      <c r="G73" s="220">
        <v>3</v>
      </c>
      <c r="H73" s="236"/>
      <c r="I73" s="236">
        <v>4</v>
      </c>
      <c r="J73" s="129">
        <v>5</v>
      </c>
      <c r="K73" s="113"/>
      <c r="L73" s="114">
        <v>6</v>
      </c>
    </row>
    <row r="74" spans="1:12">
      <c r="A74" s="105"/>
      <c r="B74" s="106" t="e">
        <f>'4-22Master'!#REF!</f>
        <v>#REF!</v>
      </c>
      <c r="C74" s="232"/>
      <c r="D74" s="233"/>
      <c r="E74" s="234" t="s">
        <v>383</v>
      </c>
      <c r="F74" s="233"/>
      <c r="G74" s="234" t="s">
        <v>381</v>
      </c>
      <c r="H74" s="78"/>
      <c r="I74" s="19" t="s">
        <v>384</v>
      </c>
      <c r="J74" s="333">
        <v>1</v>
      </c>
      <c r="K74" s="235" t="s">
        <v>37</v>
      </c>
      <c r="L74" s="240"/>
    </row>
    <row r="75" spans="1:12">
      <c r="A75" s="105"/>
      <c r="B75" s="106"/>
      <c r="C75" s="232"/>
      <c r="D75" s="233"/>
      <c r="E75" s="234"/>
      <c r="F75" s="233"/>
      <c r="G75" s="234"/>
      <c r="H75" s="78"/>
      <c r="I75" s="19"/>
      <c r="J75" s="19"/>
      <c r="K75" s="235"/>
      <c r="L75" s="240"/>
    </row>
    <row r="76" spans="1:12">
      <c r="A76" s="105"/>
      <c r="B76" s="106"/>
      <c r="C76" s="232"/>
      <c r="D76" s="233"/>
      <c r="E76" s="234"/>
      <c r="F76" s="233"/>
      <c r="G76" s="234"/>
      <c r="H76" s="78"/>
      <c r="I76" s="19"/>
      <c r="J76" s="19"/>
      <c r="K76" s="235"/>
      <c r="L76" s="240"/>
    </row>
    <row r="77" spans="1:12">
      <c r="A77" s="105"/>
      <c r="B77" s="85"/>
      <c r="C77" s="27"/>
      <c r="D77" s="86"/>
      <c r="E77" s="234"/>
      <c r="F77" s="233"/>
      <c r="G77" s="234"/>
      <c r="H77" s="78"/>
      <c r="I77" s="19"/>
      <c r="J77" s="19"/>
      <c r="K77" s="235"/>
      <c r="L77" s="240"/>
    </row>
    <row r="78" spans="1:12">
      <c r="A78" s="105"/>
      <c r="B78" t="s">
        <v>225</v>
      </c>
      <c r="L78" s="24"/>
    </row>
    <row r="79" spans="1:12">
      <c r="A79" s="23"/>
      <c r="B79" t="s">
        <v>226</v>
      </c>
      <c r="L79" s="24"/>
    </row>
    <row r="80" spans="1:12">
      <c r="A80" s="23"/>
      <c r="B80" t="s">
        <v>237</v>
      </c>
      <c r="J80" t="s">
        <v>236</v>
      </c>
      <c r="L80" s="24"/>
    </row>
    <row r="81" spans="1:12">
      <c r="A81" s="23"/>
      <c r="G81" s="4" t="s">
        <v>234</v>
      </c>
      <c r="H81" s="4"/>
      <c r="I81" s="4"/>
      <c r="J81" s="4"/>
      <c r="K81" s="4"/>
      <c r="L81" s="101"/>
    </row>
    <row r="82" spans="1:12">
      <c r="A82" s="23"/>
      <c r="B82" s="4"/>
      <c r="G82" t="s">
        <v>235</v>
      </c>
      <c r="H82" s="4"/>
      <c r="I82" s="4"/>
      <c r="J82" s="4"/>
      <c r="K82" s="4"/>
      <c r="L82" s="101"/>
    </row>
    <row r="83" spans="1:12">
      <c r="A83" s="23"/>
      <c r="B83" s="223" t="s">
        <v>238</v>
      </c>
      <c r="C83" s="219"/>
      <c r="D83" s="219"/>
      <c r="E83" s="219"/>
      <c r="F83" s="219"/>
      <c r="G83" s="219"/>
      <c r="H83" s="208"/>
      <c r="I83" s="208"/>
      <c r="J83" s="208"/>
      <c r="K83" s="208"/>
      <c r="L83" s="226"/>
    </row>
    <row r="84" spans="1:12">
      <c r="A84" s="23"/>
      <c r="B84" s="223" t="s">
        <v>239</v>
      </c>
      <c r="C84" s="219"/>
      <c r="D84" s="219"/>
      <c r="E84" s="219"/>
      <c r="F84" s="219"/>
      <c r="G84" s="219"/>
      <c r="H84" s="208"/>
      <c r="I84" s="208"/>
      <c r="J84" s="209"/>
      <c r="K84" s="208"/>
      <c r="L84" s="226"/>
    </row>
    <row r="85" spans="1:12">
      <c r="A85" s="23"/>
      <c r="B85" s="106" t="s">
        <v>5</v>
      </c>
      <c r="C85" s="945" t="s">
        <v>240</v>
      </c>
      <c r="D85" s="931"/>
      <c r="E85" s="931"/>
      <c r="F85" s="931"/>
      <c r="G85" s="931"/>
      <c r="H85" s="946"/>
      <c r="I85" s="215" t="s">
        <v>108</v>
      </c>
      <c r="J85" s="947" t="s">
        <v>241</v>
      </c>
      <c r="K85" s="948"/>
      <c r="L85" s="949"/>
    </row>
    <row r="86" spans="1:12">
      <c r="A86" s="23"/>
      <c r="B86" s="217">
        <v>1</v>
      </c>
      <c r="C86" s="251"/>
      <c r="D86" s="110"/>
      <c r="E86" s="116">
        <v>2</v>
      </c>
      <c r="F86" s="77"/>
      <c r="G86" s="944"/>
      <c r="H86" s="934"/>
      <c r="I86" s="110">
        <v>3</v>
      </c>
      <c r="J86" s="238" t="s">
        <v>242</v>
      </c>
      <c r="K86" s="950">
        <v>4</v>
      </c>
      <c r="L86" s="951"/>
    </row>
    <row r="87" spans="1:12" ht="15" customHeight="1">
      <c r="A87" s="23"/>
      <c r="B87" s="106"/>
      <c r="C87" s="251"/>
      <c r="D87" s="110"/>
      <c r="E87" s="116"/>
      <c r="F87" s="77"/>
      <c r="G87" s="944"/>
      <c r="H87" s="934"/>
      <c r="I87" s="235"/>
      <c r="J87" s="237"/>
      <c r="K87" s="944"/>
      <c r="L87" s="935"/>
    </row>
    <row r="88" spans="1:12">
      <c r="A88" s="23"/>
      <c r="B88" s="106"/>
      <c r="C88" s="251"/>
      <c r="D88" s="110"/>
      <c r="E88" s="116"/>
      <c r="F88" s="77"/>
      <c r="G88" s="944"/>
      <c r="H88" s="934"/>
      <c r="I88" s="235"/>
      <c r="J88" s="237"/>
      <c r="K88" s="944"/>
      <c r="L88" s="935"/>
    </row>
    <row r="89" spans="1:12">
      <c r="A89" s="23"/>
      <c r="B89" s="106"/>
      <c r="C89" s="251"/>
      <c r="D89" s="110"/>
      <c r="E89" s="116"/>
      <c r="F89" s="77"/>
      <c r="G89" s="944"/>
      <c r="H89" s="934"/>
      <c r="I89" s="235"/>
      <c r="J89" s="237"/>
      <c r="K89" s="944"/>
      <c r="L89" s="935"/>
    </row>
    <row r="90" spans="1:12">
      <c r="A90" s="23"/>
      <c r="B90" s="85"/>
      <c r="C90" s="251"/>
      <c r="D90" s="110"/>
      <c r="E90" s="116"/>
      <c r="F90" s="77"/>
      <c r="G90" s="944"/>
      <c r="H90" s="934"/>
      <c r="I90" s="235"/>
      <c r="J90" s="237"/>
      <c r="K90" s="944"/>
      <c r="L90" s="935"/>
    </row>
    <row r="91" spans="1:12">
      <c r="A91" s="23"/>
      <c r="B91" t="s">
        <v>246</v>
      </c>
      <c r="L91" s="24"/>
    </row>
    <row r="92" spans="1:12">
      <c r="A92" s="23"/>
      <c r="B92" t="s">
        <v>247</v>
      </c>
      <c r="L92" s="24"/>
    </row>
    <row r="93" spans="1:12">
      <c r="A93" s="23"/>
      <c r="B93" t="s">
        <v>248</v>
      </c>
      <c r="L93" s="24"/>
    </row>
    <row r="94" spans="1:12">
      <c r="A94" s="23"/>
      <c r="B94" t="s">
        <v>249</v>
      </c>
      <c r="L94" s="24"/>
    </row>
    <row r="95" spans="1:12">
      <c r="A95" s="23"/>
      <c r="B95" s="234" t="s">
        <v>243</v>
      </c>
      <c r="C95" s="77"/>
      <c r="D95" s="77"/>
      <c r="E95" s="77"/>
      <c r="F95" s="78"/>
      <c r="G95" s="234" t="s">
        <v>219</v>
      </c>
      <c r="H95" s="78"/>
      <c r="I95" s="234" t="s">
        <v>244</v>
      </c>
      <c r="J95" s="77"/>
      <c r="K95" s="78"/>
      <c r="L95" s="24"/>
    </row>
    <row r="96" spans="1:12">
      <c r="A96" s="23"/>
      <c r="B96" s="936"/>
      <c r="C96" s="943"/>
      <c r="D96" s="943"/>
      <c r="E96" s="943"/>
      <c r="F96" s="942"/>
      <c r="G96" s="936"/>
      <c r="H96" s="942"/>
      <c r="I96" s="936"/>
      <c r="J96" s="943"/>
      <c r="K96" s="942"/>
      <c r="L96" s="24"/>
    </row>
    <row r="97" spans="1:12">
      <c r="A97" s="23"/>
      <c r="B97" s="936"/>
      <c r="C97" s="943"/>
      <c r="D97" s="943"/>
      <c r="E97" s="943"/>
      <c r="F97" s="942"/>
      <c r="G97" s="936"/>
      <c r="H97" s="942"/>
      <c r="I97" s="936"/>
      <c r="J97" s="943"/>
      <c r="K97" s="942"/>
      <c r="L97" s="24"/>
    </row>
    <row r="98" spans="1:12">
      <c r="A98" s="23"/>
      <c r="B98" s="936"/>
      <c r="C98" s="943"/>
      <c r="D98" s="943"/>
      <c r="E98" s="943"/>
      <c r="F98" s="942"/>
      <c r="G98" s="936"/>
      <c r="H98" s="942"/>
      <c r="I98" s="936"/>
      <c r="J98" s="943"/>
      <c r="K98" s="942"/>
      <c r="L98" s="24"/>
    </row>
    <row r="99" spans="1:12">
      <c r="A99" s="23"/>
      <c r="B99" s="936"/>
      <c r="C99" s="943"/>
      <c r="D99" s="943"/>
      <c r="E99" s="943"/>
      <c r="F99" s="942"/>
      <c r="G99" s="936"/>
      <c r="H99" s="942"/>
      <c r="I99" s="936"/>
      <c r="J99" s="943"/>
      <c r="K99" s="942"/>
      <c r="L99" s="24"/>
    </row>
    <row r="100" spans="1:12">
      <c r="A100" s="23"/>
      <c r="L100" s="24"/>
    </row>
    <row r="101" spans="1:12">
      <c r="A101" s="23"/>
      <c r="B101" t="s">
        <v>216</v>
      </c>
      <c r="C101" s="332" t="e">
        <f>'4-22Master'!#REF!</f>
        <v>#REF!</v>
      </c>
      <c r="I101" t="s">
        <v>245</v>
      </c>
      <c r="L101" s="24"/>
    </row>
    <row r="102" spans="1:12" ht="27.95" customHeight="1">
      <c r="A102" s="23"/>
      <c r="F102" s="222" t="s">
        <v>211</v>
      </c>
      <c r="L102" s="24"/>
    </row>
    <row r="103" spans="1:12" ht="27.95" customHeight="1">
      <c r="A103" s="23" t="s">
        <v>212</v>
      </c>
      <c r="K103" s="272" t="e">
        <f>'4-22Master'!#REF!</f>
        <v>#REF!</v>
      </c>
      <c r="L103" s="24"/>
    </row>
    <row r="104" spans="1:12" ht="27.95" customHeight="1">
      <c r="A104" s="23" t="s">
        <v>213</v>
      </c>
      <c r="L104" s="24"/>
    </row>
    <row r="105" spans="1:12" ht="27.95" customHeight="1">
      <c r="A105" s="23"/>
      <c r="L105" s="24"/>
    </row>
    <row r="106" spans="1:12" ht="27.95" customHeight="1">
      <c r="A106" s="23"/>
      <c r="F106" t="s">
        <v>214</v>
      </c>
      <c r="L106" s="24"/>
    </row>
    <row r="107" spans="1:12" ht="27.95" customHeight="1">
      <c r="A107" s="23" t="s">
        <v>215</v>
      </c>
      <c r="B107" t="s">
        <v>379</v>
      </c>
      <c r="F107" t="str">
        <f>'4-22Master'!G5</f>
        <v>Burgeon IT Services Pvt.Ltd.</v>
      </c>
      <c r="L107" s="24"/>
    </row>
    <row r="108" spans="1:12" ht="27.95" customHeight="1" thickBot="1">
      <c r="A108" s="35" t="s">
        <v>216</v>
      </c>
      <c r="B108" s="335" t="e">
        <f>'4-22Master'!#REF!</f>
        <v>#REF!</v>
      </c>
      <c r="C108" s="33"/>
      <c r="D108" s="33"/>
      <c r="E108" s="33"/>
      <c r="F108" s="33" t="str">
        <f>'4-22Master'!G6</f>
        <v>Siri Mansion LIGB 436 Dr.A S Rao Nagar,Hyderabad</v>
      </c>
      <c r="G108" s="33"/>
      <c r="H108" s="33"/>
      <c r="I108" s="33"/>
      <c r="J108" s="33"/>
      <c r="K108" s="33"/>
      <c r="L108" s="34"/>
    </row>
    <row r="109" spans="1:12" ht="27.95" customHeight="1">
      <c r="A109" s="94"/>
      <c r="B109" s="95"/>
      <c r="C109" s="95"/>
      <c r="D109" s="227"/>
      <c r="E109" s="227"/>
      <c r="F109" s="227"/>
      <c r="G109" s="227"/>
      <c r="H109" s="227"/>
      <c r="I109" s="227"/>
      <c r="J109" s="95"/>
      <c r="K109" s="229" t="s">
        <v>230</v>
      </c>
      <c r="L109" s="228"/>
    </row>
    <row r="110" spans="1:12" ht="27.95" customHeight="1">
      <c r="A110" s="23"/>
      <c r="B110" s="952" t="s">
        <v>229</v>
      </c>
      <c r="C110" s="952"/>
      <c r="D110" s="952"/>
      <c r="E110" s="952"/>
      <c r="F110" s="952"/>
      <c r="G110" s="952"/>
      <c r="H110" s="952"/>
      <c r="I110" s="952"/>
      <c r="J110" s="952"/>
      <c r="K110" s="952"/>
      <c r="L110" s="953"/>
    </row>
    <row r="111" spans="1:12" ht="27.95" customHeight="1">
      <c r="A111" s="23"/>
      <c r="B111" s="927" t="s">
        <v>231</v>
      </c>
      <c r="C111" s="927"/>
      <c r="D111" s="927"/>
      <c r="E111" s="927"/>
      <c r="F111" s="927"/>
      <c r="G111" s="927"/>
      <c r="H111" s="927"/>
      <c r="I111" s="927"/>
      <c r="J111" s="927"/>
      <c r="K111" s="927"/>
      <c r="L111" s="954"/>
    </row>
    <row r="112" spans="1:12" ht="27.95" customHeight="1">
      <c r="A112" s="23"/>
      <c r="B112" s="230" t="s">
        <v>232</v>
      </c>
      <c r="C112" s="230"/>
      <c r="D112" s="230"/>
      <c r="E112" s="230"/>
      <c r="F112" s="230"/>
      <c r="H112" s="231"/>
      <c r="I112" s="231"/>
      <c r="J112" s="231"/>
      <c r="K112" s="231"/>
      <c r="L112" s="239"/>
    </row>
    <row r="113" spans="1:12" ht="27.95" customHeight="1">
      <c r="A113" s="23"/>
      <c r="B113" s="230"/>
      <c r="C113" s="230"/>
      <c r="D113" s="230"/>
      <c r="E113" s="230"/>
      <c r="F113" s="230"/>
      <c r="H113" s="231"/>
      <c r="I113" s="231"/>
      <c r="J113" s="231"/>
      <c r="K113" s="231"/>
      <c r="L113" s="239"/>
    </row>
    <row r="114" spans="1:12" ht="27.95" customHeight="1">
      <c r="A114" s="23"/>
      <c r="B114" s="807" t="s">
        <v>202</v>
      </c>
      <c r="C114" s="807"/>
      <c r="D114" s="807"/>
      <c r="E114" s="807"/>
      <c r="F114" s="807"/>
      <c r="G114" s="807"/>
      <c r="H114" s="816" t="e">
        <f>'4-22Master'!#REF!</f>
        <v>#REF!</v>
      </c>
      <c r="I114" s="809"/>
      <c r="J114" s="809"/>
      <c r="K114" s="809"/>
      <c r="L114" s="810"/>
    </row>
    <row r="115" spans="1:12" ht="27.95" customHeight="1">
      <c r="A115" s="23"/>
      <c r="B115" s="817" t="s">
        <v>203</v>
      </c>
      <c r="C115" s="817"/>
      <c r="D115" s="817"/>
      <c r="E115" s="817"/>
      <c r="F115" s="817"/>
      <c r="G115" s="817"/>
      <c r="H115" s="816" t="e">
        <f>'4-22Master'!#REF!</f>
        <v>#REF!</v>
      </c>
      <c r="I115" s="809"/>
      <c r="J115" s="809"/>
      <c r="K115" s="809"/>
      <c r="L115" s="810"/>
    </row>
    <row r="116" spans="1:12" ht="27.95" customHeight="1">
      <c r="A116" s="23"/>
      <c r="B116" s="807" t="s">
        <v>204</v>
      </c>
      <c r="C116" s="807"/>
      <c r="D116" s="807"/>
      <c r="E116" s="807"/>
      <c r="F116" s="807"/>
      <c r="G116" s="807"/>
      <c r="H116" s="816" t="e">
        <f>'4-22Master'!#REF!</f>
        <v>#REF!</v>
      </c>
      <c r="I116" s="809"/>
      <c r="J116" s="809"/>
      <c r="K116" s="809"/>
      <c r="L116" s="810"/>
    </row>
    <row r="117" spans="1:12" ht="27.95" customHeight="1">
      <c r="A117" s="23"/>
      <c r="B117" s="807" t="s">
        <v>205</v>
      </c>
      <c r="C117" s="807"/>
      <c r="D117" s="807"/>
      <c r="E117" s="807"/>
      <c r="F117" s="807"/>
      <c r="G117" s="807"/>
      <c r="H117" s="941" t="e">
        <f>'4-22Master'!#REF!</f>
        <v>#REF!</v>
      </c>
      <c r="I117" s="809"/>
      <c r="J117" s="809"/>
      <c r="K117" s="809"/>
      <c r="L117" s="810"/>
    </row>
    <row r="118" spans="1:12" ht="27.95" customHeight="1">
      <c r="A118" s="23"/>
      <c r="B118" s="106" t="s">
        <v>206</v>
      </c>
      <c r="C118" s="107"/>
      <c r="D118" s="107"/>
      <c r="E118" s="107"/>
      <c r="F118" s="107"/>
      <c r="G118" s="107"/>
      <c r="H118" s="938" t="s">
        <v>207</v>
      </c>
      <c r="I118" s="939"/>
      <c r="J118" s="939"/>
      <c r="K118" s="939"/>
      <c r="L118" s="940"/>
    </row>
    <row r="119" spans="1:12">
      <c r="A119" s="23"/>
      <c r="B119" s="106" t="s">
        <v>208</v>
      </c>
      <c r="C119" s="107"/>
      <c r="D119" s="107"/>
      <c r="E119" s="107"/>
      <c r="F119" s="107"/>
      <c r="G119" s="107"/>
    </row>
    <row r="120" spans="1:12">
      <c r="A120" s="23"/>
      <c r="B120" s="811" t="s">
        <v>209</v>
      </c>
      <c r="C120" s="811"/>
      <c r="D120" s="811"/>
      <c r="E120" s="811"/>
      <c r="F120" s="811"/>
      <c r="G120" s="811"/>
      <c r="H120" s="816" t="e">
        <f>'4-22Master'!#REF!</f>
        <v>#REF!</v>
      </c>
      <c r="I120" s="809"/>
      <c r="J120" s="809"/>
      <c r="K120" s="809"/>
      <c r="L120" s="809"/>
    </row>
    <row r="121" spans="1:12">
      <c r="A121" s="23"/>
      <c r="B121" s="807"/>
      <c r="C121" s="807"/>
      <c r="D121" s="807"/>
      <c r="E121" s="807"/>
      <c r="F121" s="807"/>
      <c r="G121" s="807"/>
      <c r="H121" s="816" t="e">
        <f>'4-22Master'!#REF!</f>
        <v>#REF!</v>
      </c>
      <c r="I121" s="809"/>
      <c r="J121" s="809"/>
      <c r="K121" s="809"/>
      <c r="L121" s="809"/>
    </row>
    <row r="122" spans="1:12">
      <c r="A122" s="23"/>
      <c r="B122" s="807"/>
      <c r="C122" s="807"/>
      <c r="D122" s="807"/>
      <c r="E122" s="807"/>
      <c r="F122" s="807"/>
      <c r="G122" s="807"/>
      <c r="H122" s="808" t="e">
        <f>'4-22Master'!#REF!</f>
        <v>#REF!</v>
      </c>
      <c r="I122" s="809"/>
      <c r="J122" s="809"/>
      <c r="K122" s="809"/>
      <c r="L122" s="810"/>
    </row>
    <row r="123" spans="1:12">
      <c r="A123" s="23"/>
      <c r="G123" s="4" t="s">
        <v>233</v>
      </c>
      <c r="H123" s="4"/>
      <c r="I123" s="4"/>
      <c r="J123" s="4"/>
      <c r="K123" s="4"/>
      <c r="L123" s="101"/>
    </row>
    <row r="124" spans="1:12">
      <c r="A124" s="23"/>
      <c r="B124" s="223" t="s">
        <v>217</v>
      </c>
      <c r="C124" s="219"/>
      <c r="D124" s="219"/>
      <c r="E124" s="219"/>
      <c r="F124" s="219"/>
      <c r="G124" s="219"/>
      <c r="H124" s="208"/>
      <c r="I124" s="208"/>
      <c r="J124" s="208"/>
      <c r="K124" s="208"/>
      <c r="L124" s="226"/>
    </row>
    <row r="125" spans="1:12">
      <c r="A125" s="23"/>
      <c r="B125" s="223" t="s">
        <v>218</v>
      </c>
      <c r="C125" s="219"/>
      <c r="D125" s="219"/>
      <c r="E125" s="219"/>
      <c r="F125" s="219"/>
      <c r="G125" s="219"/>
      <c r="H125" s="208"/>
      <c r="I125" s="208"/>
      <c r="J125" s="209"/>
      <c r="K125" s="208"/>
      <c r="L125" s="226"/>
    </row>
    <row r="126" spans="1:12" ht="45">
      <c r="A126" s="105"/>
      <c r="B126" s="106" t="s">
        <v>221</v>
      </c>
      <c r="C126" s="107"/>
      <c r="D126" s="236"/>
      <c r="E126" s="214" t="s">
        <v>223</v>
      </c>
      <c r="F126" s="78"/>
      <c r="G126" s="933" t="s">
        <v>222</v>
      </c>
      <c r="H126" s="934"/>
      <c r="I126" s="213" t="s">
        <v>219</v>
      </c>
      <c r="J126" s="216" t="s">
        <v>224</v>
      </c>
      <c r="K126" s="933" t="s">
        <v>220</v>
      </c>
      <c r="L126" s="935"/>
    </row>
    <row r="127" spans="1:12">
      <c r="A127" s="105"/>
      <c r="B127" s="217">
        <v>1</v>
      </c>
      <c r="C127" s="107"/>
      <c r="D127" s="107"/>
      <c r="E127" s="220">
        <v>2</v>
      </c>
      <c r="F127" s="111"/>
      <c r="G127" s="220">
        <v>3</v>
      </c>
      <c r="H127" s="236"/>
      <c r="I127" s="236">
        <v>4</v>
      </c>
      <c r="J127" s="129">
        <v>5</v>
      </c>
      <c r="K127" s="113"/>
      <c r="L127" s="114">
        <v>6</v>
      </c>
    </row>
    <row r="128" spans="1:12">
      <c r="A128" s="105"/>
      <c r="B128" s="106" t="e">
        <f>'4-22Master'!#REF!</f>
        <v>#REF!</v>
      </c>
      <c r="C128" s="232"/>
      <c r="D128" s="233"/>
      <c r="E128" s="234" t="s">
        <v>383</v>
      </c>
      <c r="F128" s="233"/>
      <c r="G128" s="234" t="s">
        <v>381</v>
      </c>
      <c r="H128" s="78"/>
      <c r="I128" s="19" t="s">
        <v>384</v>
      </c>
      <c r="J128" s="333">
        <v>1</v>
      </c>
      <c r="K128" s="235" t="s">
        <v>37</v>
      </c>
      <c r="L128" s="240"/>
    </row>
    <row r="129" spans="1:12">
      <c r="A129" s="105"/>
      <c r="B129" s="106"/>
      <c r="C129" s="232"/>
      <c r="D129" s="233"/>
      <c r="E129" s="234"/>
      <c r="F129" s="233"/>
      <c r="G129" s="234"/>
      <c r="H129" s="78"/>
      <c r="I129" s="19"/>
      <c r="J129" s="19"/>
      <c r="K129" s="235"/>
      <c r="L129" s="240"/>
    </row>
    <row r="130" spans="1:12">
      <c r="A130" s="105"/>
      <c r="B130" s="106"/>
      <c r="C130" s="232"/>
      <c r="D130" s="233"/>
      <c r="E130" s="234"/>
      <c r="F130" s="233"/>
      <c r="G130" s="234"/>
      <c r="H130" s="78"/>
      <c r="I130" s="19"/>
      <c r="J130" s="19"/>
      <c r="K130" s="235"/>
      <c r="L130" s="240"/>
    </row>
    <row r="131" spans="1:12">
      <c r="A131" s="105"/>
      <c r="B131" s="85"/>
      <c r="C131" s="27"/>
      <c r="D131" s="86"/>
      <c r="E131" s="234"/>
      <c r="F131" s="233"/>
      <c r="G131" s="234"/>
      <c r="H131" s="78"/>
      <c r="I131" s="19"/>
      <c r="J131" s="19"/>
      <c r="K131" s="235"/>
      <c r="L131" s="240"/>
    </row>
    <row r="132" spans="1:12">
      <c r="A132" s="105"/>
      <c r="B132" t="s">
        <v>225</v>
      </c>
      <c r="L132" s="24"/>
    </row>
    <row r="133" spans="1:12">
      <c r="A133" s="23"/>
      <c r="B133" t="s">
        <v>226</v>
      </c>
      <c r="L133" s="24"/>
    </row>
    <row r="134" spans="1:12">
      <c r="A134" s="23"/>
      <c r="B134" t="s">
        <v>237</v>
      </c>
      <c r="J134" t="s">
        <v>236</v>
      </c>
      <c r="L134" s="24"/>
    </row>
    <row r="135" spans="1:12">
      <c r="A135" s="23"/>
      <c r="G135" s="4" t="s">
        <v>234</v>
      </c>
      <c r="H135" s="4"/>
      <c r="I135" s="4"/>
      <c r="J135" s="4"/>
      <c r="K135" s="4"/>
      <c r="L135" s="101"/>
    </row>
    <row r="136" spans="1:12">
      <c r="A136" s="23"/>
      <c r="B136" s="4"/>
      <c r="G136" t="s">
        <v>235</v>
      </c>
      <c r="H136" s="4"/>
      <c r="I136" s="4"/>
      <c r="J136" s="4"/>
      <c r="K136" s="4"/>
      <c r="L136" s="101"/>
    </row>
    <row r="137" spans="1:12">
      <c r="A137" s="23"/>
      <c r="B137" s="223" t="s">
        <v>238</v>
      </c>
      <c r="C137" s="219"/>
      <c r="D137" s="219"/>
      <c r="E137" s="219"/>
      <c r="F137" s="219"/>
      <c r="G137" s="219"/>
      <c r="H137" s="208"/>
      <c r="I137" s="208"/>
      <c r="J137" s="208"/>
      <c r="K137" s="208"/>
      <c r="L137" s="226"/>
    </row>
    <row r="138" spans="1:12">
      <c r="A138" s="23"/>
      <c r="B138" s="223" t="s">
        <v>239</v>
      </c>
      <c r="C138" s="219"/>
      <c r="D138" s="219"/>
      <c r="E138" s="219"/>
      <c r="F138" s="219"/>
      <c r="G138" s="219"/>
      <c r="H138" s="208"/>
      <c r="I138" s="208"/>
      <c r="J138" s="209"/>
      <c r="K138" s="208"/>
      <c r="L138" s="226"/>
    </row>
    <row r="139" spans="1:12">
      <c r="A139" s="23"/>
      <c r="B139" s="106" t="s">
        <v>5</v>
      </c>
      <c r="C139" s="945" t="s">
        <v>240</v>
      </c>
      <c r="D139" s="931"/>
      <c r="E139" s="931"/>
      <c r="F139" s="931"/>
      <c r="G139" s="931"/>
      <c r="H139" s="946"/>
      <c r="I139" s="215" t="s">
        <v>108</v>
      </c>
      <c r="J139" s="947" t="s">
        <v>241</v>
      </c>
      <c r="K139" s="948"/>
      <c r="L139" s="949"/>
    </row>
    <row r="140" spans="1:12">
      <c r="A140" s="23"/>
      <c r="B140" s="217">
        <v>1</v>
      </c>
      <c r="C140" s="251"/>
      <c r="D140" s="110"/>
      <c r="E140" s="116">
        <v>2</v>
      </c>
      <c r="F140" s="77"/>
      <c r="G140" s="944"/>
      <c r="H140" s="934"/>
      <c r="I140" s="110">
        <v>3</v>
      </c>
      <c r="J140" s="238" t="s">
        <v>242</v>
      </c>
      <c r="K140" s="950">
        <v>4</v>
      </c>
      <c r="L140" s="951"/>
    </row>
    <row r="141" spans="1:12">
      <c r="A141" s="23"/>
      <c r="B141" s="106"/>
      <c r="C141" s="251"/>
      <c r="D141" s="110"/>
      <c r="E141" s="116"/>
      <c r="F141" s="77"/>
      <c r="G141" s="944"/>
      <c r="H141" s="934"/>
      <c r="I141" s="235"/>
      <c r="J141" s="237"/>
      <c r="K141" s="944"/>
      <c r="L141" s="935"/>
    </row>
    <row r="142" spans="1:12">
      <c r="A142" s="23"/>
      <c r="B142" s="106"/>
      <c r="C142" s="251"/>
      <c r="D142" s="110"/>
      <c r="E142" s="116"/>
      <c r="F142" s="77"/>
      <c r="G142" s="944"/>
      <c r="H142" s="934"/>
      <c r="I142" s="235"/>
      <c r="J142" s="237"/>
      <c r="K142" s="944"/>
      <c r="L142" s="935"/>
    </row>
    <row r="143" spans="1:12">
      <c r="A143" s="23"/>
      <c r="B143" s="106"/>
      <c r="C143" s="251"/>
      <c r="D143" s="110"/>
      <c r="E143" s="116"/>
      <c r="F143" s="77"/>
      <c r="G143" s="944"/>
      <c r="H143" s="934"/>
      <c r="I143" s="235"/>
      <c r="J143" s="237"/>
      <c r="K143" s="944"/>
      <c r="L143" s="935"/>
    </row>
    <row r="144" spans="1:12">
      <c r="A144" s="23"/>
      <c r="B144" s="85"/>
      <c r="C144" s="251"/>
      <c r="D144" s="110"/>
      <c r="E144" s="116"/>
      <c r="F144" s="77"/>
      <c r="G144" s="944"/>
      <c r="H144" s="934"/>
      <c r="I144" s="235"/>
      <c r="J144" s="237"/>
      <c r="K144" s="944"/>
      <c r="L144" s="935"/>
    </row>
    <row r="145" spans="1:12">
      <c r="A145" s="23"/>
      <c r="B145" t="s">
        <v>246</v>
      </c>
      <c r="L145" s="24"/>
    </row>
    <row r="146" spans="1:12">
      <c r="A146" s="23"/>
      <c r="B146" t="s">
        <v>247</v>
      </c>
      <c r="L146" s="24"/>
    </row>
    <row r="147" spans="1:12">
      <c r="A147" s="23"/>
      <c r="B147" t="s">
        <v>248</v>
      </c>
      <c r="L147" s="24"/>
    </row>
    <row r="148" spans="1:12">
      <c r="A148" s="23"/>
      <c r="B148" t="s">
        <v>249</v>
      </c>
      <c r="L148" s="24"/>
    </row>
    <row r="149" spans="1:12">
      <c r="A149" s="23"/>
      <c r="B149" s="234" t="s">
        <v>243</v>
      </c>
      <c r="C149" s="77"/>
      <c r="D149" s="77"/>
      <c r="E149" s="77"/>
      <c r="F149" s="78"/>
      <c r="G149" s="234" t="s">
        <v>219</v>
      </c>
      <c r="H149" s="78"/>
      <c r="I149" s="234" t="s">
        <v>244</v>
      </c>
      <c r="J149" s="77"/>
      <c r="K149" s="78"/>
      <c r="L149" s="24"/>
    </row>
    <row r="150" spans="1:12">
      <c r="A150" s="23"/>
      <c r="B150" s="936"/>
      <c r="C150" s="943"/>
      <c r="D150" s="943"/>
      <c r="E150" s="943"/>
      <c r="F150" s="942"/>
      <c r="G150" s="936"/>
      <c r="H150" s="942"/>
      <c r="I150" s="936"/>
      <c r="J150" s="943"/>
      <c r="K150" s="942"/>
      <c r="L150" s="24"/>
    </row>
    <row r="151" spans="1:12">
      <c r="A151" s="23"/>
      <c r="B151" s="936"/>
      <c r="C151" s="943"/>
      <c r="D151" s="943"/>
      <c r="E151" s="943"/>
      <c r="F151" s="942"/>
      <c r="G151" s="936"/>
      <c r="H151" s="942"/>
      <c r="I151" s="936"/>
      <c r="J151" s="943"/>
      <c r="K151" s="942"/>
      <c r="L151" s="24"/>
    </row>
    <row r="152" spans="1:12">
      <c r="A152" s="23"/>
      <c r="B152" s="936"/>
      <c r="C152" s="943"/>
      <c r="D152" s="943"/>
      <c r="E152" s="943"/>
      <c r="F152" s="942"/>
      <c r="G152" s="936"/>
      <c r="H152" s="942"/>
      <c r="I152" s="936"/>
      <c r="J152" s="943"/>
      <c r="K152" s="942"/>
      <c r="L152" s="24"/>
    </row>
    <row r="153" spans="1:12">
      <c r="A153" s="23"/>
      <c r="B153" s="936"/>
      <c r="C153" s="943"/>
      <c r="D153" s="943"/>
      <c r="E153" s="943"/>
      <c r="F153" s="942"/>
      <c r="G153" s="936"/>
      <c r="H153" s="942"/>
      <c r="I153" s="936"/>
      <c r="J153" s="943"/>
      <c r="K153" s="942"/>
      <c r="L153" s="24"/>
    </row>
    <row r="154" spans="1:12" ht="27.95" customHeight="1">
      <c r="A154" s="23"/>
      <c r="L154" s="24"/>
    </row>
    <row r="155" spans="1:12" ht="27.95" customHeight="1">
      <c r="A155" s="23"/>
      <c r="B155" t="s">
        <v>216</v>
      </c>
      <c r="C155" s="332" t="e">
        <f>'4-22Master'!#REF!</f>
        <v>#REF!</v>
      </c>
      <c r="I155" t="s">
        <v>245</v>
      </c>
      <c r="L155" s="24"/>
    </row>
    <row r="156" spans="1:12" ht="27.95" customHeight="1">
      <c r="A156" s="23"/>
      <c r="F156" s="222" t="s">
        <v>211</v>
      </c>
      <c r="L156" s="24"/>
    </row>
    <row r="157" spans="1:12" ht="27.95" customHeight="1">
      <c r="A157" s="23" t="s">
        <v>212</v>
      </c>
      <c r="L157" s="24"/>
    </row>
    <row r="158" spans="1:12" ht="27.95" customHeight="1">
      <c r="A158" s="23" t="s">
        <v>213</v>
      </c>
      <c r="L158" s="24"/>
    </row>
    <row r="159" spans="1:12" ht="27.95" customHeight="1">
      <c r="A159" s="23"/>
      <c r="L159" s="24"/>
    </row>
    <row r="160" spans="1:12" ht="27.95" customHeight="1">
      <c r="A160" s="23"/>
      <c r="F160" t="s">
        <v>214</v>
      </c>
      <c r="L160" s="24"/>
    </row>
    <row r="161" spans="1:12" ht="27.95" customHeight="1">
      <c r="A161" s="23" t="s">
        <v>215</v>
      </c>
      <c r="B161" t="s">
        <v>379</v>
      </c>
      <c r="F161" t="str">
        <f>'4-22Master'!G5</f>
        <v>Burgeon IT Services Pvt.Ltd.</v>
      </c>
      <c r="L161" s="24"/>
    </row>
    <row r="162" spans="1:12" ht="27.95" customHeight="1" thickBot="1">
      <c r="A162" s="35" t="s">
        <v>216</v>
      </c>
      <c r="B162" s="335" t="e">
        <f>'4-22Master'!#REF!</f>
        <v>#REF!</v>
      </c>
      <c r="C162" s="33"/>
      <c r="D162" s="33"/>
      <c r="E162" s="33"/>
      <c r="F162" s="33" t="str">
        <f>'4-22Master'!G6</f>
        <v>Siri Mansion LIGB 436 Dr.A S Rao Nagar,Hyderabad</v>
      </c>
      <c r="G162" s="33"/>
      <c r="H162" s="33"/>
      <c r="I162" s="33"/>
      <c r="J162" s="33"/>
      <c r="K162" s="33"/>
      <c r="L162" s="34"/>
    </row>
    <row r="163" spans="1:12" ht="27.95" customHeight="1">
      <c r="A163" s="94"/>
      <c r="B163" s="95"/>
      <c r="C163" s="95"/>
      <c r="D163" s="227"/>
      <c r="E163" s="227"/>
      <c r="F163" s="227"/>
      <c r="G163" s="227"/>
      <c r="H163" s="227"/>
      <c r="I163" s="227"/>
      <c r="J163" s="95"/>
      <c r="K163" s="229" t="s">
        <v>230</v>
      </c>
      <c r="L163" s="228"/>
    </row>
    <row r="164" spans="1:12" ht="27.95" customHeight="1">
      <c r="A164" s="23"/>
      <c r="B164" s="952" t="s">
        <v>229</v>
      </c>
      <c r="C164" s="952"/>
      <c r="D164" s="952"/>
      <c r="E164" s="952"/>
      <c r="F164" s="952"/>
      <c r="G164" s="952"/>
      <c r="H164" s="952"/>
      <c r="I164" s="952"/>
      <c r="J164" s="952"/>
      <c r="K164" s="952"/>
      <c r="L164" s="953"/>
    </row>
    <row r="165" spans="1:12" ht="27.95" customHeight="1">
      <c r="A165" s="23"/>
      <c r="B165" s="927" t="s">
        <v>231</v>
      </c>
      <c r="C165" s="927"/>
      <c r="D165" s="927"/>
      <c r="E165" s="927"/>
      <c r="F165" s="927"/>
      <c r="G165" s="927"/>
      <c r="H165" s="927"/>
      <c r="I165" s="927"/>
      <c r="J165" s="927"/>
      <c r="K165" s="927"/>
      <c r="L165" s="954"/>
    </row>
    <row r="166" spans="1:12" ht="27.95" customHeight="1">
      <c r="A166" s="23"/>
      <c r="B166" s="230" t="s">
        <v>232</v>
      </c>
      <c r="C166" s="230"/>
      <c r="D166" s="230"/>
      <c r="E166" s="230"/>
      <c r="F166" s="230"/>
      <c r="H166" s="231"/>
      <c r="I166" s="231"/>
      <c r="J166" s="231"/>
      <c r="K166" s="231"/>
      <c r="L166" s="239"/>
    </row>
    <row r="167" spans="1:12" ht="27.95" customHeight="1">
      <c r="A167" s="23"/>
      <c r="B167" s="230"/>
      <c r="C167" s="230"/>
      <c r="D167" s="230"/>
      <c r="E167" s="230"/>
      <c r="F167" s="230"/>
      <c r="H167" s="231"/>
      <c r="I167" s="231"/>
      <c r="J167" s="231"/>
      <c r="K167" s="231"/>
      <c r="L167" s="239"/>
    </row>
    <row r="168" spans="1:12" ht="27.95" customHeight="1">
      <c r="A168" s="23"/>
      <c r="B168" s="807" t="s">
        <v>202</v>
      </c>
      <c r="C168" s="807"/>
      <c r="D168" s="807"/>
      <c r="E168" s="807"/>
      <c r="F168" s="807"/>
      <c r="G168" s="807"/>
      <c r="H168" s="816" t="e">
        <f>'4-22Master'!#REF!</f>
        <v>#REF!</v>
      </c>
      <c r="I168" s="809"/>
      <c r="J168" s="809"/>
      <c r="K168" s="809"/>
      <c r="L168" s="810"/>
    </row>
    <row r="169" spans="1:12" ht="27.95" customHeight="1">
      <c r="A169" s="23"/>
      <c r="B169" s="817" t="s">
        <v>203</v>
      </c>
      <c r="C169" s="817"/>
      <c r="D169" s="817"/>
      <c r="E169" s="817"/>
      <c r="F169" s="817"/>
      <c r="G169" s="817"/>
      <c r="H169" s="816" t="e">
        <f>'4-22Master'!#REF!</f>
        <v>#REF!</v>
      </c>
      <c r="I169" s="809"/>
      <c r="J169" s="809"/>
      <c r="K169" s="809"/>
      <c r="L169" s="810"/>
    </row>
    <row r="170" spans="1:12" ht="27.95" customHeight="1">
      <c r="A170" s="23"/>
      <c r="B170" s="807" t="s">
        <v>204</v>
      </c>
      <c r="C170" s="807"/>
      <c r="D170" s="807"/>
      <c r="E170" s="807"/>
      <c r="F170" s="807"/>
      <c r="G170" s="807"/>
      <c r="H170" s="816" t="e">
        <f>'4-22Master'!#REF!</f>
        <v>#REF!</v>
      </c>
      <c r="I170" s="809"/>
      <c r="J170" s="809"/>
      <c r="K170" s="809"/>
      <c r="L170" s="810"/>
    </row>
    <row r="171" spans="1:12" ht="27.95" customHeight="1">
      <c r="A171" s="23"/>
      <c r="B171" s="807" t="s">
        <v>205</v>
      </c>
      <c r="C171" s="807"/>
      <c r="D171" s="807"/>
      <c r="E171" s="807"/>
      <c r="F171" s="807"/>
      <c r="G171" s="807"/>
      <c r="H171" s="941" t="e">
        <f>'4-22Master'!#REF!</f>
        <v>#REF!</v>
      </c>
      <c r="I171" s="809"/>
      <c r="J171" s="809"/>
      <c r="K171" s="809"/>
      <c r="L171" s="810"/>
    </row>
    <row r="172" spans="1:12">
      <c r="A172" s="23"/>
      <c r="B172" s="106" t="s">
        <v>206</v>
      </c>
      <c r="C172" s="107"/>
      <c r="D172" s="107"/>
      <c r="E172" s="107"/>
      <c r="F172" s="107"/>
      <c r="G172" s="107"/>
      <c r="H172" s="938" t="s">
        <v>207</v>
      </c>
      <c r="I172" s="939"/>
      <c r="J172" s="939"/>
      <c r="K172" s="939"/>
      <c r="L172" s="940"/>
    </row>
    <row r="173" spans="1:12">
      <c r="A173" s="23"/>
      <c r="B173" s="106" t="s">
        <v>208</v>
      </c>
      <c r="C173" s="107"/>
      <c r="D173" s="107"/>
      <c r="E173" s="107"/>
      <c r="F173" s="107"/>
      <c r="G173" s="107"/>
      <c r="H173" s="108"/>
      <c r="I173" s="110"/>
      <c r="J173" s="221"/>
      <c r="K173" s="110"/>
      <c r="L173" s="115"/>
    </row>
    <row r="174" spans="1:12">
      <c r="A174" s="23"/>
      <c r="B174" s="811" t="s">
        <v>209</v>
      </c>
      <c r="C174" s="811"/>
      <c r="D174" s="811"/>
      <c r="E174" s="811"/>
      <c r="F174" s="811"/>
      <c r="G174" s="811"/>
      <c r="H174" s="812" t="e">
        <f>'4-22Master'!#REF!</f>
        <v>#REF!</v>
      </c>
      <c r="I174" s="813"/>
      <c r="J174" s="813"/>
      <c r="K174" s="813"/>
      <c r="L174" s="814"/>
    </row>
    <row r="175" spans="1:12">
      <c r="A175" s="23"/>
      <c r="B175" s="807"/>
      <c r="C175" s="807"/>
      <c r="D175" s="807"/>
      <c r="E175" s="807"/>
      <c r="F175" s="807"/>
      <c r="G175" s="807"/>
      <c r="H175" s="808" t="e">
        <f>'4-22Master'!#REF!</f>
        <v>#REF!</v>
      </c>
      <c r="I175" s="809"/>
      <c r="J175" s="809"/>
      <c r="K175" s="809"/>
      <c r="L175" s="810"/>
    </row>
    <row r="176" spans="1:12">
      <c r="A176" s="23"/>
      <c r="B176" s="807"/>
      <c r="C176" s="807"/>
      <c r="D176" s="807"/>
      <c r="E176" s="807"/>
      <c r="F176" s="807"/>
      <c r="G176" s="807"/>
      <c r="H176" s="816" t="e">
        <f>'4-22Master'!#REF!</f>
        <v>#REF!</v>
      </c>
      <c r="I176" s="809"/>
      <c r="J176" s="809"/>
      <c r="K176" s="809"/>
      <c r="L176" s="810"/>
    </row>
    <row r="177" spans="1:12">
      <c r="A177" s="23"/>
      <c r="G177" s="4" t="s">
        <v>233</v>
      </c>
      <c r="H177" s="4"/>
      <c r="I177" s="4"/>
      <c r="J177" s="4"/>
      <c r="K177" s="4"/>
      <c r="L177" s="101"/>
    </row>
    <row r="178" spans="1:12">
      <c r="A178" s="23"/>
      <c r="B178" s="223" t="s">
        <v>217</v>
      </c>
      <c r="C178" s="219"/>
      <c r="D178" s="219"/>
      <c r="E178" s="219"/>
      <c r="F178" s="219"/>
      <c r="G178" s="219"/>
      <c r="H178" s="208"/>
      <c r="I178" s="208"/>
      <c r="J178" s="208"/>
      <c r="K178" s="208"/>
      <c r="L178" s="226"/>
    </row>
    <row r="179" spans="1:12">
      <c r="A179" s="23"/>
      <c r="B179" s="223" t="s">
        <v>218</v>
      </c>
      <c r="C179" s="219"/>
      <c r="D179" s="219"/>
      <c r="E179" s="219"/>
      <c r="F179" s="219"/>
      <c r="G179" s="219"/>
      <c r="H179" s="208"/>
      <c r="I179" s="208"/>
      <c r="J179" s="209"/>
      <c r="K179" s="208"/>
      <c r="L179" s="226"/>
    </row>
    <row r="180" spans="1:12" ht="45">
      <c r="A180" s="105"/>
      <c r="B180" s="106" t="s">
        <v>221</v>
      </c>
      <c r="C180" s="107"/>
      <c r="D180" s="236"/>
      <c r="E180" s="214" t="s">
        <v>223</v>
      </c>
      <c r="F180" s="78"/>
      <c r="G180" s="933" t="s">
        <v>222</v>
      </c>
      <c r="H180" s="934"/>
      <c r="I180" s="213" t="s">
        <v>219</v>
      </c>
      <c r="J180" s="216" t="s">
        <v>224</v>
      </c>
      <c r="K180" s="933" t="s">
        <v>220</v>
      </c>
      <c r="L180" s="935"/>
    </row>
    <row r="181" spans="1:12">
      <c r="A181" s="105"/>
      <c r="B181" s="217">
        <v>1</v>
      </c>
      <c r="C181" s="107"/>
      <c r="D181" s="107"/>
      <c r="E181" s="220">
        <v>2</v>
      </c>
      <c r="F181" s="111"/>
      <c r="G181" s="220">
        <v>3</v>
      </c>
      <c r="H181" s="236"/>
      <c r="I181" s="236">
        <v>4</v>
      </c>
      <c r="J181" s="129">
        <v>5</v>
      </c>
      <c r="K181" s="113"/>
      <c r="L181" s="114">
        <v>6</v>
      </c>
    </row>
    <row r="182" spans="1:12">
      <c r="A182" s="105"/>
      <c r="B182" s="106" t="e">
        <f>'4-22Master'!#REF!</f>
        <v>#REF!</v>
      </c>
      <c r="C182" s="232"/>
      <c r="D182" s="233"/>
      <c r="E182" s="234" t="s">
        <v>383</v>
      </c>
      <c r="F182" s="233"/>
      <c r="G182" s="234" t="s">
        <v>381</v>
      </c>
      <c r="H182" s="78"/>
      <c r="I182" s="19" t="s">
        <v>384</v>
      </c>
      <c r="J182" s="333">
        <v>1</v>
      </c>
      <c r="K182" s="235" t="s">
        <v>37</v>
      </c>
      <c r="L182" s="240"/>
    </row>
    <row r="183" spans="1:12">
      <c r="A183" s="105"/>
      <c r="B183" s="106"/>
      <c r="C183" s="232"/>
      <c r="D183" s="233"/>
      <c r="E183" s="234"/>
      <c r="F183" s="233"/>
      <c r="G183" s="234"/>
      <c r="H183" s="78"/>
      <c r="I183" s="19"/>
      <c r="J183" s="19"/>
      <c r="K183" s="235"/>
      <c r="L183" s="240"/>
    </row>
    <row r="184" spans="1:12">
      <c r="A184" s="105"/>
      <c r="B184" s="106"/>
      <c r="C184" s="232"/>
      <c r="D184" s="233"/>
      <c r="E184" s="234"/>
      <c r="F184" s="233"/>
      <c r="G184" s="234"/>
      <c r="H184" s="78"/>
      <c r="I184" s="19"/>
      <c r="J184" s="19"/>
      <c r="K184" s="235"/>
      <c r="L184" s="240"/>
    </row>
    <row r="185" spans="1:12">
      <c r="A185" s="105"/>
      <c r="B185" s="85"/>
      <c r="C185" s="27"/>
      <c r="D185" s="86"/>
      <c r="E185" s="234"/>
      <c r="F185" s="233"/>
      <c r="G185" s="234"/>
      <c r="H185" s="78"/>
      <c r="I185" s="19"/>
      <c r="J185" s="19"/>
      <c r="K185" s="235"/>
      <c r="L185" s="240"/>
    </row>
    <row r="186" spans="1:12">
      <c r="A186" s="105"/>
      <c r="B186" t="s">
        <v>225</v>
      </c>
      <c r="L186" s="24"/>
    </row>
    <row r="187" spans="1:12">
      <c r="A187" s="23"/>
      <c r="B187" t="s">
        <v>226</v>
      </c>
      <c r="L187" s="24"/>
    </row>
    <row r="188" spans="1:12">
      <c r="A188" s="23"/>
      <c r="B188" t="s">
        <v>237</v>
      </c>
      <c r="J188" t="s">
        <v>236</v>
      </c>
      <c r="L188" s="24"/>
    </row>
    <row r="189" spans="1:12">
      <c r="A189" s="23"/>
      <c r="G189" s="4" t="s">
        <v>234</v>
      </c>
      <c r="H189" s="4"/>
      <c r="I189" s="4"/>
      <c r="J189" s="4"/>
      <c r="K189" s="4"/>
      <c r="L189" s="101"/>
    </row>
    <row r="190" spans="1:12">
      <c r="A190" s="23"/>
      <c r="B190" s="4"/>
      <c r="G190" t="s">
        <v>235</v>
      </c>
      <c r="H190" s="4"/>
      <c r="I190" s="4"/>
      <c r="J190" s="4"/>
      <c r="K190" s="4"/>
      <c r="L190" s="101"/>
    </row>
    <row r="191" spans="1:12">
      <c r="A191" s="23"/>
      <c r="B191" s="223" t="s">
        <v>238</v>
      </c>
      <c r="C191" s="219"/>
      <c r="D191" s="219"/>
      <c r="E191" s="219"/>
      <c r="F191" s="219"/>
      <c r="G191" s="219"/>
      <c r="H191" s="208"/>
      <c r="I191" s="208"/>
      <c r="J191" s="208"/>
      <c r="K191" s="208"/>
      <c r="L191" s="226"/>
    </row>
    <row r="192" spans="1:12">
      <c r="A192" s="23"/>
      <c r="B192" s="223" t="s">
        <v>239</v>
      </c>
      <c r="C192" s="219"/>
      <c r="D192" s="219"/>
      <c r="E192" s="219"/>
      <c r="F192" s="219"/>
      <c r="G192" s="219"/>
      <c r="H192" s="208"/>
      <c r="I192" s="208"/>
      <c r="J192" s="209"/>
      <c r="K192" s="208"/>
      <c r="L192" s="226"/>
    </row>
    <row r="193" spans="1:12">
      <c r="A193" s="23"/>
      <c r="B193" s="106" t="s">
        <v>5</v>
      </c>
      <c r="C193" s="945" t="s">
        <v>240</v>
      </c>
      <c r="D193" s="931"/>
      <c r="E193" s="931"/>
      <c r="F193" s="931"/>
      <c r="G193" s="931"/>
      <c r="H193" s="946"/>
      <c r="I193" s="215" t="s">
        <v>108</v>
      </c>
      <c r="J193" s="947" t="s">
        <v>241</v>
      </c>
      <c r="K193" s="948"/>
      <c r="L193" s="949"/>
    </row>
    <row r="194" spans="1:12">
      <c r="A194" s="23"/>
      <c r="B194" s="217">
        <v>1</v>
      </c>
      <c r="C194" s="251"/>
      <c r="D194" s="110"/>
      <c r="E194" s="116">
        <v>2</v>
      </c>
      <c r="F194" s="77"/>
      <c r="G194" s="944"/>
      <c r="H194" s="934"/>
      <c r="I194" s="110">
        <v>3</v>
      </c>
      <c r="J194" s="238" t="s">
        <v>242</v>
      </c>
      <c r="K194" s="950">
        <v>4</v>
      </c>
      <c r="L194" s="951"/>
    </row>
    <row r="195" spans="1:12">
      <c r="A195" s="23"/>
      <c r="B195" s="106"/>
      <c r="C195" s="251"/>
      <c r="D195" s="110"/>
      <c r="E195" s="116"/>
      <c r="F195" s="77"/>
      <c r="G195" s="944"/>
      <c r="H195" s="934"/>
      <c r="I195" s="235"/>
      <c r="J195" s="237"/>
      <c r="K195" s="944"/>
      <c r="L195" s="935"/>
    </row>
    <row r="196" spans="1:12">
      <c r="A196" s="23"/>
      <c r="B196" s="106"/>
      <c r="C196" s="251"/>
      <c r="D196" s="110"/>
      <c r="E196" s="116"/>
      <c r="F196" s="77"/>
      <c r="G196" s="944"/>
      <c r="H196" s="934"/>
      <c r="I196" s="235"/>
      <c r="J196" s="237"/>
      <c r="K196" s="944"/>
      <c r="L196" s="935"/>
    </row>
    <row r="197" spans="1:12">
      <c r="A197" s="23"/>
      <c r="B197" s="106"/>
      <c r="C197" s="251"/>
      <c r="D197" s="110"/>
      <c r="E197" s="116"/>
      <c r="F197" s="77"/>
      <c r="G197" s="944"/>
      <c r="H197" s="934"/>
      <c r="I197" s="235"/>
      <c r="J197" s="237"/>
      <c r="K197" s="944"/>
      <c r="L197" s="935"/>
    </row>
    <row r="198" spans="1:12">
      <c r="A198" s="23"/>
      <c r="B198" s="85"/>
      <c r="C198" s="251"/>
      <c r="D198" s="110"/>
      <c r="E198" s="116"/>
      <c r="F198" s="77"/>
      <c r="G198" s="944"/>
      <c r="H198" s="934"/>
      <c r="I198" s="235"/>
      <c r="J198" s="237"/>
      <c r="K198" s="944"/>
      <c r="L198" s="935"/>
    </row>
    <row r="199" spans="1:12">
      <c r="A199" s="23"/>
      <c r="B199" t="s">
        <v>246</v>
      </c>
      <c r="L199" s="24"/>
    </row>
    <row r="200" spans="1:12">
      <c r="A200" s="23"/>
      <c r="B200" t="s">
        <v>247</v>
      </c>
      <c r="L200" s="24"/>
    </row>
    <row r="201" spans="1:12">
      <c r="A201" s="23"/>
      <c r="B201" t="s">
        <v>248</v>
      </c>
      <c r="L201" s="24"/>
    </row>
    <row r="202" spans="1:12">
      <c r="A202" s="23"/>
      <c r="B202" t="s">
        <v>249</v>
      </c>
      <c r="L202" s="24"/>
    </row>
    <row r="203" spans="1:12">
      <c r="A203" s="23"/>
      <c r="B203" s="234" t="s">
        <v>243</v>
      </c>
      <c r="C203" s="77"/>
      <c r="D203" s="77"/>
      <c r="E203" s="77"/>
      <c r="F203" s="78"/>
      <c r="G203" s="234" t="s">
        <v>219</v>
      </c>
      <c r="H203" s="78"/>
      <c r="I203" s="234" t="s">
        <v>244</v>
      </c>
      <c r="J203" s="77"/>
      <c r="K203" s="78"/>
      <c r="L203" s="24"/>
    </row>
    <row r="204" spans="1:12">
      <c r="A204" s="23"/>
      <c r="B204" s="936"/>
      <c r="C204" s="943"/>
      <c r="D204" s="943"/>
      <c r="E204" s="943"/>
      <c r="F204" s="942"/>
      <c r="G204" s="936"/>
      <c r="H204" s="942"/>
      <c r="I204" s="936"/>
      <c r="J204" s="943"/>
      <c r="K204" s="942"/>
      <c r="L204" s="24"/>
    </row>
    <row r="205" spans="1:12">
      <c r="A205" s="23"/>
      <c r="B205" s="936"/>
      <c r="C205" s="943"/>
      <c r="D205" s="943"/>
      <c r="E205" s="943"/>
      <c r="F205" s="942"/>
      <c r="G205" s="936"/>
      <c r="H205" s="942"/>
      <c r="I205" s="936"/>
      <c r="J205" s="943"/>
      <c r="K205" s="942"/>
      <c r="L205" s="24"/>
    </row>
    <row r="206" spans="1:12">
      <c r="A206" s="23"/>
      <c r="B206" s="936"/>
      <c r="C206" s="943"/>
      <c r="D206" s="943"/>
      <c r="E206" s="943"/>
      <c r="F206" s="942"/>
      <c r="G206" s="936"/>
      <c r="H206" s="942"/>
      <c r="I206" s="936"/>
      <c r="J206" s="943"/>
      <c r="K206" s="942"/>
      <c r="L206" s="24"/>
    </row>
    <row r="207" spans="1:12" ht="27.95" customHeight="1">
      <c r="A207" s="23"/>
      <c r="B207" s="936"/>
      <c r="C207" s="943"/>
      <c r="D207" s="943"/>
      <c r="E207" s="943"/>
      <c r="F207" s="942"/>
      <c r="G207" s="936"/>
      <c r="H207" s="942"/>
      <c r="I207" s="936"/>
      <c r="J207" s="943"/>
      <c r="K207" s="942"/>
      <c r="L207" s="24"/>
    </row>
    <row r="208" spans="1:12" ht="27.95" customHeight="1">
      <c r="A208" s="23"/>
      <c r="L208" s="24"/>
    </row>
    <row r="209" spans="1:12" ht="27.95" customHeight="1">
      <c r="A209" s="23"/>
      <c r="B209" t="s">
        <v>216</v>
      </c>
      <c r="C209" s="332" t="e">
        <f>'4-22Master'!#REF!</f>
        <v>#REF!</v>
      </c>
      <c r="I209" t="s">
        <v>245</v>
      </c>
      <c r="L209" s="24"/>
    </row>
    <row r="210" spans="1:12" ht="27.95" customHeight="1">
      <c r="A210" s="23"/>
      <c r="F210" s="222" t="s">
        <v>211</v>
      </c>
      <c r="L210" s="24"/>
    </row>
    <row r="211" spans="1:12" ht="27.95" customHeight="1">
      <c r="A211" s="23" t="s">
        <v>212</v>
      </c>
      <c r="K211" s="272" t="e">
        <f>'4-22Master'!#REF!</f>
        <v>#REF!</v>
      </c>
      <c r="L211" s="24"/>
    </row>
    <row r="212" spans="1:12" ht="27.95" customHeight="1">
      <c r="A212" s="23" t="s">
        <v>213</v>
      </c>
      <c r="L212" s="24"/>
    </row>
    <row r="213" spans="1:12" ht="27.95" customHeight="1">
      <c r="A213" s="23"/>
      <c r="L213" s="24"/>
    </row>
    <row r="214" spans="1:12" ht="27.95" customHeight="1">
      <c r="A214" s="23"/>
      <c r="F214" t="s">
        <v>214</v>
      </c>
      <c r="L214" s="24"/>
    </row>
    <row r="215" spans="1:12" ht="27.95" customHeight="1">
      <c r="A215" s="23" t="s">
        <v>215</v>
      </c>
      <c r="B215" t="s">
        <v>379</v>
      </c>
      <c r="F215" t="str">
        <f>'4-22Master'!G5</f>
        <v>Burgeon IT Services Pvt.Ltd.</v>
      </c>
      <c r="L215" s="24"/>
    </row>
    <row r="216" spans="1:12" ht="27.95" customHeight="1" thickBot="1">
      <c r="A216" s="35" t="s">
        <v>216</v>
      </c>
      <c r="B216" s="335" t="e">
        <f>'4-22Master'!#REF!</f>
        <v>#REF!</v>
      </c>
      <c r="C216" s="33"/>
      <c r="D216" s="33"/>
      <c r="E216" s="33"/>
      <c r="F216" s="33" t="str">
        <f>'4-22Master'!G6</f>
        <v>Siri Mansion LIGB 436 Dr.A S Rao Nagar,Hyderabad</v>
      </c>
      <c r="G216" s="33"/>
      <c r="H216" s="33"/>
      <c r="I216" s="33"/>
      <c r="J216" s="33"/>
      <c r="K216" s="33"/>
      <c r="L216" s="34"/>
    </row>
    <row r="217" spans="1:12" ht="27.95" customHeight="1">
      <c r="A217" s="94"/>
      <c r="B217" s="95"/>
      <c r="C217" s="95"/>
      <c r="D217" s="227"/>
      <c r="E217" s="227"/>
      <c r="F217" s="227"/>
      <c r="G217" s="227"/>
      <c r="H217" s="227"/>
      <c r="I217" s="227"/>
      <c r="J217" s="95"/>
      <c r="K217" s="229" t="s">
        <v>230</v>
      </c>
      <c r="L217" s="228"/>
    </row>
    <row r="218" spans="1:12" ht="27.95" customHeight="1">
      <c r="A218" s="23"/>
      <c r="B218" s="952" t="s">
        <v>229</v>
      </c>
      <c r="C218" s="952"/>
      <c r="D218" s="952"/>
      <c r="E218" s="952"/>
      <c r="F218" s="952"/>
      <c r="G218" s="952"/>
      <c r="H218" s="952"/>
      <c r="I218" s="952"/>
      <c r="J218" s="952"/>
      <c r="K218" s="952"/>
      <c r="L218" s="953"/>
    </row>
    <row r="219" spans="1:12" ht="27.95" customHeight="1">
      <c r="A219" s="23"/>
      <c r="B219" s="927" t="s">
        <v>231</v>
      </c>
      <c r="C219" s="927"/>
      <c r="D219" s="927"/>
      <c r="E219" s="927"/>
      <c r="F219" s="927"/>
      <c r="G219" s="927"/>
      <c r="H219" s="927"/>
      <c r="I219" s="927"/>
      <c r="J219" s="927"/>
      <c r="K219" s="927"/>
      <c r="L219" s="954"/>
    </row>
    <row r="220" spans="1:12" ht="27.95" customHeight="1">
      <c r="A220" s="23"/>
      <c r="B220" s="230" t="s">
        <v>232</v>
      </c>
      <c r="C220" s="230"/>
      <c r="D220" s="230"/>
      <c r="E220" s="230"/>
      <c r="F220" s="230"/>
      <c r="H220" s="231"/>
      <c r="I220" s="231"/>
      <c r="J220" s="231"/>
      <c r="K220" s="231"/>
      <c r="L220" s="239"/>
    </row>
    <row r="221" spans="1:12" ht="27.95" customHeight="1">
      <c r="A221" s="23"/>
      <c r="B221" s="230"/>
      <c r="C221" s="230"/>
      <c r="D221" s="230"/>
      <c r="E221" s="230"/>
      <c r="F221" s="230"/>
      <c r="H221" s="231"/>
      <c r="I221" s="231"/>
      <c r="J221" s="231"/>
      <c r="K221" s="231"/>
      <c r="L221" s="239"/>
    </row>
    <row r="222" spans="1:12" ht="27.95" customHeight="1">
      <c r="A222" s="23"/>
      <c r="B222" s="807" t="s">
        <v>202</v>
      </c>
      <c r="C222" s="807"/>
      <c r="D222" s="807"/>
      <c r="E222" s="807"/>
      <c r="F222" s="807"/>
      <c r="G222" s="807"/>
      <c r="H222" s="816" t="e">
        <f>'4-22Master'!#REF!</f>
        <v>#REF!</v>
      </c>
      <c r="I222" s="809"/>
      <c r="J222" s="809"/>
      <c r="K222" s="809"/>
      <c r="L222" s="810"/>
    </row>
    <row r="223" spans="1:12" ht="27.95" customHeight="1">
      <c r="A223" s="23"/>
      <c r="B223" s="817" t="s">
        <v>203</v>
      </c>
      <c r="C223" s="817"/>
      <c r="D223" s="817"/>
      <c r="E223" s="817"/>
      <c r="F223" s="817"/>
      <c r="G223" s="817"/>
      <c r="H223" s="816" t="e">
        <f>'4-22Master'!#REF!</f>
        <v>#REF!</v>
      </c>
      <c r="I223" s="809"/>
      <c r="J223" s="809"/>
      <c r="K223" s="809"/>
      <c r="L223" s="810"/>
    </row>
    <row r="224" spans="1:12" ht="27.95" customHeight="1">
      <c r="A224" s="23"/>
      <c r="B224" s="807" t="s">
        <v>204</v>
      </c>
      <c r="C224" s="807"/>
      <c r="D224" s="807"/>
      <c r="E224" s="807"/>
      <c r="F224" s="807"/>
      <c r="G224" s="807"/>
      <c r="H224" s="816" t="e">
        <f>'4-22Master'!#REF!</f>
        <v>#REF!</v>
      </c>
      <c r="I224" s="809"/>
      <c r="J224" s="809"/>
      <c r="K224" s="809"/>
      <c r="L224" s="810"/>
    </row>
    <row r="225" spans="1:12">
      <c r="A225" s="23"/>
      <c r="B225" s="807" t="s">
        <v>205</v>
      </c>
      <c r="C225" s="807"/>
      <c r="D225" s="807"/>
      <c r="E225" s="807"/>
      <c r="F225" s="807"/>
      <c r="G225" s="807"/>
      <c r="H225" s="941" t="e">
        <f>'4-22Master'!#REF!</f>
        <v>#REF!</v>
      </c>
      <c r="I225" s="809"/>
      <c r="J225" s="809"/>
      <c r="K225" s="809"/>
      <c r="L225" s="810"/>
    </row>
    <row r="226" spans="1:12">
      <c r="A226" s="23"/>
      <c r="B226" s="106" t="s">
        <v>206</v>
      </c>
      <c r="C226" s="107"/>
      <c r="D226" s="107"/>
      <c r="E226" s="107"/>
      <c r="F226" s="107"/>
      <c r="G226" s="107"/>
      <c r="H226" s="938" t="s">
        <v>207</v>
      </c>
      <c r="I226" s="939"/>
      <c r="J226" s="939"/>
      <c r="K226" s="939"/>
      <c r="L226" s="940"/>
    </row>
    <row r="227" spans="1:12">
      <c r="A227" s="23"/>
      <c r="B227" s="106" t="s">
        <v>208</v>
      </c>
      <c r="C227" s="107"/>
      <c r="D227" s="107"/>
      <c r="E227" s="107"/>
      <c r="F227" s="107"/>
      <c r="G227" s="107"/>
      <c r="H227" s="108"/>
      <c r="I227" s="110"/>
      <c r="J227" s="221"/>
      <c r="K227" s="110"/>
      <c r="L227" s="115"/>
    </row>
    <row r="228" spans="1:12">
      <c r="A228" s="23"/>
      <c r="B228" s="811" t="s">
        <v>209</v>
      </c>
      <c r="C228" s="811"/>
      <c r="D228" s="811"/>
      <c r="E228" s="811"/>
      <c r="F228" s="811"/>
      <c r="G228" s="811"/>
      <c r="H228" s="812" t="e">
        <f>'4-22Master'!#REF!</f>
        <v>#REF!</v>
      </c>
      <c r="I228" s="813"/>
      <c r="J228" s="813"/>
      <c r="K228" s="813"/>
      <c r="L228" s="814"/>
    </row>
    <row r="229" spans="1:12">
      <c r="A229" s="23"/>
      <c r="B229" s="807"/>
      <c r="C229" s="807"/>
      <c r="D229" s="807"/>
      <c r="E229" s="807"/>
      <c r="F229" s="807"/>
      <c r="G229" s="807"/>
      <c r="H229" s="808" t="e">
        <f>'4-22Master'!#REF!</f>
        <v>#REF!</v>
      </c>
      <c r="I229" s="809"/>
      <c r="J229" s="809"/>
      <c r="K229" s="809"/>
      <c r="L229" s="810"/>
    </row>
    <row r="230" spans="1:12">
      <c r="A230" s="23"/>
      <c r="B230" s="807"/>
      <c r="C230" s="807"/>
      <c r="D230" s="807"/>
      <c r="E230" s="807"/>
      <c r="F230" s="807"/>
      <c r="G230" s="807"/>
      <c r="H230" s="816" t="e">
        <f>'4-22Master'!#REF!</f>
        <v>#REF!</v>
      </c>
      <c r="I230" s="809"/>
      <c r="J230" s="809"/>
      <c r="K230" s="809"/>
      <c r="L230" s="810"/>
    </row>
    <row r="231" spans="1:12">
      <c r="A231" s="23"/>
      <c r="G231" s="4" t="s">
        <v>233</v>
      </c>
      <c r="H231" s="4"/>
      <c r="I231" s="4"/>
      <c r="J231" s="4"/>
      <c r="K231" s="4"/>
      <c r="L231" s="101"/>
    </row>
    <row r="232" spans="1:12">
      <c r="A232" s="23"/>
      <c r="B232" s="223" t="s">
        <v>217</v>
      </c>
      <c r="C232" s="219"/>
      <c r="D232" s="219"/>
      <c r="E232" s="219"/>
      <c r="F232" s="219"/>
      <c r="G232" s="219"/>
      <c r="H232" s="208"/>
      <c r="I232" s="208"/>
      <c r="J232" s="208"/>
      <c r="K232" s="208"/>
      <c r="L232" s="226"/>
    </row>
    <row r="233" spans="1:12">
      <c r="A233" s="23"/>
      <c r="B233" s="223" t="s">
        <v>218</v>
      </c>
      <c r="C233" s="219"/>
      <c r="D233" s="219"/>
      <c r="E233" s="219"/>
      <c r="F233" s="219"/>
      <c r="G233" s="219"/>
      <c r="H233" s="208"/>
      <c r="I233" s="208"/>
      <c r="J233" s="209"/>
      <c r="K233" s="208"/>
      <c r="L233" s="226"/>
    </row>
    <row r="234" spans="1:12" ht="45">
      <c r="A234" s="105"/>
      <c r="B234" s="106" t="s">
        <v>221</v>
      </c>
      <c r="C234" s="107"/>
      <c r="D234" s="236"/>
      <c r="E234" s="214" t="s">
        <v>223</v>
      </c>
      <c r="F234" s="78"/>
      <c r="G234" s="933" t="s">
        <v>222</v>
      </c>
      <c r="H234" s="934"/>
      <c r="I234" s="213" t="s">
        <v>219</v>
      </c>
      <c r="J234" s="216" t="s">
        <v>224</v>
      </c>
      <c r="K234" s="933" t="s">
        <v>220</v>
      </c>
      <c r="L234" s="935"/>
    </row>
    <row r="235" spans="1:12">
      <c r="A235" s="105"/>
      <c r="B235" s="217">
        <v>1</v>
      </c>
      <c r="C235" s="107"/>
      <c r="D235" s="107"/>
      <c r="E235" s="220">
        <v>2</v>
      </c>
      <c r="F235" s="111"/>
      <c r="G235" s="220">
        <v>3</v>
      </c>
      <c r="H235" s="236"/>
      <c r="I235" s="236">
        <v>4</v>
      </c>
      <c r="J235" s="129">
        <v>5</v>
      </c>
      <c r="K235" s="113"/>
      <c r="L235" s="114">
        <v>6</v>
      </c>
    </row>
    <row r="236" spans="1:12">
      <c r="A236" s="105"/>
      <c r="B236" s="106" t="e">
        <f>'4-22Master'!#REF!</f>
        <v>#REF!</v>
      </c>
      <c r="C236" s="232"/>
      <c r="D236" s="233"/>
      <c r="E236" s="234" t="s">
        <v>383</v>
      </c>
      <c r="F236" s="233"/>
      <c r="G236" s="234" t="s">
        <v>381</v>
      </c>
      <c r="H236" s="78"/>
      <c r="I236" s="19" t="s">
        <v>384</v>
      </c>
      <c r="J236" s="333">
        <v>1</v>
      </c>
      <c r="K236" s="235" t="s">
        <v>37</v>
      </c>
      <c r="L236" s="240"/>
    </row>
    <row r="237" spans="1:12">
      <c r="A237" s="105"/>
      <c r="B237" s="106"/>
      <c r="C237" s="232"/>
      <c r="D237" s="233"/>
      <c r="E237" s="234"/>
      <c r="F237" s="233"/>
      <c r="G237" s="234"/>
      <c r="H237" s="78"/>
      <c r="I237" s="19"/>
      <c r="J237" s="19"/>
      <c r="K237" s="235"/>
      <c r="L237" s="240"/>
    </row>
    <row r="238" spans="1:12">
      <c r="A238" s="105"/>
      <c r="B238" s="106"/>
      <c r="C238" s="232"/>
      <c r="D238" s="233"/>
      <c r="E238" s="234"/>
      <c r="F238" s="233"/>
      <c r="G238" s="234"/>
      <c r="H238" s="78"/>
      <c r="I238" s="19"/>
      <c r="J238" s="19"/>
      <c r="K238" s="235"/>
      <c r="L238" s="240"/>
    </row>
    <row r="239" spans="1:12">
      <c r="A239" s="105"/>
      <c r="B239" s="85"/>
      <c r="C239" s="27"/>
      <c r="D239" s="86"/>
      <c r="E239" s="234"/>
      <c r="F239" s="233"/>
      <c r="G239" s="234"/>
      <c r="H239" s="78"/>
      <c r="I239" s="19"/>
      <c r="J239" s="19"/>
      <c r="K239" s="235"/>
      <c r="L239" s="240"/>
    </row>
    <row r="240" spans="1:12">
      <c r="A240" s="105"/>
      <c r="B240" t="s">
        <v>225</v>
      </c>
      <c r="L240" s="24"/>
    </row>
    <row r="241" spans="1:12">
      <c r="A241" s="23"/>
      <c r="B241" t="s">
        <v>226</v>
      </c>
      <c r="L241" s="24"/>
    </row>
    <row r="242" spans="1:12">
      <c r="A242" s="23"/>
      <c r="B242" t="s">
        <v>237</v>
      </c>
      <c r="J242" t="s">
        <v>236</v>
      </c>
      <c r="L242" s="24"/>
    </row>
    <row r="243" spans="1:12">
      <c r="A243" s="23"/>
      <c r="G243" s="4" t="s">
        <v>234</v>
      </c>
      <c r="H243" s="4"/>
      <c r="I243" s="4"/>
      <c r="J243" s="4"/>
      <c r="K243" s="4"/>
      <c r="L243" s="101"/>
    </row>
    <row r="244" spans="1:12">
      <c r="A244" s="23"/>
      <c r="B244" s="4"/>
      <c r="G244" t="s">
        <v>235</v>
      </c>
      <c r="H244" s="4"/>
      <c r="I244" s="4"/>
      <c r="J244" s="4"/>
      <c r="K244" s="4"/>
      <c r="L244" s="101"/>
    </row>
    <row r="245" spans="1:12">
      <c r="A245" s="23"/>
      <c r="B245" s="223" t="s">
        <v>238</v>
      </c>
      <c r="C245" s="219"/>
      <c r="D245" s="219"/>
      <c r="E245" s="219"/>
      <c r="F245" s="219"/>
      <c r="G245" s="219"/>
      <c r="H245" s="208"/>
      <c r="I245" s="208"/>
      <c r="J245" s="208"/>
      <c r="K245" s="208"/>
      <c r="L245" s="226"/>
    </row>
    <row r="246" spans="1:12">
      <c r="A246" s="23"/>
      <c r="B246" s="223" t="s">
        <v>239</v>
      </c>
      <c r="C246" s="219"/>
      <c r="D246" s="219"/>
      <c r="E246" s="219"/>
      <c r="F246" s="219"/>
      <c r="G246" s="219"/>
      <c r="H246" s="208"/>
      <c r="I246" s="208"/>
      <c r="J246" s="209"/>
      <c r="K246" s="208"/>
      <c r="L246" s="226"/>
    </row>
    <row r="247" spans="1:12">
      <c r="A247" s="23"/>
      <c r="B247" s="106" t="s">
        <v>5</v>
      </c>
      <c r="C247" s="945" t="s">
        <v>240</v>
      </c>
      <c r="D247" s="931"/>
      <c r="E247" s="931"/>
      <c r="F247" s="931"/>
      <c r="G247" s="931"/>
      <c r="H247" s="946"/>
      <c r="I247" s="215" t="s">
        <v>108</v>
      </c>
      <c r="J247" s="947" t="s">
        <v>241</v>
      </c>
      <c r="K247" s="948"/>
      <c r="L247" s="949"/>
    </row>
    <row r="248" spans="1:12">
      <c r="A248" s="23"/>
      <c r="B248" s="217">
        <v>1</v>
      </c>
      <c r="C248" s="251"/>
      <c r="D248" s="110"/>
      <c r="E248" s="116">
        <v>2</v>
      </c>
      <c r="F248" s="77"/>
      <c r="G248" s="944"/>
      <c r="H248" s="934"/>
      <c r="I248" s="110">
        <v>3</v>
      </c>
      <c r="J248" s="238" t="s">
        <v>242</v>
      </c>
      <c r="K248" s="950">
        <v>4</v>
      </c>
      <c r="L248" s="951"/>
    </row>
    <row r="249" spans="1:12">
      <c r="A249" s="23"/>
      <c r="B249" s="106"/>
      <c r="C249" s="251"/>
      <c r="D249" s="110"/>
      <c r="E249" s="116"/>
      <c r="F249" s="77"/>
      <c r="G249" s="944"/>
      <c r="H249" s="934"/>
      <c r="I249" s="235"/>
      <c r="J249" s="237"/>
      <c r="K249" s="944"/>
      <c r="L249" s="935"/>
    </row>
    <row r="250" spans="1:12">
      <c r="A250" s="23"/>
      <c r="B250" s="106"/>
      <c r="C250" s="251"/>
      <c r="D250" s="110"/>
      <c r="E250" s="116"/>
      <c r="F250" s="77"/>
      <c r="G250" s="944"/>
      <c r="H250" s="934"/>
      <c r="I250" s="235"/>
      <c r="J250" s="237"/>
      <c r="K250" s="944"/>
      <c r="L250" s="935"/>
    </row>
    <row r="251" spans="1:12">
      <c r="A251" s="23"/>
      <c r="B251" s="106"/>
      <c r="C251" s="251"/>
      <c r="D251" s="110"/>
      <c r="E251" s="116"/>
      <c r="F251" s="77"/>
      <c r="G251" s="944"/>
      <c r="H251" s="934"/>
      <c r="I251" s="235"/>
      <c r="J251" s="237"/>
      <c r="K251" s="944"/>
      <c r="L251" s="935"/>
    </row>
    <row r="252" spans="1:12">
      <c r="A252" s="23"/>
      <c r="B252" s="85"/>
      <c r="C252" s="251"/>
      <c r="D252" s="110"/>
      <c r="E252" s="116"/>
      <c r="F252" s="77"/>
      <c r="G252" s="944"/>
      <c r="H252" s="934"/>
      <c r="I252" s="235"/>
      <c r="J252" s="237"/>
      <c r="K252" s="944"/>
      <c r="L252" s="935"/>
    </row>
    <row r="253" spans="1:12">
      <c r="A253" s="23"/>
      <c r="B253" t="s">
        <v>246</v>
      </c>
      <c r="L253" s="24"/>
    </row>
    <row r="254" spans="1:12">
      <c r="A254" s="23"/>
      <c r="B254" t="s">
        <v>247</v>
      </c>
      <c r="L254" s="24"/>
    </row>
    <row r="255" spans="1:12">
      <c r="A255" s="23"/>
      <c r="B255" t="s">
        <v>248</v>
      </c>
      <c r="L255" s="24"/>
    </row>
    <row r="256" spans="1:12">
      <c r="A256" s="23"/>
      <c r="B256" t="s">
        <v>249</v>
      </c>
      <c r="L256" s="24"/>
    </row>
    <row r="257" spans="1:12">
      <c r="A257" s="23"/>
      <c r="B257" s="234" t="s">
        <v>243</v>
      </c>
      <c r="C257" s="77"/>
      <c r="D257" s="77"/>
      <c r="E257" s="77"/>
      <c r="F257" s="78"/>
      <c r="G257" s="234" t="s">
        <v>219</v>
      </c>
      <c r="H257" s="78"/>
      <c r="I257" s="234" t="s">
        <v>244</v>
      </c>
      <c r="J257" s="77"/>
      <c r="K257" s="78"/>
      <c r="L257" s="24"/>
    </row>
    <row r="258" spans="1:12">
      <c r="A258" s="23"/>
      <c r="B258" s="936"/>
      <c r="C258" s="943"/>
      <c r="D258" s="943"/>
      <c r="E258" s="943"/>
      <c r="F258" s="942"/>
      <c r="G258" s="936"/>
      <c r="H258" s="942"/>
      <c r="I258" s="936"/>
      <c r="J258" s="943"/>
      <c r="K258" s="942"/>
      <c r="L258" s="24"/>
    </row>
    <row r="259" spans="1:12">
      <c r="A259" s="23"/>
      <c r="B259" s="936"/>
      <c r="C259" s="943"/>
      <c r="D259" s="943"/>
      <c r="E259" s="943"/>
      <c r="F259" s="942"/>
      <c r="G259" s="936"/>
      <c r="H259" s="942"/>
      <c r="I259" s="936"/>
      <c r="J259" s="943"/>
      <c r="K259" s="942"/>
      <c r="L259" s="24"/>
    </row>
    <row r="260" spans="1:12" ht="27.95" customHeight="1">
      <c r="A260" s="23"/>
      <c r="B260" s="936"/>
      <c r="C260" s="943"/>
      <c r="D260" s="943"/>
      <c r="E260" s="943"/>
      <c r="F260" s="942"/>
      <c r="G260" s="936"/>
      <c r="H260" s="942"/>
      <c r="I260" s="936"/>
      <c r="J260" s="943"/>
      <c r="K260" s="942"/>
      <c r="L260" s="24"/>
    </row>
    <row r="261" spans="1:12" ht="27.95" customHeight="1">
      <c r="A261" s="23"/>
      <c r="B261" s="936"/>
      <c r="C261" s="943"/>
      <c r="D261" s="943"/>
      <c r="E261" s="943"/>
      <c r="F261" s="942"/>
      <c r="G261" s="936"/>
      <c r="H261" s="942"/>
      <c r="I261" s="936"/>
      <c r="J261" s="943"/>
      <c r="K261" s="942"/>
      <c r="L261" s="24"/>
    </row>
    <row r="262" spans="1:12" ht="27.95" customHeight="1">
      <c r="A262" s="23"/>
      <c r="L262" s="24"/>
    </row>
    <row r="263" spans="1:12" ht="27.95" customHeight="1">
      <c r="A263" s="23"/>
      <c r="B263" t="s">
        <v>216</v>
      </c>
      <c r="C263" s="332" t="e">
        <f>'4-22Master'!#REF!</f>
        <v>#REF!</v>
      </c>
      <c r="I263" t="s">
        <v>245</v>
      </c>
      <c r="L263" s="24"/>
    </row>
    <row r="264" spans="1:12" ht="27.95" customHeight="1">
      <c r="A264" s="23"/>
      <c r="F264" s="222" t="s">
        <v>211</v>
      </c>
      <c r="L264" s="24"/>
    </row>
    <row r="265" spans="1:12" ht="27.95" customHeight="1">
      <c r="A265" s="23" t="s">
        <v>212</v>
      </c>
      <c r="K265" s="272" t="e">
        <f>'4-22Master'!#REF!</f>
        <v>#REF!</v>
      </c>
      <c r="L265" s="24"/>
    </row>
    <row r="266" spans="1:12" ht="27.95" customHeight="1">
      <c r="A266" s="23" t="s">
        <v>213</v>
      </c>
      <c r="L266" s="24"/>
    </row>
    <row r="267" spans="1:12" ht="27.95" customHeight="1">
      <c r="A267" s="23"/>
      <c r="L267" s="24"/>
    </row>
    <row r="268" spans="1:12" ht="27.95" customHeight="1">
      <c r="A268" s="23"/>
      <c r="F268" t="s">
        <v>214</v>
      </c>
      <c r="L268" s="24"/>
    </row>
    <row r="269" spans="1:12" ht="27.95" customHeight="1">
      <c r="A269" s="23" t="s">
        <v>215</v>
      </c>
      <c r="B269" t="s">
        <v>379</v>
      </c>
      <c r="F269" s="292" t="str">
        <f>'4-22Master'!G5</f>
        <v>Burgeon IT Services Pvt.Ltd.</v>
      </c>
      <c r="L269" s="24"/>
    </row>
    <row r="270" spans="1:12" ht="27.95" customHeight="1" thickBot="1">
      <c r="A270" s="35" t="s">
        <v>216</v>
      </c>
      <c r="B270" s="335" t="e">
        <f>'4-22Master'!#REF!</f>
        <v>#REF!</v>
      </c>
      <c r="C270" s="33"/>
      <c r="D270" s="33"/>
      <c r="E270" s="33"/>
      <c r="F270" s="33" t="str">
        <f>'4-22Master'!G6</f>
        <v>Siri Mansion LIGB 436 Dr.A S Rao Nagar,Hyderabad</v>
      </c>
      <c r="G270" s="33"/>
      <c r="H270" s="33"/>
      <c r="I270" s="33"/>
      <c r="J270" s="33"/>
      <c r="K270" s="33"/>
      <c r="L270" s="34"/>
    </row>
    <row r="271" spans="1:12" ht="27.95" customHeight="1">
      <c r="A271" s="94"/>
      <c r="B271" s="95"/>
      <c r="C271" s="95"/>
      <c r="D271" s="227"/>
      <c r="E271" s="227"/>
      <c r="F271" s="227"/>
      <c r="G271" s="227"/>
      <c r="H271" s="227"/>
      <c r="I271" s="227"/>
      <c r="J271" s="95"/>
      <c r="K271" s="229" t="s">
        <v>230</v>
      </c>
      <c r="L271" s="228"/>
    </row>
    <row r="272" spans="1:12" ht="27.95" customHeight="1">
      <c r="A272" s="23"/>
      <c r="B272" s="952" t="s">
        <v>229</v>
      </c>
      <c r="C272" s="952"/>
      <c r="D272" s="952"/>
      <c r="E272" s="952"/>
      <c r="F272" s="952"/>
      <c r="G272" s="952"/>
      <c r="H272" s="952"/>
      <c r="I272" s="952"/>
      <c r="J272" s="952"/>
      <c r="K272" s="952"/>
      <c r="L272" s="953"/>
    </row>
    <row r="273" spans="1:12" ht="27.95" customHeight="1">
      <c r="A273" s="23"/>
      <c r="B273" s="927" t="s">
        <v>231</v>
      </c>
      <c r="C273" s="927"/>
      <c r="D273" s="927"/>
      <c r="E273" s="927"/>
      <c r="F273" s="927"/>
      <c r="G273" s="927"/>
      <c r="H273" s="927"/>
      <c r="I273" s="927"/>
      <c r="J273" s="927"/>
      <c r="K273" s="927"/>
      <c r="L273" s="954"/>
    </row>
    <row r="274" spans="1:12" ht="27.95" customHeight="1">
      <c r="A274" s="23"/>
      <c r="B274" s="230" t="s">
        <v>232</v>
      </c>
      <c r="C274" s="230"/>
      <c r="D274" s="230"/>
      <c r="E274" s="230"/>
      <c r="F274" s="230"/>
      <c r="H274" s="231"/>
      <c r="I274" s="231"/>
      <c r="J274" s="231"/>
      <c r="K274" s="231"/>
      <c r="L274" s="239"/>
    </row>
    <row r="275" spans="1:12" ht="27.95" customHeight="1">
      <c r="A275" s="23"/>
      <c r="B275" s="807" t="s">
        <v>202</v>
      </c>
      <c r="C275" s="807"/>
      <c r="D275" s="807"/>
      <c r="E275" s="807"/>
      <c r="F275" s="807"/>
      <c r="G275" s="807"/>
      <c r="H275" s="816" t="e">
        <f>'4-22Master'!#REF!</f>
        <v>#REF!</v>
      </c>
      <c r="I275" s="809"/>
      <c r="J275" s="809"/>
      <c r="K275" s="809"/>
      <c r="L275" s="810"/>
    </row>
    <row r="276" spans="1:12" ht="27.95" customHeight="1">
      <c r="A276" s="23"/>
      <c r="B276" s="817" t="s">
        <v>203</v>
      </c>
      <c r="C276" s="817"/>
      <c r="D276" s="817"/>
      <c r="E276" s="817"/>
      <c r="F276" s="817"/>
      <c r="G276" s="817"/>
      <c r="H276" s="816" t="e">
        <f>'4-22Master'!#REF!</f>
        <v>#REF!</v>
      </c>
      <c r="I276" s="809"/>
      <c r="J276" s="809"/>
      <c r="K276" s="809"/>
      <c r="L276" s="810"/>
    </row>
    <row r="277" spans="1:12">
      <c r="A277" s="23"/>
      <c r="B277" s="807" t="s">
        <v>204</v>
      </c>
      <c r="C277" s="807"/>
      <c r="D277" s="807"/>
      <c r="E277" s="807"/>
      <c r="F277" s="807"/>
      <c r="G277" s="807"/>
      <c r="H277" s="816" t="e">
        <f>'4-22Master'!#REF!</f>
        <v>#REF!</v>
      </c>
      <c r="I277" s="809"/>
      <c r="J277" s="809"/>
      <c r="K277" s="809"/>
      <c r="L277" s="810"/>
    </row>
    <row r="278" spans="1:12">
      <c r="A278" s="23"/>
      <c r="B278" s="807" t="s">
        <v>205</v>
      </c>
      <c r="C278" s="807"/>
      <c r="D278" s="807"/>
      <c r="E278" s="807"/>
      <c r="F278" s="807"/>
      <c r="G278" s="807"/>
      <c r="H278" s="941" t="e">
        <f>'4-22Master'!#REF!</f>
        <v>#REF!</v>
      </c>
      <c r="I278" s="809"/>
      <c r="J278" s="809"/>
      <c r="K278" s="809"/>
      <c r="L278" s="810"/>
    </row>
    <row r="279" spans="1:12">
      <c r="A279" s="23"/>
      <c r="B279" s="106" t="s">
        <v>206</v>
      </c>
      <c r="C279" s="107"/>
      <c r="D279" s="107"/>
      <c r="E279" s="107"/>
      <c r="F279" s="107"/>
      <c r="G279" s="107"/>
      <c r="H279" s="938" t="s">
        <v>207</v>
      </c>
      <c r="I279" s="939"/>
      <c r="J279" s="939"/>
      <c r="K279" s="939"/>
      <c r="L279" s="940"/>
    </row>
    <row r="280" spans="1:12">
      <c r="A280" s="23"/>
      <c r="B280" s="106" t="s">
        <v>208</v>
      </c>
      <c r="C280" s="107"/>
      <c r="D280" s="107"/>
      <c r="E280" s="107"/>
      <c r="F280" s="107"/>
      <c r="G280" s="107"/>
      <c r="H280" s="108"/>
      <c r="I280" s="110"/>
      <c r="J280" s="221"/>
      <c r="K280" s="110"/>
      <c r="L280" s="115"/>
    </row>
    <row r="281" spans="1:12">
      <c r="A281" s="23"/>
      <c r="B281" s="811" t="s">
        <v>209</v>
      </c>
      <c r="C281" s="811"/>
      <c r="D281" s="811"/>
      <c r="E281" s="811"/>
      <c r="F281" s="811"/>
      <c r="G281" s="811"/>
      <c r="H281" s="812" t="e">
        <f>'4-22Master'!#REF!</f>
        <v>#REF!</v>
      </c>
      <c r="I281" s="813"/>
      <c r="J281" s="813"/>
      <c r="K281" s="813"/>
      <c r="L281" s="814"/>
    </row>
    <row r="282" spans="1:12">
      <c r="A282" s="23"/>
      <c r="B282" s="807"/>
      <c r="C282" s="807"/>
      <c r="D282" s="807"/>
      <c r="E282" s="807"/>
      <c r="F282" s="807"/>
      <c r="G282" s="807"/>
      <c r="H282" s="808" t="e">
        <f>'4-22Master'!#REF!</f>
        <v>#REF!</v>
      </c>
      <c r="I282" s="809"/>
      <c r="J282" s="809"/>
      <c r="K282" s="809"/>
      <c r="L282" s="810"/>
    </row>
    <row r="283" spans="1:12">
      <c r="A283" s="23"/>
      <c r="B283" s="807"/>
      <c r="C283" s="807"/>
      <c r="D283" s="807"/>
      <c r="E283" s="807"/>
      <c r="F283" s="807"/>
      <c r="G283" s="807"/>
      <c r="H283" s="816" t="e">
        <f>'4-22Master'!#REF!</f>
        <v>#REF!</v>
      </c>
      <c r="I283" s="809"/>
      <c r="J283" s="809"/>
      <c r="K283" s="809"/>
      <c r="L283" s="810"/>
    </row>
    <row r="284" spans="1:12">
      <c r="A284" s="23"/>
      <c r="G284" s="4" t="s">
        <v>233</v>
      </c>
      <c r="H284" s="4"/>
      <c r="I284" s="4"/>
      <c r="J284" s="4"/>
      <c r="K284" s="4"/>
      <c r="L284" s="101"/>
    </row>
    <row r="285" spans="1:12">
      <c r="A285" s="23"/>
      <c r="B285" s="223" t="s">
        <v>217</v>
      </c>
      <c r="C285" s="219"/>
      <c r="D285" s="219"/>
      <c r="E285" s="219"/>
      <c r="F285" s="219"/>
      <c r="G285" s="219"/>
      <c r="H285" s="208"/>
      <c r="I285" s="208"/>
      <c r="J285" s="208"/>
      <c r="K285" s="208"/>
      <c r="L285" s="226"/>
    </row>
    <row r="286" spans="1:12">
      <c r="A286" s="23"/>
      <c r="B286" s="223" t="s">
        <v>218</v>
      </c>
      <c r="C286" s="219"/>
      <c r="D286" s="219"/>
      <c r="E286" s="219"/>
      <c r="F286" s="219"/>
      <c r="G286" s="219"/>
      <c r="H286" s="208"/>
      <c r="I286" s="208"/>
      <c r="J286" s="209"/>
      <c r="K286" s="208"/>
      <c r="L286" s="226"/>
    </row>
    <row r="287" spans="1:12" ht="45">
      <c r="A287" s="105"/>
      <c r="B287" s="106" t="s">
        <v>221</v>
      </c>
      <c r="C287" s="107"/>
      <c r="D287" s="236"/>
      <c r="E287" s="214" t="s">
        <v>223</v>
      </c>
      <c r="F287" s="78"/>
      <c r="G287" s="933" t="s">
        <v>222</v>
      </c>
      <c r="H287" s="934"/>
      <c r="I287" s="213" t="s">
        <v>219</v>
      </c>
      <c r="J287" s="216" t="s">
        <v>224</v>
      </c>
      <c r="K287" s="933" t="s">
        <v>220</v>
      </c>
      <c r="L287" s="935"/>
    </row>
    <row r="288" spans="1:12">
      <c r="A288" s="105"/>
      <c r="B288" s="217">
        <v>1</v>
      </c>
      <c r="C288" s="107"/>
      <c r="D288" s="107"/>
      <c r="E288" s="220">
        <v>2</v>
      </c>
      <c r="F288" s="111"/>
      <c r="G288" s="220">
        <v>3</v>
      </c>
      <c r="H288" s="236"/>
      <c r="I288" s="236">
        <v>4</v>
      </c>
      <c r="J288" s="129">
        <v>5</v>
      </c>
      <c r="K288" s="113"/>
      <c r="L288" s="114">
        <v>6</v>
      </c>
    </row>
    <row r="289" spans="1:12">
      <c r="A289" s="105"/>
      <c r="B289" s="106" t="e">
        <f>'4-22Master'!#REF!</f>
        <v>#REF!</v>
      </c>
      <c r="C289" s="232"/>
      <c r="D289" s="233"/>
      <c r="E289" s="234" t="s">
        <v>383</v>
      </c>
      <c r="F289" s="233"/>
      <c r="G289" s="234" t="s">
        <v>381</v>
      </c>
      <c r="H289" s="78"/>
      <c r="I289" s="19" t="s">
        <v>384</v>
      </c>
      <c r="J289" s="333">
        <v>1</v>
      </c>
      <c r="K289" s="235" t="s">
        <v>37</v>
      </c>
      <c r="L289" s="240"/>
    </row>
    <row r="290" spans="1:12">
      <c r="A290" s="105"/>
      <c r="B290" s="106"/>
      <c r="C290" s="232"/>
      <c r="D290" s="233"/>
      <c r="E290" s="234"/>
      <c r="F290" s="233"/>
      <c r="G290" s="234"/>
      <c r="H290" s="78"/>
      <c r="I290" s="19"/>
      <c r="J290" s="19"/>
      <c r="K290" s="235"/>
      <c r="L290" s="240"/>
    </row>
    <row r="291" spans="1:12">
      <c r="A291" s="105"/>
      <c r="B291" s="106"/>
      <c r="C291" s="232"/>
      <c r="D291" s="233"/>
      <c r="E291" s="234"/>
      <c r="F291" s="233"/>
      <c r="G291" s="234"/>
      <c r="H291" s="78"/>
      <c r="I291" s="19"/>
      <c r="J291" s="19"/>
      <c r="K291" s="235"/>
      <c r="L291" s="240"/>
    </row>
    <row r="292" spans="1:12">
      <c r="A292" s="105"/>
      <c r="B292" s="85"/>
      <c r="C292" s="27"/>
      <c r="D292" s="86"/>
      <c r="E292" s="234"/>
      <c r="F292" s="233"/>
      <c r="G292" s="234"/>
      <c r="H292" s="78"/>
      <c r="I292" s="19"/>
      <c r="J292" s="19"/>
      <c r="K292" s="235"/>
      <c r="L292" s="240"/>
    </row>
    <row r="293" spans="1:12">
      <c r="A293" s="105"/>
      <c r="B293" t="s">
        <v>225</v>
      </c>
      <c r="L293" s="24"/>
    </row>
    <row r="294" spans="1:12">
      <c r="A294" s="23"/>
      <c r="B294" t="s">
        <v>226</v>
      </c>
      <c r="L294" s="24"/>
    </row>
    <row r="295" spans="1:12">
      <c r="A295" s="23"/>
      <c r="B295" t="s">
        <v>237</v>
      </c>
      <c r="J295" t="s">
        <v>236</v>
      </c>
      <c r="L295" s="24"/>
    </row>
    <row r="296" spans="1:12">
      <c r="A296" s="23"/>
      <c r="G296" s="4" t="s">
        <v>234</v>
      </c>
      <c r="H296" s="4"/>
      <c r="I296" s="4"/>
      <c r="J296" s="4"/>
      <c r="K296" s="4"/>
      <c r="L296" s="101"/>
    </row>
    <row r="297" spans="1:12">
      <c r="A297" s="23"/>
      <c r="B297" s="4"/>
      <c r="G297" t="s">
        <v>235</v>
      </c>
      <c r="H297" s="4"/>
      <c r="I297" s="4"/>
      <c r="J297" s="4"/>
      <c r="K297" s="4"/>
      <c r="L297" s="101"/>
    </row>
    <row r="298" spans="1:12">
      <c r="A298" s="23"/>
      <c r="B298" s="223" t="s">
        <v>238</v>
      </c>
      <c r="C298" s="219"/>
      <c r="D298" s="219"/>
      <c r="E298" s="219"/>
      <c r="F298" s="219"/>
      <c r="G298" s="219"/>
      <c r="H298" s="208"/>
      <c r="I298" s="208"/>
      <c r="J298" s="208"/>
      <c r="K298" s="208"/>
      <c r="L298" s="226"/>
    </row>
    <row r="299" spans="1:12">
      <c r="A299" s="23"/>
      <c r="B299" s="223" t="s">
        <v>239</v>
      </c>
      <c r="C299" s="219"/>
      <c r="D299" s="219"/>
      <c r="E299" s="219"/>
      <c r="F299" s="219"/>
      <c r="G299" s="219"/>
      <c r="H299" s="208"/>
      <c r="I299" s="208"/>
      <c r="J299" s="209"/>
      <c r="K299" s="208"/>
      <c r="L299" s="226"/>
    </row>
    <row r="300" spans="1:12">
      <c r="A300" s="23"/>
      <c r="B300" s="106" t="s">
        <v>5</v>
      </c>
      <c r="C300" s="945" t="s">
        <v>240</v>
      </c>
      <c r="D300" s="931"/>
      <c r="E300" s="931"/>
      <c r="F300" s="931"/>
      <c r="G300" s="931"/>
      <c r="H300" s="946"/>
      <c r="I300" s="215" t="s">
        <v>108</v>
      </c>
      <c r="J300" s="947" t="s">
        <v>241</v>
      </c>
      <c r="K300" s="948"/>
      <c r="L300" s="949"/>
    </row>
    <row r="301" spans="1:12">
      <c r="A301" s="23"/>
      <c r="B301" s="217">
        <v>1</v>
      </c>
      <c r="C301" s="251"/>
      <c r="D301" s="110"/>
      <c r="E301" s="116">
        <v>2</v>
      </c>
      <c r="F301" s="77"/>
      <c r="G301" s="944"/>
      <c r="H301" s="934"/>
      <c r="I301" s="110">
        <v>3</v>
      </c>
      <c r="J301" s="238" t="s">
        <v>242</v>
      </c>
      <c r="K301" s="950">
        <v>4</v>
      </c>
      <c r="L301" s="951"/>
    </row>
    <row r="302" spans="1:12">
      <c r="A302" s="23"/>
      <c r="B302" s="106"/>
      <c r="C302" s="251"/>
      <c r="D302" s="110"/>
      <c r="E302" s="116"/>
      <c r="F302" s="77"/>
      <c r="G302" s="944"/>
      <c r="H302" s="934"/>
      <c r="I302" s="235"/>
      <c r="J302" s="237"/>
      <c r="K302" s="944"/>
      <c r="L302" s="935"/>
    </row>
    <row r="303" spans="1:12">
      <c r="A303" s="23"/>
      <c r="B303" s="106"/>
      <c r="C303" s="251"/>
      <c r="D303" s="110"/>
      <c r="E303" s="116"/>
      <c r="F303" s="77"/>
      <c r="G303" s="944"/>
      <c r="H303" s="934"/>
      <c r="I303" s="235"/>
      <c r="J303" s="237"/>
      <c r="K303" s="944"/>
      <c r="L303" s="935"/>
    </row>
    <row r="304" spans="1:12">
      <c r="A304" s="23"/>
      <c r="B304" s="106"/>
      <c r="C304" s="251"/>
      <c r="D304" s="110"/>
      <c r="E304" s="116"/>
      <c r="F304" s="77"/>
      <c r="G304" s="944"/>
      <c r="H304" s="934"/>
      <c r="I304" s="235"/>
      <c r="J304" s="237"/>
      <c r="K304" s="944"/>
      <c r="L304" s="935"/>
    </row>
    <row r="305" spans="1:12">
      <c r="A305" s="23"/>
      <c r="B305" s="85"/>
      <c r="C305" s="251"/>
      <c r="D305" s="110"/>
      <c r="E305" s="116"/>
      <c r="F305" s="77"/>
      <c r="G305" s="944"/>
      <c r="H305" s="934"/>
      <c r="I305" s="235"/>
      <c r="J305" s="237"/>
      <c r="K305" s="944"/>
      <c r="L305" s="935"/>
    </row>
    <row r="306" spans="1:12">
      <c r="A306" s="23"/>
      <c r="B306" t="s">
        <v>246</v>
      </c>
      <c r="L306" s="24"/>
    </row>
    <row r="307" spans="1:12">
      <c r="A307" s="23"/>
      <c r="B307" t="s">
        <v>247</v>
      </c>
      <c r="L307" s="24"/>
    </row>
    <row r="308" spans="1:12">
      <c r="A308" s="23"/>
      <c r="B308" t="s">
        <v>248</v>
      </c>
      <c r="L308" s="24"/>
    </row>
    <row r="309" spans="1:12">
      <c r="A309" s="23"/>
      <c r="B309" t="s">
        <v>249</v>
      </c>
      <c r="L309" s="24"/>
    </row>
    <row r="310" spans="1:12">
      <c r="A310" s="23"/>
      <c r="B310" s="234" t="s">
        <v>243</v>
      </c>
      <c r="C310" s="77"/>
      <c r="D310" s="77"/>
      <c r="E310" s="77"/>
      <c r="F310" s="78"/>
      <c r="G310" s="234" t="s">
        <v>219</v>
      </c>
      <c r="H310" s="78"/>
      <c r="I310" s="234" t="s">
        <v>244</v>
      </c>
      <c r="J310" s="77"/>
      <c r="K310" s="78"/>
      <c r="L310" s="24"/>
    </row>
    <row r="311" spans="1:12">
      <c r="A311" s="23"/>
      <c r="B311" s="936"/>
      <c r="C311" s="943"/>
      <c r="D311" s="943"/>
      <c r="E311" s="943"/>
      <c r="F311" s="942"/>
      <c r="G311" s="936"/>
      <c r="H311" s="942"/>
      <c r="I311" s="936"/>
      <c r="J311" s="943"/>
      <c r="K311" s="942"/>
      <c r="L311" s="24"/>
    </row>
    <row r="312" spans="1:12" ht="27.95" customHeight="1">
      <c r="A312" s="23"/>
      <c r="B312" s="936"/>
      <c r="C312" s="943"/>
      <c r="D312" s="943"/>
      <c r="E312" s="943"/>
      <c r="F312" s="942"/>
      <c r="G312" s="936"/>
      <c r="H312" s="942"/>
      <c r="I312" s="936"/>
      <c r="J312" s="943"/>
      <c r="K312" s="942"/>
      <c r="L312" s="24"/>
    </row>
    <row r="313" spans="1:12" ht="27.95" customHeight="1">
      <c r="A313" s="23"/>
      <c r="B313" s="936"/>
      <c r="C313" s="943"/>
      <c r="D313" s="943"/>
      <c r="E313" s="943"/>
      <c r="F313" s="942"/>
      <c r="G313" s="936"/>
      <c r="H313" s="942"/>
      <c r="I313" s="936"/>
      <c r="J313" s="943"/>
      <c r="K313" s="942"/>
      <c r="L313" s="24"/>
    </row>
    <row r="314" spans="1:12" ht="27.95" customHeight="1">
      <c r="A314" s="23"/>
      <c r="B314" s="936"/>
      <c r="C314" s="943"/>
      <c r="D314" s="943"/>
      <c r="E314" s="943"/>
      <c r="F314" s="942"/>
      <c r="G314" s="936"/>
      <c r="H314" s="942"/>
      <c r="I314" s="936"/>
      <c r="J314" s="943"/>
      <c r="K314" s="942"/>
      <c r="L314" s="24"/>
    </row>
    <row r="315" spans="1:12" ht="27.95" customHeight="1">
      <c r="A315" s="23"/>
      <c r="L315" s="24"/>
    </row>
    <row r="316" spans="1:12" ht="27.95" customHeight="1">
      <c r="A316" s="23"/>
      <c r="B316" t="s">
        <v>216</v>
      </c>
      <c r="C316" s="332" t="e">
        <f>'4-22Master'!#REF!</f>
        <v>#REF!</v>
      </c>
      <c r="I316" t="s">
        <v>245</v>
      </c>
      <c r="L316" s="24"/>
    </row>
    <row r="317" spans="1:12" ht="27.95" customHeight="1">
      <c r="A317" s="23"/>
      <c r="F317" s="222" t="s">
        <v>211</v>
      </c>
      <c r="L317" s="24"/>
    </row>
    <row r="318" spans="1:12" ht="27.95" customHeight="1">
      <c r="A318" s="23" t="s">
        <v>212</v>
      </c>
      <c r="K318" s="272" t="e">
        <f>'4-22Master'!#REF!</f>
        <v>#REF!</v>
      </c>
      <c r="L318" s="24"/>
    </row>
    <row r="319" spans="1:12" ht="27.95" customHeight="1">
      <c r="A319" s="23" t="s">
        <v>213</v>
      </c>
      <c r="L319" s="24"/>
    </row>
    <row r="320" spans="1:12" ht="27.95" customHeight="1">
      <c r="A320" s="23"/>
      <c r="L320" s="24"/>
    </row>
    <row r="321" spans="1:12" ht="27.95" customHeight="1">
      <c r="A321" s="23"/>
      <c r="F321" t="s">
        <v>214</v>
      </c>
      <c r="L321" s="24"/>
    </row>
    <row r="322" spans="1:12" ht="27.95" customHeight="1">
      <c r="A322" s="23" t="s">
        <v>215</v>
      </c>
      <c r="B322" t="s">
        <v>379</v>
      </c>
      <c r="F322" t="str">
        <f>'4-22Master'!G5</f>
        <v>Burgeon IT Services Pvt.Ltd.</v>
      </c>
      <c r="L322" s="24"/>
    </row>
    <row r="323" spans="1:12" ht="27.95" customHeight="1" thickBot="1">
      <c r="A323" s="35" t="s">
        <v>216</v>
      </c>
      <c r="B323" s="335" t="e">
        <f>'4-22Master'!#REF!</f>
        <v>#REF!</v>
      </c>
      <c r="C323" s="33"/>
      <c r="D323" s="33"/>
      <c r="E323" s="33"/>
      <c r="F323" s="33" t="str">
        <f>'4-22Master'!G6</f>
        <v>Siri Mansion LIGB 436 Dr.A S Rao Nagar,Hyderabad</v>
      </c>
      <c r="G323" s="33"/>
      <c r="H323" s="33"/>
      <c r="I323" s="33"/>
      <c r="J323" s="33"/>
      <c r="K323" s="33"/>
      <c r="L323" s="34"/>
    </row>
    <row r="324" spans="1:12" ht="27.95" customHeight="1" thickBot="1">
      <c r="A324" s="23"/>
      <c r="B324" s="332"/>
      <c r="L324" s="24"/>
    </row>
    <row r="325" spans="1:12" ht="27.95" customHeight="1">
      <c r="A325" s="94"/>
      <c r="B325" s="95"/>
      <c r="C325" s="95"/>
      <c r="D325" s="227"/>
      <c r="E325" s="227"/>
      <c r="F325" s="227"/>
      <c r="G325" s="227"/>
      <c r="H325" s="227"/>
      <c r="I325" s="227"/>
      <c r="J325" s="95"/>
      <c r="K325" s="229" t="s">
        <v>230</v>
      </c>
      <c r="L325" s="228"/>
    </row>
    <row r="326" spans="1:12" ht="27.95" customHeight="1">
      <c r="A326" s="23"/>
      <c r="B326" s="952" t="s">
        <v>229</v>
      </c>
      <c r="C326" s="952"/>
      <c r="D326" s="952"/>
      <c r="E326" s="952"/>
      <c r="F326" s="952"/>
      <c r="G326" s="952"/>
      <c r="H326" s="952"/>
      <c r="I326" s="952"/>
      <c r="J326" s="952"/>
      <c r="K326" s="952"/>
      <c r="L326" s="953"/>
    </row>
    <row r="327" spans="1:12" ht="27.95" customHeight="1">
      <c r="A327" s="23"/>
      <c r="B327" s="927" t="s">
        <v>231</v>
      </c>
      <c r="C327" s="927"/>
      <c r="D327" s="927"/>
      <c r="E327" s="927"/>
      <c r="F327" s="927"/>
      <c r="G327" s="927"/>
      <c r="H327" s="927"/>
      <c r="I327" s="927"/>
      <c r="J327" s="927"/>
      <c r="K327" s="927"/>
      <c r="L327" s="954"/>
    </row>
    <row r="328" spans="1:12" ht="27.95" customHeight="1">
      <c r="A328" s="23"/>
      <c r="B328" s="230" t="s">
        <v>232</v>
      </c>
      <c r="C328" s="230"/>
      <c r="D328" s="230"/>
      <c r="E328" s="230"/>
      <c r="F328" s="230"/>
      <c r="H328" s="231"/>
      <c r="I328" s="231"/>
      <c r="J328" s="231"/>
      <c r="K328" s="231"/>
      <c r="L328" s="239"/>
    </row>
    <row r="329" spans="1:12" ht="27.95" customHeight="1">
      <c r="A329" s="23"/>
      <c r="B329" s="230"/>
      <c r="C329" s="230"/>
      <c r="D329" s="230"/>
      <c r="E329" s="230"/>
      <c r="F329" s="230"/>
      <c r="H329" s="231"/>
      <c r="I329" s="231"/>
      <c r="J329" s="231"/>
      <c r="K329" s="231"/>
      <c r="L329" s="239"/>
    </row>
    <row r="330" spans="1:12" ht="27.95" customHeight="1">
      <c r="A330" s="23"/>
      <c r="B330" s="807" t="s">
        <v>202</v>
      </c>
      <c r="C330" s="807"/>
      <c r="D330" s="807"/>
      <c r="E330" s="807"/>
      <c r="F330" s="807"/>
      <c r="G330" s="807"/>
      <c r="H330" s="816" t="str">
        <f>'4-22Master'!C18</f>
        <v>Amith a</v>
      </c>
      <c r="I330" s="809"/>
      <c r="J330" s="809"/>
      <c r="K330" s="809"/>
      <c r="L330" s="810"/>
    </row>
    <row r="331" spans="1:12">
      <c r="A331" s="23"/>
      <c r="B331" s="817" t="s">
        <v>203</v>
      </c>
      <c r="C331" s="817"/>
      <c r="D331" s="817"/>
      <c r="E331" s="817"/>
      <c r="F331" s="817"/>
      <c r="G331" s="817"/>
      <c r="H331" s="816" t="str">
        <f>'4-22Master'!F18</f>
        <v>N.Ananda</v>
      </c>
      <c r="I331" s="809"/>
      <c r="J331" s="809"/>
      <c r="K331" s="809"/>
      <c r="L331" s="810"/>
    </row>
    <row r="332" spans="1:12">
      <c r="A332" s="23"/>
      <c r="B332" s="807" t="s">
        <v>204</v>
      </c>
      <c r="C332" s="807"/>
      <c r="D332" s="807"/>
      <c r="E332" s="807"/>
      <c r="F332" s="807"/>
      <c r="G332" s="807"/>
      <c r="H332" s="816">
        <f>'4-22Master'!D18</f>
        <v>29351</v>
      </c>
      <c r="I332" s="809"/>
      <c r="J332" s="809"/>
      <c r="K332" s="809"/>
      <c r="L332" s="810"/>
    </row>
    <row r="333" spans="1:12">
      <c r="A333" s="23"/>
      <c r="B333" s="807" t="s">
        <v>205</v>
      </c>
      <c r="C333" s="807"/>
      <c r="D333" s="807"/>
      <c r="E333" s="807"/>
      <c r="F333" s="807"/>
      <c r="G333" s="807"/>
      <c r="H333" s="941" t="str">
        <f>'4-22Master'!E18</f>
        <v>Male</v>
      </c>
      <c r="I333" s="809"/>
      <c r="J333" s="809"/>
      <c r="K333" s="809"/>
      <c r="L333" s="810"/>
    </row>
    <row r="334" spans="1:12">
      <c r="A334" s="23"/>
      <c r="B334" s="106" t="s">
        <v>206</v>
      </c>
      <c r="C334" s="107"/>
      <c r="D334" s="107"/>
      <c r="E334" s="107"/>
      <c r="F334" s="107"/>
      <c r="G334" s="107"/>
      <c r="H334" s="938" t="s">
        <v>207</v>
      </c>
      <c r="I334" s="939"/>
      <c r="J334" s="939"/>
      <c r="K334" s="939"/>
      <c r="L334" s="940"/>
    </row>
    <row r="335" spans="1:12">
      <c r="A335" s="23"/>
      <c r="B335" s="106" t="s">
        <v>208</v>
      </c>
      <c r="C335" s="107"/>
      <c r="D335" s="107"/>
      <c r="E335" s="107"/>
      <c r="F335" s="107"/>
      <c r="G335" s="107"/>
      <c r="H335" s="108"/>
      <c r="I335" s="110"/>
      <c r="J335" s="221"/>
      <c r="K335" s="110"/>
      <c r="L335" s="115"/>
    </row>
    <row r="336" spans="1:12">
      <c r="A336" s="23"/>
      <c r="B336" s="811" t="s">
        <v>209</v>
      </c>
      <c r="C336" s="811"/>
      <c r="D336" s="811"/>
      <c r="E336" s="811"/>
      <c r="F336" s="811"/>
      <c r="G336" s="811"/>
      <c r="H336" s="812" t="str">
        <f>'4-22Master'!H18</f>
        <v>Door no - 3-3/33, 1st main road, Prasantha Nagara, Derabail, Mangaluru- 575006</v>
      </c>
      <c r="I336" s="813"/>
      <c r="J336" s="813"/>
      <c r="K336" s="813"/>
      <c r="L336" s="814"/>
    </row>
    <row r="337" spans="1:12">
      <c r="A337" s="23"/>
      <c r="B337" s="807"/>
      <c r="C337" s="807"/>
      <c r="D337" s="807"/>
      <c r="E337" s="807"/>
      <c r="F337" s="807"/>
      <c r="G337" s="807"/>
      <c r="H337" s="808" t="str">
        <f>'4-22Master'!I18</f>
        <v>OOO</v>
      </c>
      <c r="I337" s="809"/>
      <c r="J337" s="809"/>
      <c r="K337" s="809"/>
      <c r="L337" s="810"/>
    </row>
    <row r="338" spans="1:12">
      <c r="A338" s="23"/>
      <c r="B338" s="807"/>
      <c r="C338" s="807"/>
      <c r="D338" s="807"/>
      <c r="E338" s="807"/>
      <c r="F338" s="807"/>
      <c r="G338" s="807"/>
      <c r="H338" s="816" t="str">
        <f>'4-22Master'!J18</f>
        <v>OOO</v>
      </c>
      <c r="I338" s="809"/>
      <c r="J338" s="809"/>
      <c r="K338" s="809"/>
      <c r="L338" s="810"/>
    </row>
    <row r="339" spans="1:12">
      <c r="A339" s="23"/>
      <c r="G339" s="4" t="s">
        <v>233</v>
      </c>
      <c r="H339" s="4"/>
      <c r="I339" s="4"/>
      <c r="J339" s="4"/>
      <c r="K339" s="4"/>
      <c r="L339" s="101"/>
    </row>
    <row r="340" spans="1:12">
      <c r="A340" s="23"/>
      <c r="B340" s="223" t="s">
        <v>217</v>
      </c>
      <c r="C340" s="219"/>
      <c r="D340" s="219"/>
      <c r="E340" s="219"/>
      <c r="F340" s="219"/>
      <c r="G340" s="219"/>
      <c r="H340" s="208"/>
      <c r="I340" s="208"/>
      <c r="J340" s="208"/>
      <c r="K340" s="208"/>
      <c r="L340" s="226"/>
    </row>
    <row r="341" spans="1:12">
      <c r="A341" s="23"/>
      <c r="B341" s="223" t="s">
        <v>218</v>
      </c>
      <c r="C341" s="219"/>
      <c r="D341" s="219"/>
      <c r="E341" s="219"/>
      <c r="F341" s="219"/>
      <c r="G341" s="219"/>
      <c r="H341" s="208"/>
      <c r="I341" s="208"/>
      <c r="J341" s="209"/>
      <c r="K341" s="208"/>
      <c r="L341" s="226"/>
    </row>
    <row r="342" spans="1:12" ht="45">
      <c r="A342" s="105"/>
      <c r="B342" s="106" t="s">
        <v>221</v>
      </c>
      <c r="C342" s="107"/>
      <c r="D342" s="236"/>
      <c r="E342" s="214" t="s">
        <v>223</v>
      </c>
      <c r="F342" s="78"/>
      <c r="G342" s="933" t="s">
        <v>222</v>
      </c>
      <c r="H342" s="934"/>
      <c r="I342" s="213" t="s">
        <v>219</v>
      </c>
      <c r="J342" s="216" t="s">
        <v>224</v>
      </c>
      <c r="K342" s="933" t="s">
        <v>220</v>
      </c>
      <c r="L342" s="935"/>
    </row>
    <row r="343" spans="1:12">
      <c r="A343" s="105"/>
      <c r="B343" s="217">
        <v>1</v>
      </c>
      <c r="C343" s="107"/>
      <c r="D343" s="107"/>
      <c r="E343" s="220">
        <v>2</v>
      </c>
      <c r="F343" s="111"/>
      <c r="G343" s="220">
        <v>3</v>
      </c>
      <c r="H343" s="236"/>
      <c r="I343" s="236">
        <v>4</v>
      </c>
      <c r="J343" s="129">
        <v>5</v>
      </c>
      <c r="K343" s="113"/>
      <c r="L343" s="114">
        <v>6</v>
      </c>
    </row>
    <row r="344" spans="1:12">
      <c r="A344" s="105"/>
      <c r="B344" s="106" t="str">
        <f>'4-22Master'!F18</f>
        <v>N.Ananda</v>
      </c>
      <c r="C344" s="232"/>
      <c r="D344" s="233"/>
      <c r="E344" s="234" t="s">
        <v>383</v>
      </c>
      <c r="F344" s="233"/>
      <c r="G344" s="234" t="s">
        <v>381</v>
      </c>
      <c r="H344" s="78"/>
      <c r="I344" s="19" t="s">
        <v>384</v>
      </c>
      <c r="J344" s="333">
        <v>1</v>
      </c>
      <c r="K344" s="235" t="s">
        <v>37</v>
      </c>
      <c r="L344" s="240"/>
    </row>
    <row r="345" spans="1:12">
      <c r="A345" s="105"/>
      <c r="B345" s="106"/>
      <c r="C345" s="232"/>
      <c r="D345" s="233"/>
      <c r="E345" s="234"/>
      <c r="F345" s="233"/>
      <c r="G345" s="234"/>
      <c r="H345" s="78"/>
      <c r="I345" s="19"/>
      <c r="J345" s="19"/>
      <c r="K345" s="235"/>
      <c r="L345" s="240"/>
    </row>
    <row r="346" spans="1:12">
      <c r="A346" s="105"/>
      <c r="B346" s="106"/>
      <c r="C346" s="232"/>
      <c r="D346" s="233"/>
      <c r="E346" s="234"/>
      <c r="F346" s="233"/>
      <c r="G346" s="234"/>
      <c r="H346" s="78"/>
      <c r="I346" s="19"/>
      <c r="J346" s="19"/>
      <c r="K346" s="235"/>
      <c r="L346" s="240"/>
    </row>
    <row r="347" spans="1:12">
      <c r="A347" s="105"/>
      <c r="B347" s="85"/>
      <c r="C347" s="27"/>
      <c r="D347" s="86"/>
      <c r="E347" s="234"/>
      <c r="F347" s="233"/>
      <c r="G347" s="234"/>
      <c r="H347" s="78"/>
      <c r="I347" s="19"/>
      <c r="J347" s="19"/>
      <c r="K347" s="235"/>
      <c r="L347" s="240"/>
    </row>
    <row r="348" spans="1:12">
      <c r="A348" s="105"/>
      <c r="B348" t="s">
        <v>225</v>
      </c>
      <c r="L348" s="24"/>
    </row>
    <row r="349" spans="1:12">
      <c r="A349" s="23"/>
      <c r="B349" t="s">
        <v>226</v>
      </c>
      <c r="L349" s="24"/>
    </row>
    <row r="350" spans="1:12">
      <c r="A350" s="23"/>
      <c r="B350" t="s">
        <v>237</v>
      </c>
      <c r="J350" t="s">
        <v>236</v>
      </c>
      <c r="L350" s="24"/>
    </row>
    <row r="351" spans="1:12">
      <c r="A351" s="23"/>
      <c r="G351" s="4" t="s">
        <v>234</v>
      </c>
      <c r="H351" s="4"/>
      <c r="I351" s="4"/>
      <c r="J351" s="4"/>
      <c r="K351" s="4"/>
      <c r="L351" s="101"/>
    </row>
    <row r="352" spans="1:12">
      <c r="A352" s="23"/>
      <c r="B352" s="4"/>
      <c r="G352" t="s">
        <v>235</v>
      </c>
      <c r="H352" s="4"/>
      <c r="I352" s="4"/>
      <c r="J352" s="4"/>
      <c r="K352" s="4"/>
      <c r="L352" s="101"/>
    </row>
    <row r="353" spans="1:12">
      <c r="A353" s="23"/>
      <c r="B353" s="223" t="s">
        <v>238</v>
      </c>
      <c r="C353" s="219"/>
      <c r="D353" s="219"/>
      <c r="E353" s="219"/>
      <c r="F353" s="219"/>
      <c r="G353" s="219"/>
      <c r="H353" s="208"/>
      <c r="I353" s="208"/>
      <c r="J353" s="208"/>
      <c r="K353" s="208"/>
      <c r="L353" s="226"/>
    </row>
    <row r="354" spans="1:12">
      <c r="A354" s="23"/>
      <c r="B354" s="223" t="s">
        <v>239</v>
      </c>
      <c r="C354" s="219"/>
      <c r="D354" s="219"/>
      <c r="E354" s="219"/>
      <c r="F354" s="219"/>
      <c r="G354" s="219"/>
      <c r="H354" s="208"/>
      <c r="I354" s="208"/>
      <c r="J354" s="209"/>
      <c r="K354" s="208"/>
      <c r="L354" s="226"/>
    </row>
    <row r="355" spans="1:12">
      <c r="A355" s="23"/>
      <c r="B355" s="106" t="s">
        <v>5</v>
      </c>
      <c r="C355" s="945" t="s">
        <v>240</v>
      </c>
      <c r="D355" s="931"/>
      <c r="E355" s="931"/>
      <c r="F355" s="931"/>
      <c r="G355" s="931"/>
      <c r="H355" s="946"/>
      <c r="I355" s="215" t="s">
        <v>108</v>
      </c>
      <c r="J355" s="947" t="s">
        <v>241</v>
      </c>
      <c r="K355" s="948"/>
      <c r="L355" s="949"/>
    </row>
    <row r="356" spans="1:12">
      <c r="A356" s="23"/>
      <c r="B356" s="217">
        <v>1</v>
      </c>
      <c r="C356" s="251"/>
      <c r="D356" s="110"/>
      <c r="E356" s="116">
        <v>2</v>
      </c>
      <c r="F356" s="77"/>
      <c r="G356" s="944"/>
      <c r="H356" s="934"/>
      <c r="I356" s="110">
        <v>3</v>
      </c>
      <c r="J356" s="238" t="s">
        <v>242</v>
      </c>
      <c r="K356" s="950">
        <v>4</v>
      </c>
      <c r="L356" s="951"/>
    </row>
    <row r="357" spans="1:12">
      <c r="A357" s="23"/>
      <c r="B357" s="106"/>
      <c r="C357" s="251"/>
      <c r="D357" s="110"/>
      <c r="E357" s="116"/>
      <c r="F357" s="77"/>
      <c r="G357" s="944"/>
      <c r="H357" s="934"/>
      <c r="I357" s="235"/>
      <c r="J357" s="237"/>
      <c r="K357" s="944"/>
      <c r="L357" s="935"/>
    </row>
    <row r="358" spans="1:12">
      <c r="A358" s="23"/>
      <c r="B358" s="106"/>
      <c r="C358" s="251"/>
      <c r="D358" s="110"/>
      <c r="E358" s="116"/>
      <c r="F358" s="77"/>
      <c r="G358" s="944"/>
      <c r="H358" s="934"/>
      <c r="I358" s="235"/>
      <c r="J358" s="237"/>
      <c r="K358" s="944"/>
      <c r="L358" s="935"/>
    </row>
    <row r="359" spans="1:12">
      <c r="A359" s="23"/>
      <c r="B359" s="106"/>
      <c r="C359" s="251"/>
      <c r="D359" s="110"/>
      <c r="E359" s="116"/>
      <c r="F359" s="77"/>
      <c r="G359" s="944"/>
      <c r="H359" s="934"/>
      <c r="I359" s="235"/>
      <c r="J359" s="237"/>
      <c r="K359" s="944"/>
      <c r="L359" s="935"/>
    </row>
    <row r="360" spans="1:12">
      <c r="A360" s="23"/>
      <c r="B360" s="85"/>
      <c r="C360" s="251"/>
      <c r="D360" s="110"/>
      <c r="E360" s="116"/>
      <c r="F360" s="77"/>
      <c r="G360" s="944"/>
      <c r="H360" s="934"/>
      <c r="I360" s="235"/>
      <c r="J360" s="237"/>
      <c r="K360" s="944"/>
      <c r="L360" s="935"/>
    </row>
    <row r="361" spans="1:12">
      <c r="A361" s="23"/>
      <c r="B361" t="s">
        <v>246</v>
      </c>
      <c r="L361" s="24"/>
    </row>
    <row r="362" spans="1:12">
      <c r="A362" s="23"/>
      <c r="B362" t="s">
        <v>247</v>
      </c>
      <c r="L362" s="24"/>
    </row>
    <row r="363" spans="1:12">
      <c r="A363" s="23"/>
      <c r="B363" t="s">
        <v>248</v>
      </c>
      <c r="L363" s="24"/>
    </row>
    <row r="364" spans="1:12">
      <c r="A364" s="23"/>
      <c r="B364" t="s">
        <v>249</v>
      </c>
      <c r="L364" s="24"/>
    </row>
    <row r="365" spans="1:12">
      <c r="A365" s="23"/>
      <c r="B365" s="234" t="s">
        <v>243</v>
      </c>
      <c r="C365" s="77"/>
      <c r="D365" s="77"/>
      <c r="E365" s="77"/>
      <c r="F365" s="78"/>
      <c r="G365" s="234" t="s">
        <v>219</v>
      </c>
      <c r="H365" s="78"/>
      <c r="I365" s="234" t="s">
        <v>244</v>
      </c>
      <c r="J365" s="77"/>
      <c r="K365" s="78"/>
      <c r="L365" s="24"/>
    </row>
    <row r="366" spans="1:12" ht="27.95" customHeight="1">
      <c r="A366" s="23"/>
      <c r="B366" s="936"/>
      <c r="C366" s="943"/>
      <c r="D366" s="943"/>
      <c r="E366" s="943"/>
      <c r="F366" s="942"/>
      <c r="G366" s="936"/>
      <c r="H366" s="942"/>
      <c r="I366" s="936"/>
      <c r="J366" s="943"/>
      <c r="K366" s="942"/>
      <c r="L366" s="24"/>
    </row>
    <row r="367" spans="1:12" ht="27.95" customHeight="1">
      <c r="A367" s="23"/>
      <c r="B367" s="936"/>
      <c r="C367" s="943"/>
      <c r="D367" s="943"/>
      <c r="E367" s="943"/>
      <c r="F367" s="942"/>
      <c r="G367" s="936"/>
      <c r="H367" s="942"/>
      <c r="I367" s="936"/>
      <c r="J367" s="943"/>
      <c r="K367" s="942"/>
      <c r="L367" s="24"/>
    </row>
    <row r="368" spans="1:12" ht="27.95" customHeight="1">
      <c r="A368" s="23"/>
      <c r="B368" s="936"/>
      <c r="C368" s="943"/>
      <c r="D368" s="943"/>
      <c r="E368" s="943"/>
      <c r="F368" s="942"/>
      <c r="G368" s="936"/>
      <c r="H368" s="942"/>
      <c r="I368" s="936"/>
      <c r="J368" s="943"/>
      <c r="K368" s="942"/>
      <c r="L368" s="24"/>
    </row>
    <row r="369" spans="1:12" ht="27.95" customHeight="1">
      <c r="A369" s="23"/>
      <c r="B369" s="936"/>
      <c r="C369" s="943"/>
      <c r="D369" s="943"/>
      <c r="E369" s="943"/>
      <c r="F369" s="942"/>
      <c r="G369" s="936"/>
      <c r="H369" s="942"/>
      <c r="I369" s="936"/>
      <c r="J369" s="943"/>
      <c r="K369" s="942"/>
      <c r="L369" s="24"/>
    </row>
    <row r="370" spans="1:12" ht="27.95" customHeight="1">
      <c r="A370" s="23"/>
      <c r="L370" s="24"/>
    </row>
    <row r="371" spans="1:12" ht="27.95" customHeight="1">
      <c r="A371" s="23"/>
      <c r="B371" t="s">
        <v>216</v>
      </c>
      <c r="C371" s="332">
        <f>'4-22Master'!O18</f>
        <v>44326</v>
      </c>
      <c r="I371" t="s">
        <v>245</v>
      </c>
      <c r="L371" s="24"/>
    </row>
    <row r="372" spans="1:12" ht="27.95" customHeight="1">
      <c r="A372" s="23"/>
      <c r="F372" s="222" t="s">
        <v>211</v>
      </c>
      <c r="L372" s="24"/>
    </row>
    <row r="373" spans="1:12" ht="27.95" customHeight="1">
      <c r="A373" s="23" t="s">
        <v>212</v>
      </c>
      <c r="K373" s="272" t="str">
        <f>'4-22Master'!C18</f>
        <v>Amith a</v>
      </c>
      <c r="L373" s="24"/>
    </row>
    <row r="374" spans="1:12" ht="27.95" customHeight="1">
      <c r="A374" s="23" t="s">
        <v>213</v>
      </c>
      <c r="L374" s="24"/>
    </row>
    <row r="375" spans="1:12" ht="27.95" customHeight="1">
      <c r="A375" s="23"/>
      <c r="L375" s="24"/>
    </row>
    <row r="376" spans="1:12" ht="27.95" customHeight="1">
      <c r="A376" s="23"/>
      <c r="F376" t="s">
        <v>214</v>
      </c>
      <c r="L376" s="24"/>
    </row>
    <row r="377" spans="1:12" ht="27.95" customHeight="1">
      <c r="A377" s="23" t="s">
        <v>215</v>
      </c>
      <c r="B377" t="s">
        <v>379</v>
      </c>
      <c r="F377" t="str">
        <f>'4-22Master'!G5</f>
        <v>Burgeon IT Services Pvt.Ltd.</v>
      </c>
      <c r="L377" s="24"/>
    </row>
    <row r="378" spans="1:12" ht="27.95" customHeight="1" thickBot="1">
      <c r="A378" s="35" t="s">
        <v>216</v>
      </c>
      <c r="B378" s="335">
        <f>'4-22Master'!O18</f>
        <v>44326</v>
      </c>
      <c r="C378" s="33"/>
      <c r="D378" s="33"/>
      <c r="E378" s="33"/>
      <c r="F378" s="33" t="str">
        <f>'4-22Master'!G6</f>
        <v>Siri Mansion LIGB 436 Dr.A S Rao Nagar,Hyderabad</v>
      </c>
      <c r="G378" s="33"/>
      <c r="H378" s="33"/>
      <c r="I378" s="33"/>
      <c r="J378" s="33"/>
      <c r="K378" s="33"/>
      <c r="L378" s="34"/>
    </row>
    <row r="379" spans="1:12" ht="27.95" customHeight="1">
      <c r="A379" s="94"/>
      <c r="B379" s="95"/>
      <c r="C379" s="95"/>
      <c r="D379" s="227"/>
      <c r="E379" s="227"/>
      <c r="F379" s="227"/>
      <c r="G379" s="227"/>
      <c r="H379" s="227"/>
      <c r="I379" s="227"/>
      <c r="J379" s="95"/>
      <c r="K379" s="229" t="s">
        <v>230</v>
      </c>
      <c r="L379" s="228"/>
    </row>
    <row r="380" spans="1:12" ht="27.95" customHeight="1">
      <c r="A380" s="23"/>
      <c r="B380" s="952" t="s">
        <v>229</v>
      </c>
      <c r="C380" s="952"/>
      <c r="D380" s="952"/>
      <c r="E380" s="952"/>
      <c r="F380" s="952"/>
      <c r="G380" s="952"/>
      <c r="H380" s="952"/>
      <c r="I380" s="952"/>
      <c r="J380" s="952"/>
      <c r="K380" s="952"/>
      <c r="L380" s="953"/>
    </row>
    <row r="381" spans="1:12" ht="27.95" customHeight="1">
      <c r="A381" s="23"/>
      <c r="B381" s="927" t="s">
        <v>231</v>
      </c>
      <c r="C381" s="927"/>
      <c r="D381" s="927"/>
      <c r="E381" s="927"/>
      <c r="F381" s="927"/>
      <c r="G381" s="927"/>
      <c r="H381" s="927"/>
      <c r="I381" s="927"/>
      <c r="J381" s="927"/>
      <c r="K381" s="927"/>
      <c r="L381" s="954"/>
    </row>
    <row r="382" spans="1:12" ht="27.95" customHeight="1">
      <c r="A382" s="23"/>
      <c r="B382" s="230" t="s">
        <v>232</v>
      </c>
      <c r="C382" s="230"/>
      <c r="D382" s="230"/>
      <c r="E382" s="230"/>
      <c r="F382" s="230"/>
      <c r="H382" s="231"/>
      <c r="I382" s="231"/>
      <c r="J382" s="231"/>
      <c r="K382" s="231"/>
      <c r="L382" s="239"/>
    </row>
    <row r="383" spans="1:12" ht="27.95" customHeight="1">
      <c r="A383" s="23"/>
      <c r="B383" s="230"/>
      <c r="C383" s="230"/>
      <c r="D383" s="230"/>
      <c r="E383" s="230"/>
      <c r="F383" s="230"/>
      <c r="H383" s="231"/>
      <c r="I383" s="231"/>
      <c r="J383" s="231"/>
      <c r="K383" s="231"/>
      <c r="L383" s="239"/>
    </row>
    <row r="384" spans="1:12">
      <c r="A384" s="23"/>
      <c r="B384" s="807" t="s">
        <v>202</v>
      </c>
      <c r="C384" s="807"/>
      <c r="D384" s="807"/>
      <c r="E384" s="807"/>
      <c r="F384" s="807"/>
      <c r="G384" s="807"/>
      <c r="H384" s="816" t="e">
        <f>'4-22Master'!#REF!</f>
        <v>#REF!</v>
      </c>
      <c r="I384" s="809"/>
      <c r="J384" s="809"/>
      <c r="K384" s="809"/>
      <c r="L384" s="810"/>
    </row>
    <row r="385" spans="1:12">
      <c r="A385" s="23"/>
      <c r="B385" s="817" t="s">
        <v>203</v>
      </c>
      <c r="C385" s="817"/>
      <c r="D385" s="817"/>
      <c r="E385" s="817"/>
      <c r="F385" s="817"/>
      <c r="G385" s="817"/>
      <c r="H385" s="816" t="e">
        <f>'4-22Master'!#REF!</f>
        <v>#REF!</v>
      </c>
      <c r="I385" s="809"/>
      <c r="J385" s="809"/>
      <c r="K385" s="809"/>
      <c r="L385" s="810"/>
    </row>
    <row r="386" spans="1:12">
      <c r="A386" s="23"/>
      <c r="B386" s="807" t="s">
        <v>204</v>
      </c>
      <c r="C386" s="807"/>
      <c r="D386" s="807"/>
      <c r="E386" s="807"/>
      <c r="F386" s="807"/>
      <c r="G386" s="807"/>
      <c r="H386" s="816" t="e">
        <f>'4-22Master'!#REF!</f>
        <v>#REF!</v>
      </c>
      <c r="I386" s="809"/>
      <c r="J386" s="809"/>
      <c r="K386" s="809"/>
      <c r="L386" s="810"/>
    </row>
    <row r="387" spans="1:12">
      <c r="A387" s="23"/>
      <c r="B387" s="807" t="s">
        <v>205</v>
      </c>
      <c r="C387" s="807"/>
      <c r="D387" s="807"/>
      <c r="E387" s="807"/>
      <c r="F387" s="807"/>
      <c r="G387" s="807"/>
      <c r="H387" s="941" t="e">
        <f>'4-22Master'!#REF!</f>
        <v>#REF!</v>
      </c>
      <c r="I387" s="809"/>
      <c r="J387" s="809"/>
      <c r="K387" s="809"/>
      <c r="L387" s="810"/>
    </row>
    <row r="388" spans="1:12">
      <c r="A388" s="23"/>
      <c r="B388" s="106" t="s">
        <v>206</v>
      </c>
      <c r="C388" s="107"/>
      <c r="D388" s="107"/>
      <c r="E388" s="107"/>
      <c r="F388" s="107"/>
      <c r="G388" s="107"/>
      <c r="H388" s="938" t="s">
        <v>207</v>
      </c>
      <c r="I388" s="939"/>
      <c r="J388" s="939"/>
      <c r="K388" s="939"/>
      <c r="L388" s="940"/>
    </row>
    <row r="389" spans="1:12">
      <c r="A389" s="23"/>
      <c r="B389" s="106" t="s">
        <v>208</v>
      </c>
      <c r="C389" s="107"/>
      <c r="D389" s="107"/>
      <c r="E389" s="107"/>
      <c r="F389" s="107"/>
      <c r="G389" s="107"/>
      <c r="H389" s="108"/>
      <c r="I389" s="110"/>
      <c r="J389" s="221"/>
      <c r="K389" s="110"/>
      <c r="L389" s="115"/>
    </row>
    <row r="390" spans="1:12" ht="15" customHeight="1">
      <c r="A390" s="23"/>
      <c r="B390" s="811" t="s">
        <v>209</v>
      </c>
      <c r="C390" s="811"/>
      <c r="D390" s="811"/>
      <c r="E390" s="811"/>
      <c r="F390" s="811"/>
      <c r="G390" s="811"/>
      <c r="H390" s="812" t="e">
        <f>'4-22Master'!#REF!</f>
        <v>#REF!</v>
      </c>
      <c r="I390" s="813"/>
      <c r="J390" s="813"/>
      <c r="K390" s="813"/>
      <c r="L390" s="814"/>
    </row>
    <row r="391" spans="1:12">
      <c r="A391" s="23"/>
      <c r="B391" s="807"/>
      <c r="C391" s="807"/>
      <c r="D391" s="807"/>
      <c r="E391" s="807"/>
      <c r="F391" s="807"/>
      <c r="G391" s="807"/>
      <c r="H391" s="808" t="e">
        <f>'4-22Master'!#REF!</f>
        <v>#REF!</v>
      </c>
      <c r="I391" s="809"/>
      <c r="J391" s="809"/>
      <c r="K391" s="809"/>
      <c r="L391" s="810"/>
    </row>
    <row r="392" spans="1:12">
      <c r="A392" s="23"/>
      <c r="B392" s="807"/>
      <c r="C392" s="807"/>
      <c r="D392" s="807"/>
      <c r="E392" s="807"/>
      <c r="F392" s="807"/>
      <c r="G392" s="807"/>
      <c r="H392" s="816" t="e">
        <f>'4-22Master'!#REF!</f>
        <v>#REF!</v>
      </c>
      <c r="I392" s="809"/>
      <c r="J392" s="809"/>
      <c r="K392" s="809"/>
      <c r="L392" s="810"/>
    </row>
    <row r="393" spans="1:12">
      <c r="A393" s="23"/>
      <c r="G393" s="4" t="s">
        <v>233</v>
      </c>
      <c r="H393" s="4"/>
      <c r="I393" s="4"/>
      <c r="J393" s="4"/>
      <c r="K393" s="4"/>
      <c r="L393" s="101"/>
    </row>
    <row r="394" spans="1:12">
      <c r="A394" s="23"/>
      <c r="B394" s="223" t="s">
        <v>217</v>
      </c>
      <c r="C394" s="219"/>
      <c r="D394" s="219"/>
      <c r="E394" s="219"/>
      <c r="F394" s="219"/>
      <c r="G394" s="219"/>
      <c r="H394" s="208"/>
      <c r="I394" s="208"/>
      <c r="J394" s="208"/>
      <c r="K394" s="208"/>
      <c r="L394" s="226"/>
    </row>
    <row r="395" spans="1:12">
      <c r="A395" s="23"/>
      <c r="B395" s="223" t="s">
        <v>218</v>
      </c>
      <c r="C395" s="219"/>
      <c r="D395" s="219"/>
      <c r="E395" s="219"/>
      <c r="F395" s="219"/>
      <c r="G395" s="219"/>
      <c r="H395" s="208"/>
      <c r="I395" s="208"/>
      <c r="J395" s="209"/>
      <c r="K395" s="208"/>
      <c r="L395" s="226"/>
    </row>
    <row r="396" spans="1:12" ht="45">
      <c r="A396" s="105"/>
      <c r="B396" s="106" t="s">
        <v>221</v>
      </c>
      <c r="C396" s="107"/>
      <c r="D396" s="236"/>
      <c r="E396" s="214" t="s">
        <v>223</v>
      </c>
      <c r="F396" s="78"/>
      <c r="G396" s="933" t="s">
        <v>222</v>
      </c>
      <c r="H396" s="934"/>
      <c r="I396" s="213" t="s">
        <v>219</v>
      </c>
      <c r="J396" s="216" t="s">
        <v>224</v>
      </c>
      <c r="K396" s="933" t="s">
        <v>220</v>
      </c>
      <c r="L396" s="935"/>
    </row>
    <row r="397" spans="1:12">
      <c r="A397" s="105"/>
      <c r="B397" s="217">
        <v>1</v>
      </c>
      <c r="C397" s="107"/>
      <c r="D397" s="107"/>
      <c r="E397" s="220">
        <v>2</v>
      </c>
      <c r="F397" s="111"/>
      <c r="G397" s="220">
        <v>3</v>
      </c>
      <c r="H397" s="236"/>
      <c r="I397" s="236">
        <v>4</v>
      </c>
      <c r="J397" s="129">
        <v>5</v>
      </c>
      <c r="K397" s="113"/>
      <c r="L397" s="114">
        <v>6</v>
      </c>
    </row>
    <row r="398" spans="1:12">
      <c r="A398" s="105"/>
      <c r="B398" s="106" t="e">
        <f>'4-22Master'!#REF!</f>
        <v>#REF!</v>
      </c>
      <c r="C398" s="232"/>
      <c r="D398" s="233"/>
      <c r="E398" s="234" t="s">
        <v>383</v>
      </c>
      <c r="F398" s="233"/>
      <c r="G398" s="234" t="s">
        <v>381</v>
      </c>
      <c r="H398" s="78"/>
      <c r="I398" s="19" t="s">
        <v>384</v>
      </c>
      <c r="J398" s="333">
        <v>1</v>
      </c>
      <c r="K398" s="235" t="s">
        <v>37</v>
      </c>
      <c r="L398" s="240"/>
    </row>
    <row r="399" spans="1:12">
      <c r="A399" s="105"/>
      <c r="B399" s="106"/>
      <c r="C399" s="232"/>
      <c r="D399" s="233"/>
      <c r="E399" s="234"/>
      <c r="F399" s="233"/>
      <c r="G399" s="234"/>
      <c r="H399" s="78"/>
      <c r="I399" s="19"/>
      <c r="J399" s="19"/>
      <c r="K399" s="235"/>
      <c r="L399" s="240"/>
    </row>
    <row r="400" spans="1:12">
      <c r="A400" s="105"/>
      <c r="B400" s="106"/>
      <c r="C400" s="232"/>
      <c r="D400" s="233"/>
      <c r="E400" s="234"/>
      <c r="F400" s="233"/>
      <c r="G400" s="234"/>
      <c r="H400" s="78"/>
      <c r="I400" s="19"/>
      <c r="J400" s="19"/>
      <c r="K400" s="235"/>
      <c r="L400" s="240"/>
    </row>
    <row r="401" spans="1:12">
      <c r="A401" s="105"/>
      <c r="B401" s="85"/>
      <c r="C401" s="27"/>
      <c r="D401" s="86"/>
      <c r="E401" s="234"/>
      <c r="F401" s="233"/>
      <c r="G401" s="234"/>
      <c r="H401" s="78"/>
      <c r="I401" s="19"/>
      <c r="J401" s="19"/>
      <c r="K401" s="235"/>
      <c r="L401" s="240"/>
    </row>
    <row r="402" spans="1:12">
      <c r="A402" s="105"/>
      <c r="B402" t="s">
        <v>225</v>
      </c>
      <c r="L402" s="24"/>
    </row>
    <row r="403" spans="1:12">
      <c r="A403" s="23"/>
      <c r="B403" t="s">
        <v>226</v>
      </c>
      <c r="L403" s="24"/>
    </row>
    <row r="404" spans="1:12">
      <c r="A404" s="23"/>
      <c r="B404" t="s">
        <v>237</v>
      </c>
      <c r="J404" t="s">
        <v>236</v>
      </c>
      <c r="L404" s="24"/>
    </row>
    <row r="405" spans="1:12" ht="21" customHeight="1">
      <c r="A405" s="23"/>
      <c r="G405" s="4" t="s">
        <v>234</v>
      </c>
      <c r="H405" s="4"/>
      <c r="I405" s="4"/>
      <c r="J405" s="4"/>
      <c r="K405" s="4"/>
      <c r="L405" s="101"/>
    </row>
    <row r="406" spans="1:12" ht="15" customHeight="1">
      <c r="A406" s="23"/>
      <c r="B406" s="4"/>
      <c r="G406" t="s">
        <v>235</v>
      </c>
      <c r="H406" s="4"/>
      <c r="I406" s="4"/>
      <c r="J406" s="4"/>
      <c r="K406" s="4"/>
      <c r="L406" s="101"/>
    </row>
    <row r="407" spans="1:12" ht="20.25" customHeight="1">
      <c r="A407" s="23"/>
      <c r="B407" s="223" t="s">
        <v>238</v>
      </c>
      <c r="C407" s="219"/>
      <c r="D407" s="219"/>
      <c r="E407" s="219"/>
      <c r="F407" s="219"/>
      <c r="G407" s="219"/>
      <c r="H407" s="208"/>
      <c r="I407" s="208"/>
      <c r="J407" s="208"/>
      <c r="K407" s="208"/>
      <c r="L407" s="226"/>
    </row>
    <row r="408" spans="1:12" ht="18.75" customHeight="1">
      <c r="A408" s="23"/>
      <c r="B408" s="223" t="s">
        <v>239</v>
      </c>
      <c r="C408" s="219"/>
      <c r="D408" s="219"/>
      <c r="E408" s="219"/>
      <c r="F408" s="219"/>
      <c r="G408" s="219"/>
      <c r="H408" s="208"/>
      <c r="I408" s="208"/>
      <c r="J408" s="209"/>
      <c r="K408" s="208"/>
      <c r="L408" s="226"/>
    </row>
    <row r="409" spans="1:12" ht="27.95" customHeight="1">
      <c r="A409" s="23"/>
      <c r="B409" s="106" t="s">
        <v>5</v>
      </c>
      <c r="C409" s="945" t="s">
        <v>240</v>
      </c>
      <c r="D409" s="931"/>
      <c r="E409" s="931"/>
      <c r="F409" s="931"/>
      <c r="G409" s="931"/>
      <c r="H409" s="946"/>
      <c r="I409" s="215" t="s">
        <v>108</v>
      </c>
      <c r="J409" s="947" t="s">
        <v>241</v>
      </c>
      <c r="K409" s="948"/>
      <c r="L409" s="949"/>
    </row>
    <row r="410" spans="1:12" ht="27.95" customHeight="1">
      <c r="A410" s="23"/>
      <c r="B410" s="217">
        <v>1</v>
      </c>
      <c r="C410" s="251"/>
      <c r="D410" s="110"/>
      <c r="E410" s="116">
        <v>2</v>
      </c>
      <c r="F410" s="77"/>
      <c r="G410" s="944"/>
      <c r="H410" s="934"/>
      <c r="I410" s="110">
        <v>3</v>
      </c>
      <c r="J410" s="238" t="s">
        <v>242</v>
      </c>
      <c r="K410" s="950">
        <v>4</v>
      </c>
      <c r="L410" s="951"/>
    </row>
    <row r="411" spans="1:12" ht="27.95" customHeight="1">
      <c r="A411" s="23"/>
      <c r="B411" s="106"/>
      <c r="C411" s="251"/>
      <c r="D411" s="110"/>
      <c r="E411" s="116"/>
      <c r="F411" s="77"/>
      <c r="G411" s="944"/>
      <c r="H411" s="934"/>
      <c r="I411" s="235"/>
      <c r="J411" s="237"/>
      <c r="K411" s="944"/>
      <c r="L411" s="935"/>
    </row>
    <row r="412" spans="1:12" ht="27.95" customHeight="1">
      <c r="A412" s="23"/>
      <c r="B412" s="106"/>
      <c r="C412" s="251"/>
      <c r="D412" s="110"/>
      <c r="E412" s="116"/>
      <c r="F412" s="77"/>
      <c r="G412" s="944"/>
      <c r="H412" s="934"/>
      <c r="I412" s="235"/>
      <c r="J412" s="237"/>
      <c r="K412" s="944"/>
      <c r="L412" s="935"/>
    </row>
    <row r="413" spans="1:12" ht="27.95" customHeight="1">
      <c r="A413" s="23"/>
      <c r="B413" s="106"/>
      <c r="C413" s="251"/>
      <c r="D413" s="110"/>
      <c r="E413" s="116"/>
      <c r="F413" s="77"/>
      <c r="G413" s="944"/>
      <c r="H413" s="934"/>
      <c r="I413" s="235"/>
      <c r="J413" s="237"/>
      <c r="K413" s="944"/>
      <c r="L413" s="935"/>
    </row>
    <row r="414" spans="1:12" ht="27.95" customHeight="1">
      <c r="A414" s="23"/>
      <c r="B414" s="85"/>
      <c r="C414" s="251"/>
      <c r="D414" s="110"/>
      <c r="E414" s="116"/>
      <c r="F414" s="77"/>
      <c r="G414" s="944"/>
      <c r="H414" s="934"/>
      <c r="I414" s="235"/>
      <c r="J414" s="237"/>
      <c r="K414" s="944"/>
      <c r="L414" s="935"/>
    </row>
    <row r="415" spans="1:12" ht="27.95" customHeight="1">
      <c r="A415" s="23"/>
      <c r="B415" t="s">
        <v>246</v>
      </c>
      <c r="L415" s="24"/>
    </row>
    <row r="416" spans="1:12" ht="21" customHeight="1">
      <c r="A416" s="23"/>
      <c r="B416" t="s">
        <v>247</v>
      </c>
      <c r="L416" s="24"/>
    </row>
    <row r="417" spans="1:12" ht="18" customHeight="1">
      <c r="A417" s="23"/>
      <c r="B417" t="s">
        <v>248</v>
      </c>
      <c r="L417" s="24"/>
    </row>
    <row r="418" spans="1:12" ht="23.25" customHeight="1">
      <c r="A418" s="23"/>
      <c r="B418" t="s">
        <v>249</v>
      </c>
      <c r="L418" s="24"/>
    </row>
    <row r="419" spans="1:12" ht="27.95" customHeight="1">
      <c r="A419" s="23"/>
      <c r="B419" s="234" t="s">
        <v>243</v>
      </c>
      <c r="C419" s="77"/>
      <c r="D419" s="77"/>
      <c r="E419" s="77"/>
      <c r="F419" s="78"/>
      <c r="G419" s="234" t="s">
        <v>219</v>
      </c>
      <c r="H419" s="78"/>
      <c r="I419" s="234" t="s">
        <v>244</v>
      </c>
      <c r="J419" s="77"/>
      <c r="K419" s="78"/>
      <c r="L419" s="24"/>
    </row>
    <row r="420" spans="1:12" ht="27.95" customHeight="1">
      <c r="A420" s="23"/>
      <c r="B420" s="936"/>
      <c r="C420" s="943"/>
      <c r="D420" s="943"/>
      <c r="E420" s="943"/>
      <c r="F420" s="942"/>
      <c r="G420" s="936"/>
      <c r="H420" s="942"/>
      <c r="I420" s="936"/>
      <c r="J420" s="943"/>
      <c r="K420" s="942"/>
      <c r="L420" s="24"/>
    </row>
    <row r="421" spans="1:12" ht="27.95" customHeight="1">
      <c r="A421" s="23"/>
      <c r="B421" s="936"/>
      <c r="C421" s="943"/>
      <c r="D421" s="943"/>
      <c r="E421" s="943"/>
      <c r="F421" s="942"/>
      <c r="G421" s="936"/>
      <c r="H421" s="942"/>
      <c r="I421" s="936"/>
      <c r="J421" s="943"/>
      <c r="K421" s="942"/>
      <c r="L421" s="24"/>
    </row>
    <row r="422" spans="1:12" ht="27.95" customHeight="1">
      <c r="A422" s="23"/>
      <c r="B422" s="936"/>
      <c r="C422" s="943"/>
      <c r="D422" s="943"/>
      <c r="E422" s="943"/>
      <c r="F422" s="942"/>
      <c r="G422" s="936"/>
      <c r="H422" s="942"/>
      <c r="I422" s="936"/>
      <c r="J422" s="943"/>
      <c r="K422" s="942"/>
      <c r="L422" s="24"/>
    </row>
    <row r="423" spans="1:12">
      <c r="A423" s="23"/>
      <c r="B423" s="936"/>
      <c r="C423" s="943"/>
      <c r="D423" s="943"/>
      <c r="E423" s="943"/>
      <c r="F423" s="942"/>
      <c r="G423" s="936"/>
      <c r="H423" s="942"/>
      <c r="I423" s="936"/>
      <c r="J423" s="943"/>
      <c r="K423" s="942"/>
      <c r="L423" s="24"/>
    </row>
    <row r="424" spans="1:12">
      <c r="A424" s="23"/>
      <c r="L424" s="24"/>
    </row>
    <row r="425" spans="1:12">
      <c r="A425" s="23"/>
      <c r="B425" t="s">
        <v>216</v>
      </c>
      <c r="C425" s="332" t="e">
        <f>'4-22Master'!#REF!</f>
        <v>#REF!</v>
      </c>
      <c r="I425" t="s">
        <v>245</v>
      </c>
      <c r="L425" s="24"/>
    </row>
    <row r="426" spans="1:12" ht="18.75">
      <c r="A426" s="23"/>
      <c r="F426" s="222" t="s">
        <v>211</v>
      </c>
      <c r="L426" s="24"/>
    </row>
    <row r="427" spans="1:12">
      <c r="A427" s="23" t="s">
        <v>212</v>
      </c>
      <c r="K427" s="272" t="e">
        <f>'4-22Master'!#REF!</f>
        <v>#REF!</v>
      </c>
      <c r="L427" s="24"/>
    </row>
    <row r="428" spans="1:12">
      <c r="A428" s="23" t="s">
        <v>213</v>
      </c>
      <c r="L428" s="24"/>
    </row>
    <row r="429" spans="1:12" ht="15" customHeight="1">
      <c r="A429" s="23"/>
      <c r="L429" s="24"/>
    </row>
    <row r="430" spans="1:12">
      <c r="A430" s="23"/>
      <c r="F430" t="s">
        <v>214</v>
      </c>
      <c r="L430" s="24"/>
    </row>
    <row r="431" spans="1:12">
      <c r="A431" s="23" t="s">
        <v>215</v>
      </c>
      <c r="B431" t="s">
        <v>379</v>
      </c>
      <c r="F431" t="str">
        <f>'4-22Master'!G5</f>
        <v>Burgeon IT Services Pvt.Ltd.</v>
      </c>
      <c r="L431" s="24"/>
    </row>
    <row r="432" spans="1:12" ht="15.75" thickBot="1">
      <c r="A432" s="35" t="s">
        <v>216</v>
      </c>
      <c r="B432" s="335" t="e">
        <f>'4-22Master'!#REF!</f>
        <v>#REF!</v>
      </c>
      <c r="C432" s="33"/>
      <c r="D432" s="33"/>
      <c r="E432" s="33"/>
      <c r="F432" s="33" t="str">
        <f>'4-22Master'!G6</f>
        <v>Siri Mansion LIGB 436 Dr.A S Rao Nagar,Hyderabad</v>
      </c>
      <c r="G432" s="33"/>
      <c r="H432" s="33"/>
      <c r="I432" s="33"/>
      <c r="J432" s="33"/>
      <c r="K432" s="33"/>
      <c r="L432" s="34"/>
    </row>
    <row r="433" spans="1:12" ht="32.25">
      <c r="A433" s="94"/>
      <c r="B433" s="95"/>
      <c r="C433" s="95"/>
      <c r="D433" s="227"/>
      <c r="E433" s="227"/>
      <c r="F433" s="227"/>
      <c r="G433" s="227"/>
      <c r="H433" s="227"/>
      <c r="I433" s="227"/>
      <c r="J433" s="95"/>
      <c r="K433" s="229" t="s">
        <v>230</v>
      </c>
      <c r="L433" s="228"/>
    </row>
    <row r="434" spans="1:12" ht="21">
      <c r="A434" s="23"/>
      <c r="B434" s="952" t="s">
        <v>229</v>
      </c>
      <c r="C434" s="952"/>
      <c r="D434" s="952"/>
      <c r="E434" s="952"/>
      <c r="F434" s="952"/>
      <c r="G434" s="952"/>
      <c r="H434" s="952"/>
      <c r="I434" s="952"/>
      <c r="J434" s="952"/>
      <c r="K434" s="952"/>
      <c r="L434" s="953"/>
    </row>
    <row r="435" spans="1:12" ht="15.75">
      <c r="A435" s="23"/>
      <c r="B435" s="927" t="s">
        <v>231</v>
      </c>
      <c r="C435" s="927"/>
      <c r="D435" s="927"/>
      <c r="E435" s="927"/>
      <c r="F435" s="927"/>
      <c r="G435" s="927"/>
      <c r="H435" s="927"/>
      <c r="I435" s="927"/>
      <c r="J435" s="927"/>
      <c r="K435" s="927"/>
      <c r="L435" s="954"/>
    </row>
    <row r="436" spans="1:12">
      <c r="A436" s="23"/>
      <c r="B436" s="230" t="s">
        <v>232</v>
      </c>
      <c r="C436" s="230"/>
      <c r="D436" s="230"/>
      <c r="E436" s="230"/>
      <c r="F436" s="230"/>
      <c r="H436" s="231"/>
      <c r="I436" s="231"/>
      <c r="J436" s="231"/>
      <c r="K436" s="231"/>
      <c r="L436" s="239"/>
    </row>
    <row r="437" spans="1:12">
      <c r="A437" s="23"/>
      <c r="B437" s="230"/>
      <c r="C437" s="230"/>
      <c r="D437" s="230"/>
      <c r="E437" s="230"/>
      <c r="F437" s="230"/>
      <c r="H437" s="231"/>
      <c r="I437" s="231"/>
      <c r="J437" s="231"/>
      <c r="K437" s="231"/>
      <c r="L437" s="239"/>
    </row>
    <row r="438" spans="1:12">
      <c r="A438" s="23"/>
      <c r="B438" s="807" t="s">
        <v>202</v>
      </c>
      <c r="C438" s="807"/>
      <c r="D438" s="807"/>
      <c r="E438" s="807"/>
      <c r="F438" s="807"/>
      <c r="G438" s="807"/>
      <c r="H438" s="816" t="e">
        <f>'4-22Master'!#REF!</f>
        <v>#REF!</v>
      </c>
      <c r="I438" s="809"/>
      <c r="J438" s="809"/>
      <c r="K438" s="809"/>
      <c r="L438" s="810"/>
    </row>
    <row r="439" spans="1:12">
      <c r="A439" s="23"/>
      <c r="B439" s="817" t="s">
        <v>203</v>
      </c>
      <c r="C439" s="817"/>
      <c r="D439" s="817"/>
      <c r="E439" s="817"/>
      <c r="F439" s="817"/>
      <c r="G439" s="817"/>
      <c r="H439" s="816" t="e">
        <f>'4-22Master'!#REF!</f>
        <v>#REF!</v>
      </c>
      <c r="I439" s="809"/>
      <c r="J439" s="809"/>
      <c r="K439" s="809"/>
      <c r="L439" s="810"/>
    </row>
    <row r="440" spans="1:12">
      <c r="A440" s="23"/>
      <c r="B440" s="807" t="s">
        <v>204</v>
      </c>
      <c r="C440" s="807"/>
      <c r="D440" s="807"/>
      <c r="E440" s="807"/>
      <c r="F440" s="807"/>
      <c r="G440" s="807"/>
      <c r="H440" s="816" t="e">
        <f>'4-22Master'!#REF!</f>
        <v>#REF!</v>
      </c>
      <c r="I440" s="809"/>
      <c r="J440" s="809"/>
      <c r="K440" s="809"/>
      <c r="L440" s="810"/>
    </row>
    <row r="441" spans="1:12">
      <c r="A441" s="23"/>
      <c r="B441" s="807" t="s">
        <v>205</v>
      </c>
      <c r="C441" s="807"/>
      <c r="D441" s="807"/>
      <c r="E441" s="807"/>
      <c r="F441" s="807"/>
      <c r="G441" s="807"/>
      <c r="H441" s="941" t="e">
        <f>'4-22Master'!#REF!</f>
        <v>#REF!</v>
      </c>
      <c r="I441" s="809"/>
      <c r="J441" s="809"/>
      <c r="K441" s="809"/>
      <c r="L441" s="810"/>
    </row>
    <row r="442" spans="1:12">
      <c r="A442" s="23"/>
      <c r="B442" s="106" t="s">
        <v>206</v>
      </c>
      <c r="C442" s="107"/>
      <c r="D442" s="107"/>
      <c r="E442" s="107"/>
      <c r="F442" s="107"/>
      <c r="G442" s="107"/>
      <c r="H442" s="938" t="s">
        <v>207</v>
      </c>
      <c r="I442" s="939"/>
      <c r="J442" s="939"/>
      <c r="K442" s="939"/>
      <c r="L442" s="940"/>
    </row>
    <row r="443" spans="1:12">
      <c r="A443" s="23"/>
      <c r="B443" s="106" t="s">
        <v>208</v>
      </c>
      <c r="C443" s="107"/>
      <c r="D443" s="107"/>
      <c r="E443" s="107"/>
      <c r="F443" s="107"/>
      <c r="G443" s="107"/>
      <c r="H443" s="108"/>
      <c r="I443" s="110"/>
      <c r="J443" s="221"/>
      <c r="K443" s="110"/>
      <c r="L443" s="115"/>
    </row>
    <row r="444" spans="1:12" ht="27.95" customHeight="1">
      <c r="A444" s="23"/>
      <c r="B444" s="811" t="s">
        <v>209</v>
      </c>
      <c r="C444" s="811"/>
      <c r="D444" s="811"/>
      <c r="E444" s="811"/>
      <c r="F444" s="811"/>
      <c r="G444" s="811"/>
      <c r="H444" s="812" t="e">
        <f>'4-22Master'!#REF!</f>
        <v>#REF!</v>
      </c>
      <c r="I444" s="813"/>
      <c r="J444" s="813"/>
      <c r="K444" s="813"/>
      <c r="L444" s="814"/>
    </row>
    <row r="445" spans="1:12" ht="27.95" customHeight="1">
      <c r="A445" s="23"/>
      <c r="B445" s="807"/>
      <c r="C445" s="807"/>
      <c r="D445" s="807"/>
      <c r="E445" s="807"/>
      <c r="F445" s="807"/>
      <c r="G445" s="807"/>
      <c r="H445" s="808" t="e">
        <f>'4-22Master'!#REF!</f>
        <v>#REF!</v>
      </c>
      <c r="I445" s="809"/>
      <c r="J445" s="809"/>
      <c r="K445" s="809"/>
      <c r="L445" s="810"/>
    </row>
    <row r="446" spans="1:12" ht="27.95" customHeight="1">
      <c r="A446" s="23"/>
      <c r="B446" s="807"/>
      <c r="C446" s="807"/>
      <c r="D446" s="807"/>
      <c r="E446" s="807"/>
      <c r="F446" s="807"/>
      <c r="G446" s="807"/>
      <c r="H446" s="816" t="e">
        <f>'4-22Master'!#REF!</f>
        <v>#REF!</v>
      </c>
      <c r="I446" s="809"/>
      <c r="J446" s="809"/>
      <c r="K446" s="809"/>
      <c r="L446" s="810"/>
    </row>
    <row r="447" spans="1:12" ht="27.95" customHeight="1">
      <c r="A447" s="23"/>
      <c r="G447" s="4" t="s">
        <v>233</v>
      </c>
      <c r="H447" s="4"/>
      <c r="I447" s="4"/>
      <c r="J447" s="4"/>
      <c r="K447" s="4"/>
      <c r="L447" s="101"/>
    </row>
    <row r="448" spans="1:12" ht="27.95" customHeight="1">
      <c r="A448" s="23"/>
      <c r="B448" s="223" t="s">
        <v>217</v>
      </c>
      <c r="C448" s="219"/>
      <c r="D448" s="219"/>
      <c r="E448" s="219"/>
      <c r="F448" s="219"/>
      <c r="G448" s="219"/>
      <c r="H448" s="208"/>
      <c r="I448" s="208"/>
      <c r="J448" s="208"/>
      <c r="K448" s="208"/>
      <c r="L448" s="226"/>
    </row>
    <row r="449" spans="1:12" ht="27.95" customHeight="1">
      <c r="A449" s="23"/>
      <c r="B449" s="223" t="s">
        <v>218</v>
      </c>
      <c r="C449" s="219"/>
      <c r="D449" s="219"/>
      <c r="E449" s="219"/>
      <c r="F449" s="219"/>
      <c r="G449" s="219"/>
      <c r="H449" s="208"/>
      <c r="I449" s="208"/>
      <c r="J449" s="209"/>
      <c r="K449" s="208"/>
      <c r="L449" s="226"/>
    </row>
    <row r="450" spans="1:12" ht="27.95" customHeight="1">
      <c r="A450" s="105"/>
      <c r="B450" s="106" t="s">
        <v>221</v>
      </c>
      <c r="C450" s="107"/>
      <c r="D450" s="236"/>
      <c r="E450" s="214" t="s">
        <v>223</v>
      </c>
      <c r="F450" s="78"/>
      <c r="G450" s="933" t="s">
        <v>222</v>
      </c>
      <c r="H450" s="934"/>
      <c r="I450" s="213" t="s">
        <v>219</v>
      </c>
      <c r="J450" s="216" t="s">
        <v>224</v>
      </c>
      <c r="K450" s="933" t="s">
        <v>220</v>
      </c>
      <c r="L450" s="935"/>
    </row>
    <row r="451" spans="1:12" ht="27.95" customHeight="1">
      <c r="A451" s="105"/>
      <c r="B451" s="217">
        <v>1</v>
      </c>
      <c r="C451" s="107"/>
      <c r="D451" s="107"/>
      <c r="E451" s="220">
        <v>2</v>
      </c>
      <c r="F451" s="111"/>
      <c r="G451" s="220">
        <v>3</v>
      </c>
      <c r="H451" s="236"/>
      <c r="I451" s="236">
        <v>4</v>
      </c>
      <c r="J451" s="129">
        <v>5</v>
      </c>
      <c r="K451" s="113"/>
      <c r="L451" s="114">
        <v>6</v>
      </c>
    </row>
    <row r="452" spans="1:12" ht="27.95" customHeight="1">
      <c r="A452" s="105"/>
      <c r="B452" s="106" t="e">
        <f>'4-22Master'!#REF!</f>
        <v>#REF!</v>
      </c>
      <c r="C452" s="232"/>
      <c r="D452" s="233"/>
      <c r="E452" s="234" t="s">
        <v>383</v>
      </c>
      <c r="F452" s="233"/>
      <c r="G452" s="234" t="s">
        <v>381</v>
      </c>
      <c r="H452" s="78"/>
      <c r="I452" s="19" t="s">
        <v>384</v>
      </c>
      <c r="J452" s="333">
        <v>1</v>
      </c>
      <c r="K452" s="235" t="s">
        <v>37</v>
      </c>
      <c r="L452" s="240"/>
    </row>
    <row r="453" spans="1:12" ht="27.95" customHeight="1">
      <c r="A453" s="105"/>
      <c r="B453" s="106"/>
      <c r="C453" s="232"/>
      <c r="D453" s="233"/>
      <c r="E453" s="234"/>
      <c r="F453" s="233"/>
      <c r="G453" s="234"/>
      <c r="H453" s="78"/>
      <c r="I453" s="19"/>
      <c r="J453" s="19"/>
      <c r="K453" s="235"/>
      <c r="L453" s="240"/>
    </row>
    <row r="454" spans="1:12" ht="27.95" customHeight="1">
      <c r="A454" s="105"/>
      <c r="B454" s="106"/>
      <c r="C454" s="232"/>
      <c r="D454" s="233"/>
      <c r="E454" s="234"/>
      <c r="F454" s="233"/>
      <c r="G454" s="234"/>
      <c r="H454" s="78"/>
      <c r="I454" s="19"/>
      <c r="J454" s="19"/>
      <c r="K454" s="235"/>
      <c r="L454" s="240"/>
    </row>
    <row r="455" spans="1:12" ht="27.95" customHeight="1">
      <c r="A455" s="105"/>
      <c r="B455" s="85"/>
      <c r="C455" s="27"/>
      <c r="D455" s="86"/>
      <c r="E455" s="234"/>
      <c r="F455" s="233"/>
      <c r="G455" s="234"/>
      <c r="H455" s="78"/>
      <c r="I455" s="19"/>
      <c r="J455" s="19"/>
      <c r="K455" s="235"/>
      <c r="L455" s="240"/>
    </row>
    <row r="456" spans="1:12" ht="27.95" customHeight="1">
      <c r="A456" s="105"/>
      <c r="B456" t="s">
        <v>225</v>
      </c>
      <c r="L456" s="24"/>
    </row>
    <row r="457" spans="1:12" ht="27.95" customHeight="1">
      <c r="A457" s="23"/>
      <c r="B457" t="s">
        <v>226</v>
      </c>
      <c r="L457" s="24"/>
    </row>
    <row r="458" spans="1:12" ht="27.95" customHeight="1">
      <c r="A458" s="23"/>
      <c r="B458" t="s">
        <v>237</v>
      </c>
      <c r="J458" t="s">
        <v>236</v>
      </c>
      <c r="L458" s="24"/>
    </row>
    <row r="459" spans="1:12" ht="24" customHeight="1">
      <c r="A459" s="23"/>
      <c r="G459" s="4" t="s">
        <v>234</v>
      </c>
      <c r="H459" s="4"/>
      <c r="I459" s="4"/>
      <c r="J459" s="4"/>
      <c r="K459" s="4"/>
      <c r="L459" s="101"/>
    </row>
    <row r="460" spans="1:12" ht="18" customHeight="1">
      <c r="A460" s="23"/>
      <c r="B460" s="4"/>
      <c r="G460" t="s">
        <v>235</v>
      </c>
      <c r="H460" s="4"/>
      <c r="I460" s="4"/>
      <c r="J460" s="4"/>
      <c r="K460" s="4"/>
      <c r="L460" s="101"/>
    </row>
    <row r="461" spans="1:12" ht="18.75" customHeight="1">
      <c r="A461" s="23"/>
      <c r="B461" s="223" t="s">
        <v>238</v>
      </c>
      <c r="C461" s="219"/>
      <c r="D461" s="219"/>
      <c r="E461" s="219"/>
      <c r="F461" s="219"/>
      <c r="G461" s="219"/>
      <c r="H461" s="208"/>
      <c r="I461" s="208"/>
      <c r="J461" s="208"/>
      <c r="K461" s="208"/>
      <c r="L461" s="226"/>
    </row>
    <row r="462" spans="1:12">
      <c r="A462" s="23"/>
      <c r="B462" s="223" t="s">
        <v>239</v>
      </c>
      <c r="C462" s="219"/>
      <c r="D462" s="219"/>
      <c r="E462" s="219"/>
      <c r="F462" s="219"/>
      <c r="G462" s="219"/>
      <c r="H462" s="208"/>
      <c r="I462" s="208"/>
      <c r="J462" s="209"/>
      <c r="K462" s="208"/>
      <c r="L462" s="226"/>
    </row>
    <row r="463" spans="1:12">
      <c r="A463" s="23"/>
      <c r="B463" s="106" t="s">
        <v>5</v>
      </c>
      <c r="C463" s="945" t="s">
        <v>240</v>
      </c>
      <c r="D463" s="931"/>
      <c r="E463" s="931"/>
      <c r="F463" s="931"/>
      <c r="G463" s="931"/>
      <c r="H463" s="946"/>
      <c r="I463" s="215" t="s">
        <v>108</v>
      </c>
      <c r="J463" s="947" t="s">
        <v>241</v>
      </c>
      <c r="K463" s="948"/>
      <c r="L463" s="949"/>
    </row>
    <row r="464" spans="1:12">
      <c r="A464" s="23"/>
      <c r="B464" s="217">
        <v>1</v>
      </c>
      <c r="C464" s="251"/>
      <c r="D464" s="110"/>
      <c r="E464" s="116">
        <v>2</v>
      </c>
      <c r="F464" s="77"/>
      <c r="G464" s="944"/>
      <c r="H464" s="934"/>
      <c r="I464" s="110">
        <v>3</v>
      </c>
      <c r="J464" s="238" t="s">
        <v>242</v>
      </c>
      <c r="K464" s="950">
        <v>4</v>
      </c>
      <c r="L464" s="951"/>
    </row>
    <row r="465" spans="1:12">
      <c r="A465" s="23"/>
      <c r="B465" s="106"/>
      <c r="C465" s="251"/>
      <c r="D465" s="110"/>
      <c r="E465" s="116"/>
      <c r="F465" s="77"/>
      <c r="G465" s="944"/>
      <c r="H465" s="934"/>
      <c r="I465" s="235"/>
      <c r="J465" s="237"/>
      <c r="K465" s="944"/>
      <c r="L465" s="935"/>
    </row>
    <row r="466" spans="1:12">
      <c r="A466" s="23"/>
      <c r="B466" s="106"/>
      <c r="C466" s="251"/>
      <c r="D466" s="110"/>
      <c r="E466" s="116"/>
      <c r="F466" s="77"/>
      <c r="G466" s="944"/>
      <c r="H466" s="934"/>
      <c r="I466" s="235"/>
      <c r="J466" s="237"/>
      <c r="K466" s="944"/>
      <c r="L466" s="935"/>
    </row>
    <row r="467" spans="1:12" ht="15" customHeight="1">
      <c r="A467" s="23"/>
      <c r="B467" s="106"/>
      <c r="C467" s="251"/>
      <c r="D467" s="110"/>
      <c r="E467" s="116"/>
      <c r="F467" s="77"/>
      <c r="G467" s="944"/>
      <c r="H467" s="934"/>
      <c r="I467" s="235"/>
      <c r="J467" s="237"/>
      <c r="K467" s="944"/>
      <c r="L467" s="935"/>
    </row>
    <row r="468" spans="1:12">
      <c r="A468" s="23"/>
      <c r="B468" s="85"/>
      <c r="C468" s="251"/>
      <c r="D468" s="110"/>
      <c r="E468" s="116"/>
      <c r="F468" s="77"/>
      <c r="G468" s="944"/>
      <c r="H468" s="934"/>
      <c r="I468" s="235"/>
      <c r="J468" s="237"/>
      <c r="K468" s="944"/>
      <c r="L468" s="935"/>
    </row>
    <row r="469" spans="1:12">
      <c r="A469" s="23"/>
      <c r="B469" t="s">
        <v>246</v>
      </c>
      <c r="L469" s="24"/>
    </row>
    <row r="470" spans="1:12">
      <c r="A470" s="23"/>
      <c r="B470" t="s">
        <v>247</v>
      </c>
      <c r="L470" s="24"/>
    </row>
    <row r="471" spans="1:12">
      <c r="A471" s="23"/>
      <c r="B471" t="s">
        <v>248</v>
      </c>
      <c r="L471" s="24"/>
    </row>
    <row r="472" spans="1:12">
      <c r="A472" s="23"/>
      <c r="B472" t="s">
        <v>249</v>
      </c>
      <c r="L472" s="24"/>
    </row>
    <row r="473" spans="1:12">
      <c r="A473" s="23"/>
      <c r="B473" s="234" t="s">
        <v>243</v>
      </c>
      <c r="C473" s="77"/>
      <c r="D473" s="77"/>
      <c r="E473" s="77"/>
      <c r="F473" s="78"/>
      <c r="G473" s="234" t="s">
        <v>219</v>
      </c>
      <c r="H473" s="78"/>
      <c r="I473" s="234" t="s">
        <v>244</v>
      </c>
      <c r="J473" s="77"/>
      <c r="K473" s="78"/>
      <c r="L473" s="24"/>
    </row>
    <row r="474" spans="1:12">
      <c r="A474" s="23"/>
      <c r="B474" s="936"/>
      <c r="C474" s="943"/>
      <c r="D474" s="943"/>
      <c r="E474" s="943"/>
      <c r="F474" s="942"/>
      <c r="G474" s="936"/>
      <c r="H474" s="942"/>
      <c r="I474" s="936"/>
      <c r="J474" s="943"/>
      <c r="K474" s="942"/>
      <c r="L474" s="24"/>
    </row>
    <row r="475" spans="1:12">
      <c r="A475" s="23"/>
      <c r="B475" s="936"/>
      <c r="C475" s="943"/>
      <c r="D475" s="943"/>
      <c r="E475" s="943"/>
      <c r="F475" s="942"/>
      <c r="G475" s="936"/>
      <c r="H475" s="942"/>
      <c r="I475" s="936"/>
      <c r="J475" s="943"/>
      <c r="K475" s="942"/>
      <c r="L475" s="24"/>
    </row>
    <row r="476" spans="1:12">
      <c r="A476" s="23"/>
      <c r="B476" s="936"/>
      <c r="C476" s="943"/>
      <c r="D476" s="943"/>
      <c r="E476" s="943"/>
      <c r="F476" s="942"/>
      <c r="G476" s="936"/>
      <c r="H476" s="942"/>
      <c r="I476" s="936"/>
      <c r="J476" s="943"/>
      <c r="K476" s="942"/>
      <c r="L476" s="24"/>
    </row>
    <row r="477" spans="1:12">
      <c r="A477" s="23"/>
      <c r="B477" s="936"/>
      <c r="C477" s="943"/>
      <c r="D477" s="943"/>
      <c r="E477" s="943"/>
      <c r="F477" s="942"/>
      <c r="G477" s="936"/>
      <c r="H477" s="942"/>
      <c r="I477" s="936"/>
      <c r="J477" s="943"/>
      <c r="K477" s="942"/>
      <c r="L477" s="24"/>
    </row>
    <row r="478" spans="1:12">
      <c r="A478" s="23"/>
      <c r="L478" s="24"/>
    </row>
    <row r="479" spans="1:12">
      <c r="A479" s="23"/>
      <c r="B479" t="s">
        <v>216</v>
      </c>
      <c r="C479" s="332" t="e">
        <f>'4-22Master'!#REF!</f>
        <v>#REF!</v>
      </c>
      <c r="I479" t="s">
        <v>245</v>
      </c>
      <c r="L479" s="24"/>
    </row>
    <row r="480" spans="1:12" ht="18.75">
      <c r="A480" s="23"/>
      <c r="F480" s="222" t="s">
        <v>211</v>
      </c>
      <c r="L480" s="24"/>
    </row>
    <row r="481" spans="1:12">
      <c r="A481" s="23" t="s">
        <v>212</v>
      </c>
      <c r="K481" s="272" t="e">
        <f>'4-22Master'!#REF!</f>
        <v>#REF!</v>
      </c>
      <c r="L481" s="24"/>
    </row>
    <row r="482" spans="1:12" ht="27.95" customHeight="1">
      <c r="A482" s="23" t="s">
        <v>213</v>
      </c>
      <c r="L482" s="24"/>
    </row>
    <row r="483" spans="1:12" ht="27.95" customHeight="1">
      <c r="A483" s="23"/>
      <c r="F483" t="s">
        <v>214</v>
      </c>
      <c r="L483" s="24"/>
    </row>
    <row r="484" spans="1:12" ht="27.95" customHeight="1">
      <c r="A484" s="23" t="s">
        <v>215</v>
      </c>
      <c r="B484" t="s">
        <v>379</v>
      </c>
      <c r="F484" t="str">
        <f>'4-22Master'!G5</f>
        <v>Burgeon IT Services Pvt.Ltd.</v>
      </c>
      <c r="L484" s="24"/>
    </row>
    <row r="485" spans="1:12" ht="27.95" customHeight="1" thickBot="1">
      <c r="A485" s="35" t="s">
        <v>216</v>
      </c>
      <c r="B485" s="335" t="e">
        <f>'4-22Master'!#REF!</f>
        <v>#REF!</v>
      </c>
      <c r="C485" s="33"/>
      <c r="D485" s="33"/>
      <c r="E485" s="33"/>
      <c r="F485" s="33" t="str">
        <f>'4-22Master'!G6</f>
        <v>Siri Mansion LIGB 436 Dr.A S Rao Nagar,Hyderabad</v>
      </c>
      <c r="G485" s="33"/>
      <c r="H485" s="33"/>
      <c r="I485" s="33"/>
      <c r="J485" s="33"/>
      <c r="K485" s="33"/>
      <c r="L485" s="34"/>
    </row>
    <row r="486" spans="1:12" ht="27.95" customHeight="1">
      <c r="A486" s="94"/>
      <c r="B486" s="95"/>
      <c r="C486" s="95"/>
      <c r="D486" s="227"/>
      <c r="E486" s="227"/>
      <c r="F486" s="227"/>
      <c r="G486" s="227"/>
      <c r="H486" s="227"/>
      <c r="I486" s="227"/>
      <c r="J486" s="95"/>
      <c r="K486" s="229" t="s">
        <v>230</v>
      </c>
      <c r="L486" s="228"/>
    </row>
    <row r="487" spans="1:12" ht="27.95" customHeight="1">
      <c r="A487" s="23"/>
      <c r="B487" s="952" t="s">
        <v>229</v>
      </c>
      <c r="C487" s="952"/>
      <c r="D487" s="952"/>
      <c r="E487" s="952"/>
      <c r="F487" s="952"/>
      <c r="G487" s="952"/>
      <c r="H487" s="952"/>
      <c r="I487" s="952"/>
      <c r="J487" s="952"/>
      <c r="K487" s="952"/>
      <c r="L487" s="953"/>
    </row>
    <row r="488" spans="1:12" ht="21.75" customHeight="1">
      <c r="A488" s="23"/>
      <c r="B488" s="927" t="s">
        <v>231</v>
      </c>
      <c r="C488" s="927"/>
      <c r="D488" s="927"/>
      <c r="E488" s="927"/>
      <c r="F488" s="927"/>
      <c r="G488" s="927"/>
      <c r="H488" s="927"/>
      <c r="I488" s="927"/>
      <c r="J488" s="927"/>
      <c r="K488" s="927"/>
      <c r="L488" s="954"/>
    </row>
    <row r="489" spans="1:12" ht="27.95" customHeight="1">
      <c r="A489" s="23"/>
      <c r="B489" s="230" t="s">
        <v>232</v>
      </c>
      <c r="C489" s="230"/>
      <c r="D489" s="230"/>
      <c r="E489" s="230"/>
      <c r="F489" s="230"/>
      <c r="H489" s="231"/>
      <c r="I489" s="231"/>
      <c r="J489" s="231"/>
      <c r="K489" s="231"/>
      <c r="L489" s="239"/>
    </row>
    <row r="490" spans="1:12" ht="27.95" customHeight="1">
      <c r="A490" s="23"/>
      <c r="B490" s="807" t="s">
        <v>202</v>
      </c>
      <c r="C490" s="807"/>
      <c r="D490" s="807"/>
      <c r="E490" s="807"/>
      <c r="F490" s="807"/>
      <c r="G490" s="807"/>
      <c r="H490" s="816">
        <f>'4-22Master'!C427</f>
        <v>0</v>
      </c>
      <c r="I490" s="809"/>
      <c r="J490" s="809"/>
      <c r="K490" s="809"/>
      <c r="L490" s="810"/>
    </row>
    <row r="491" spans="1:12" ht="24" customHeight="1">
      <c r="A491" s="23"/>
      <c r="B491" s="817" t="s">
        <v>203</v>
      </c>
      <c r="C491" s="817"/>
      <c r="D491" s="817"/>
      <c r="E491" s="817"/>
      <c r="F491" s="817"/>
      <c r="G491" s="817"/>
      <c r="H491" s="816">
        <f>'4-22Master'!F427</f>
        <v>0</v>
      </c>
      <c r="I491" s="809"/>
      <c r="J491" s="809"/>
      <c r="K491" s="809"/>
      <c r="L491" s="810"/>
    </row>
    <row r="492" spans="1:12" ht="24.75" customHeight="1">
      <c r="A492" s="23"/>
      <c r="B492" s="807" t="s">
        <v>204</v>
      </c>
      <c r="C492" s="807"/>
      <c r="D492" s="807"/>
      <c r="E492" s="807"/>
      <c r="F492" s="807"/>
      <c r="G492" s="807"/>
      <c r="H492" s="816">
        <f>'4-22Master'!D427</f>
        <v>0</v>
      </c>
      <c r="I492" s="809"/>
      <c r="J492" s="809"/>
      <c r="K492" s="809"/>
      <c r="L492" s="810"/>
    </row>
    <row r="493" spans="1:12" ht="26.25" customHeight="1">
      <c r="A493" s="23"/>
      <c r="B493" s="807" t="s">
        <v>205</v>
      </c>
      <c r="C493" s="807"/>
      <c r="D493" s="807"/>
      <c r="E493" s="807"/>
      <c r="F493" s="807"/>
      <c r="G493" s="807"/>
      <c r="H493" s="941">
        <f>'4-22Master'!E427</f>
        <v>0</v>
      </c>
      <c r="I493" s="809"/>
      <c r="J493" s="809"/>
      <c r="K493" s="809"/>
      <c r="L493" s="810"/>
    </row>
    <row r="494" spans="1:12" ht="25.5" customHeight="1">
      <c r="A494" s="23"/>
      <c r="B494" s="106" t="s">
        <v>206</v>
      </c>
      <c r="C494" s="107"/>
      <c r="D494" s="107"/>
      <c r="E494" s="107"/>
      <c r="F494" s="107"/>
      <c r="G494" s="107"/>
      <c r="H494" s="938" t="s">
        <v>207</v>
      </c>
      <c r="I494" s="939"/>
      <c r="J494" s="939"/>
      <c r="K494" s="939"/>
      <c r="L494" s="940"/>
    </row>
    <row r="495" spans="1:12" ht="27.95" customHeight="1">
      <c r="A495" s="23"/>
      <c r="B495" s="106" t="s">
        <v>208</v>
      </c>
      <c r="C495" s="107"/>
      <c r="D495" s="107"/>
      <c r="E495" s="107"/>
      <c r="F495" s="107"/>
      <c r="G495" s="107"/>
      <c r="H495" s="108"/>
      <c r="I495" s="110"/>
      <c r="J495" s="221"/>
      <c r="K495" s="110"/>
      <c r="L495" s="115"/>
    </row>
    <row r="496" spans="1:12" ht="24" customHeight="1">
      <c r="A496" s="23"/>
      <c r="B496" s="811" t="s">
        <v>209</v>
      </c>
      <c r="C496" s="811"/>
      <c r="D496" s="811"/>
      <c r="E496" s="811"/>
      <c r="F496" s="811"/>
      <c r="G496" s="811"/>
      <c r="H496" s="812">
        <f>'4-22Master'!H427</f>
        <v>0</v>
      </c>
      <c r="I496" s="813"/>
      <c r="J496" s="813"/>
      <c r="K496" s="813"/>
      <c r="L496" s="814"/>
    </row>
    <row r="497" spans="1:12" ht="22.5" customHeight="1">
      <c r="A497" s="23"/>
      <c r="B497" s="807"/>
      <c r="C497" s="807"/>
      <c r="D497" s="807"/>
      <c r="E497" s="807"/>
      <c r="F497" s="807"/>
      <c r="G497" s="807"/>
      <c r="H497" s="808">
        <f>'4-22Master'!I427</f>
        <v>0</v>
      </c>
      <c r="I497" s="809"/>
      <c r="J497" s="809"/>
      <c r="K497" s="809"/>
      <c r="L497" s="810"/>
    </row>
    <row r="498" spans="1:12" ht="18.75" customHeight="1">
      <c r="A498" s="23"/>
      <c r="B498" s="807"/>
      <c r="C498" s="807"/>
      <c r="D498" s="807"/>
      <c r="E498" s="807"/>
      <c r="F498" s="807"/>
      <c r="G498" s="807"/>
      <c r="H498" s="816">
        <f>'4-22Master'!J427</f>
        <v>0</v>
      </c>
      <c r="I498" s="809"/>
      <c r="J498" s="809"/>
      <c r="K498" s="809"/>
      <c r="L498" s="810"/>
    </row>
    <row r="499" spans="1:12">
      <c r="A499" s="23"/>
      <c r="G499" s="4" t="s">
        <v>233</v>
      </c>
      <c r="H499" s="4"/>
      <c r="I499" s="4"/>
      <c r="J499" s="4"/>
      <c r="K499" s="4"/>
      <c r="L499" s="101"/>
    </row>
    <row r="500" spans="1:12">
      <c r="A500" s="23"/>
      <c r="B500" s="223" t="s">
        <v>217</v>
      </c>
      <c r="C500" s="219"/>
      <c r="D500" s="219"/>
      <c r="E500" s="219"/>
      <c r="F500" s="219"/>
      <c r="G500" s="219"/>
      <c r="H500" s="208"/>
      <c r="I500" s="208"/>
      <c r="J500" s="208"/>
      <c r="K500" s="208"/>
      <c r="L500" s="226"/>
    </row>
    <row r="501" spans="1:12">
      <c r="A501" s="23"/>
      <c r="B501" s="223" t="s">
        <v>218</v>
      </c>
      <c r="C501" s="219"/>
      <c r="D501" s="219"/>
      <c r="E501" s="219"/>
      <c r="F501" s="219"/>
      <c r="G501" s="219"/>
      <c r="H501" s="208"/>
      <c r="I501" s="208"/>
      <c r="J501" s="209"/>
      <c r="K501" s="208"/>
      <c r="L501" s="226"/>
    </row>
    <row r="502" spans="1:12" ht="45">
      <c r="A502" s="105"/>
      <c r="B502" s="106" t="s">
        <v>221</v>
      </c>
      <c r="C502" s="107"/>
      <c r="D502" s="236"/>
      <c r="E502" s="214" t="s">
        <v>223</v>
      </c>
      <c r="F502" s="78"/>
      <c r="G502" s="933" t="s">
        <v>222</v>
      </c>
      <c r="H502" s="934"/>
      <c r="I502" s="213" t="s">
        <v>219</v>
      </c>
      <c r="J502" s="216" t="s">
        <v>224</v>
      </c>
      <c r="K502" s="933" t="s">
        <v>220</v>
      </c>
      <c r="L502" s="935"/>
    </row>
    <row r="503" spans="1:12" ht="15" customHeight="1">
      <c r="A503" s="105"/>
      <c r="B503" s="217">
        <v>1</v>
      </c>
      <c r="C503" s="107"/>
      <c r="D503" s="107"/>
      <c r="E503" s="220">
        <v>2</v>
      </c>
      <c r="F503" s="111"/>
      <c r="G503" s="220">
        <v>3</v>
      </c>
      <c r="H503" s="236"/>
      <c r="I503" s="236">
        <v>4</v>
      </c>
      <c r="J503" s="129">
        <v>5</v>
      </c>
      <c r="K503" s="113"/>
      <c r="L503" s="114">
        <v>6</v>
      </c>
    </row>
    <row r="504" spans="1:12">
      <c r="A504" s="105"/>
      <c r="B504" s="106"/>
      <c r="C504" s="232"/>
      <c r="D504" s="233"/>
      <c r="E504" s="234" t="s">
        <v>383</v>
      </c>
      <c r="F504" s="233"/>
      <c r="G504" s="234" t="s">
        <v>381</v>
      </c>
      <c r="H504" s="78"/>
      <c r="I504" s="19" t="s">
        <v>384</v>
      </c>
      <c r="J504" s="333">
        <v>1</v>
      </c>
      <c r="K504" s="235" t="s">
        <v>37</v>
      </c>
      <c r="L504" s="240"/>
    </row>
    <row r="505" spans="1:12">
      <c r="A505" s="105"/>
      <c r="B505" s="106"/>
      <c r="C505" s="232"/>
      <c r="D505" s="233"/>
      <c r="E505" s="234"/>
      <c r="F505" s="233"/>
      <c r="G505" s="234"/>
      <c r="H505" s="78"/>
      <c r="I505" s="19"/>
      <c r="J505" s="19"/>
      <c r="K505" s="235"/>
      <c r="L505" s="240"/>
    </row>
    <row r="506" spans="1:12">
      <c r="A506" s="105"/>
      <c r="B506" s="106"/>
      <c r="C506" s="232"/>
      <c r="D506" s="233"/>
      <c r="E506" s="234"/>
      <c r="F506" s="233"/>
      <c r="G506" s="234"/>
      <c r="H506" s="78"/>
      <c r="I506" s="19"/>
      <c r="J506" s="19"/>
      <c r="K506" s="235"/>
      <c r="L506" s="240"/>
    </row>
    <row r="507" spans="1:12">
      <c r="A507" s="105"/>
      <c r="B507" s="85"/>
      <c r="C507" s="27"/>
      <c r="D507" s="86"/>
      <c r="E507" s="234"/>
      <c r="F507" s="233"/>
      <c r="G507" s="234"/>
      <c r="H507" s="78"/>
      <c r="I507" s="19"/>
      <c r="J507" s="19"/>
      <c r="K507" s="235"/>
      <c r="L507" s="240"/>
    </row>
    <row r="508" spans="1:12">
      <c r="A508" s="105"/>
      <c r="B508" t="s">
        <v>225</v>
      </c>
      <c r="L508" s="24"/>
    </row>
    <row r="509" spans="1:12">
      <c r="A509" s="23"/>
      <c r="B509" t="s">
        <v>226</v>
      </c>
      <c r="L509" s="24"/>
    </row>
    <row r="510" spans="1:12">
      <c r="A510" s="23"/>
      <c r="B510" t="s">
        <v>237</v>
      </c>
      <c r="J510" t="s">
        <v>236</v>
      </c>
      <c r="L510" s="24"/>
    </row>
    <row r="511" spans="1:12">
      <c r="A511" s="23"/>
      <c r="G511" s="4" t="s">
        <v>234</v>
      </c>
      <c r="H511" s="4"/>
      <c r="I511" s="4"/>
      <c r="J511" s="4"/>
      <c r="K511" s="4"/>
      <c r="L511" s="101"/>
    </row>
    <row r="512" spans="1:12">
      <c r="A512" s="23"/>
      <c r="B512" s="4"/>
      <c r="G512" t="s">
        <v>235</v>
      </c>
      <c r="H512" s="4"/>
      <c r="I512" s="4"/>
      <c r="J512" s="4"/>
      <c r="K512" s="4"/>
      <c r="L512" s="101"/>
    </row>
    <row r="513" spans="1:12">
      <c r="A513" s="23"/>
      <c r="B513" s="223" t="s">
        <v>238</v>
      </c>
      <c r="C513" s="219"/>
      <c r="D513" s="219"/>
      <c r="E513" s="219"/>
      <c r="F513" s="219"/>
      <c r="G513" s="219"/>
      <c r="H513" s="208"/>
      <c r="I513" s="208"/>
      <c r="J513" s="208"/>
      <c r="K513" s="208"/>
      <c r="L513" s="226"/>
    </row>
    <row r="514" spans="1:12">
      <c r="A514" s="23"/>
      <c r="B514" s="223" t="s">
        <v>239</v>
      </c>
      <c r="C514" s="219"/>
      <c r="D514" s="219"/>
      <c r="E514" s="219"/>
      <c r="F514" s="219"/>
      <c r="G514" s="219"/>
      <c r="H514" s="208"/>
      <c r="I514" s="208"/>
      <c r="J514" s="209"/>
      <c r="K514" s="208"/>
      <c r="L514" s="226"/>
    </row>
    <row r="515" spans="1:12">
      <c r="A515" s="23"/>
      <c r="B515" s="106" t="s">
        <v>5</v>
      </c>
      <c r="C515" s="945" t="s">
        <v>240</v>
      </c>
      <c r="D515" s="931"/>
      <c r="E515" s="931"/>
      <c r="F515" s="931"/>
      <c r="G515" s="931"/>
      <c r="H515" s="946"/>
      <c r="I515" s="215" t="s">
        <v>108</v>
      </c>
      <c r="J515" s="947" t="s">
        <v>241</v>
      </c>
      <c r="K515" s="948"/>
      <c r="L515" s="949"/>
    </row>
    <row r="516" spans="1:12">
      <c r="A516" s="23"/>
      <c r="B516" s="217">
        <v>1</v>
      </c>
      <c r="C516" s="251"/>
      <c r="D516" s="110"/>
      <c r="E516" s="116">
        <v>2</v>
      </c>
      <c r="F516" s="77"/>
      <c r="G516" s="944"/>
      <c r="H516" s="934"/>
      <c r="I516" s="110">
        <v>3</v>
      </c>
      <c r="J516" s="238" t="s">
        <v>242</v>
      </c>
      <c r="K516" s="950">
        <v>4</v>
      </c>
      <c r="L516" s="951"/>
    </row>
    <row r="517" spans="1:12">
      <c r="A517" s="23"/>
      <c r="B517" s="106"/>
      <c r="C517" s="251"/>
      <c r="D517" s="110"/>
      <c r="E517" s="116"/>
      <c r="F517" s="77"/>
      <c r="G517" s="944"/>
      <c r="H517" s="934"/>
      <c r="I517" s="235"/>
      <c r="J517" s="237"/>
      <c r="K517" s="944"/>
      <c r="L517" s="935"/>
    </row>
    <row r="518" spans="1:12" ht="27.95" customHeight="1">
      <c r="A518" s="23"/>
      <c r="B518" s="106"/>
      <c r="C518" s="251"/>
      <c r="D518" s="110"/>
      <c r="E518" s="116"/>
      <c r="F518" s="77"/>
      <c r="G518" s="944"/>
      <c r="H518" s="934"/>
      <c r="I518" s="235"/>
      <c r="J518" s="237"/>
      <c r="K518" s="944"/>
      <c r="L518" s="935"/>
    </row>
    <row r="519" spans="1:12" ht="27.95" customHeight="1">
      <c r="A519" s="23"/>
      <c r="B519" s="106"/>
      <c r="C519" s="251"/>
      <c r="D519" s="110"/>
      <c r="E519" s="116"/>
      <c r="F519" s="77"/>
      <c r="G519" s="944"/>
      <c r="H519" s="934"/>
      <c r="I519" s="235"/>
      <c r="J519" s="237"/>
      <c r="K519" s="944"/>
      <c r="L519" s="935"/>
    </row>
    <row r="520" spans="1:12" ht="27.95" customHeight="1">
      <c r="A520" s="23"/>
      <c r="B520" s="85"/>
      <c r="C520" s="251"/>
      <c r="D520" s="110"/>
      <c r="E520" s="116"/>
      <c r="F520" s="77"/>
      <c r="G520" s="944"/>
      <c r="H520" s="934"/>
      <c r="I520" s="235"/>
      <c r="J520" s="237"/>
      <c r="K520" s="944"/>
      <c r="L520" s="935"/>
    </row>
    <row r="521" spans="1:12" ht="25.5" customHeight="1">
      <c r="A521" s="23"/>
      <c r="B521" t="s">
        <v>246</v>
      </c>
      <c r="L521" s="24"/>
    </row>
    <row r="522" spans="1:12" ht="18" customHeight="1">
      <c r="A522" s="23"/>
      <c r="B522" t="s">
        <v>247</v>
      </c>
      <c r="L522" s="24"/>
    </row>
    <row r="523" spans="1:12" ht="16.5" customHeight="1">
      <c r="A523" s="23"/>
      <c r="B523" t="s">
        <v>248</v>
      </c>
      <c r="L523" s="24"/>
    </row>
    <row r="524" spans="1:12" ht="16.5" customHeight="1">
      <c r="A524" s="23"/>
      <c r="B524" t="s">
        <v>249</v>
      </c>
      <c r="L524" s="24"/>
    </row>
    <row r="525" spans="1:12" ht="27.95" customHeight="1">
      <c r="A525" s="23"/>
      <c r="B525" s="234" t="s">
        <v>243</v>
      </c>
      <c r="C525" s="77"/>
      <c r="D525" s="77"/>
      <c r="E525" s="77"/>
      <c r="F525" s="78"/>
      <c r="G525" s="234" t="s">
        <v>219</v>
      </c>
      <c r="H525" s="78"/>
      <c r="I525" s="234" t="s">
        <v>244</v>
      </c>
      <c r="J525" s="77"/>
      <c r="K525" s="78"/>
      <c r="L525" s="24"/>
    </row>
    <row r="526" spans="1:12" ht="24.75" customHeight="1">
      <c r="A526" s="23"/>
      <c r="B526" s="936"/>
      <c r="C526" s="943"/>
      <c r="D526" s="943"/>
      <c r="E526" s="943"/>
      <c r="F526" s="942"/>
      <c r="G526" s="936"/>
      <c r="H526" s="942"/>
      <c r="I526" s="936"/>
      <c r="J526" s="943"/>
      <c r="K526" s="942"/>
      <c r="L526" s="24"/>
    </row>
    <row r="527" spans="1:12" ht="23.25" customHeight="1">
      <c r="A527" s="23"/>
      <c r="B527" s="936"/>
      <c r="C527" s="943"/>
      <c r="D527" s="943"/>
      <c r="E527" s="943"/>
      <c r="F527" s="942"/>
      <c r="G527" s="936"/>
      <c r="H527" s="942"/>
      <c r="I527" s="936"/>
      <c r="J527" s="943"/>
      <c r="K527" s="942"/>
      <c r="L527" s="24"/>
    </row>
    <row r="528" spans="1:12" ht="21.75" customHeight="1">
      <c r="A528" s="23"/>
      <c r="B528" s="936"/>
      <c r="C528" s="943"/>
      <c r="D528" s="943"/>
      <c r="E528" s="943"/>
      <c r="F528" s="942"/>
      <c r="G528" s="936"/>
      <c r="H528" s="942"/>
      <c r="I528" s="936"/>
      <c r="J528" s="943"/>
      <c r="K528" s="942"/>
      <c r="L528" s="24"/>
    </row>
    <row r="529" spans="1:12" ht="19.5" customHeight="1">
      <c r="A529" s="23"/>
      <c r="B529" s="936"/>
      <c r="C529" s="943"/>
      <c r="D529" s="943"/>
      <c r="E529" s="943"/>
      <c r="F529" s="942"/>
      <c r="G529" s="936"/>
      <c r="H529" s="942"/>
      <c r="I529" s="936"/>
      <c r="J529" s="943"/>
      <c r="K529" s="942"/>
      <c r="L529" s="24"/>
    </row>
    <row r="530" spans="1:12" ht="27.95" customHeight="1">
      <c r="A530" s="23"/>
      <c r="B530" t="s">
        <v>216</v>
      </c>
      <c r="I530" t="s">
        <v>245</v>
      </c>
      <c r="L530" s="24"/>
    </row>
    <row r="531" spans="1:12" ht="24" customHeight="1">
      <c r="A531" s="23"/>
      <c r="F531" s="222" t="s">
        <v>211</v>
      </c>
      <c r="L531" s="24"/>
    </row>
    <row r="532" spans="1:12" ht="27.95" customHeight="1">
      <c r="A532" s="23" t="s">
        <v>212</v>
      </c>
      <c r="L532" s="24"/>
    </row>
    <row r="533" spans="1:12" ht="27.95" customHeight="1">
      <c r="A533" s="23" t="s">
        <v>213</v>
      </c>
      <c r="L533" s="24"/>
    </row>
    <row r="534" spans="1:12" ht="27.95" customHeight="1">
      <c r="A534" s="23"/>
      <c r="F534" t="s">
        <v>214</v>
      </c>
      <c r="L534" s="24"/>
    </row>
    <row r="535" spans="1:12">
      <c r="A535" s="23" t="s">
        <v>215</v>
      </c>
      <c r="F535">
        <f>'4-22Master'!G417</f>
        <v>0</v>
      </c>
      <c r="L535" s="24"/>
    </row>
    <row r="536" spans="1:12" ht="15.75" thickBot="1">
      <c r="A536" s="35" t="s">
        <v>216</v>
      </c>
      <c r="B536" s="33"/>
      <c r="C536" s="33"/>
      <c r="D536" s="33"/>
      <c r="E536" s="33"/>
      <c r="F536" s="33">
        <f>'4-22Master'!G418</f>
        <v>0</v>
      </c>
      <c r="G536" s="33"/>
      <c r="H536" s="33"/>
      <c r="I536" s="33"/>
      <c r="J536" s="33"/>
      <c r="K536" s="33"/>
      <c r="L536" s="34"/>
    </row>
    <row r="537" spans="1:12" ht="32.25">
      <c r="A537" s="94"/>
      <c r="B537" s="95"/>
      <c r="C537" s="95"/>
      <c r="D537" s="227"/>
      <c r="E537" s="227"/>
      <c r="F537" s="227"/>
      <c r="G537" s="227"/>
      <c r="H537" s="227"/>
      <c r="I537" s="227"/>
      <c r="J537" s="95"/>
      <c r="K537" s="229" t="s">
        <v>230</v>
      </c>
      <c r="L537" s="228"/>
    </row>
    <row r="538" spans="1:12" ht="21">
      <c r="A538" s="23"/>
      <c r="B538" s="952" t="s">
        <v>229</v>
      </c>
      <c r="C538" s="952"/>
      <c r="D538" s="952"/>
      <c r="E538" s="952"/>
      <c r="F538" s="952"/>
      <c r="G538" s="952"/>
      <c r="H538" s="952"/>
      <c r="I538" s="952"/>
      <c r="J538" s="952"/>
      <c r="K538" s="952"/>
      <c r="L538" s="953"/>
    </row>
    <row r="539" spans="1:12" ht="15.75">
      <c r="A539" s="23"/>
      <c r="B539" s="927" t="s">
        <v>231</v>
      </c>
      <c r="C539" s="927"/>
      <c r="D539" s="927"/>
      <c r="E539" s="927"/>
      <c r="F539" s="927"/>
      <c r="G539" s="927"/>
      <c r="H539" s="927"/>
      <c r="I539" s="927"/>
      <c r="J539" s="927"/>
      <c r="K539" s="927"/>
      <c r="L539" s="954"/>
    </row>
    <row r="540" spans="1:12" ht="15" customHeight="1">
      <c r="A540" s="23"/>
      <c r="B540" s="230" t="s">
        <v>232</v>
      </c>
      <c r="C540" s="230"/>
      <c r="D540" s="230"/>
      <c r="E540" s="230"/>
      <c r="F540" s="230"/>
      <c r="H540" s="231"/>
      <c r="I540" s="231"/>
      <c r="J540" s="231"/>
      <c r="K540" s="231"/>
      <c r="L540" s="239"/>
    </row>
    <row r="541" spans="1:12">
      <c r="A541" s="23"/>
      <c r="B541" s="807" t="s">
        <v>202</v>
      </c>
      <c r="C541" s="807"/>
      <c r="D541" s="807"/>
      <c r="E541" s="807"/>
      <c r="F541" s="807"/>
      <c r="G541" s="807"/>
      <c r="H541" s="816">
        <f>'4-22Master'!C478</f>
        <v>0</v>
      </c>
      <c r="I541" s="809"/>
      <c r="J541" s="809"/>
      <c r="K541" s="809"/>
      <c r="L541" s="810"/>
    </row>
    <row r="542" spans="1:12">
      <c r="A542" s="23"/>
      <c r="B542" s="817" t="s">
        <v>203</v>
      </c>
      <c r="C542" s="817"/>
      <c r="D542" s="817"/>
      <c r="E542" s="817"/>
      <c r="F542" s="817"/>
      <c r="G542" s="817"/>
      <c r="H542" s="816">
        <f>'4-22Master'!F478</f>
        <v>0</v>
      </c>
      <c r="I542" s="809"/>
      <c r="J542" s="809"/>
      <c r="K542" s="809"/>
      <c r="L542" s="810"/>
    </row>
    <row r="543" spans="1:12">
      <c r="A543" s="23"/>
      <c r="B543" s="807" t="s">
        <v>204</v>
      </c>
      <c r="C543" s="807"/>
      <c r="D543" s="807"/>
      <c r="E543" s="807"/>
      <c r="F543" s="807"/>
      <c r="G543" s="807"/>
      <c r="H543" s="816">
        <f>'4-22Master'!D478</f>
        <v>0</v>
      </c>
      <c r="I543" s="809"/>
      <c r="J543" s="809"/>
      <c r="K543" s="809"/>
      <c r="L543" s="810"/>
    </row>
    <row r="544" spans="1:12">
      <c r="A544" s="23"/>
      <c r="B544" s="807" t="s">
        <v>205</v>
      </c>
      <c r="C544" s="807"/>
      <c r="D544" s="807"/>
      <c r="E544" s="807"/>
      <c r="F544" s="807"/>
      <c r="G544" s="807"/>
      <c r="H544" s="941">
        <f>'4-22Master'!E478</f>
        <v>0</v>
      </c>
      <c r="I544" s="809"/>
      <c r="J544" s="809"/>
      <c r="K544" s="809"/>
      <c r="L544" s="810"/>
    </row>
    <row r="545" spans="1:12">
      <c r="A545" s="23"/>
      <c r="B545" s="106" t="s">
        <v>206</v>
      </c>
      <c r="C545" s="107"/>
      <c r="D545" s="107"/>
      <c r="E545" s="107"/>
      <c r="F545" s="107"/>
      <c r="G545" s="107"/>
      <c r="H545" s="938" t="s">
        <v>207</v>
      </c>
      <c r="I545" s="939"/>
      <c r="J545" s="939"/>
      <c r="K545" s="939"/>
      <c r="L545" s="940"/>
    </row>
    <row r="546" spans="1:12">
      <c r="A546" s="23"/>
      <c r="B546" s="106" t="s">
        <v>208</v>
      </c>
      <c r="C546" s="107"/>
      <c r="D546" s="107"/>
      <c r="E546" s="107"/>
      <c r="F546" s="107"/>
      <c r="G546" s="107"/>
      <c r="H546" s="108"/>
      <c r="I546" s="110"/>
      <c r="J546" s="221"/>
      <c r="K546" s="110"/>
      <c r="L546" s="115"/>
    </row>
    <row r="547" spans="1:12">
      <c r="A547" s="23"/>
      <c r="B547" s="811" t="s">
        <v>209</v>
      </c>
      <c r="C547" s="811"/>
      <c r="D547" s="811"/>
      <c r="E547" s="811"/>
      <c r="F547" s="811"/>
      <c r="G547" s="811"/>
      <c r="H547" s="812">
        <f>'4-22Master'!H478</f>
        <v>0</v>
      </c>
      <c r="I547" s="813"/>
      <c r="J547" s="813"/>
      <c r="K547" s="813"/>
      <c r="L547" s="814"/>
    </row>
    <row r="548" spans="1:12">
      <c r="A548" s="23"/>
      <c r="B548" s="807"/>
      <c r="C548" s="807"/>
      <c r="D548" s="807"/>
      <c r="E548" s="807"/>
      <c r="F548" s="807"/>
      <c r="G548" s="807"/>
      <c r="H548" s="808">
        <f>'4-22Master'!I478</f>
        <v>0</v>
      </c>
      <c r="I548" s="809"/>
      <c r="J548" s="809"/>
      <c r="K548" s="809"/>
      <c r="L548" s="810"/>
    </row>
    <row r="549" spans="1:12">
      <c r="A549" s="23"/>
      <c r="B549" s="807"/>
      <c r="C549" s="807"/>
      <c r="D549" s="807"/>
      <c r="E549" s="807"/>
      <c r="F549" s="807"/>
      <c r="G549" s="807"/>
      <c r="H549" s="816">
        <f>'4-22Master'!J478</f>
        <v>0</v>
      </c>
      <c r="I549" s="809"/>
      <c r="J549" s="809"/>
      <c r="K549" s="809"/>
      <c r="L549" s="810"/>
    </row>
    <row r="550" spans="1:12">
      <c r="A550" s="23"/>
      <c r="G550" s="4" t="s">
        <v>233</v>
      </c>
      <c r="H550" s="4"/>
      <c r="I550" s="4"/>
      <c r="J550" s="4"/>
      <c r="K550" s="4"/>
      <c r="L550" s="101"/>
    </row>
    <row r="551" spans="1:12">
      <c r="A551" s="23"/>
      <c r="B551" s="223" t="s">
        <v>217</v>
      </c>
      <c r="C551" s="219"/>
      <c r="D551" s="219"/>
      <c r="E551" s="219"/>
      <c r="F551" s="219"/>
      <c r="G551" s="219"/>
      <c r="H551" s="208"/>
      <c r="I551" s="208"/>
      <c r="J551" s="208"/>
      <c r="K551" s="208"/>
      <c r="L551" s="226"/>
    </row>
    <row r="552" spans="1:12">
      <c r="A552" s="23"/>
      <c r="B552" s="223" t="s">
        <v>218</v>
      </c>
      <c r="C552" s="219"/>
      <c r="D552" s="219"/>
      <c r="E552" s="219"/>
      <c r="F552" s="219"/>
      <c r="G552" s="219"/>
      <c r="H552" s="208"/>
      <c r="I552" s="208"/>
      <c r="J552" s="209"/>
      <c r="K552" s="208"/>
      <c r="L552" s="226"/>
    </row>
    <row r="553" spans="1:12" ht="45">
      <c r="A553" s="105"/>
      <c r="B553" s="106" t="s">
        <v>221</v>
      </c>
      <c r="C553" s="107"/>
      <c r="D553" s="236"/>
      <c r="E553" s="214" t="s">
        <v>223</v>
      </c>
      <c r="F553" s="78"/>
      <c r="G553" s="933" t="s">
        <v>222</v>
      </c>
      <c r="H553" s="934"/>
      <c r="I553" s="213" t="s">
        <v>219</v>
      </c>
      <c r="J553" s="216" t="s">
        <v>224</v>
      </c>
      <c r="K553" s="933" t="s">
        <v>220</v>
      </c>
      <c r="L553" s="935"/>
    </row>
    <row r="554" spans="1:12">
      <c r="A554" s="105"/>
      <c r="B554" s="217">
        <v>1</v>
      </c>
      <c r="C554" s="107"/>
      <c r="D554" s="107"/>
      <c r="E554" s="220">
        <v>2</v>
      </c>
      <c r="F554" s="111"/>
      <c r="G554" s="220">
        <v>3</v>
      </c>
      <c r="H554" s="236"/>
      <c r="I554" s="236">
        <v>4</v>
      </c>
      <c r="J554" s="129">
        <v>5</v>
      </c>
      <c r="K554" s="113"/>
      <c r="L554" s="114">
        <v>6</v>
      </c>
    </row>
    <row r="555" spans="1:12" ht="27.95" customHeight="1">
      <c r="A555" s="105"/>
      <c r="B555" s="106"/>
      <c r="C555" s="232"/>
      <c r="D555" s="233"/>
      <c r="E555" s="234" t="s">
        <v>383</v>
      </c>
      <c r="F555" s="233"/>
      <c r="G555" s="234" t="s">
        <v>381</v>
      </c>
      <c r="H555" s="78"/>
      <c r="I555" s="19" t="s">
        <v>384</v>
      </c>
      <c r="J555" s="333">
        <v>1</v>
      </c>
      <c r="K555" s="235" t="s">
        <v>37</v>
      </c>
      <c r="L555" s="240"/>
    </row>
    <row r="556" spans="1:12" ht="27.95" customHeight="1">
      <c r="A556" s="105"/>
      <c r="B556" s="106"/>
      <c r="C556" s="232"/>
      <c r="D556" s="233"/>
      <c r="E556" s="234"/>
      <c r="F556" s="233"/>
      <c r="G556" s="234"/>
      <c r="H556" s="78"/>
      <c r="I556" s="19"/>
      <c r="J556" s="19"/>
      <c r="K556" s="235"/>
      <c r="L556" s="240"/>
    </row>
    <row r="557" spans="1:12" ht="27.95" customHeight="1">
      <c r="A557" s="105"/>
      <c r="B557" s="106"/>
      <c r="C557" s="232"/>
      <c r="D557" s="233"/>
      <c r="E557" s="234"/>
      <c r="F557" s="233"/>
      <c r="G557" s="234"/>
      <c r="H557" s="78"/>
      <c r="I557" s="19"/>
      <c r="J557" s="19"/>
      <c r="K557" s="235"/>
      <c r="L557" s="240"/>
    </row>
    <row r="558" spans="1:12" ht="27.95" customHeight="1">
      <c r="A558" s="105"/>
      <c r="B558" s="85"/>
      <c r="C558" s="27"/>
      <c r="D558" s="86"/>
      <c r="E558" s="234"/>
      <c r="F558" s="233"/>
      <c r="G558" s="234"/>
      <c r="H558" s="78"/>
      <c r="I558" s="19"/>
      <c r="J558" s="19"/>
      <c r="K558" s="235"/>
      <c r="L558" s="240"/>
    </row>
    <row r="559" spans="1:12" ht="27.95" customHeight="1">
      <c r="A559" s="105"/>
      <c r="B559" t="s">
        <v>225</v>
      </c>
      <c r="L559" s="24"/>
    </row>
    <row r="560" spans="1:12" ht="27.95" customHeight="1">
      <c r="A560" s="23"/>
      <c r="B560" t="s">
        <v>226</v>
      </c>
      <c r="L560" s="24"/>
    </row>
    <row r="561" spans="1:12" ht="27.95" customHeight="1">
      <c r="A561" s="23"/>
      <c r="B561" t="s">
        <v>237</v>
      </c>
      <c r="J561" t="s">
        <v>236</v>
      </c>
      <c r="L561" s="24"/>
    </row>
    <row r="562" spans="1:12" ht="27.95" customHeight="1">
      <c r="A562" s="23"/>
      <c r="G562" s="4" t="s">
        <v>234</v>
      </c>
      <c r="H562" s="4"/>
      <c r="I562" s="4"/>
      <c r="J562" s="4"/>
      <c r="K562" s="4"/>
      <c r="L562" s="101"/>
    </row>
    <row r="563" spans="1:12" ht="27.95" customHeight="1">
      <c r="A563" s="23"/>
      <c r="B563" s="4"/>
      <c r="G563" t="s">
        <v>235</v>
      </c>
      <c r="H563" s="4"/>
      <c r="I563" s="4"/>
      <c r="J563" s="4"/>
      <c r="K563" s="4"/>
      <c r="L563" s="101"/>
    </row>
    <row r="564" spans="1:12" ht="27.95" customHeight="1">
      <c r="A564" s="23"/>
      <c r="B564" s="223" t="s">
        <v>238</v>
      </c>
      <c r="C564" s="219"/>
      <c r="D564" s="219"/>
      <c r="E564" s="219"/>
      <c r="F564" s="219"/>
      <c r="G564" s="219"/>
      <c r="H564" s="208"/>
      <c r="I564" s="208"/>
      <c r="J564" s="208"/>
      <c r="K564" s="208"/>
      <c r="L564" s="226"/>
    </row>
    <row r="565" spans="1:12" ht="27.95" customHeight="1">
      <c r="A565" s="23"/>
      <c r="B565" s="223" t="s">
        <v>239</v>
      </c>
      <c r="C565" s="219"/>
      <c r="D565" s="219"/>
      <c r="E565" s="219"/>
      <c r="F565" s="219"/>
      <c r="G565" s="219"/>
      <c r="H565" s="208"/>
      <c r="I565" s="208"/>
      <c r="J565" s="209"/>
      <c r="K565" s="208"/>
      <c r="L565" s="226"/>
    </row>
    <row r="566" spans="1:12" ht="27.95" customHeight="1">
      <c r="A566" s="23"/>
      <c r="B566" s="106" t="s">
        <v>5</v>
      </c>
      <c r="C566" s="945" t="s">
        <v>240</v>
      </c>
      <c r="D566" s="931"/>
      <c r="E566" s="931"/>
      <c r="F566" s="931"/>
      <c r="G566" s="931"/>
      <c r="H566" s="946"/>
      <c r="I566" s="215" t="s">
        <v>108</v>
      </c>
      <c r="J566" s="947" t="s">
        <v>241</v>
      </c>
      <c r="K566" s="948"/>
      <c r="L566" s="949"/>
    </row>
    <row r="567" spans="1:12" ht="27.95" customHeight="1">
      <c r="A567" s="23"/>
      <c r="B567" s="217">
        <v>1</v>
      </c>
      <c r="C567" s="251"/>
      <c r="D567" s="110"/>
      <c r="E567" s="116">
        <v>2</v>
      </c>
      <c r="F567" s="77"/>
      <c r="G567" s="944"/>
      <c r="H567" s="934"/>
      <c r="I567" s="110">
        <v>3</v>
      </c>
      <c r="J567" s="238" t="s">
        <v>242</v>
      </c>
      <c r="K567" s="950">
        <v>4</v>
      </c>
      <c r="L567" s="951"/>
    </row>
    <row r="568" spans="1:12" ht="27.95" customHeight="1">
      <c r="A568" s="23"/>
      <c r="B568" s="106"/>
      <c r="C568" s="251"/>
      <c r="D568" s="110"/>
      <c r="E568" s="116"/>
      <c r="F568" s="77"/>
      <c r="G568" s="944"/>
      <c r="H568" s="934"/>
      <c r="I568" s="235"/>
      <c r="J568" s="237"/>
      <c r="K568" s="944"/>
      <c r="L568" s="935"/>
    </row>
    <row r="569" spans="1:12" ht="27.95" customHeight="1">
      <c r="A569" s="23"/>
      <c r="B569" s="106"/>
      <c r="C569" s="251"/>
      <c r="D569" s="110"/>
      <c r="E569" s="116"/>
      <c r="F569" s="77"/>
      <c r="G569" s="944"/>
      <c r="H569" s="934"/>
      <c r="I569" s="235"/>
      <c r="J569" s="237"/>
      <c r="K569" s="944"/>
      <c r="L569" s="935"/>
    </row>
    <row r="570" spans="1:12" ht="27.95" customHeight="1">
      <c r="A570" s="23"/>
      <c r="B570" s="106"/>
      <c r="C570" s="251"/>
      <c r="D570" s="110"/>
      <c r="E570" s="116"/>
      <c r="F570" s="77"/>
      <c r="G570" s="944"/>
      <c r="H570" s="934"/>
      <c r="I570" s="235"/>
      <c r="J570" s="237"/>
      <c r="K570" s="944"/>
      <c r="L570" s="935"/>
    </row>
    <row r="571" spans="1:12" ht="27.95" customHeight="1">
      <c r="A571" s="23"/>
      <c r="B571" s="85"/>
      <c r="C571" s="251"/>
      <c r="D571" s="110"/>
      <c r="E571" s="116"/>
      <c r="F571" s="77"/>
      <c r="G571" s="944"/>
      <c r="H571" s="934"/>
      <c r="I571" s="235"/>
      <c r="J571" s="237"/>
      <c r="K571" s="944"/>
      <c r="L571" s="935"/>
    </row>
    <row r="572" spans="1:12" ht="27.95" customHeight="1">
      <c r="A572" s="23"/>
      <c r="B572" t="s">
        <v>246</v>
      </c>
      <c r="L572" s="24"/>
    </row>
    <row r="573" spans="1:12">
      <c r="A573" s="23"/>
      <c r="B573" t="s">
        <v>247</v>
      </c>
      <c r="L573" s="24"/>
    </row>
    <row r="574" spans="1:12">
      <c r="A574" s="23"/>
      <c r="B574" t="s">
        <v>248</v>
      </c>
      <c r="L574" s="24"/>
    </row>
    <row r="575" spans="1:12">
      <c r="A575" s="23"/>
      <c r="B575" t="s">
        <v>249</v>
      </c>
      <c r="L575" s="24"/>
    </row>
    <row r="576" spans="1:12">
      <c r="A576" s="23"/>
      <c r="B576" s="234" t="s">
        <v>243</v>
      </c>
      <c r="C576" s="77"/>
      <c r="D576" s="77"/>
      <c r="E576" s="77"/>
      <c r="F576" s="78"/>
      <c r="G576" s="234" t="s">
        <v>219</v>
      </c>
      <c r="H576" s="78"/>
      <c r="I576" s="234" t="s">
        <v>244</v>
      </c>
      <c r="J576" s="77"/>
      <c r="K576" s="78"/>
      <c r="L576" s="24"/>
    </row>
    <row r="577" spans="1:12">
      <c r="A577" s="23"/>
      <c r="B577" s="936"/>
      <c r="C577" s="943"/>
      <c r="D577" s="943"/>
      <c r="E577" s="943"/>
      <c r="F577" s="942"/>
      <c r="G577" s="936"/>
      <c r="H577" s="942"/>
      <c r="I577" s="936"/>
      <c r="J577" s="943"/>
      <c r="K577" s="942"/>
      <c r="L577" s="24"/>
    </row>
    <row r="578" spans="1:12">
      <c r="A578" s="23"/>
      <c r="B578" s="936"/>
      <c r="C578" s="943"/>
      <c r="D578" s="943"/>
      <c r="E578" s="943"/>
      <c r="F578" s="942"/>
      <c r="G578" s="936"/>
      <c r="H578" s="942"/>
      <c r="I578" s="936"/>
      <c r="J578" s="943"/>
      <c r="K578" s="942"/>
      <c r="L578" s="24"/>
    </row>
    <row r="579" spans="1:12" ht="15" customHeight="1">
      <c r="A579" s="23"/>
      <c r="B579" s="936"/>
      <c r="C579" s="943"/>
      <c r="D579" s="943"/>
      <c r="E579" s="943"/>
      <c r="F579" s="942"/>
      <c r="G579" s="936"/>
      <c r="H579" s="942"/>
      <c r="I579" s="936"/>
      <c r="J579" s="943"/>
      <c r="K579" s="942"/>
      <c r="L579" s="24"/>
    </row>
    <row r="580" spans="1:12">
      <c r="A580" s="23"/>
      <c r="B580" s="936"/>
      <c r="C580" s="943"/>
      <c r="D580" s="943"/>
      <c r="E580" s="943"/>
      <c r="F580" s="942"/>
      <c r="G580" s="936"/>
      <c r="H580" s="942"/>
      <c r="I580" s="936"/>
      <c r="J580" s="943"/>
      <c r="K580" s="942"/>
      <c r="L580" s="24"/>
    </row>
    <row r="581" spans="1:12">
      <c r="A581" s="23"/>
      <c r="B581" t="s">
        <v>216</v>
      </c>
      <c r="I581" t="s">
        <v>245</v>
      </c>
      <c r="L581" s="24"/>
    </row>
    <row r="582" spans="1:12" ht="18.75">
      <c r="A582" s="23"/>
      <c r="F582" s="222" t="s">
        <v>211</v>
      </c>
      <c r="L582" s="24"/>
    </row>
    <row r="583" spans="1:12">
      <c r="A583" s="23" t="s">
        <v>212</v>
      </c>
      <c r="L583" s="24"/>
    </row>
    <row r="584" spans="1:12">
      <c r="A584" s="23" t="s">
        <v>213</v>
      </c>
      <c r="L584" s="24"/>
    </row>
    <row r="585" spans="1:12">
      <c r="A585" s="23"/>
      <c r="F585" t="s">
        <v>214</v>
      </c>
      <c r="L585" s="24"/>
    </row>
    <row r="586" spans="1:12">
      <c r="A586" s="23" t="s">
        <v>215</v>
      </c>
      <c r="F586">
        <f>'4-22Master'!G468</f>
        <v>0</v>
      </c>
      <c r="L586" s="24"/>
    </row>
    <row r="587" spans="1:12" ht="15.75" thickBot="1">
      <c r="A587" s="35" t="s">
        <v>216</v>
      </c>
      <c r="B587" s="33"/>
      <c r="C587" s="33"/>
      <c r="D587" s="33"/>
      <c r="E587" s="33"/>
      <c r="F587" s="33">
        <f>'4-22Master'!G469</f>
        <v>0</v>
      </c>
      <c r="G587" s="33"/>
      <c r="H587" s="33"/>
      <c r="I587" s="33"/>
      <c r="J587" s="33"/>
      <c r="K587" s="33"/>
      <c r="L587" s="34"/>
    </row>
    <row r="589" spans="1:12">
      <c r="H589" s="4"/>
      <c r="I589" s="4"/>
      <c r="J589" s="4"/>
      <c r="K589" s="4"/>
      <c r="L589" s="4"/>
    </row>
    <row r="590" spans="1:12">
      <c r="H590" s="4"/>
      <c r="I590" s="4"/>
      <c r="J590" s="4"/>
      <c r="K590" s="4"/>
      <c r="L590" s="4"/>
    </row>
    <row r="591" spans="1:12">
      <c r="B591" s="4"/>
      <c r="H591" s="4"/>
      <c r="I591" s="4"/>
      <c r="J591" s="4"/>
      <c r="K591" s="4"/>
      <c r="L591" s="4"/>
    </row>
    <row r="592" spans="1:12">
      <c r="H592" s="4"/>
      <c r="I592" s="4"/>
      <c r="J592" s="4"/>
      <c r="K592" s="4"/>
      <c r="L592" s="4"/>
    </row>
    <row r="593" spans="1:12">
      <c r="H593" s="4"/>
      <c r="I593" s="4"/>
      <c r="J593" s="4"/>
      <c r="K593" s="4"/>
      <c r="L593" s="4"/>
    </row>
    <row r="594" spans="1:12" ht="27.95" customHeight="1">
      <c r="A594" s="18"/>
      <c r="B594" s="924"/>
      <c r="C594" s="924"/>
      <c r="D594" s="924"/>
      <c r="E594" s="924"/>
      <c r="F594" s="924"/>
      <c r="G594" s="924"/>
      <c r="H594" s="922"/>
      <c r="I594" s="923"/>
      <c r="J594" s="923"/>
      <c r="K594" s="923"/>
      <c r="L594" s="923"/>
    </row>
    <row r="595" spans="1:12" ht="27.95" customHeight="1">
      <c r="A595" s="18"/>
      <c r="B595" s="805"/>
      <c r="C595" s="805"/>
      <c r="D595" s="805"/>
      <c r="E595" s="805"/>
      <c r="F595" s="805"/>
      <c r="G595" s="805"/>
      <c r="H595" s="922"/>
      <c r="I595" s="923"/>
      <c r="J595" s="923"/>
      <c r="K595" s="923"/>
      <c r="L595" s="923"/>
    </row>
    <row r="596" spans="1:12" ht="27.95" customHeight="1">
      <c r="A596" s="18"/>
      <c r="B596" s="924"/>
      <c r="C596" s="924"/>
      <c r="D596" s="924"/>
      <c r="E596" s="924"/>
      <c r="F596" s="924"/>
      <c r="G596" s="924"/>
      <c r="H596" s="922"/>
      <c r="I596" s="923"/>
      <c r="J596" s="923"/>
      <c r="K596" s="923"/>
      <c r="L596" s="923"/>
    </row>
    <row r="597" spans="1:12" ht="27.95" customHeight="1">
      <c r="A597" s="18"/>
      <c r="B597" s="924"/>
      <c r="C597" s="924"/>
      <c r="D597" s="924"/>
      <c r="E597" s="924"/>
      <c r="F597" s="924"/>
      <c r="G597" s="924"/>
      <c r="H597" s="926"/>
      <c r="I597" s="923"/>
      <c r="J597" s="923"/>
      <c r="K597" s="923"/>
      <c r="L597" s="923"/>
    </row>
    <row r="598" spans="1:12" ht="27.95" customHeight="1">
      <c r="A598" s="18"/>
      <c r="B598" s="223"/>
      <c r="C598" s="219"/>
      <c r="D598" s="219"/>
      <c r="E598" s="219"/>
      <c r="F598" s="219"/>
      <c r="G598" s="219"/>
      <c r="H598" s="208"/>
      <c r="I598" s="18"/>
      <c r="J598" s="292"/>
      <c r="K598" s="208"/>
      <c r="L598" s="208"/>
    </row>
    <row r="599" spans="1:12" ht="27.95" customHeight="1">
      <c r="A599" s="18"/>
      <c r="B599" s="223"/>
      <c r="C599" s="219"/>
      <c r="D599" s="219"/>
      <c r="E599" s="219"/>
      <c r="F599" s="219"/>
      <c r="G599" s="219"/>
      <c r="H599" s="208"/>
      <c r="I599" s="208"/>
      <c r="J599" s="292"/>
      <c r="K599" s="208"/>
      <c r="L599" s="208"/>
    </row>
    <row r="600" spans="1:12" ht="27.95" customHeight="1">
      <c r="A600" s="18"/>
      <c r="B600" s="805"/>
      <c r="C600" s="805"/>
      <c r="D600" s="805"/>
      <c r="E600" s="805"/>
      <c r="F600" s="805"/>
      <c r="G600" s="805"/>
      <c r="H600" s="922"/>
      <c r="I600" s="923"/>
      <c r="J600" s="923"/>
      <c r="K600" s="923"/>
      <c r="L600" s="923"/>
    </row>
    <row r="601" spans="1:12" ht="27.95" customHeight="1">
      <c r="A601" s="18"/>
      <c r="B601" s="924"/>
      <c r="C601" s="924"/>
      <c r="D601" s="924"/>
      <c r="E601" s="924"/>
      <c r="F601" s="924"/>
      <c r="G601" s="924"/>
      <c r="H601" s="925"/>
      <c r="I601" s="923"/>
      <c r="J601" s="923"/>
      <c r="K601" s="923"/>
      <c r="L601" s="923"/>
    </row>
    <row r="602" spans="1:12" ht="27.95" customHeight="1">
      <c r="B602" s="924"/>
      <c r="C602" s="924"/>
      <c r="D602" s="924"/>
      <c r="E602" s="924"/>
      <c r="F602" s="924"/>
      <c r="G602" s="924"/>
      <c r="H602" s="923"/>
      <c r="I602" s="923"/>
      <c r="J602" s="923"/>
      <c r="K602" s="923"/>
      <c r="L602" s="923"/>
    </row>
    <row r="603" spans="1:12" ht="27.95" customHeight="1">
      <c r="B603" s="223"/>
      <c r="C603" s="219"/>
      <c r="D603" s="219"/>
      <c r="E603" s="219"/>
      <c r="F603" s="219"/>
      <c r="G603" s="219"/>
      <c r="H603" s="208"/>
      <c r="I603" s="208"/>
      <c r="J603" s="208"/>
      <c r="K603" s="208"/>
      <c r="L603" s="208"/>
    </row>
    <row r="604" spans="1:12" ht="27.95" customHeight="1">
      <c r="B604" s="223"/>
      <c r="C604" s="219"/>
      <c r="D604" s="219"/>
      <c r="E604" s="219"/>
      <c r="F604" s="219"/>
      <c r="G604" s="219"/>
      <c r="H604" s="208"/>
      <c r="I604" s="208"/>
      <c r="J604" s="208"/>
      <c r="K604" s="208"/>
      <c r="L604" s="208"/>
    </row>
    <row r="605" spans="1:12" ht="27.95" customHeight="1">
      <c r="B605" s="223"/>
      <c r="C605" s="219"/>
      <c r="D605" s="219"/>
      <c r="E605" s="219"/>
      <c r="F605" s="219"/>
      <c r="G605" s="219"/>
      <c r="H605" s="208"/>
      <c r="I605" s="208"/>
      <c r="J605" s="209"/>
      <c r="K605" s="208"/>
      <c r="L605" s="208"/>
    </row>
    <row r="606" spans="1:12" ht="27.95" customHeight="1">
      <c r="B606" s="223"/>
      <c r="C606" s="219"/>
      <c r="D606" s="219"/>
      <c r="E606" s="219"/>
      <c r="F606" s="219"/>
      <c r="G606" s="219"/>
      <c r="H606" s="208"/>
      <c r="I606" s="208"/>
      <c r="J606" s="208"/>
      <c r="K606" s="208"/>
      <c r="L606" s="208"/>
    </row>
    <row r="607" spans="1:12" ht="27.95" customHeight="1">
      <c r="B607" s="223"/>
      <c r="C607" s="219"/>
      <c r="D607" s="219"/>
      <c r="E607" s="219"/>
      <c r="F607" s="219"/>
      <c r="G607" s="219"/>
      <c r="H607" s="208"/>
      <c r="I607" s="208"/>
      <c r="J607" s="209"/>
      <c r="K607" s="208"/>
      <c r="L607" s="208"/>
    </row>
    <row r="608" spans="1:12" ht="27.95" customHeight="1">
      <c r="B608" s="223"/>
      <c r="C608" s="219"/>
      <c r="D608" s="208"/>
      <c r="E608" s="209"/>
      <c r="F608" s="208"/>
      <c r="G608" s="209"/>
      <c r="H608" s="208"/>
      <c r="I608" s="209"/>
      <c r="J608" s="208"/>
      <c r="K608" s="209"/>
      <c r="L608" s="209"/>
    </row>
    <row r="609" spans="2:12" ht="27.95" customHeight="1">
      <c r="B609" s="223"/>
      <c r="C609" s="219"/>
      <c r="D609" s="219"/>
      <c r="E609" s="219"/>
      <c r="F609" s="219"/>
      <c r="G609" s="219"/>
      <c r="H609" s="208"/>
      <c r="I609" s="208"/>
      <c r="J609" s="293"/>
      <c r="K609" s="208"/>
      <c r="L609" s="208"/>
    </row>
    <row r="610" spans="2:12" ht="27.95" customHeight="1">
      <c r="B610" s="223"/>
      <c r="C610" s="4"/>
      <c r="D610" s="4"/>
      <c r="E610" s="4"/>
      <c r="F610" s="4"/>
      <c r="G610" s="4"/>
    </row>
    <row r="611" spans="2:12" ht="27.95" customHeight="1">
      <c r="B611" s="223"/>
      <c r="C611" s="4"/>
      <c r="D611" s="4"/>
      <c r="E611" s="4"/>
      <c r="F611" s="4"/>
      <c r="G611" s="4"/>
    </row>
    <row r="614" spans="2:12" ht="32.25">
      <c r="B614" s="928"/>
      <c r="C614" s="929"/>
      <c r="D614" s="929"/>
      <c r="E614" s="929"/>
      <c r="F614" s="929"/>
      <c r="G614" s="929"/>
      <c r="H614" s="929"/>
      <c r="I614" s="929"/>
      <c r="J614" s="929"/>
      <c r="K614" s="929"/>
      <c r="L614" s="929"/>
    </row>
    <row r="615" spans="2:12" ht="23.25">
      <c r="B615" s="800"/>
      <c r="C615" s="800"/>
      <c r="D615" s="800"/>
      <c r="E615" s="800"/>
      <c r="F615" s="800"/>
      <c r="G615" s="800"/>
      <c r="H615" s="800"/>
      <c r="I615" s="800"/>
      <c r="J615" s="800"/>
      <c r="K615" s="800"/>
      <c r="L615" s="800"/>
    </row>
    <row r="616" spans="2:12" ht="15.75">
      <c r="B616" s="927"/>
      <c r="C616" s="927"/>
      <c r="D616" s="927"/>
      <c r="E616" s="927"/>
      <c r="F616" s="927"/>
      <c r="G616" s="927"/>
      <c r="H616" s="927"/>
      <c r="I616" s="927"/>
      <c r="J616" s="927"/>
      <c r="K616" s="927"/>
      <c r="L616" s="927"/>
    </row>
    <row r="617" spans="2:12" ht="15" customHeight="1">
      <c r="B617" s="804"/>
      <c r="C617" s="804"/>
      <c r="D617" s="804"/>
      <c r="E617" s="804"/>
      <c r="F617" s="804"/>
      <c r="H617" s="805"/>
      <c r="I617" s="805"/>
      <c r="J617" s="805"/>
      <c r="K617" s="805"/>
      <c r="L617" s="805"/>
    </row>
    <row r="618" spans="2:12">
      <c r="B618" s="804"/>
      <c r="C618" s="804"/>
      <c r="D618" s="804"/>
      <c r="E618" s="804"/>
      <c r="F618" s="804"/>
      <c r="H618" s="805"/>
      <c r="I618" s="805"/>
      <c r="J618" s="805"/>
      <c r="K618" s="805"/>
      <c r="L618" s="805"/>
    </row>
    <row r="620" spans="2:12">
      <c r="B620" s="4"/>
      <c r="H620" s="4"/>
    </row>
    <row r="622" spans="2:12">
      <c r="B622" s="4"/>
      <c r="H622" s="4"/>
    </row>
    <row r="625" spans="1:12">
      <c r="B625" s="725"/>
      <c r="C625" s="725"/>
      <c r="D625" s="725"/>
      <c r="E625" s="725"/>
      <c r="F625" s="725"/>
      <c r="H625" s="725"/>
      <c r="I625" s="725"/>
      <c r="J625" s="725"/>
      <c r="K625" s="725"/>
      <c r="L625" s="725"/>
    </row>
    <row r="627" spans="1:12">
      <c r="H627" s="4"/>
      <c r="I627" s="4"/>
      <c r="J627" s="4"/>
      <c r="K627" s="4"/>
      <c r="L627" s="4"/>
    </row>
    <row r="628" spans="1:12">
      <c r="H628" s="4"/>
      <c r="I628" s="4"/>
      <c r="J628" s="4"/>
      <c r="K628" s="4"/>
      <c r="L628" s="4"/>
    </row>
    <row r="629" spans="1:12">
      <c r="B629" s="4"/>
      <c r="H629" s="4"/>
      <c r="I629" s="4"/>
      <c r="J629" s="4"/>
      <c r="K629" s="4"/>
      <c r="L629" s="4"/>
    </row>
    <row r="630" spans="1:12">
      <c r="H630" s="4"/>
      <c r="I630" s="4"/>
      <c r="J630" s="4"/>
      <c r="K630" s="4"/>
      <c r="L630" s="4"/>
    </row>
    <row r="631" spans="1:12">
      <c r="H631" s="4"/>
      <c r="I631" s="4"/>
      <c r="J631" s="4"/>
      <c r="K631" s="4"/>
      <c r="L631" s="4"/>
    </row>
    <row r="632" spans="1:12" ht="27.95" customHeight="1">
      <c r="A632" s="18"/>
      <c r="B632" s="924"/>
      <c r="C632" s="924"/>
      <c r="D632" s="924"/>
      <c r="E632" s="924"/>
      <c r="F632" s="924"/>
      <c r="G632" s="924"/>
      <c r="H632" s="922"/>
      <c r="I632" s="923"/>
      <c r="J632" s="923"/>
      <c r="K632" s="923"/>
      <c r="L632" s="923"/>
    </row>
    <row r="633" spans="1:12" ht="27.95" customHeight="1">
      <c r="A633" s="18"/>
      <c r="B633" s="805"/>
      <c r="C633" s="805"/>
      <c r="D633" s="805"/>
      <c r="E633" s="805"/>
      <c r="F633" s="805"/>
      <c r="G633" s="805"/>
      <c r="H633" s="922"/>
      <c r="I633" s="923"/>
      <c r="J633" s="923"/>
      <c r="K633" s="923"/>
      <c r="L633" s="923"/>
    </row>
    <row r="634" spans="1:12" ht="27.95" customHeight="1">
      <c r="A634" s="18"/>
      <c r="B634" s="924"/>
      <c r="C634" s="924"/>
      <c r="D634" s="924"/>
      <c r="E634" s="924"/>
      <c r="F634" s="924"/>
      <c r="G634" s="924"/>
      <c r="H634" s="922"/>
      <c r="I634" s="923"/>
      <c r="J634" s="923"/>
      <c r="K634" s="923"/>
      <c r="L634" s="923"/>
    </row>
    <row r="635" spans="1:12" ht="27.95" customHeight="1">
      <c r="A635" s="18"/>
      <c r="B635" s="924"/>
      <c r="C635" s="924"/>
      <c r="D635" s="924"/>
      <c r="E635" s="924"/>
      <c r="F635" s="924"/>
      <c r="G635" s="924"/>
      <c r="H635" s="926"/>
      <c r="I635" s="923"/>
      <c r="J635" s="923"/>
      <c r="K635" s="923"/>
      <c r="L635" s="923"/>
    </row>
    <row r="636" spans="1:12" ht="27.95" customHeight="1">
      <c r="A636" s="18"/>
      <c r="B636" s="223"/>
      <c r="C636" s="219"/>
      <c r="D636" s="219"/>
      <c r="E636" s="219"/>
      <c r="F636" s="219"/>
      <c r="G636" s="219"/>
      <c r="H636" s="208"/>
      <c r="I636" s="18"/>
      <c r="J636" s="292"/>
      <c r="K636" s="208"/>
      <c r="L636" s="208"/>
    </row>
    <row r="637" spans="1:12" ht="27.95" customHeight="1">
      <c r="A637" s="18"/>
      <c r="B637" s="223"/>
      <c r="C637" s="219"/>
      <c r="D637" s="219"/>
      <c r="E637" s="219"/>
      <c r="F637" s="219"/>
      <c r="G637" s="219"/>
      <c r="H637" s="208"/>
      <c r="I637" s="208"/>
      <c r="J637" s="292"/>
      <c r="K637" s="208"/>
      <c r="L637" s="208"/>
    </row>
    <row r="638" spans="1:12" ht="27.95" customHeight="1">
      <c r="A638" s="18"/>
      <c r="B638" s="805"/>
      <c r="C638" s="805"/>
      <c r="D638" s="805"/>
      <c r="E638" s="805"/>
      <c r="F638" s="805"/>
      <c r="G638" s="805"/>
      <c r="H638" s="922"/>
      <c r="I638" s="923"/>
      <c r="J638" s="923"/>
      <c r="K638" s="923"/>
      <c r="L638" s="923"/>
    </row>
    <row r="639" spans="1:12" ht="27.95" customHeight="1">
      <c r="A639" s="18"/>
      <c r="B639" s="924"/>
      <c r="C639" s="924"/>
      <c r="D639" s="924"/>
      <c r="E639" s="924"/>
      <c r="F639" s="924"/>
      <c r="G639" s="924"/>
      <c r="H639" s="925"/>
      <c r="I639" s="923"/>
      <c r="J639" s="923"/>
      <c r="K639" s="923"/>
      <c r="L639" s="923"/>
    </row>
    <row r="640" spans="1:12" ht="27.95" customHeight="1">
      <c r="B640" s="924"/>
      <c r="C640" s="924"/>
      <c r="D640" s="924"/>
      <c r="E640" s="924"/>
      <c r="F640" s="924"/>
      <c r="G640" s="924"/>
      <c r="H640" s="923"/>
      <c r="I640" s="923"/>
      <c r="J640" s="923"/>
      <c r="K640" s="923"/>
      <c r="L640" s="923"/>
    </row>
    <row r="641" spans="2:12" ht="27.95" customHeight="1">
      <c r="B641" s="223"/>
      <c r="C641" s="219"/>
      <c r="D641" s="219"/>
      <c r="E641" s="219"/>
      <c r="F641" s="219"/>
      <c r="G641" s="219"/>
      <c r="H641" s="208"/>
      <c r="I641" s="208"/>
      <c r="J641" s="208"/>
      <c r="K641" s="208"/>
      <c r="L641" s="208"/>
    </row>
    <row r="642" spans="2:12" ht="27.95" customHeight="1">
      <c r="B642" s="223"/>
      <c r="C642" s="219"/>
      <c r="D642" s="219"/>
      <c r="E642" s="219"/>
      <c r="F642" s="219"/>
      <c r="G642" s="219"/>
      <c r="H642" s="208"/>
      <c r="I642" s="208"/>
      <c r="J642" s="208"/>
      <c r="K642" s="208"/>
      <c r="L642" s="208"/>
    </row>
    <row r="643" spans="2:12" ht="27.95" customHeight="1">
      <c r="B643" s="223"/>
      <c r="C643" s="219"/>
      <c r="D643" s="219"/>
      <c r="E643" s="219"/>
      <c r="F643" s="219"/>
      <c r="G643" s="219"/>
      <c r="H643" s="208"/>
      <c r="I643" s="208"/>
      <c r="J643" s="209"/>
      <c r="K643" s="208"/>
      <c r="L643" s="208"/>
    </row>
    <row r="644" spans="2:12" ht="27.95" customHeight="1">
      <c r="B644" s="223"/>
      <c r="C644" s="219"/>
      <c r="D644" s="219"/>
      <c r="E644" s="219"/>
      <c r="F644" s="219"/>
      <c r="G644" s="219"/>
      <c r="H644" s="208"/>
      <c r="I644" s="208"/>
      <c r="J644" s="208"/>
      <c r="K644" s="208"/>
      <c r="L644" s="208"/>
    </row>
    <row r="645" spans="2:12" ht="27.95" customHeight="1">
      <c r="B645" s="223"/>
      <c r="C645" s="219"/>
      <c r="D645" s="219"/>
      <c r="E645" s="219"/>
      <c r="F645" s="219"/>
      <c r="G645" s="219"/>
      <c r="H645" s="208"/>
      <c r="I645" s="208"/>
      <c r="J645" s="209"/>
      <c r="K645" s="208"/>
      <c r="L645" s="208"/>
    </row>
    <row r="646" spans="2:12" ht="27.95" customHeight="1">
      <c r="B646" s="223"/>
      <c r="C646" s="219"/>
      <c r="D646" s="208"/>
      <c r="E646" s="209"/>
      <c r="F646" s="208"/>
      <c r="G646" s="209"/>
      <c r="H646" s="208"/>
      <c r="I646" s="209"/>
      <c r="J646" s="208"/>
      <c r="K646" s="209"/>
      <c r="L646" s="209"/>
    </row>
    <row r="647" spans="2:12" ht="27.95" customHeight="1">
      <c r="B647" s="223"/>
      <c r="C647" s="219"/>
      <c r="D647" s="219"/>
      <c r="E647" s="219"/>
      <c r="F647" s="219"/>
      <c r="G647" s="219"/>
      <c r="H647" s="208"/>
      <c r="I647" s="208"/>
      <c r="J647" s="293"/>
      <c r="K647" s="208"/>
      <c r="L647" s="208"/>
    </row>
    <row r="648" spans="2:12" ht="27.95" customHeight="1">
      <c r="B648" s="223"/>
      <c r="C648" s="4"/>
      <c r="D648" s="4"/>
      <c r="E648" s="4"/>
      <c r="F648" s="4"/>
      <c r="G648" s="4"/>
    </row>
    <row r="649" spans="2:12" ht="27.95" customHeight="1">
      <c r="B649" s="223"/>
      <c r="C649" s="4"/>
      <c r="D649" s="4"/>
      <c r="E649" s="4"/>
      <c r="F649" s="4"/>
      <c r="G649" s="4"/>
    </row>
    <row r="653" spans="2:12" ht="32.25">
      <c r="B653" s="928"/>
      <c r="C653" s="929"/>
      <c r="D653" s="929"/>
      <c r="E653" s="929"/>
      <c r="F653" s="929"/>
      <c r="G653" s="929"/>
      <c r="H653" s="929"/>
      <c r="I653" s="929"/>
      <c r="J653" s="929"/>
      <c r="K653" s="929"/>
      <c r="L653" s="929"/>
    </row>
    <row r="654" spans="2:12" ht="23.25">
      <c r="B654" s="800"/>
      <c r="C654" s="800"/>
      <c r="D654" s="800"/>
      <c r="E654" s="800"/>
      <c r="F654" s="800"/>
      <c r="G654" s="800"/>
      <c r="H654" s="800"/>
      <c r="I654" s="800"/>
      <c r="J654" s="800"/>
      <c r="K654" s="800"/>
      <c r="L654" s="800"/>
    </row>
    <row r="655" spans="2:12" ht="15.75">
      <c r="B655" s="927"/>
      <c r="C655" s="927"/>
      <c r="D655" s="927"/>
      <c r="E655" s="927"/>
      <c r="F655" s="927"/>
      <c r="G655" s="927"/>
      <c r="H655" s="927"/>
      <c r="I655" s="927"/>
      <c r="J655" s="927"/>
      <c r="K655" s="927"/>
      <c r="L655" s="927"/>
    </row>
    <row r="656" spans="2:12" ht="15" customHeight="1">
      <c r="B656" s="804"/>
      <c r="C656" s="804"/>
      <c r="D656" s="804"/>
      <c r="E656" s="804"/>
      <c r="F656" s="804"/>
      <c r="H656" s="805"/>
      <c r="I656" s="805"/>
      <c r="J656" s="805"/>
      <c r="K656" s="805"/>
      <c r="L656" s="805"/>
    </row>
    <row r="657" spans="1:12">
      <c r="B657" s="804"/>
      <c r="C657" s="804"/>
      <c r="D657" s="804"/>
      <c r="E657" s="804"/>
      <c r="F657" s="804"/>
      <c r="H657" s="805"/>
      <c r="I657" s="805"/>
      <c r="J657" s="805"/>
      <c r="K657" s="805"/>
      <c r="L657" s="805"/>
    </row>
    <row r="659" spans="1:12">
      <c r="B659" s="4"/>
      <c r="H659" s="4"/>
    </row>
    <row r="661" spans="1:12">
      <c r="B661" s="4"/>
      <c r="H661" s="4"/>
    </row>
    <row r="664" spans="1:12">
      <c r="B664" s="725"/>
      <c r="C664" s="725"/>
      <c r="D664" s="725"/>
      <c r="E664" s="725"/>
      <c r="F664" s="725"/>
      <c r="H664" s="725"/>
      <c r="I664" s="725"/>
      <c r="J664" s="725"/>
      <c r="K664" s="725"/>
      <c r="L664" s="725"/>
    </row>
    <row r="666" spans="1:12">
      <c r="H666" s="4"/>
      <c r="I666" s="4"/>
      <c r="J666" s="4"/>
      <c r="K666" s="4"/>
      <c r="L666" s="4"/>
    </row>
    <row r="667" spans="1:12">
      <c r="H667" s="4"/>
      <c r="I667" s="4"/>
      <c r="J667" s="4"/>
      <c r="K667" s="4"/>
      <c r="L667" s="4"/>
    </row>
    <row r="668" spans="1:12">
      <c r="B668" s="4"/>
      <c r="H668" s="4"/>
      <c r="I668" s="4"/>
      <c r="J668" s="4"/>
      <c r="K668" s="4"/>
      <c r="L668" s="4"/>
    </row>
    <row r="669" spans="1:12">
      <c r="H669" s="4"/>
      <c r="I669" s="4"/>
      <c r="J669" s="4"/>
      <c r="K669" s="4"/>
      <c r="L669" s="4"/>
    </row>
    <row r="670" spans="1:12">
      <c r="H670" s="4"/>
      <c r="I670" s="4"/>
      <c r="J670" s="4"/>
      <c r="K670" s="4"/>
      <c r="L670" s="4"/>
    </row>
    <row r="671" spans="1:12" ht="27.95" customHeight="1">
      <c r="A671" s="18"/>
      <c r="B671" s="924"/>
      <c r="C671" s="924"/>
      <c r="D671" s="924"/>
      <c r="E671" s="924"/>
      <c r="F671" s="924"/>
      <c r="G671" s="924"/>
      <c r="H671" s="922"/>
      <c r="I671" s="923"/>
      <c r="J671" s="923"/>
      <c r="K671" s="923"/>
      <c r="L671" s="923"/>
    </row>
    <row r="672" spans="1:12" ht="27.95" customHeight="1">
      <c r="A672" s="18"/>
      <c r="B672" s="805"/>
      <c r="C672" s="805"/>
      <c r="D672" s="805"/>
      <c r="E672" s="805"/>
      <c r="F672" s="805"/>
      <c r="G672" s="805"/>
      <c r="H672" s="922"/>
      <c r="I672" s="923"/>
      <c r="J672" s="923"/>
      <c r="K672" s="923"/>
      <c r="L672" s="923"/>
    </row>
    <row r="673" spans="1:12" ht="27.95" customHeight="1">
      <c r="A673" s="18"/>
      <c r="B673" s="924"/>
      <c r="C673" s="924"/>
      <c r="D673" s="924"/>
      <c r="E673" s="924"/>
      <c r="F673" s="924"/>
      <c r="G673" s="924"/>
      <c r="H673" s="922"/>
      <c r="I673" s="923"/>
      <c r="J673" s="923"/>
      <c r="K673" s="923"/>
      <c r="L673" s="923"/>
    </row>
    <row r="674" spans="1:12" ht="27.95" customHeight="1">
      <c r="A674" s="18"/>
      <c r="B674" s="924"/>
      <c r="C674" s="924"/>
      <c r="D674" s="924"/>
      <c r="E674" s="924"/>
      <c r="F674" s="924"/>
      <c r="G674" s="924"/>
      <c r="H674" s="926"/>
      <c r="I674" s="923"/>
      <c r="J674" s="923"/>
      <c r="K674" s="923"/>
      <c r="L674" s="923"/>
    </row>
    <row r="675" spans="1:12" ht="27.95" customHeight="1">
      <c r="A675" s="18"/>
      <c r="B675" s="223"/>
      <c r="C675" s="219"/>
      <c r="D675" s="219"/>
      <c r="E675" s="219"/>
      <c r="F675" s="219"/>
      <c r="G675" s="219"/>
      <c r="H675" s="208"/>
      <c r="I675" s="18"/>
      <c r="J675" s="292"/>
      <c r="K675" s="208"/>
      <c r="L675" s="208"/>
    </row>
    <row r="676" spans="1:12" ht="27.95" customHeight="1">
      <c r="A676" s="18"/>
      <c r="B676" s="223"/>
      <c r="C676" s="219"/>
      <c r="D676" s="219"/>
      <c r="E676" s="219"/>
      <c r="F676" s="219"/>
      <c r="G676" s="219"/>
      <c r="H676" s="208"/>
      <c r="I676" s="208"/>
      <c r="J676" s="292"/>
      <c r="K676" s="208"/>
      <c r="L676" s="208"/>
    </row>
    <row r="677" spans="1:12" ht="27.95" customHeight="1">
      <c r="A677" s="18"/>
      <c r="B677" s="805"/>
      <c r="C677" s="805"/>
      <c r="D677" s="805"/>
      <c r="E677" s="805"/>
      <c r="F677" s="805"/>
      <c r="G677" s="805"/>
      <c r="H677" s="922"/>
      <c r="I677" s="923"/>
      <c r="J677" s="923"/>
      <c r="K677" s="923"/>
      <c r="L677" s="923"/>
    </row>
    <row r="678" spans="1:12" ht="27.95" customHeight="1">
      <c r="A678" s="18"/>
      <c r="B678" s="924"/>
      <c r="C678" s="924"/>
      <c r="D678" s="924"/>
      <c r="E678" s="924"/>
      <c r="F678" s="924"/>
      <c r="G678" s="924"/>
      <c r="H678" s="925"/>
      <c r="I678" s="923"/>
      <c r="J678" s="923"/>
      <c r="K678" s="923"/>
      <c r="L678" s="923"/>
    </row>
    <row r="679" spans="1:12" ht="27.95" customHeight="1">
      <c r="B679" s="924"/>
      <c r="C679" s="924"/>
      <c r="D679" s="924"/>
      <c r="E679" s="924"/>
      <c r="F679" s="924"/>
      <c r="G679" s="924"/>
      <c r="H679" s="923"/>
      <c r="I679" s="923"/>
      <c r="J679" s="923"/>
      <c r="K679" s="923"/>
      <c r="L679" s="923"/>
    </row>
    <row r="680" spans="1:12" ht="27.95" customHeight="1">
      <c r="B680" s="223"/>
      <c r="C680" s="219"/>
      <c r="D680" s="219"/>
      <c r="E680" s="219"/>
      <c r="F680" s="219"/>
      <c r="G680" s="219"/>
      <c r="H680" s="208"/>
      <c r="I680" s="208"/>
      <c r="J680" s="208"/>
      <c r="K680" s="208"/>
      <c r="L680" s="208"/>
    </row>
    <row r="681" spans="1:12" ht="27.95" customHeight="1">
      <c r="B681" s="223"/>
      <c r="C681" s="219"/>
      <c r="D681" s="219"/>
      <c r="E681" s="219"/>
      <c r="F681" s="219"/>
      <c r="G681" s="219"/>
      <c r="H681" s="208"/>
      <c r="I681" s="208"/>
      <c r="J681" s="208"/>
      <c r="K681" s="208"/>
      <c r="L681" s="208"/>
    </row>
    <row r="682" spans="1:12" ht="27.95" customHeight="1">
      <c r="B682" s="223"/>
      <c r="C682" s="219"/>
      <c r="D682" s="219"/>
      <c r="E682" s="219"/>
      <c r="F682" s="219"/>
      <c r="G682" s="219"/>
      <c r="H682" s="208"/>
      <c r="I682" s="208"/>
      <c r="J682" s="209"/>
      <c r="K682" s="208"/>
      <c r="L682" s="208"/>
    </row>
    <row r="683" spans="1:12" ht="27.95" customHeight="1">
      <c r="B683" s="223"/>
      <c r="C683" s="219"/>
      <c r="D683" s="219"/>
      <c r="E683" s="219"/>
      <c r="F683" s="219"/>
      <c r="G683" s="219"/>
      <c r="H683" s="208"/>
      <c r="I683" s="208"/>
      <c r="J683" s="208"/>
      <c r="K683" s="208"/>
      <c r="L683" s="208"/>
    </row>
    <row r="684" spans="1:12" ht="27.95" customHeight="1">
      <c r="B684" s="223"/>
      <c r="C684" s="219"/>
      <c r="D684" s="219"/>
      <c r="E684" s="219"/>
      <c r="F684" s="219"/>
      <c r="G684" s="219"/>
      <c r="H684" s="208"/>
      <c r="I684" s="208"/>
      <c r="J684" s="209"/>
      <c r="K684" s="208"/>
      <c r="L684" s="208"/>
    </row>
    <row r="685" spans="1:12" ht="27.95" customHeight="1">
      <c r="B685" s="223"/>
      <c r="C685" s="219"/>
      <c r="D685" s="208"/>
      <c r="E685" s="209"/>
      <c r="F685" s="208"/>
      <c r="G685" s="209"/>
      <c r="H685" s="208"/>
      <c r="I685" s="209"/>
      <c r="J685" s="208"/>
      <c r="K685" s="209"/>
      <c r="L685" s="209"/>
    </row>
    <row r="686" spans="1:12" ht="27.95" customHeight="1">
      <c r="B686" s="223"/>
      <c r="C686" s="219"/>
      <c r="D686" s="219"/>
      <c r="E686" s="219"/>
      <c r="F686" s="219"/>
      <c r="G686" s="219"/>
      <c r="H686" s="208"/>
      <c r="I686" s="208"/>
      <c r="J686" s="293"/>
      <c r="K686" s="208"/>
      <c r="L686" s="208"/>
    </row>
    <row r="687" spans="1:12" ht="27.95" customHeight="1">
      <c r="B687" s="223"/>
      <c r="C687" s="4"/>
      <c r="D687" s="4"/>
      <c r="E687" s="4"/>
      <c r="F687" s="4"/>
      <c r="G687" s="4"/>
    </row>
    <row r="688" spans="1:12" ht="27.95" customHeight="1">
      <c r="B688" s="223"/>
      <c r="C688" s="4"/>
      <c r="D688" s="4"/>
      <c r="E688" s="4"/>
      <c r="F688" s="4"/>
      <c r="G688" s="4"/>
    </row>
    <row r="692" spans="2:12" ht="32.25">
      <c r="B692" s="928"/>
      <c r="C692" s="929"/>
      <c r="D692" s="929"/>
      <c r="E692" s="929"/>
      <c r="F692" s="929"/>
      <c r="G692" s="929"/>
      <c r="H692" s="929"/>
      <c r="I692" s="929"/>
      <c r="J692" s="929"/>
      <c r="K692" s="929"/>
      <c r="L692" s="929"/>
    </row>
    <row r="693" spans="2:12" ht="23.25">
      <c r="B693" s="800"/>
      <c r="C693" s="800"/>
      <c r="D693" s="800"/>
      <c r="E693" s="800"/>
      <c r="F693" s="800"/>
      <c r="G693" s="800"/>
      <c r="H693" s="800"/>
      <c r="I693" s="800"/>
      <c r="J693" s="800"/>
      <c r="K693" s="800"/>
      <c r="L693" s="800"/>
    </row>
    <row r="694" spans="2:12" ht="15.75">
      <c r="B694" s="927"/>
      <c r="C694" s="927"/>
      <c r="D694" s="927"/>
      <c r="E694" s="927"/>
      <c r="F694" s="927"/>
      <c r="G694" s="927"/>
      <c r="H694" s="927"/>
      <c r="I694" s="927"/>
      <c r="J694" s="927"/>
      <c r="K694" s="927"/>
      <c r="L694" s="927"/>
    </row>
    <row r="695" spans="2:12" ht="15" customHeight="1">
      <c r="B695" s="804"/>
      <c r="C695" s="804"/>
      <c r="D695" s="804"/>
      <c r="E695" s="804"/>
      <c r="F695" s="804"/>
      <c r="H695" s="805"/>
      <c r="I695" s="805"/>
      <c r="J695" s="805"/>
      <c r="K695" s="805"/>
      <c r="L695" s="805"/>
    </row>
    <row r="696" spans="2:12">
      <c r="B696" s="804"/>
      <c r="C696" s="804"/>
      <c r="D696" s="804"/>
      <c r="E696" s="804"/>
      <c r="F696" s="804"/>
      <c r="H696" s="805"/>
      <c r="I696" s="805"/>
      <c r="J696" s="805"/>
      <c r="K696" s="805"/>
      <c r="L696" s="805"/>
    </row>
    <row r="698" spans="2:12">
      <c r="B698" s="4"/>
      <c r="H698" s="4"/>
    </row>
    <row r="700" spans="2:12">
      <c r="B700" s="4"/>
      <c r="H700" s="4"/>
    </row>
    <row r="703" spans="2:12">
      <c r="B703" s="725"/>
      <c r="C703" s="725"/>
      <c r="D703" s="725"/>
      <c r="E703" s="725"/>
      <c r="F703" s="725"/>
      <c r="H703" s="725"/>
      <c r="I703" s="725"/>
      <c r="J703" s="725"/>
      <c r="K703" s="725"/>
      <c r="L703" s="725"/>
    </row>
    <row r="705" spans="1:12">
      <c r="H705" s="4"/>
      <c r="I705" s="4"/>
      <c r="J705" s="4"/>
      <c r="K705" s="4"/>
      <c r="L705" s="4"/>
    </row>
    <row r="706" spans="1:12">
      <c r="H706" s="4"/>
      <c r="I706" s="4"/>
      <c r="J706" s="4"/>
      <c r="K706" s="4"/>
      <c r="L706" s="4"/>
    </row>
    <row r="707" spans="1:12">
      <c r="B707" s="4"/>
      <c r="H707" s="4"/>
      <c r="I707" s="4"/>
      <c r="J707" s="4"/>
      <c r="K707" s="4"/>
      <c r="L707" s="4"/>
    </row>
    <row r="708" spans="1:12">
      <c r="H708" s="4"/>
      <c r="I708" s="4"/>
      <c r="J708" s="4"/>
      <c r="K708" s="4"/>
      <c r="L708" s="4"/>
    </row>
    <row r="709" spans="1:12">
      <c r="H709" s="4"/>
      <c r="I709" s="4"/>
      <c r="J709" s="4"/>
      <c r="K709" s="4"/>
      <c r="L709" s="4"/>
    </row>
    <row r="710" spans="1:12" ht="27.95" customHeight="1">
      <c r="A710" s="18"/>
      <c r="B710" s="924"/>
      <c r="C710" s="924"/>
      <c r="D710" s="924"/>
      <c r="E710" s="924"/>
      <c r="F710" s="924"/>
      <c r="G710" s="924"/>
      <c r="H710" s="922"/>
      <c r="I710" s="923"/>
      <c r="J710" s="923"/>
      <c r="K710" s="923"/>
      <c r="L710" s="923"/>
    </row>
    <row r="711" spans="1:12" ht="27.95" customHeight="1">
      <c r="A711" s="18"/>
      <c r="B711" s="805"/>
      <c r="C711" s="805"/>
      <c r="D711" s="805"/>
      <c r="E711" s="805"/>
      <c r="F711" s="805"/>
      <c r="G711" s="805"/>
      <c r="H711" s="922"/>
      <c r="I711" s="923"/>
      <c r="J711" s="923"/>
      <c r="K711" s="923"/>
      <c r="L711" s="923"/>
    </row>
    <row r="712" spans="1:12" ht="27.95" customHeight="1">
      <c r="A712" s="18"/>
      <c r="B712" s="924"/>
      <c r="C712" s="924"/>
      <c r="D712" s="924"/>
      <c r="E712" s="924"/>
      <c r="F712" s="924"/>
      <c r="G712" s="924"/>
      <c r="H712" s="922"/>
      <c r="I712" s="923"/>
      <c r="J712" s="923"/>
      <c r="K712" s="923"/>
      <c r="L712" s="923"/>
    </row>
    <row r="713" spans="1:12" ht="27.95" customHeight="1">
      <c r="A713" s="18"/>
      <c r="B713" s="924"/>
      <c r="C713" s="924"/>
      <c r="D713" s="924"/>
      <c r="E713" s="924"/>
      <c r="F713" s="924"/>
      <c r="G713" s="924"/>
      <c r="H713" s="926"/>
      <c r="I713" s="923"/>
      <c r="J713" s="923"/>
      <c r="K713" s="923"/>
      <c r="L713" s="923"/>
    </row>
    <row r="714" spans="1:12" ht="27.95" customHeight="1">
      <c r="A714" s="18"/>
      <c r="B714" s="223"/>
      <c r="C714" s="219"/>
      <c r="D714" s="219"/>
      <c r="E714" s="219"/>
      <c r="F714" s="219"/>
      <c r="G714" s="219"/>
      <c r="H714" s="208"/>
      <c r="I714" s="18"/>
      <c r="J714" s="292"/>
      <c r="K714" s="208"/>
      <c r="L714" s="208"/>
    </row>
    <row r="715" spans="1:12" ht="27.95" customHeight="1">
      <c r="A715" s="18"/>
      <c r="B715" s="223"/>
      <c r="C715" s="219"/>
      <c r="D715" s="219"/>
      <c r="E715" s="219"/>
      <c r="F715" s="219"/>
      <c r="G715" s="219"/>
      <c r="H715" s="208"/>
      <c r="I715" s="208"/>
      <c r="J715" s="292"/>
      <c r="K715" s="208"/>
      <c r="L715" s="208"/>
    </row>
    <row r="716" spans="1:12" ht="27.95" customHeight="1">
      <c r="A716" s="18"/>
      <c r="B716" s="805"/>
      <c r="C716" s="805"/>
      <c r="D716" s="805"/>
      <c r="E716" s="805"/>
      <c r="F716" s="805"/>
      <c r="G716" s="805"/>
      <c r="H716" s="922"/>
      <c r="I716" s="923"/>
      <c r="J716" s="923"/>
      <c r="K716" s="923"/>
      <c r="L716" s="923"/>
    </row>
    <row r="717" spans="1:12" ht="27.95" customHeight="1">
      <c r="A717" s="18"/>
      <c r="B717" s="924"/>
      <c r="C717" s="924"/>
      <c r="D717" s="924"/>
      <c r="E717" s="924"/>
      <c r="F717" s="924"/>
      <c r="G717" s="924"/>
      <c r="H717" s="925"/>
      <c r="I717" s="923"/>
      <c r="J717" s="923"/>
      <c r="K717" s="923"/>
      <c r="L717" s="923"/>
    </row>
    <row r="718" spans="1:12" ht="27.95" customHeight="1">
      <c r="B718" s="924"/>
      <c r="C718" s="924"/>
      <c r="D718" s="924"/>
      <c r="E718" s="924"/>
      <c r="F718" s="924"/>
      <c r="G718" s="924"/>
      <c r="H718" s="923"/>
      <c r="I718" s="923"/>
      <c r="J718" s="923"/>
      <c r="K718" s="923"/>
      <c r="L718" s="923"/>
    </row>
    <row r="719" spans="1:12" ht="27.95" customHeight="1">
      <c r="B719" s="223"/>
      <c r="C719" s="219"/>
      <c r="D719" s="219"/>
      <c r="E719" s="219"/>
      <c r="F719" s="219"/>
      <c r="G719" s="219"/>
      <c r="H719" s="208"/>
      <c r="I719" s="208"/>
      <c r="J719" s="208"/>
      <c r="K719" s="208"/>
      <c r="L719" s="208"/>
    </row>
    <row r="720" spans="1:12" ht="27.95" customHeight="1">
      <c r="B720" s="223"/>
      <c r="C720" s="219"/>
      <c r="D720" s="219"/>
      <c r="E720" s="219"/>
      <c r="F720" s="219"/>
      <c r="G720" s="219"/>
      <c r="H720" s="208"/>
      <c r="I720" s="208"/>
      <c r="J720" s="208"/>
      <c r="K720" s="208"/>
      <c r="L720" s="208"/>
    </row>
    <row r="721" spans="2:12" ht="27.95" customHeight="1">
      <c r="B721" s="223"/>
      <c r="C721" s="219"/>
      <c r="D721" s="219"/>
      <c r="E721" s="219"/>
      <c r="F721" s="219"/>
      <c r="G721" s="219"/>
      <c r="H721" s="208"/>
      <c r="I721" s="208"/>
      <c r="J721" s="209"/>
      <c r="K721" s="208"/>
      <c r="L721" s="208"/>
    </row>
    <row r="722" spans="2:12" ht="27.95" customHeight="1">
      <c r="B722" s="223"/>
      <c r="C722" s="219"/>
      <c r="D722" s="219"/>
      <c r="E722" s="219"/>
      <c r="F722" s="219"/>
      <c r="G722" s="219"/>
      <c r="H722" s="208"/>
      <c r="I722" s="208"/>
      <c r="J722" s="208"/>
      <c r="K722" s="208"/>
      <c r="L722" s="208"/>
    </row>
    <row r="723" spans="2:12" ht="27.95" customHeight="1">
      <c r="B723" s="223"/>
      <c r="C723" s="219"/>
      <c r="D723" s="219"/>
      <c r="E723" s="219"/>
      <c r="F723" s="219"/>
      <c r="G723" s="219"/>
      <c r="H723" s="208"/>
      <c r="I723" s="208"/>
      <c r="J723" s="209"/>
      <c r="K723" s="208"/>
      <c r="L723" s="208"/>
    </row>
    <row r="724" spans="2:12" ht="27.95" customHeight="1">
      <c r="B724" s="223"/>
      <c r="C724" s="219"/>
      <c r="D724" s="208"/>
      <c r="E724" s="209"/>
      <c r="F724" s="208"/>
      <c r="G724" s="209"/>
      <c r="H724" s="208"/>
      <c r="I724" s="209"/>
      <c r="J724" s="208"/>
      <c r="K724" s="209"/>
      <c r="L724" s="209"/>
    </row>
    <row r="725" spans="2:12" ht="27.95" customHeight="1">
      <c r="B725" s="223"/>
      <c r="C725" s="219"/>
      <c r="D725" s="219"/>
      <c r="E725" s="219"/>
      <c r="F725" s="219"/>
      <c r="G725" s="219"/>
      <c r="H725" s="208"/>
      <c r="I725" s="208"/>
      <c r="J725" s="293"/>
      <c r="K725" s="208"/>
      <c r="L725" s="208"/>
    </row>
    <row r="726" spans="2:12" ht="27.95" customHeight="1">
      <c r="B726" s="223"/>
      <c r="C726" s="4"/>
      <c r="D726" s="4"/>
      <c r="E726" s="4"/>
      <c r="F726" s="4"/>
      <c r="G726" s="4"/>
    </row>
    <row r="727" spans="2:12" ht="27.95" customHeight="1">
      <c r="B727" s="223"/>
      <c r="C727" s="4"/>
      <c r="D727" s="4"/>
      <c r="E727" s="4"/>
      <c r="F727" s="4"/>
      <c r="G727" s="4"/>
    </row>
    <row r="731" spans="2:12" ht="32.25">
      <c r="B731" s="928"/>
      <c r="C731" s="929"/>
      <c r="D731" s="929"/>
      <c r="E731" s="929"/>
      <c r="F731" s="929"/>
      <c r="G731" s="929"/>
      <c r="H731" s="929"/>
      <c r="I731" s="929"/>
      <c r="J731" s="929"/>
      <c r="K731" s="929"/>
      <c r="L731" s="929"/>
    </row>
    <row r="732" spans="2:12" ht="23.25">
      <c r="B732" s="800"/>
      <c r="C732" s="800"/>
      <c r="D732" s="800"/>
      <c r="E732" s="800"/>
      <c r="F732" s="800"/>
      <c r="G732" s="800"/>
      <c r="H732" s="800"/>
      <c r="I732" s="800"/>
      <c r="J732" s="800"/>
      <c r="K732" s="800"/>
      <c r="L732" s="800"/>
    </row>
    <row r="733" spans="2:12" ht="15.75">
      <c r="B733" s="927"/>
      <c r="C733" s="927"/>
      <c r="D733" s="927"/>
      <c r="E733" s="927"/>
      <c r="F733" s="927"/>
      <c r="G733" s="927"/>
      <c r="H733" s="927"/>
      <c r="I733" s="927"/>
      <c r="J733" s="927"/>
      <c r="K733" s="927"/>
      <c r="L733" s="927"/>
    </row>
    <row r="734" spans="2:12" ht="15" customHeight="1">
      <c r="B734" s="804"/>
      <c r="C734" s="804"/>
      <c r="D734" s="804"/>
      <c r="E734" s="804"/>
      <c r="F734" s="804"/>
      <c r="H734" s="805"/>
      <c r="I734" s="805"/>
      <c r="J734" s="805"/>
      <c r="K734" s="805"/>
      <c r="L734" s="805"/>
    </row>
    <row r="735" spans="2:12">
      <c r="B735" s="804"/>
      <c r="C735" s="804"/>
      <c r="D735" s="804"/>
      <c r="E735" s="804"/>
      <c r="F735" s="804"/>
      <c r="H735" s="805"/>
      <c r="I735" s="805"/>
      <c r="J735" s="805"/>
      <c r="K735" s="805"/>
      <c r="L735" s="805"/>
    </row>
    <row r="737" spans="1:12">
      <c r="B737" s="4"/>
      <c r="H737" s="4"/>
    </row>
    <row r="739" spans="1:12">
      <c r="B739" s="4"/>
      <c r="H739" s="4"/>
    </row>
    <row r="740" spans="1:12" ht="15" customHeight="1"/>
    <row r="742" spans="1:12">
      <c r="B742" s="725"/>
      <c r="C742" s="725"/>
      <c r="D742" s="725"/>
      <c r="E742" s="725"/>
      <c r="F742" s="725"/>
      <c r="H742" s="725"/>
      <c r="I742" s="725"/>
      <c r="J742" s="725"/>
      <c r="K742" s="725"/>
      <c r="L742" s="725"/>
    </row>
    <row r="744" spans="1:12">
      <c r="H744" s="4"/>
      <c r="I744" s="4"/>
      <c r="J744" s="4"/>
      <c r="K744" s="4"/>
      <c r="L744" s="4"/>
    </row>
    <row r="745" spans="1:12">
      <c r="H745" s="4"/>
      <c r="I745" s="4"/>
      <c r="J745" s="4"/>
      <c r="K745" s="4"/>
      <c r="L745" s="4"/>
    </row>
    <row r="746" spans="1:12">
      <c r="B746" s="4"/>
      <c r="H746" s="4"/>
      <c r="I746" s="4"/>
      <c r="J746" s="4"/>
      <c r="K746" s="4"/>
      <c r="L746" s="4"/>
    </row>
    <row r="747" spans="1:12">
      <c r="H747" s="4"/>
      <c r="I747" s="4"/>
      <c r="J747" s="4"/>
      <c r="K747" s="4"/>
      <c r="L747" s="4"/>
    </row>
    <row r="748" spans="1:12">
      <c r="H748" s="4"/>
      <c r="I748" s="4"/>
      <c r="J748" s="4"/>
      <c r="K748" s="4"/>
      <c r="L748" s="4"/>
    </row>
    <row r="749" spans="1:12" ht="27.95" customHeight="1">
      <c r="A749" s="18"/>
      <c r="B749" s="924"/>
      <c r="C749" s="924"/>
      <c r="D749" s="924"/>
      <c r="E749" s="924"/>
      <c r="F749" s="924"/>
      <c r="G749" s="924"/>
      <c r="H749" s="922"/>
      <c r="I749" s="923"/>
      <c r="J749" s="923"/>
      <c r="K749" s="923"/>
      <c r="L749" s="923"/>
    </row>
    <row r="750" spans="1:12" ht="27.95" customHeight="1">
      <c r="A750" s="18"/>
      <c r="B750" s="805"/>
      <c r="C750" s="805"/>
      <c r="D750" s="805"/>
      <c r="E750" s="805"/>
      <c r="F750" s="805"/>
      <c r="G750" s="805"/>
      <c r="H750" s="922"/>
      <c r="I750" s="923"/>
      <c r="J750" s="923"/>
      <c r="K750" s="923"/>
      <c r="L750" s="923"/>
    </row>
    <row r="751" spans="1:12" ht="27.95" customHeight="1">
      <c r="A751" s="18"/>
      <c r="B751" s="924"/>
      <c r="C751" s="924"/>
      <c r="D751" s="924"/>
      <c r="E751" s="924"/>
      <c r="F751" s="924"/>
      <c r="G751" s="924"/>
      <c r="H751" s="922"/>
      <c r="I751" s="923"/>
      <c r="J751" s="923"/>
      <c r="K751" s="923"/>
      <c r="L751" s="923"/>
    </row>
    <row r="752" spans="1:12" ht="27.95" customHeight="1">
      <c r="A752" s="18"/>
      <c r="B752" s="924"/>
      <c r="C752" s="924"/>
      <c r="D752" s="924"/>
      <c r="E752" s="924"/>
      <c r="F752" s="924"/>
      <c r="G752" s="924"/>
      <c r="H752" s="926"/>
      <c r="I752" s="923"/>
      <c r="J752" s="923"/>
      <c r="K752" s="923"/>
      <c r="L752" s="923"/>
    </row>
    <row r="753" spans="1:12" ht="27.95" customHeight="1">
      <c r="A753" s="18"/>
      <c r="B753" s="223"/>
      <c r="C753" s="219"/>
      <c r="D753" s="219"/>
      <c r="E753" s="219"/>
      <c r="F753" s="219"/>
      <c r="G753" s="219"/>
      <c r="H753" s="208"/>
      <c r="I753" s="18"/>
      <c r="J753" s="292"/>
      <c r="K753" s="208"/>
      <c r="L753" s="208"/>
    </row>
    <row r="754" spans="1:12" ht="27.95" customHeight="1">
      <c r="A754" s="18"/>
      <c r="B754" s="223"/>
      <c r="C754" s="219"/>
      <c r="D754" s="219"/>
      <c r="E754" s="219"/>
      <c r="F754" s="219"/>
      <c r="G754" s="219"/>
      <c r="H754" s="208"/>
      <c r="I754" s="208"/>
      <c r="J754" s="292"/>
      <c r="K754" s="208"/>
      <c r="L754" s="208"/>
    </row>
    <row r="755" spans="1:12" ht="27.95" customHeight="1">
      <c r="A755" s="18"/>
      <c r="B755" s="805"/>
      <c r="C755" s="805"/>
      <c r="D755" s="805"/>
      <c r="E755" s="805"/>
      <c r="F755" s="805"/>
      <c r="G755" s="805"/>
      <c r="H755" s="922"/>
      <c r="I755" s="923"/>
      <c r="J755" s="923"/>
      <c r="K755" s="923"/>
      <c r="L755" s="923"/>
    </row>
    <row r="756" spans="1:12" ht="27.95" customHeight="1">
      <c r="A756" s="18"/>
      <c r="B756" s="924"/>
      <c r="C756" s="924"/>
      <c r="D756" s="924"/>
      <c r="E756" s="924"/>
      <c r="F756" s="924"/>
      <c r="G756" s="924"/>
      <c r="H756" s="925"/>
      <c r="I756" s="923"/>
      <c r="J756" s="923"/>
      <c r="K756" s="923"/>
      <c r="L756" s="923"/>
    </row>
    <row r="757" spans="1:12" ht="27.95" customHeight="1">
      <c r="B757" s="924"/>
      <c r="C757" s="924"/>
      <c r="D757" s="924"/>
      <c r="E757" s="924"/>
      <c r="F757" s="924"/>
      <c r="G757" s="924"/>
      <c r="H757" s="923"/>
      <c r="I757" s="923"/>
      <c r="J757" s="923"/>
      <c r="K757" s="923"/>
      <c r="L757" s="923"/>
    </row>
    <row r="758" spans="1:12" ht="27.95" customHeight="1">
      <c r="B758" s="223"/>
      <c r="C758" s="219"/>
      <c r="D758" s="219"/>
      <c r="E758" s="219"/>
      <c r="F758" s="219"/>
      <c r="G758" s="219"/>
      <c r="H758" s="208"/>
      <c r="I758" s="208"/>
      <c r="J758" s="208"/>
      <c r="K758" s="208"/>
      <c r="L758" s="208"/>
    </row>
    <row r="759" spans="1:12" ht="27.95" customHeight="1">
      <c r="B759" s="223"/>
      <c r="C759" s="219"/>
      <c r="D759" s="219"/>
      <c r="E759" s="219"/>
      <c r="F759" s="219"/>
      <c r="G759" s="219"/>
      <c r="H759" s="208"/>
      <c r="I759" s="208"/>
      <c r="J759" s="208"/>
      <c r="K759" s="208"/>
      <c r="L759" s="208"/>
    </row>
    <row r="760" spans="1:12" ht="27.95" customHeight="1">
      <c r="B760" s="223"/>
      <c r="C760" s="219"/>
      <c r="D760" s="219"/>
      <c r="E760" s="219"/>
      <c r="F760" s="219"/>
      <c r="G760" s="219"/>
      <c r="H760" s="208"/>
      <c r="I760" s="208"/>
      <c r="J760" s="209"/>
      <c r="K760" s="208"/>
      <c r="L760" s="208"/>
    </row>
    <row r="761" spans="1:12" ht="27.95" customHeight="1">
      <c r="B761" s="223"/>
      <c r="C761" s="219"/>
      <c r="D761" s="219"/>
      <c r="E761" s="219"/>
      <c r="F761" s="219"/>
      <c r="G761" s="219"/>
      <c r="H761" s="208"/>
      <c r="I761" s="208"/>
      <c r="J761" s="208"/>
      <c r="K761" s="208"/>
      <c r="L761" s="208"/>
    </row>
    <row r="762" spans="1:12" ht="27.95" customHeight="1">
      <c r="B762" s="223"/>
      <c r="C762" s="219"/>
      <c r="D762" s="219"/>
      <c r="E762" s="219"/>
      <c r="F762" s="219"/>
      <c r="G762" s="219"/>
      <c r="H762" s="208"/>
      <c r="I762" s="208"/>
      <c r="J762" s="209"/>
      <c r="K762" s="208"/>
      <c r="L762" s="208"/>
    </row>
    <row r="763" spans="1:12" ht="27.95" customHeight="1">
      <c r="B763" s="223"/>
      <c r="C763" s="219"/>
      <c r="D763" s="208"/>
      <c r="E763" s="209"/>
      <c r="F763" s="208"/>
      <c r="G763" s="209"/>
      <c r="H763" s="208"/>
      <c r="I763" s="209"/>
      <c r="J763" s="208"/>
      <c r="K763" s="209"/>
      <c r="L763" s="209"/>
    </row>
    <row r="764" spans="1:12" ht="27.95" customHeight="1">
      <c r="B764" s="223"/>
      <c r="C764" s="219"/>
      <c r="D764" s="219"/>
      <c r="E764" s="219"/>
      <c r="F764" s="219"/>
      <c r="G764" s="219"/>
      <c r="H764" s="208"/>
      <c r="I764" s="208"/>
      <c r="J764" s="293"/>
      <c r="K764" s="208"/>
      <c r="L764" s="208"/>
    </row>
    <row r="765" spans="1:12" ht="27.95" customHeight="1">
      <c r="B765" s="223"/>
      <c r="C765" s="4"/>
      <c r="D765" s="4"/>
      <c r="E765" s="4"/>
      <c r="F765" s="4"/>
      <c r="G765" s="4"/>
    </row>
    <row r="766" spans="1:12" ht="27.95" customHeight="1">
      <c r="B766" s="223"/>
      <c r="C766" s="4"/>
      <c r="D766" s="4"/>
      <c r="E766" s="4"/>
      <c r="F766" s="4"/>
      <c r="G766" s="4"/>
    </row>
  </sheetData>
  <mergeCells count="571">
    <mergeCell ref="B527:F527"/>
    <mergeCell ref="G527:H527"/>
    <mergeCell ref="I527:K527"/>
    <mergeCell ref="B528:F528"/>
    <mergeCell ref="H548:L548"/>
    <mergeCell ref="B541:G541"/>
    <mergeCell ref="H541:L541"/>
    <mergeCell ref="B542:G542"/>
    <mergeCell ref="H542:L542"/>
    <mergeCell ref="B543:G543"/>
    <mergeCell ref="H543:L543"/>
    <mergeCell ref="B544:G544"/>
    <mergeCell ref="H544:L544"/>
    <mergeCell ref="H545:L545"/>
    <mergeCell ref="B547:G547"/>
    <mergeCell ref="H547:L547"/>
    <mergeCell ref="B548:G548"/>
    <mergeCell ref="G519:H519"/>
    <mergeCell ref="K519:L519"/>
    <mergeCell ref="G520:H520"/>
    <mergeCell ref="K520:L520"/>
    <mergeCell ref="B526:F526"/>
    <mergeCell ref="G526:H526"/>
    <mergeCell ref="I526:K526"/>
    <mergeCell ref="H120:L120"/>
    <mergeCell ref="H121:L121"/>
    <mergeCell ref="B476:F476"/>
    <mergeCell ref="G476:H476"/>
    <mergeCell ref="I476:K476"/>
    <mergeCell ref="G467:H467"/>
    <mergeCell ref="B475:F475"/>
    <mergeCell ref="B497:G497"/>
    <mergeCell ref="H497:L497"/>
    <mergeCell ref="B498:G498"/>
    <mergeCell ref="H498:L498"/>
    <mergeCell ref="B439:G439"/>
    <mergeCell ref="H439:L439"/>
    <mergeCell ref="K467:L467"/>
    <mergeCell ref="G468:H468"/>
    <mergeCell ref="K468:L468"/>
    <mergeCell ref="B474:F474"/>
    <mergeCell ref="G474:H474"/>
    <mergeCell ref="I474:K474"/>
    <mergeCell ref="G475:H475"/>
    <mergeCell ref="I475:K475"/>
    <mergeCell ref="B422:F422"/>
    <mergeCell ref="G422:H422"/>
    <mergeCell ref="I422:K422"/>
    <mergeCell ref="B423:F423"/>
    <mergeCell ref="G423:H423"/>
    <mergeCell ref="I423:K423"/>
    <mergeCell ref="B434:L434"/>
    <mergeCell ref="B435:L435"/>
    <mergeCell ref="B438:G438"/>
    <mergeCell ref="H438:L438"/>
    <mergeCell ref="G450:H450"/>
    <mergeCell ref="K450:L450"/>
    <mergeCell ref="C463:H463"/>
    <mergeCell ref="J463:L463"/>
    <mergeCell ref="G464:H464"/>
    <mergeCell ref="K464:L464"/>
    <mergeCell ref="G465:H465"/>
    <mergeCell ref="K465:L465"/>
    <mergeCell ref="G466:H466"/>
    <mergeCell ref="K466:L466"/>
    <mergeCell ref="K412:L412"/>
    <mergeCell ref="G414:H414"/>
    <mergeCell ref="K414:L414"/>
    <mergeCell ref="B420:F420"/>
    <mergeCell ref="G420:H420"/>
    <mergeCell ref="I420:K420"/>
    <mergeCell ref="B421:F421"/>
    <mergeCell ref="G421:H421"/>
    <mergeCell ref="I421:K421"/>
    <mergeCell ref="B369:F369"/>
    <mergeCell ref="G369:H369"/>
    <mergeCell ref="I369:K369"/>
    <mergeCell ref="B380:L380"/>
    <mergeCell ref="B381:L381"/>
    <mergeCell ref="B384:G384"/>
    <mergeCell ref="H384:L384"/>
    <mergeCell ref="B385:G385"/>
    <mergeCell ref="H385:L385"/>
    <mergeCell ref="B282:G282"/>
    <mergeCell ref="H282:L282"/>
    <mergeCell ref="B283:G283"/>
    <mergeCell ref="H283:L283"/>
    <mergeCell ref="G287:H287"/>
    <mergeCell ref="K287:L287"/>
    <mergeCell ref="K305:L305"/>
    <mergeCell ref="B311:F311"/>
    <mergeCell ref="G311:H311"/>
    <mergeCell ref="I311:K311"/>
    <mergeCell ref="G303:H303"/>
    <mergeCell ref="K303:L303"/>
    <mergeCell ref="G304:H304"/>
    <mergeCell ref="K304:L304"/>
    <mergeCell ref="G305:H305"/>
    <mergeCell ref="B276:G276"/>
    <mergeCell ref="H276:L276"/>
    <mergeCell ref="B277:G277"/>
    <mergeCell ref="H277:L277"/>
    <mergeCell ref="B278:G278"/>
    <mergeCell ref="H278:L278"/>
    <mergeCell ref="H279:L279"/>
    <mergeCell ref="B281:G281"/>
    <mergeCell ref="H281:L281"/>
    <mergeCell ref="B259:F259"/>
    <mergeCell ref="G259:H259"/>
    <mergeCell ref="I259:K259"/>
    <mergeCell ref="B260:F260"/>
    <mergeCell ref="G260:H260"/>
    <mergeCell ref="I260:K260"/>
    <mergeCell ref="B272:L272"/>
    <mergeCell ref="B273:L273"/>
    <mergeCell ref="B275:G275"/>
    <mergeCell ref="H275:L275"/>
    <mergeCell ref="G250:H250"/>
    <mergeCell ref="K250:L250"/>
    <mergeCell ref="G251:H251"/>
    <mergeCell ref="K251:L251"/>
    <mergeCell ref="G252:H252"/>
    <mergeCell ref="K252:L252"/>
    <mergeCell ref="B258:F258"/>
    <mergeCell ref="G258:H258"/>
    <mergeCell ref="I258:K258"/>
    <mergeCell ref="G196:H196"/>
    <mergeCell ref="K196:L196"/>
    <mergeCell ref="G197:H197"/>
    <mergeCell ref="K197:L197"/>
    <mergeCell ref="G198:H198"/>
    <mergeCell ref="K198:L198"/>
    <mergeCell ref="B204:F204"/>
    <mergeCell ref="G204:H204"/>
    <mergeCell ref="I204:K204"/>
    <mergeCell ref="B176:G176"/>
    <mergeCell ref="H176:L176"/>
    <mergeCell ref="G180:H180"/>
    <mergeCell ref="K180:L180"/>
    <mergeCell ref="C193:H193"/>
    <mergeCell ref="J193:L193"/>
    <mergeCell ref="G194:H194"/>
    <mergeCell ref="K194:L194"/>
    <mergeCell ref="G195:H195"/>
    <mergeCell ref="K195:L195"/>
    <mergeCell ref="B2:L2"/>
    <mergeCell ref="B3:L3"/>
    <mergeCell ref="B6:G6"/>
    <mergeCell ref="H6:L6"/>
    <mergeCell ref="B7:G7"/>
    <mergeCell ref="H7:L7"/>
    <mergeCell ref="B56:L56"/>
    <mergeCell ref="B57:L57"/>
    <mergeCell ref="B60:G60"/>
    <mergeCell ref="H60:L60"/>
    <mergeCell ref="B13:G13"/>
    <mergeCell ref="H13:L13"/>
    <mergeCell ref="B14:G14"/>
    <mergeCell ref="H14:L14"/>
    <mergeCell ref="G18:H18"/>
    <mergeCell ref="K18:L18"/>
    <mergeCell ref="B8:G8"/>
    <mergeCell ref="H8:L8"/>
    <mergeCell ref="B9:G9"/>
    <mergeCell ref="H9:L9"/>
    <mergeCell ref="H10:L10"/>
    <mergeCell ref="B12:G12"/>
    <mergeCell ref="H12:L12"/>
    <mergeCell ref="G34:H34"/>
    <mergeCell ref="K34:L34"/>
    <mergeCell ref="G35:H35"/>
    <mergeCell ref="K35:L35"/>
    <mergeCell ref="G36:H36"/>
    <mergeCell ref="K36:L36"/>
    <mergeCell ref="C31:H31"/>
    <mergeCell ref="J31:L31"/>
    <mergeCell ref="G32:H32"/>
    <mergeCell ref="K32:L32"/>
    <mergeCell ref="G33:H33"/>
    <mergeCell ref="K33:L33"/>
    <mergeCell ref="B44:F44"/>
    <mergeCell ref="G44:H44"/>
    <mergeCell ref="I44:K44"/>
    <mergeCell ref="B45:F45"/>
    <mergeCell ref="G45:H45"/>
    <mergeCell ref="I45:K45"/>
    <mergeCell ref="B42:F42"/>
    <mergeCell ref="G42:H42"/>
    <mergeCell ref="I42:K42"/>
    <mergeCell ref="B43:F43"/>
    <mergeCell ref="G43:H43"/>
    <mergeCell ref="I43:K43"/>
    <mergeCell ref="B61:G61"/>
    <mergeCell ref="H61:L61"/>
    <mergeCell ref="B62:G62"/>
    <mergeCell ref="H62:L62"/>
    <mergeCell ref="B63:G63"/>
    <mergeCell ref="H63:L63"/>
    <mergeCell ref="H64:L64"/>
    <mergeCell ref="B66:G66"/>
    <mergeCell ref="H66:L66"/>
    <mergeCell ref="B67:G67"/>
    <mergeCell ref="H67:L67"/>
    <mergeCell ref="B68:G68"/>
    <mergeCell ref="G88:H88"/>
    <mergeCell ref="K88:L88"/>
    <mergeCell ref="G89:H89"/>
    <mergeCell ref="K89:L89"/>
    <mergeCell ref="G90:H90"/>
    <mergeCell ref="K90:L90"/>
    <mergeCell ref="H68:L68"/>
    <mergeCell ref="G72:H72"/>
    <mergeCell ref="K72:L72"/>
    <mergeCell ref="C85:H85"/>
    <mergeCell ref="J85:L85"/>
    <mergeCell ref="G86:H86"/>
    <mergeCell ref="K86:L86"/>
    <mergeCell ref="G87:H87"/>
    <mergeCell ref="K87:L87"/>
    <mergeCell ref="B96:F96"/>
    <mergeCell ref="G96:H96"/>
    <mergeCell ref="I96:K96"/>
    <mergeCell ref="B97:F97"/>
    <mergeCell ref="G97:H97"/>
    <mergeCell ref="I97:K97"/>
    <mergeCell ref="B115:G115"/>
    <mergeCell ref="H115:L115"/>
    <mergeCell ref="B116:G116"/>
    <mergeCell ref="H116:L116"/>
    <mergeCell ref="B98:F98"/>
    <mergeCell ref="G98:H98"/>
    <mergeCell ref="I98:K98"/>
    <mergeCell ref="B99:F99"/>
    <mergeCell ref="G99:H99"/>
    <mergeCell ref="I99:K99"/>
    <mergeCell ref="B110:L110"/>
    <mergeCell ref="B111:L111"/>
    <mergeCell ref="B114:G114"/>
    <mergeCell ref="H114:L114"/>
    <mergeCell ref="B117:G117"/>
    <mergeCell ref="H117:L117"/>
    <mergeCell ref="H118:L118"/>
    <mergeCell ref="B120:G120"/>
    <mergeCell ref="B121:G121"/>
    <mergeCell ref="H122:L122"/>
    <mergeCell ref="G142:H142"/>
    <mergeCell ref="K142:L142"/>
    <mergeCell ref="G143:H143"/>
    <mergeCell ref="K143:L143"/>
    <mergeCell ref="B122:G122"/>
    <mergeCell ref="G126:H126"/>
    <mergeCell ref="K126:L126"/>
    <mergeCell ref="C139:H139"/>
    <mergeCell ref="J139:L139"/>
    <mergeCell ref="G140:H140"/>
    <mergeCell ref="K140:L140"/>
    <mergeCell ref="G141:H141"/>
    <mergeCell ref="K141:L141"/>
    <mergeCell ref="G144:H144"/>
    <mergeCell ref="K144:L144"/>
    <mergeCell ref="B150:F150"/>
    <mergeCell ref="G150:H150"/>
    <mergeCell ref="I150:K150"/>
    <mergeCell ref="B151:F151"/>
    <mergeCell ref="G151:H151"/>
    <mergeCell ref="I151:K151"/>
    <mergeCell ref="B169:G169"/>
    <mergeCell ref="H169:L169"/>
    <mergeCell ref="B152:F152"/>
    <mergeCell ref="G152:H152"/>
    <mergeCell ref="I152:K152"/>
    <mergeCell ref="B153:F153"/>
    <mergeCell ref="G153:H153"/>
    <mergeCell ref="I153:K153"/>
    <mergeCell ref="B164:L164"/>
    <mergeCell ref="B165:L165"/>
    <mergeCell ref="B168:G168"/>
    <mergeCell ref="H168:L168"/>
    <mergeCell ref="B170:G170"/>
    <mergeCell ref="H170:L170"/>
    <mergeCell ref="B171:G171"/>
    <mergeCell ref="H171:L171"/>
    <mergeCell ref="H172:L172"/>
    <mergeCell ref="B174:G174"/>
    <mergeCell ref="H174:L174"/>
    <mergeCell ref="B175:G175"/>
    <mergeCell ref="H175:L175"/>
    <mergeCell ref="B205:F205"/>
    <mergeCell ref="G205:H205"/>
    <mergeCell ref="I205:K205"/>
    <mergeCell ref="B206:F206"/>
    <mergeCell ref="G206:H206"/>
    <mergeCell ref="I206:K206"/>
    <mergeCell ref="B207:F207"/>
    <mergeCell ref="G207:H207"/>
    <mergeCell ref="I207:K207"/>
    <mergeCell ref="B218:L218"/>
    <mergeCell ref="B219:L219"/>
    <mergeCell ref="B222:G222"/>
    <mergeCell ref="H222:L222"/>
    <mergeCell ref="B223:G223"/>
    <mergeCell ref="H223:L223"/>
    <mergeCell ref="B224:G224"/>
    <mergeCell ref="H224:L224"/>
    <mergeCell ref="B225:G225"/>
    <mergeCell ref="H225:L225"/>
    <mergeCell ref="H226:L226"/>
    <mergeCell ref="B261:F261"/>
    <mergeCell ref="G261:H261"/>
    <mergeCell ref="I261:K261"/>
    <mergeCell ref="C300:H300"/>
    <mergeCell ref="J300:L300"/>
    <mergeCell ref="G301:H301"/>
    <mergeCell ref="K301:L301"/>
    <mergeCell ref="G302:H302"/>
    <mergeCell ref="K302:L302"/>
    <mergeCell ref="B228:G228"/>
    <mergeCell ref="H228:L228"/>
    <mergeCell ref="B229:G229"/>
    <mergeCell ref="H229:L229"/>
    <mergeCell ref="B230:G230"/>
    <mergeCell ref="H230:L230"/>
    <mergeCell ref="G234:H234"/>
    <mergeCell ref="K234:L234"/>
    <mergeCell ref="C247:H247"/>
    <mergeCell ref="J247:L247"/>
    <mergeCell ref="G248:H248"/>
    <mergeCell ref="K248:L248"/>
    <mergeCell ref="G249:H249"/>
    <mergeCell ref="K249:L249"/>
    <mergeCell ref="B332:G332"/>
    <mergeCell ref="H332:L332"/>
    <mergeCell ref="B333:G333"/>
    <mergeCell ref="H333:L333"/>
    <mergeCell ref="B312:F312"/>
    <mergeCell ref="G312:H312"/>
    <mergeCell ref="I312:K312"/>
    <mergeCell ref="B313:F313"/>
    <mergeCell ref="G313:H313"/>
    <mergeCell ref="I313:K313"/>
    <mergeCell ref="B314:F314"/>
    <mergeCell ref="G314:H314"/>
    <mergeCell ref="I314:K314"/>
    <mergeCell ref="B326:L326"/>
    <mergeCell ref="B327:L327"/>
    <mergeCell ref="B330:G330"/>
    <mergeCell ref="H330:L330"/>
    <mergeCell ref="B331:G331"/>
    <mergeCell ref="H331:L331"/>
    <mergeCell ref="H334:L334"/>
    <mergeCell ref="B336:G336"/>
    <mergeCell ref="H336:L336"/>
    <mergeCell ref="B337:G337"/>
    <mergeCell ref="H337:L337"/>
    <mergeCell ref="B338:G338"/>
    <mergeCell ref="H338:L338"/>
    <mergeCell ref="G359:H359"/>
    <mergeCell ref="K359:L359"/>
    <mergeCell ref="G342:H342"/>
    <mergeCell ref="K342:L342"/>
    <mergeCell ref="C355:H355"/>
    <mergeCell ref="J355:L355"/>
    <mergeCell ref="G356:H356"/>
    <mergeCell ref="K356:L356"/>
    <mergeCell ref="G357:H357"/>
    <mergeCell ref="K357:L357"/>
    <mergeCell ref="G358:H358"/>
    <mergeCell ref="K358:L358"/>
    <mergeCell ref="G360:H360"/>
    <mergeCell ref="K360:L360"/>
    <mergeCell ref="B366:F366"/>
    <mergeCell ref="G366:H366"/>
    <mergeCell ref="I366:K366"/>
    <mergeCell ref="B367:F367"/>
    <mergeCell ref="G367:H367"/>
    <mergeCell ref="I367:K367"/>
    <mergeCell ref="B368:F368"/>
    <mergeCell ref="G368:H368"/>
    <mergeCell ref="I368:K368"/>
    <mergeCell ref="B386:G386"/>
    <mergeCell ref="H386:L386"/>
    <mergeCell ref="B387:G387"/>
    <mergeCell ref="H387:L387"/>
    <mergeCell ref="H388:L388"/>
    <mergeCell ref="B390:G390"/>
    <mergeCell ref="H390:L390"/>
    <mergeCell ref="B391:G391"/>
    <mergeCell ref="H391:L391"/>
    <mergeCell ref="B392:G392"/>
    <mergeCell ref="H392:L392"/>
    <mergeCell ref="G413:H413"/>
    <mergeCell ref="K413:L413"/>
    <mergeCell ref="B444:G444"/>
    <mergeCell ref="H444:L444"/>
    <mergeCell ref="B445:G445"/>
    <mergeCell ref="H445:L445"/>
    <mergeCell ref="B446:G446"/>
    <mergeCell ref="H446:L446"/>
    <mergeCell ref="B440:G440"/>
    <mergeCell ref="H440:L440"/>
    <mergeCell ref="B441:G441"/>
    <mergeCell ref="H441:L441"/>
    <mergeCell ref="H442:L442"/>
    <mergeCell ref="G396:H396"/>
    <mergeCell ref="K396:L396"/>
    <mergeCell ref="C409:H409"/>
    <mergeCell ref="J409:L409"/>
    <mergeCell ref="G410:H410"/>
    <mergeCell ref="K410:L410"/>
    <mergeCell ref="G411:H411"/>
    <mergeCell ref="K411:L411"/>
    <mergeCell ref="G412:H412"/>
    <mergeCell ref="B477:F477"/>
    <mergeCell ref="G477:H477"/>
    <mergeCell ref="I477:K477"/>
    <mergeCell ref="B487:L487"/>
    <mergeCell ref="B488:L488"/>
    <mergeCell ref="B490:G490"/>
    <mergeCell ref="H490:L490"/>
    <mergeCell ref="B491:G491"/>
    <mergeCell ref="H491:L491"/>
    <mergeCell ref="B492:G492"/>
    <mergeCell ref="H492:L492"/>
    <mergeCell ref="B493:G493"/>
    <mergeCell ref="H493:L493"/>
    <mergeCell ref="H494:L494"/>
    <mergeCell ref="B496:G496"/>
    <mergeCell ref="H496:L496"/>
    <mergeCell ref="B538:L538"/>
    <mergeCell ref="B539:L539"/>
    <mergeCell ref="G502:H502"/>
    <mergeCell ref="K502:L502"/>
    <mergeCell ref="C515:H515"/>
    <mergeCell ref="J515:L515"/>
    <mergeCell ref="G516:H516"/>
    <mergeCell ref="K516:L516"/>
    <mergeCell ref="G528:H528"/>
    <mergeCell ref="I528:K528"/>
    <mergeCell ref="B529:F529"/>
    <mergeCell ref="G529:H529"/>
    <mergeCell ref="I529:K529"/>
    <mergeCell ref="G517:H517"/>
    <mergeCell ref="K517:L517"/>
    <mergeCell ref="G518:H518"/>
    <mergeCell ref="K518:L518"/>
    <mergeCell ref="G568:H568"/>
    <mergeCell ref="K568:L568"/>
    <mergeCell ref="G569:H569"/>
    <mergeCell ref="K569:L569"/>
    <mergeCell ref="G570:H570"/>
    <mergeCell ref="K570:L570"/>
    <mergeCell ref="G571:H571"/>
    <mergeCell ref="K571:L571"/>
    <mergeCell ref="B549:G549"/>
    <mergeCell ref="H549:L549"/>
    <mergeCell ref="G553:H553"/>
    <mergeCell ref="K553:L553"/>
    <mergeCell ref="C566:H566"/>
    <mergeCell ref="J566:L566"/>
    <mergeCell ref="G567:H567"/>
    <mergeCell ref="K567:L567"/>
    <mergeCell ref="B577:F577"/>
    <mergeCell ref="G577:H577"/>
    <mergeCell ref="I577:K577"/>
    <mergeCell ref="B596:G596"/>
    <mergeCell ref="H596:L596"/>
    <mergeCell ref="B597:G597"/>
    <mergeCell ref="H597:L597"/>
    <mergeCell ref="B600:G600"/>
    <mergeCell ref="H600:L600"/>
    <mergeCell ref="B594:G594"/>
    <mergeCell ref="H594:L594"/>
    <mergeCell ref="B595:G595"/>
    <mergeCell ref="H595:L595"/>
    <mergeCell ref="B578:F578"/>
    <mergeCell ref="G578:H578"/>
    <mergeCell ref="I578:K578"/>
    <mergeCell ref="B579:F579"/>
    <mergeCell ref="G579:H579"/>
    <mergeCell ref="I579:K579"/>
    <mergeCell ref="B580:F580"/>
    <mergeCell ref="G580:H580"/>
    <mergeCell ref="I580:K580"/>
    <mergeCell ref="B616:L616"/>
    <mergeCell ref="B617:F618"/>
    <mergeCell ref="H617:L618"/>
    <mergeCell ref="B625:F625"/>
    <mergeCell ref="H625:L625"/>
    <mergeCell ref="B632:G632"/>
    <mergeCell ref="H632:L632"/>
    <mergeCell ref="B601:G601"/>
    <mergeCell ref="H601:L601"/>
    <mergeCell ref="B602:G602"/>
    <mergeCell ref="H602:L602"/>
    <mergeCell ref="B614:L614"/>
    <mergeCell ref="B615:L615"/>
    <mergeCell ref="B638:G638"/>
    <mergeCell ref="H638:L638"/>
    <mergeCell ref="B639:G639"/>
    <mergeCell ref="H639:L639"/>
    <mergeCell ref="B640:G640"/>
    <mergeCell ref="H640:L640"/>
    <mergeCell ref="B633:G633"/>
    <mergeCell ref="H633:L633"/>
    <mergeCell ref="B634:G634"/>
    <mergeCell ref="H634:L634"/>
    <mergeCell ref="B635:G635"/>
    <mergeCell ref="H635:L635"/>
    <mergeCell ref="B671:G671"/>
    <mergeCell ref="H671:L671"/>
    <mergeCell ref="B672:G672"/>
    <mergeCell ref="H672:L672"/>
    <mergeCell ref="B673:G673"/>
    <mergeCell ref="H673:L673"/>
    <mergeCell ref="B653:L653"/>
    <mergeCell ref="B654:L654"/>
    <mergeCell ref="B655:L655"/>
    <mergeCell ref="B656:F657"/>
    <mergeCell ref="H656:L657"/>
    <mergeCell ref="B664:F664"/>
    <mergeCell ref="H664:L664"/>
    <mergeCell ref="B679:G679"/>
    <mergeCell ref="H679:L679"/>
    <mergeCell ref="B692:L692"/>
    <mergeCell ref="B693:L693"/>
    <mergeCell ref="B694:L694"/>
    <mergeCell ref="B695:F696"/>
    <mergeCell ref="H695:L696"/>
    <mergeCell ref="B674:G674"/>
    <mergeCell ref="H674:L674"/>
    <mergeCell ref="B677:G677"/>
    <mergeCell ref="H677:L677"/>
    <mergeCell ref="B678:G678"/>
    <mergeCell ref="H678:L678"/>
    <mergeCell ref="B712:G712"/>
    <mergeCell ref="H712:L712"/>
    <mergeCell ref="B713:G713"/>
    <mergeCell ref="H713:L713"/>
    <mergeCell ref="B716:G716"/>
    <mergeCell ref="H716:L716"/>
    <mergeCell ref="B703:F703"/>
    <mergeCell ref="H703:L703"/>
    <mergeCell ref="B710:G710"/>
    <mergeCell ref="H710:L710"/>
    <mergeCell ref="B711:G711"/>
    <mergeCell ref="H711:L711"/>
    <mergeCell ref="B733:L733"/>
    <mergeCell ref="B734:F735"/>
    <mergeCell ref="H734:L735"/>
    <mergeCell ref="B742:F742"/>
    <mergeCell ref="H742:L742"/>
    <mergeCell ref="B749:G749"/>
    <mergeCell ref="H749:L749"/>
    <mergeCell ref="B717:G717"/>
    <mergeCell ref="H717:L717"/>
    <mergeCell ref="B718:G718"/>
    <mergeCell ref="H718:L718"/>
    <mergeCell ref="B731:L731"/>
    <mergeCell ref="B732:L732"/>
    <mergeCell ref="B755:G755"/>
    <mergeCell ref="H755:L755"/>
    <mergeCell ref="B756:G756"/>
    <mergeCell ref="H756:L756"/>
    <mergeCell ref="B757:G757"/>
    <mergeCell ref="H757:L757"/>
    <mergeCell ref="B750:G750"/>
    <mergeCell ref="H750:L750"/>
    <mergeCell ref="B751:G751"/>
    <mergeCell ref="H751:L751"/>
    <mergeCell ref="B752:G752"/>
    <mergeCell ref="H752:L752"/>
  </mergeCells>
  <pageMargins left="0.70866141732283472" right="0.70866141732283472" top="0.74803149606299213" bottom="0.74803149606299213" header="0.31496062992125984" footer="0.31496062992125984"/>
  <pageSetup scale="65" orientation="portrait" horizontalDpi="300" verticalDpi="300"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F775"/>
  <sheetViews>
    <sheetView topLeftCell="A37" zoomScale="110" zoomScaleNormal="110" workbookViewId="0">
      <selection activeCell="H11" sqref="H11:L11"/>
    </sheetView>
  </sheetViews>
  <sheetFormatPr defaultRowHeight="15"/>
  <cols>
    <col min="6" max="6" width="16.85546875" customWidth="1"/>
    <col min="10" max="10" width="14.5703125" customWidth="1"/>
    <col min="12" max="12" width="22.7109375" customWidth="1"/>
  </cols>
  <sheetData>
    <row r="1" spans="1:14" ht="15" customHeight="1">
      <c r="A1" s="94"/>
      <c r="B1" s="95"/>
      <c r="C1" s="95"/>
      <c r="D1" s="95"/>
      <c r="E1" s="95"/>
      <c r="F1" s="95"/>
      <c r="G1" s="95"/>
      <c r="H1" s="95"/>
      <c r="I1" s="99" t="s">
        <v>250</v>
      </c>
      <c r="J1" s="95"/>
      <c r="K1" s="95"/>
      <c r="L1" s="96"/>
    </row>
    <row r="2" spans="1:14" ht="16.5" customHeight="1">
      <c r="A2" s="23"/>
      <c r="B2" s="966" t="s">
        <v>305</v>
      </c>
      <c r="C2" s="966"/>
      <c r="D2" s="966"/>
      <c r="E2" s="966"/>
      <c r="F2" s="966"/>
      <c r="G2" s="966"/>
      <c r="H2" s="966"/>
      <c r="I2" s="966"/>
      <c r="J2" s="966"/>
      <c r="K2" s="966"/>
      <c r="L2" s="967"/>
    </row>
    <row r="3" spans="1:14" ht="23.25">
      <c r="A3" s="23"/>
      <c r="B3" s="252"/>
      <c r="C3" s="252"/>
      <c r="D3" s="260" t="s">
        <v>252</v>
      </c>
      <c r="E3" s="252"/>
      <c r="F3" s="252"/>
      <c r="G3" s="252"/>
      <c r="H3" s="252"/>
      <c r="I3" s="254" t="s">
        <v>306</v>
      </c>
      <c r="J3" s="255"/>
      <c r="K3" s="336" t="e">
        <f>'4-22Master'!#REF!</f>
        <v>#REF!</v>
      </c>
      <c r="L3" s="285"/>
    </row>
    <row r="4" spans="1:14" ht="15.75">
      <c r="A4" s="23"/>
      <c r="B4" s="2"/>
      <c r="C4" s="2" t="s">
        <v>253</v>
      </c>
      <c r="E4" s="2"/>
      <c r="F4" s="2"/>
      <c r="G4" s="2"/>
      <c r="H4" s="2"/>
      <c r="I4" s="253" t="s">
        <v>307</v>
      </c>
      <c r="J4" s="274" t="str">
        <f>'4-22Master'!G5</f>
        <v>Burgeon IT Services Pvt.Ltd.</v>
      </c>
      <c r="K4" s="256"/>
      <c r="L4" s="286"/>
    </row>
    <row r="5" spans="1:14" ht="15" customHeight="1">
      <c r="A5" s="23"/>
      <c r="B5" s="261"/>
      <c r="C5" s="230" t="s">
        <v>254</v>
      </c>
      <c r="E5" s="261"/>
      <c r="F5" s="261"/>
      <c r="H5" s="231"/>
      <c r="I5" s="277" t="str">
        <f>'4-22Master'!G6</f>
        <v>Siri Mansion LIGB 436 Dr.A S Rao Nagar,Hyderabad</v>
      </c>
      <c r="J5" s="275"/>
      <c r="K5" s="276"/>
      <c r="L5" s="240"/>
    </row>
    <row r="6" spans="1:14" ht="15" customHeight="1">
      <c r="A6" s="23"/>
      <c r="B6" s="261"/>
      <c r="C6" s="230"/>
      <c r="E6" s="261"/>
      <c r="F6" s="261"/>
      <c r="H6" s="231"/>
      <c r="I6" s="278"/>
      <c r="J6" s="284"/>
      <c r="K6" s="284"/>
      <c r="L6" s="24"/>
    </row>
    <row r="7" spans="1:14">
      <c r="A7" s="23"/>
      <c r="L7" s="24"/>
    </row>
    <row r="8" spans="1:14" ht="26.25" customHeight="1">
      <c r="A8" s="23">
        <v>1</v>
      </c>
      <c r="B8" s="257" t="s">
        <v>255</v>
      </c>
      <c r="C8" s="77"/>
      <c r="D8" s="77"/>
      <c r="E8" s="77"/>
      <c r="F8" s="77"/>
      <c r="G8" s="78"/>
      <c r="H8" s="938" t="e">
        <f>'4-22Master'!#REF!</f>
        <v>#REF!</v>
      </c>
      <c r="I8" s="948"/>
      <c r="J8" s="948"/>
      <c r="K8" s="948"/>
      <c r="L8" s="949"/>
    </row>
    <row r="9" spans="1:14">
      <c r="A9" s="23">
        <v>2</v>
      </c>
      <c r="B9" s="968" t="s">
        <v>256</v>
      </c>
      <c r="C9" s="969"/>
      <c r="D9" s="969"/>
      <c r="E9" s="969"/>
      <c r="F9" s="258" t="s">
        <v>257</v>
      </c>
      <c r="G9" s="242"/>
      <c r="H9" s="970" t="e">
        <f>'4-22Master'!#REF!</f>
        <v>#REF!</v>
      </c>
      <c r="I9" s="971"/>
      <c r="J9" s="971"/>
      <c r="K9" s="971"/>
      <c r="L9" s="972"/>
      <c r="M9" s="247" t="s">
        <v>251</v>
      </c>
      <c r="N9" s="247" t="s">
        <v>251</v>
      </c>
    </row>
    <row r="10" spans="1:14" ht="10.5" customHeight="1">
      <c r="A10" s="23"/>
      <c r="B10" s="243" t="s">
        <v>258</v>
      </c>
      <c r="C10" s="244"/>
      <c r="D10" s="244"/>
      <c r="E10" s="244"/>
      <c r="F10" s="244" t="s">
        <v>251</v>
      </c>
      <c r="G10" s="245"/>
      <c r="H10" s="973"/>
      <c r="I10" s="974"/>
      <c r="J10" s="974"/>
      <c r="K10" s="974"/>
      <c r="L10" s="975"/>
      <c r="M10" s="246"/>
      <c r="N10" s="246"/>
    </row>
    <row r="11" spans="1:14">
      <c r="A11" s="23">
        <v>3</v>
      </c>
      <c r="B11" s="259" t="s">
        <v>259</v>
      </c>
      <c r="C11" s="249"/>
      <c r="D11" s="249"/>
      <c r="E11" s="249"/>
      <c r="F11" s="249"/>
      <c r="G11" s="250"/>
      <c r="H11" s="955" t="e">
        <f>'4-22Master'!#REF!</f>
        <v>#REF!</v>
      </c>
      <c r="I11" s="956"/>
      <c r="J11" s="956"/>
      <c r="K11" s="956"/>
      <c r="L11" s="957"/>
      <c r="M11" s="246"/>
      <c r="N11" s="246"/>
    </row>
    <row r="12" spans="1:14">
      <c r="A12" s="23">
        <v>4</v>
      </c>
      <c r="B12" s="235" t="s">
        <v>260</v>
      </c>
      <c r="C12" s="77"/>
      <c r="D12" s="77"/>
      <c r="E12" s="77"/>
      <c r="F12" s="77"/>
      <c r="G12" s="78"/>
      <c r="H12" s="936" t="e">
        <f>'4-22Master'!#REF!</f>
        <v>#REF!</v>
      </c>
      <c r="I12" s="943"/>
      <c r="J12" s="943"/>
      <c r="K12" s="943"/>
      <c r="L12" s="937"/>
    </row>
    <row r="13" spans="1:14">
      <c r="A13" s="23">
        <v>5</v>
      </c>
      <c r="B13" s="958" t="s">
        <v>308</v>
      </c>
      <c r="C13" s="959"/>
      <c r="D13" s="959"/>
      <c r="E13" s="959"/>
      <c r="F13" s="959"/>
      <c r="G13" s="78"/>
      <c r="H13" s="947" t="s">
        <v>385</v>
      </c>
      <c r="I13" s="948"/>
      <c r="J13" s="948"/>
      <c r="K13" s="948"/>
      <c r="L13" s="949"/>
    </row>
    <row r="14" spans="1:14" ht="15" customHeight="1">
      <c r="A14" s="23">
        <v>6</v>
      </c>
      <c r="B14" s="248" t="s">
        <v>261</v>
      </c>
      <c r="C14" s="249" t="s">
        <v>262</v>
      </c>
      <c r="D14" s="249"/>
      <c r="E14" s="249"/>
      <c r="F14" s="249"/>
      <c r="G14" s="250"/>
      <c r="H14" s="259"/>
      <c r="I14" s="249"/>
      <c r="J14" s="249"/>
      <c r="K14" s="249"/>
      <c r="L14" s="287"/>
      <c r="M14" s="246"/>
      <c r="N14" s="246"/>
    </row>
    <row r="15" spans="1:14">
      <c r="A15" s="23"/>
      <c r="B15" s="248" t="s">
        <v>263</v>
      </c>
      <c r="C15" s="249" t="s">
        <v>264</v>
      </c>
      <c r="D15" s="249"/>
      <c r="E15" s="249"/>
      <c r="F15" s="249"/>
      <c r="G15" s="250"/>
      <c r="H15" s="259"/>
      <c r="I15" s="241"/>
      <c r="J15" s="241"/>
      <c r="K15" s="249"/>
      <c r="L15" s="287"/>
      <c r="M15" s="246"/>
      <c r="N15" s="246"/>
    </row>
    <row r="16" spans="1:14" ht="15" customHeight="1">
      <c r="A16" s="23">
        <v>7</v>
      </c>
      <c r="B16" s="955" t="s">
        <v>265</v>
      </c>
      <c r="C16" s="956"/>
      <c r="D16" s="956"/>
      <c r="E16" s="956"/>
      <c r="F16" s="956"/>
      <c r="G16" s="960"/>
      <c r="H16" s="263" t="s">
        <v>266</v>
      </c>
      <c r="I16" s="264"/>
      <c r="J16" s="265"/>
      <c r="K16" s="263" t="s">
        <v>267</v>
      </c>
      <c r="L16" s="288"/>
      <c r="M16" s="262"/>
      <c r="N16" s="262"/>
    </row>
    <row r="17" spans="1:14">
      <c r="A17" s="23">
        <v>8</v>
      </c>
      <c r="B17" s="955" t="s">
        <v>309</v>
      </c>
      <c r="C17" s="956"/>
      <c r="D17" s="956"/>
      <c r="E17" s="956"/>
      <c r="F17" s="956"/>
      <c r="G17" s="960"/>
      <c r="H17" s="263" t="s">
        <v>266</v>
      </c>
      <c r="I17" s="264"/>
      <c r="J17" s="265"/>
      <c r="K17" s="263" t="s">
        <v>267</v>
      </c>
      <c r="L17" s="288"/>
      <c r="M17" s="262"/>
      <c r="N17" s="262"/>
    </row>
    <row r="18" spans="1:14">
      <c r="A18" s="23"/>
      <c r="B18" s="235"/>
      <c r="C18" s="267"/>
      <c r="D18" s="267"/>
      <c r="E18" s="267"/>
      <c r="F18" s="267" t="s">
        <v>268</v>
      </c>
      <c r="G18" s="267"/>
      <c r="H18" s="267"/>
      <c r="I18" s="267"/>
      <c r="J18" s="267"/>
      <c r="K18" s="267"/>
      <c r="L18" s="289"/>
      <c r="M18" s="266"/>
      <c r="N18" s="266"/>
    </row>
    <row r="19" spans="1:14">
      <c r="A19" s="23">
        <v>9</v>
      </c>
      <c r="B19" s="248" t="s">
        <v>269</v>
      </c>
      <c r="C19" s="249" t="s">
        <v>270</v>
      </c>
      <c r="D19" s="249"/>
      <c r="E19" s="249"/>
      <c r="F19" s="249"/>
      <c r="G19" s="250"/>
      <c r="H19" s="259"/>
      <c r="I19" s="249"/>
      <c r="J19" s="249"/>
      <c r="K19" s="249"/>
      <c r="L19" s="287"/>
      <c r="M19" s="246"/>
      <c r="N19" s="246"/>
    </row>
    <row r="20" spans="1:14" ht="21.75" customHeight="1">
      <c r="A20" s="105"/>
      <c r="B20" s="248" t="s">
        <v>271</v>
      </c>
      <c r="C20" s="249" t="s">
        <v>272</v>
      </c>
      <c r="D20" s="249"/>
      <c r="E20" s="249"/>
      <c r="F20" s="249"/>
      <c r="G20" s="250"/>
      <c r="H20" s="259"/>
      <c r="I20" s="249"/>
      <c r="J20" s="249"/>
      <c r="K20" s="249"/>
      <c r="L20" s="287"/>
      <c r="M20" s="246"/>
      <c r="N20" s="246"/>
    </row>
    <row r="21" spans="1:14" ht="27.95" customHeight="1">
      <c r="A21" s="105"/>
      <c r="B21" s="248" t="s">
        <v>310</v>
      </c>
      <c r="C21" s="249" t="s">
        <v>311</v>
      </c>
      <c r="D21" s="249"/>
      <c r="E21" s="249"/>
      <c r="F21" s="249"/>
      <c r="G21" s="250"/>
      <c r="H21" s="259"/>
      <c r="I21" s="249"/>
      <c r="J21" s="249"/>
      <c r="K21" s="249"/>
      <c r="L21" s="287"/>
    </row>
    <row r="22" spans="1:14" ht="27.95" customHeight="1">
      <c r="A22" s="105"/>
      <c r="B22" s="248" t="s">
        <v>274</v>
      </c>
      <c r="C22" s="249" t="s">
        <v>275</v>
      </c>
      <c r="D22" s="249"/>
      <c r="E22" s="249"/>
      <c r="F22" s="249"/>
      <c r="G22" s="250"/>
      <c r="H22" s="259"/>
      <c r="I22" s="249"/>
      <c r="J22" s="249"/>
      <c r="K22" s="249"/>
      <c r="L22" s="287"/>
    </row>
    <row r="23" spans="1:14" ht="27.95" customHeight="1">
      <c r="A23" s="105"/>
      <c r="B23" s="248" t="s">
        <v>276</v>
      </c>
      <c r="C23" s="249" t="s">
        <v>277</v>
      </c>
      <c r="D23" s="249"/>
      <c r="E23" s="249"/>
      <c r="F23" s="249"/>
      <c r="G23" s="250"/>
      <c r="H23" s="259"/>
      <c r="I23" s="249"/>
      <c r="J23" s="249"/>
      <c r="K23" s="249"/>
      <c r="L23" s="287"/>
    </row>
    <row r="24" spans="1:14" ht="27.95" customHeight="1">
      <c r="A24" s="105">
        <v>10</v>
      </c>
      <c r="B24" s="248" t="s">
        <v>269</v>
      </c>
      <c r="C24" s="249" t="s">
        <v>312</v>
      </c>
      <c r="D24" s="249"/>
      <c r="E24" s="249"/>
      <c r="F24" s="249"/>
      <c r="G24" s="250"/>
      <c r="H24" s="263" t="s">
        <v>266</v>
      </c>
      <c r="I24" s="264"/>
      <c r="J24" s="265"/>
      <c r="K24" s="263" t="s">
        <v>267</v>
      </c>
      <c r="L24" s="288"/>
    </row>
    <row r="25" spans="1:14" ht="27.95" customHeight="1">
      <c r="A25" s="105"/>
      <c r="B25" s="248" t="s">
        <v>271</v>
      </c>
      <c r="C25" s="249" t="s">
        <v>313</v>
      </c>
      <c r="D25" s="249"/>
      <c r="E25" s="249"/>
      <c r="F25" s="249"/>
      <c r="G25" s="250"/>
      <c r="H25" s="259"/>
      <c r="I25" s="249"/>
      <c r="J25" s="249"/>
      <c r="K25" s="249"/>
      <c r="L25" s="287"/>
    </row>
    <row r="26" spans="1:14" ht="27.95" customHeight="1">
      <c r="A26" s="105"/>
      <c r="B26" s="248" t="s">
        <v>310</v>
      </c>
      <c r="C26" s="249" t="s">
        <v>278</v>
      </c>
      <c r="D26" s="249"/>
      <c r="E26" s="249"/>
      <c r="F26" s="249"/>
      <c r="G26" s="250"/>
      <c r="H26" s="259"/>
      <c r="I26" s="249"/>
      <c r="J26" s="249"/>
      <c r="K26" s="249"/>
      <c r="L26" s="287"/>
    </row>
    <row r="27" spans="1:14" ht="27.95" customHeight="1">
      <c r="A27" s="105"/>
      <c r="B27" s="248" t="s">
        <v>274</v>
      </c>
      <c r="C27" s="249" t="s">
        <v>314</v>
      </c>
      <c r="D27" s="249"/>
      <c r="E27" s="249"/>
      <c r="F27" s="249"/>
      <c r="G27" s="250"/>
      <c r="H27" s="259"/>
      <c r="I27" s="249"/>
      <c r="J27" s="249"/>
      <c r="K27" s="249"/>
      <c r="L27" s="287"/>
    </row>
    <row r="28" spans="1:14" ht="27.95" customHeight="1">
      <c r="A28" s="23"/>
      <c r="B28" s="235"/>
      <c r="C28" s="267"/>
      <c r="D28" s="267"/>
      <c r="E28" s="267" t="s">
        <v>315</v>
      </c>
      <c r="F28" s="267"/>
      <c r="G28" s="267"/>
      <c r="H28" s="267"/>
      <c r="I28" s="267"/>
      <c r="J28" s="267"/>
      <c r="K28" s="267"/>
      <c r="L28" s="289"/>
    </row>
    <row r="29" spans="1:14" ht="27.95" customHeight="1">
      <c r="A29" s="23">
        <v>11</v>
      </c>
      <c r="B29" s="248" t="s">
        <v>269</v>
      </c>
      <c r="C29" s="249" t="s">
        <v>279</v>
      </c>
      <c r="D29" s="249"/>
      <c r="E29" s="249"/>
      <c r="F29" s="249"/>
      <c r="G29" s="250"/>
      <c r="H29" s="259"/>
      <c r="I29" s="249"/>
      <c r="J29" s="249"/>
      <c r="K29" s="249"/>
      <c r="L29" s="287"/>
    </row>
    <row r="30" spans="1:14" ht="27.95" customHeight="1">
      <c r="A30" s="23"/>
      <c r="B30" s="248" t="s">
        <v>271</v>
      </c>
      <c r="C30" s="249" t="s">
        <v>280</v>
      </c>
      <c r="D30" s="249"/>
      <c r="E30" s="249"/>
      <c r="F30" s="249"/>
      <c r="G30" s="250"/>
      <c r="H30" s="259"/>
      <c r="I30" s="249"/>
      <c r="J30" s="249"/>
      <c r="K30" s="249"/>
      <c r="L30" s="287"/>
    </row>
    <row r="31" spans="1:14" ht="27.95" customHeight="1">
      <c r="A31" s="23"/>
      <c r="B31" s="248" t="s">
        <v>273</v>
      </c>
      <c r="C31" s="249" t="s">
        <v>281</v>
      </c>
      <c r="D31" s="249"/>
      <c r="E31" s="249"/>
      <c r="F31" s="249"/>
      <c r="G31" s="250"/>
      <c r="H31" s="259"/>
      <c r="I31" s="249"/>
      <c r="J31" s="249"/>
      <c r="K31" s="249"/>
      <c r="L31" s="287"/>
    </row>
    <row r="32" spans="1:14" ht="20.25" customHeight="1">
      <c r="A32" s="23"/>
      <c r="B32" s="223"/>
      <c r="C32" s="219"/>
      <c r="D32" s="219"/>
      <c r="E32" s="219"/>
      <c r="F32" s="268" t="s">
        <v>282</v>
      </c>
      <c r="G32" s="219"/>
      <c r="H32" s="208"/>
      <c r="I32" s="208"/>
      <c r="J32" s="208"/>
      <c r="K32" s="208"/>
      <c r="L32" s="226"/>
    </row>
    <row r="33" spans="1:32" ht="27.95" customHeight="1">
      <c r="A33" s="23"/>
      <c r="B33" s="280" t="s">
        <v>283</v>
      </c>
      <c r="C33" s="279" t="s">
        <v>284</v>
      </c>
      <c r="D33" s="219"/>
      <c r="E33" s="219"/>
      <c r="F33" s="219"/>
      <c r="G33" s="219"/>
      <c r="H33" s="208"/>
      <c r="I33" s="208"/>
      <c r="J33" s="209"/>
      <c r="K33" s="208"/>
      <c r="L33" s="226"/>
    </row>
    <row r="34" spans="1:32" ht="19.5" customHeight="1">
      <c r="A34" s="23"/>
      <c r="B34" s="280" t="s">
        <v>285</v>
      </c>
      <c r="C34" s="278" t="s">
        <v>286</v>
      </c>
      <c r="D34" s="208"/>
      <c r="E34" s="209"/>
      <c r="G34" s="961"/>
      <c r="H34" s="961"/>
      <c r="I34" s="224"/>
      <c r="J34" s="225"/>
      <c r="K34" s="961"/>
      <c r="L34" s="962"/>
    </row>
    <row r="35" spans="1:32" ht="26.25" customHeight="1">
      <c r="A35" s="23"/>
      <c r="B35" s="281" t="s">
        <v>287</v>
      </c>
      <c r="C35" s="963" t="s">
        <v>316</v>
      </c>
      <c r="D35" s="963"/>
      <c r="E35" s="963"/>
      <c r="F35" s="963"/>
      <c r="G35" s="963"/>
      <c r="H35" s="963"/>
      <c r="I35" s="963"/>
      <c r="J35" s="963"/>
      <c r="K35" s="963"/>
      <c r="L35" s="964"/>
    </row>
    <row r="36" spans="1:32" ht="19.5" customHeight="1">
      <c r="A36" s="23"/>
      <c r="B36" s="280" t="s">
        <v>288</v>
      </c>
      <c r="C36" s="279" t="s">
        <v>289</v>
      </c>
      <c r="D36" s="271"/>
      <c r="E36" s="271"/>
      <c r="F36" s="271"/>
      <c r="G36" s="271"/>
      <c r="H36" s="271"/>
      <c r="I36" s="271"/>
      <c r="J36" s="271"/>
      <c r="K36" s="271"/>
      <c r="L36" s="290"/>
    </row>
    <row r="37" spans="1:32" ht="27.95" customHeight="1">
      <c r="A37" s="23"/>
      <c r="B37" s="223"/>
      <c r="C37" t="s">
        <v>317</v>
      </c>
      <c r="D37" s="332" t="e">
        <f>'4-22Master'!#REF!</f>
        <v>#REF!</v>
      </c>
      <c r="E37" s="4"/>
      <c r="F37" s="4"/>
      <c r="G37" s="4"/>
      <c r="L37" s="24"/>
    </row>
    <row r="38" spans="1:32" ht="15" customHeight="1">
      <c r="A38" s="23"/>
      <c r="C38" t="s">
        <v>290</v>
      </c>
      <c r="D38" t="s">
        <v>379</v>
      </c>
      <c r="J38" t="s">
        <v>318</v>
      </c>
      <c r="L38" s="24"/>
    </row>
    <row r="39" spans="1:32" ht="15.75" customHeight="1">
      <c r="A39" s="23"/>
      <c r="L39" s="24"/>
    </row>
    <row r="40" spans="1:32">
      <c r="A40" s="23"/>
      <c r="F40" s="269" t="s">
        <v>291</v>
      </c>
      <c r="L40" s="24"/>
    </row>
    <row r="41" spans="1:32" ht="12.75" customHeight="1">
      <c r="A41" s="23" t="s">
        <v>319</v>
      </c>
      <c r="B41" t="s">
        <v>292</v>
      </c>
      <c r="E41" s="272" t="e">
        <f>'4-22Master'!#REF!</f>
        <v>#REF!</v>
      </c>
      <c r="H41" s="965" t="s">
        <v>293</v>
      </c>
      <c r="I41" s="965"/>
      <c r="J41" s="273" t="e">
        <f>'4-22Master'!#REF!</f>
        <v>#REF!</v>
      </c>
      <c r="K41" t="s">
        <v>294</v>
      </c>
      <c r="L41" s="24"/>
    </row>
    <row r="42" spans="1:32" ht="12.75" customHeight="1">
      <c r="A42" s="23"/>
      <c r="B42" s="976" t="e">
        <f>'4-22Master'!#REF!</f>
        <v>#REF!</v>
      </c>
      <c r="C42" s="977"/>
      <c r="D42" s="270"/>
      <c r="E42" s="270"/>
      <c r="F42" s="270"/>
      <c r="G42" s="270"/>
      <c r="H42" s="270"/>
      <c r="I42" s="270"/>
      <c r="J42" s="270"/>
      <c r="K42" s="270"/>
      <c r="L42" s="291"/>
      <c r="M42" s="270"/>
      <c r="N42" s="270"/>
      <c r="O42" s="270"/>
      <c r="P42" s="270"/>
      <c r="Q42" s="270"/>
      <c r="R42" s="270"/>
      <c r="S42" s="270"/>
      <c r="T42" s="270"/>
      <c r="U42" s="270"/>
      <c r="V42" s="270"/>
      <c r="W42" s="270"/>
      <c r="X42" s="270"/>
      <c r="Y42" s="270"/>
      <c r="Z42" s="270"/>
      <c r="AA42" s="270"/>
      <c r="AB42" s="270"/>
      <c r="AC42" s="270"/>
      <c r="AD42" s="270"/>
      <c r="AE42" s="270"/>
      <c r="AF42" s="270"/>
    </row>
    <row r="43" spans="1:32" ht="12.75" customHeight="1">
      <c r="A43" s="23" t="s">
        <v>321</v>
      </c>
      <c r="B43" s="270" t="s">
        <v>295</v>
      </c>
      <c r="C43" s="270"/>
      <c r="D43" s="270"/>
      <c r="E43" s="270"/>
      <c r="F43" s="270"/>
      <c r="G43" s="270"/>
      <c r="H43" s="270"/>
      <c r="I43" s="270"/>
      <c r="J43" s="270"/>
      <c r="K43" s="270"/>
      <c r="L43" s="291"/>
      <c r="M43" s="270"/>
      <c r="N43" s="270"/>
      <c r="O43" s="270"/>
      <c r="P43" s="270"/>
      <c r="Q43" s="270"/>
      <c r="R43" s="270"/>
      <c r="S43" s="270"/>
      <c r="T43" s="270"/>
      <c r="U43" s="270"/>
      <c r="V43" s="270"/>
      <c r="W43" s="270"/>
      <c r="X43" s="270"/>
      <c r="Y43" s="270"/>
      <c r="Z43" s="270"/>
      <c r="AA43" s="270"/>
      <c r="AB43" s="270"/>
      <c r="AC43" s="270"/>
      <c r="AD43" s="270"/>
      <c r="AE43" s="270"/>
      <c r="AF43" s="270"/>
    </row>
    <row r="44" spans="1:32" ht="12.75" customHeight="1">
      <c r="A44" s="23"/>
      <c r="B44" s="270" t="s">
        <v>320</v>
      </c>
      <c r="C44" s="270"/>
      <c r="D44" s="270"/>
      <c r="E44" s="270"/>
      <c r="F44" s="270"/>
      <c r="G44" s="270"/>
      <c r="H44" s="270"/>
      <c r="I44" s="270"/>
      <c r="J44" s="270"/>
      <c r="K44" s="270"/>
      <c r="L44" s="291"/>
      <c r="M44" s="270"/>
      <c r="N44" s="270"/>
      <c r="O44" s="270"/>
      <c r="P44" s="270"/>
      <c r="Q44" s="270"/>
      <c r="R44" s="270"/>
      <c r="S44" s="270"/>
      <c r="T44" s="270"/>
      <c r="U44" s="270"/>
      <c r="V44" s="270"/>
      <c r="W44" s="270"/>
      <c r="X44" s="270"/>
      <c r="Y44" s="270"/>
      <c r="Z44" s="270"/>
      <c r="AA44" s="270"/>
      <c r="AB44" s="270"/>
      <c r="AC44" s="270"/>
      <c r="AD44" s="270"/>
      <c r="AE44" s="270"/>
      <c r="AF44" s="270"/>
    </row>
    <row r="45" spans="1:32" ht="12.75" customHeight="1">
      <c r="A45" s="23"/>
      <c r="B45" t="s">
        <v>296</v>
      </c>
      <c r="L45" s="24"/>
    </row>
    <row r="46" spans="1:32" ht="12.75" customHeight="1">
      <c r="A46" s="23"/>
      <c r="B46" s="4" t="s">
        <v>297</v>
      </c>
      <c r="F46" s="222"/>
      <c r="L46" s="24"/>
    </row>
    <row r="47" spans="1:32" ht="12.75" customHeight="1">
      <c r="A47" s="23"/>
      <c r="B47" s="4" t="s">
        <v>298</v>
      </c>
      <c r="L47" s="24"/>
    </row>
    <row r="48" spans="1:32" ht="12.75" customHeight="1">
      <c r="A48" s="23"/>
      <c r="B48" t="s">
        <v>299</v>
      </c>
      <c r="L48" s="24"/>
    </row>
    <row r="49" spans="1:12" ht="12.75" customHeight="1">
      <c r="A49" s="23"/>
      <c r="B49" t="s">
        <v>300</v>
      </c>
      <c r="L49" s="24"/>
    </row>
    <row r="50" spans="1:12" ht="12.75" customHeight="1">
      <c r="A50" s="23" t="s">
        <v>310</v>
      </c>
      <c r="B50" t="s">
        <v>301</v>
      </c>
      <c r="L50" s="24"/>
    </row>
    <row r="51" spans="1:12" ht="12.75" customHeight="1">
      <c r="A51" s="23"/>
      <c r="B51" s="282" t="s">
        <v>322</v>
      </c>
      <c r="L51" s="24"/>
    </row>
    <row r="52" spans="1:12" ht="12.75" customHeight="1">
      <c r="A52" s="23"/>
      <c r="B52" t="s">
        <v>296</v>
      </c>
      <c r="L52" s="24"/>
    </row>
    <row r="53" spans="1:12" ht="12.75" customHeight="1">
      <c r="A53" s="23"/>
      <c r="B53" t="s">
        <v>302</v>
      </c>
      <c r="L53" s="24"/>
    </row>
    <row r="54" spans="1:12" ht="12.75" customHeight="1">
      <c r="A54" s="23"/>
      <c r="B54" t="s">
        <v>303</v>
      </c>
      <c r="L54" s="24"/>
    </row>
    <row r="55" spans="1:12" ht="15.75" customHeight="1">
      <c r="A55" s="23"/>
      <c r="B55" s="978" t="s">
        <v>304</v>
      </c>
      <c r="C55" s="978"/>
      <c r="D55" s="978"/>
      <c r="E55" s="978"/>
      <c r="F55" s="978"/>
      <c r="G55" s="978"/>
      <c r="H55" s="978"/>
      <c r="I55" s="978"/>
      <c r="J55" s="978"/>
      <c r="K55" s="978"/>
      <c r="L55" s="979"/>
    </row>
    <row r="56" spans="1:12" ht="23.25">
      <c r="A56" s="23"/>
      <c r="B56" t="s">
        <v>216</v>
      </c>
      <c r="C56" s="332" t="e">
        <f>D37</f>
        <v>#REF!</v>
      </c>
      <c r="D56" s="252"/>
      <c r="E56" s="252"/>
      <c r="F56" s="252"/>
      <c r="G56" s="252"/>
      <c r="H56" s="252"/>
      <c r="I56" t="s">
        <v>323</v>
      </c>
      <c r="J56" s="252"/>
      <c r="K56" s="252"/>
      <c r="L56" s="283"/>
    </row>
    <row r="57" spans="1:12" ht="16.5" thickBot="1">
      <c r="A57" s="35"/>
      <c r="B57" s="802"/>
      <c r="C57" s="802"/>
      <c r="D57" s="802"/>
      <c r="E57" s="802"/>
      <c r="F57" s="802"/>
      <c r="G57" s="802"/>
      <c r="H57" s="802"/>
      <c r="I57" s="802"/>
      <c r="J57" s="802"/>
      <c r="K57" s="802"/>
      <c r="L57" s="803"/>
    </row>
    <row r="58" spans="1:12" ht="27.95" customHeight="1" thickBot="1">
      <c r="A58" s="18"/>
      <c r="B58" s="924"/>
      <c r="C58" s="924"/>
      <c r="D58" s="924"/>
      <c r="E58" s="924"/>
      <c r="F58" s="924"/>
      <c r="G58" s="924"/>
      <c r="H58" s="922"/>
      <c r="I58" s="922"/>
      <c r="J58" s="922"/>
      <c r="K58" s="922"/>
      <c r="L58" s="922"/>
    </row>
    <row r="59" spans="1:12" ht="27.95" customHeight="1">
      <c r="A59" s="94"/>
      <c r="B59" s="95"/>
      <c r="C59" s="95"/>
      <c r="D59" s="95"/>
      <c r="E59" s="95"/>
      <c r="F59" s="95"/>
      <c r="G59" s="95"/>
      <c r="H59" s="95"/>
      <c r="I59" s="99" t="s">
        <v>250</v>
      </c>
      <c r="J59" s="95"/>
      <c r="K59" s="95"/>
      <c r="L59" s="96"/>
    </row>
    <row r="60" spans="1:12" ht="27.95" customHeight="1">
      <c r="A60" s="23"/>
      <c r="B60" s="966" t="s">
        <v>305</v>
      </c>
      <c r="C60" s="966"/>
      <c r="D60" s="966"/>
      <c r="E60" s="966"/>
      <c r="F60" s="966"/>
      <c r="G60" s="966"/>
      <c r="H60" s="966"/>
      <c r="I60" s="966"/>
      <c r="J60" s="966"/>
      <c r="K60" s="966"/>
      <c r="L60" s="967"/>
    </row>
    <row r="61" spans="1:12" ht="27.95" customHeight="1">
      <c r="A61" s="23"/>
      <c r="B61" s="252"/>
      <c r="C61" s="252"/>
      <c r="D61" s="260" t="s">
        <v>252</v>
      </c>
      <c r="E61" s="252"/>
      <c r="F61" s="252"/>
      <c r="G61" s="252"/>
      <c r="H61" s="252"/>
      <c r="I61" s="254" t="s">
        <v>306</v>
      </c>
      <c r="J61" s="255"/>
      <c r="K61" s="336" t="e">
        <f>'4-22Master'!#REF!</f>
        <v>#REF!</v>
      </c>
      <c r="L61" s="285"/>
    </row>
    <row r="62" spans="1:12" ht="21.75" customHeight="1">
      <c r="A62" s="23"/>
      <c r="B62" s="2"/>
      <c r="C62" s="2" t="s">
        <v>253</v>
      </c>
      <c r="E62" s="2"/>
      <c r="F62" s="2"/>
      <c r="G62" s="2"/>
      <c r="H62" s="2"/>
      <c r="I62" s="253" t="s">
        <v>307</v>
      </c>
      <c r="J62" s="274" t="str">
        <f>'4-22Master'!G5</f>
        <v>Burgeon IT Services Pvt.Ltd.</v>
      </c>
      <c r="K62" s="256"/>
      <c r="L62" s="286"/>
    </row>
    <row r="63" spans="1:12" ht="20.25" customHeight="1">
      <c r="A63" s="23"/>
      <c r="B63" s="261"/>
      <c r="C63" s="230" t="s">
        <v>254</v>
      </c>
      <c r="E63" s="261"/>
      <c r="F63" s="261"/>
      <c r="H63" s="231"/>
      <c r="I63" s="277" t="str">
        <f>'4-22Master'!G6</f>
        <v>Siri Mansion LIGB 436 Dr.A S Rao Nagar,Hyderabad</v>
      </c>
      <c r="J63" s="275"/>
      <c r="K63" s="276"/>
      <c r="L63" s="240"/>
    </row>
    <row r="64" spans="1:12" ht="18.75" customHeight="1">
      <c r="A64" s="23"/>
      <c r="L64" s="24"/>
    </row>
    <row r="65" spans="1:12" ht="27.95" customHeight="1">
      <c r="A65" s="23">
        <v>1</v>
      </c>
      <c r="B65" s="257" t="s">
        <v>255</v>
      </c>
      <c r="C65" s="77"/>
      <c r="D65" s="77"/>
      <c r="E65" s="77"/>
      <c r="F65" s="77"/>
      <c r="G65" s="78"/>
      <c r="H65" s="938" t="e">
        <f>'4-22Master'!#REF!</f>
        <v>#REF!</v>
      </c>
      <c r="I65" s="948"/>
      <c r="J65" s="948"/>
      <c r="K65" s="948"/>
      <c r="L65" s="949"/>
    </row>
    <row r="66" spans="1:12" ht="21.75" customHeight="1">
      <c r="A66" s="23">
        <v>2</v>
      </c>
      <c r="B66" s="968" t="s">
        <v>256</v>
      </c>
      <c r="C66" s="969"/>
      <c r="D66" s="969"/>
      <c r="E66" s="969"/>
      <c r="F66" s="258" t="s">
        <v>257</v>
      </c>
      <c r="G66" s="242"/>
      <c r="H66" s="970" t="e">
        <f>'4-22Master'!#REF!</f>
        <v>#REF!</v>
      </c>
      <c r="I66" s="971"/>
      <c r="J66" s="971"/>
      <c r="K66" s="971"/>
      <c r="L66" s="972"/>
    </row>
    <row r="67" spans="1:12" ht="12.75" customHeight="1">
      <c r="A67" s="23"/>
      <c r="B67" s="243" t="s">
        <v>258</v>
      </c>
      <c r="C67" s="244"/>
      <c r="D67" s="244"/>
      <c r="E67" s="244"/>
      <c r="F67" s="244" t="s">
        <v>251</v>
      </c>
      <c r="G67" s="245"/>
      <c r="H67" s="973"/>
      <c r="I67" s="974"/>
      <c r="J67" s="974"/>
      <c r="K67" s="974"/>
      <c r="L67" s="975"/>
    </row>
    <row r="68" spans="1:12" ht="27.95" customHeight="1">
      <c r="A68" s="23">
        <v>3</v>
      </c>
      <c r="B68" s="259" t="s">
        <v>259</v>
      </c>
      <c r="C68" s="249"/>
      <c r="D68" s="249"/>
      <c r="E68" s="249"/>
      <c r="F68" s="249"/>
      <c r="G68" s="250"/>
      <c r="H68" s="955" t="e">
        <f>'4-22Master'!#REF!</f>
        <v>#REF!</v>
      </c>
      <c r="I68" s="956"/>
      <c r="J68" s="956"/>
      <c r="K68" s="956"/>
      <c r="L68" s="960"/>
    </row>
    <row r="69" spans="1:12" ht="27.95" customHeight="1">
      <c r="A69" s="23">
        <v>4</v>
      </c>
      <c r="B69" s="235" t="s">
        <v>260</v>
      </c>
      <c r="C69" s="77"/>
      <c r="D69" s="77"/>
      <c r="E69" s="77"/>
      <c r="F69" s="77"/>
      <c r="G69" s="78"/>
      <c r="H69" s="936" t="e">
        <f>'4-22Master'!#REF!</f>
        <v>#REF!</v>
      </c>
      <c r="I69" s="943"/>
      <c r="J69" s="943"/>
      <c r="K69" s="943"/>
      <c r="L69" s="942"/>
    </row>
    <row r="70" spans="1:12" ht="27.95" customHeight="1">
      <c r="A70" s="23">
        <v>5</v>
      </c>
      <c r="B70" s="958" t="s">
        <v>308</v>
      </c>
      <c r="C70" s="959"/>
      <c r="D70" s="959"/>
      <c r="E70" s="959"/>
      <c r="F70" s="959"/>
      <c r="G70" s="78"/>
      <c r="H70" s="947" t="s">
        <v>386</v>
      </c>
      <c r="I70" s="948"/>
      <c r="J70" s="948"/>
      <c r="K70" s="948"/>
      <c r="L70" s="949"/>
    </row>
    <row r="71" spans="1:12" ht="21.75" customHeight="1">
      <c r="A71" s="23">
        <v>6</v>
      </c>
      <c r="B71" s="248" t="s">
        <v>261</v>
      </c>
      <c r="C71" s="249" t="s">
        <v>262</v>
      </c>
      <c r="D71" s="249"/>
      <c r="E71" s="249"/>
      <c r="F71" s="249"/>
      <c r="G71" s="250"/>
      <c r="H71" s="259"/>
      <c r="I71" s="249"/>
      <c r="J71" s="249"/>
      <c r="K71" s="249"/>
      <c r="L71" s="287"/>
    </row>
    <row r="72" spans="1:12" ht="22.5" customHeight="1">
      <c r="A72" s="23"/>
      <c r="B72" s="248" t="s">
        <v>263</v>
      </c>
      <c r="C72" s="249" t="s">
        <v>264</v>
      </c>
      <c r="D72" s="249"/>
      <c r="E72" s="249"/>
      <c r="F72" s="249"/>
      <c r="G72" s="250"/>
      <c r="H72" s="259"/>
      <c r="I72" s="241"/>
      <c r="J72" s="241"/>
      <c r="K72" s="249"/>
      <c r="L72" s="287"/>
    </row>
    <row r="73" spans="1:12">
      <c r="A73" s="23">
        <v>7</v>
      </c>
      <c r="B73" s="955" t="s">
        <v>265</v>
      </c>
      <c r="C73" s="956"/>
      <c r="D73" s="956"/>
      <c r="E73" s="956"/>
      <c r="F73" s="956"/>
      <c r="G73" s="960"/>
      <c r="H73" s="263" t="s">
        <v>266</v>
      </c>
      <c r="I73" s="264"/>
      <c r="J73" s="265"/>
      <c r="K73" s="263" t="s">
        <v>267</v>
      </c>
      <c r="L73" s="288"/>
    </row>
    <row r="74" spans="1:12">
      <c r="A74" s="23">
        <v>8</v>
      </c>
      <c r="B74" s="955" t="s">
        <v>309</v>
      </c>
      <c r="C74" s="956"/>
      <c r="D74" s="956"/>
      <c r="E74" s="956"/>
      <c r="F74" s="956"/>
      <c r="G74" s="960"/>
      <c r="H74" s="263" t="s">
        <v>266</v>
      </c>
      <c r="I74" s="264"/>
      <c r="J74" s="265"/>
      <c r="K74" s="263" t="s">
        <v>267</v>
      </c>
      <c r="L74" s="288"/>
    </row>
    <row r="75" spans="1:12">
      <c r="A75" s="23"/>
      <c r="B75" s="235"/>
      <c r="C75" s="267"/>
      <c r="D75" s="267"/>
      <c r="E75" s="267"/>
      <c r="F75" s="267" t="s">
        <v>268</v>
      </c>
      <c r="G75" s="267"/>
      <c r="H75" s="267"/>
      <c r="I75" s="267"/>
      <c r="J75" s="267"/>
      <c r="K75" s="267"/>
      <c r="L75" s="289"/>
    </row>
    <row r="76" spans="1:12">
      <c r="A76" s="23">
        <v>9</v>
      </c>
      <c r="B76" s="248" t="s">
        <v>269</v>
      </c>
      <c r="C76" s="249" t="s">
        <v>270</v>
      </c>
      <c r="D76" s="249"/>
      <c r="E76" s="249"/>
      <c r="F76" s="249"/>
      <c r="G76" s="250"/>
      <c r="H76" s="259"/>
      <c r="I76" s="249"/>
      <c r="J76" s="249"/>
      <c r="K76" s="249"/>
      <c r="L76" s="287"/>
    </row>
    <row r="77" spans="1:12">
      <c r="A77" s="105"/>
      <c r="B77" s="248" t="s">
        <v>271</v>
      </c>
      <c r="C77" s="249" t="s">
        <v>272</v>
      </c>
      <c r="D77" s="249"/>
      <c r="E77" s="249"/>
      <c r="F77" s="249"/>
      <c r="G77" s="250"/>
      <c r="H77" s="259"/>
      <c r="I77" s="249"/>
      <c r="J77" s="249"/>
      <c r="K77" s="249"/>
      <c r="L77" s="287"/>
    </row>
    <row r="78" spans="1:12">
      <c r="A78" s="105"/>
      <c r="B78" s="248" t="s">
        <v>310</v>
      </c>
      <c r="C78" s="249" t="s">
        <v>311</v>
      </c>
      <c r="D78" s="249"/>
      <c r="E78" s="249"/>
      <c r="F78" s="249"/>
      <c r="G78" s="250"/>
      <c r="H78" s="259"/>
      <c r="I78" s="249"/>
      <c r="J78" s="249"/>
      <c r="K78" s="249"/>
      <c r="L78" s="287"/>
    </row>
    <row r="79" spans="1:12">
      <c r="A79" s="105"/>
      <c r="B79" s="248" t="s">
        <v>274</v>
      </c>
      <c r="C79" s="249" t="s">
        <v>275</v>
      </c>
      <c r="D79" s="249"/>
      <c r="E79" s="249"/>
      <c r="F79" s="249"/>
      <c r="G79" s="250"/>
      <c r="H79" s="259"/>
      <c r="I79" s="249"/>
      <c r="J79" s="249"/>
      <c r="K79" s="249"/>
      <c r="L79" s="287"/>
    </row>
    <row r="80" spans="1:12">
      <c r="A80" s="105"/>
      <c r="B80" s="248" t="s">
        <v>276</v>
      </c>
      <c r="C80" s="249" t="s">
        <v>277</v>
      </c>
      <c r="D80" s="249"/>
      <c r="E80" s="249"/>
      <c r="F80" s="249"/>
      <c r="G80" s="250"/>
      <c r="H80" s="259"/>
      <c r="I80" s="249"/>
      <c r="J80" s="249"/>
      <c r="K80" s="249"/>
      <c r="L80" s="287"/>
    </row>
    <row r="81" spans="1:12">
      <c r="A81" s="105">
        <v>10</v>
      </c>
      <c r="B81" s="248" t="s">
        <v>269</v>
      </c>
      <c r="C81" s="249" t="s">
        <v>312</v>
      </c>
      <c r="D81" s="249"/>
      <c r="E81" s="249"/>
      <c r="F81" s="249"/>
      <c r="G81" s="250"/>
      <c r="H81" s="263" t="s">
        <v>266</v>
      </c>
      <c r="I81" s="264"/>
      <c r="J81" s="265"/>
      <c r="K81" s="263" t="s">
        <v>267</v>
      </c>
      <c r="L81" s="288"/>
    </row>
    <row r="82" spans="1:12">
      <c r="A82" s="105"/>
      <c r="B82" s="248" t="s">
        <v>271</v>
      </c>
      <c r="C82" s="249" t="s">
        <v>313</v>
      </c>
      <c r="D82" s="249"/>
      <c r="E82" s="249"/>
      <c r="F82" s="249"/>
      <c r="G82" s="250"/>
      <c r="H82" s="259"/>
      <c r="I82" s="249"/>
      <c r="J82" s="249"/>
      <c r="K82" s="249"/>
      <c r="L82" s="287"/>
    </row>
    <row r="83" spans="1:12">
      <c r="A83" s="105"/>
      <c r="B83" s="248" t="s">
        <v>310</v>
      </c>
      <c r="C83" s="249" t="s">
        <v>278</v>
      </c>
      <c r="D83" s="249"/>
      <c r="E83" s="249"/>
      <c r="F83" s="249"/>
      <c r="G83" s="250"/>
      <c r="H83" s="259"/>
      <c r="I83" s="249"/>
      <c r="J83" s="249"/>
      <c r="K83" s="249"/>
      <c r="L83" s="287"/>
    </row>
    <row r="84" spans="1:12">
      <c r="A84" s="105"/>
      <c r="B84" s="248" t="s">
        <v>274</v>
      </c>
      <c r="C84" s="249" t="s">
        <v>314</v>
      </c>
      <c r="D84" s="249"/>
      <c r="E84" s="249"/>
      <c r="F84" s="249"/>
      <c r="G84" s="250"/>
      <c r="H84" s="259"/>
      <c r="I84" s="249"/>
      <c r="J84" s="249"/>
      <c r="K84" s="249"/>
      <c r="L84" s="287"/>
    </row>
    <row r="85" spans="1:12">
      <c r="A85" s="23"/>
      <c r="B85" s="235"/>
      <c r="C85" s="267"/>
      <c r="D85" s="267"/>
      <c r="E85" s="267" t="s">
        <v>315</v>
      </c>
      <c r="F85" s="267"/>
      <c r="G85" s="267"/>
      <c r="H85" s="267"/>
      <c r="I85" s="267"/>
      <c r="J85" s="267"/>
      <c r="K85" s="267"/>
      <c r="L85" s="289"/>
    </row>
    <row r="86" spans="1:12">
      <c r="A86" s="23">
        <v>11</v>
      </c>
      <c r="B86" s="248" t="s">
        <v>269</v>
      </c>
      <c r="C86" s="249" t="s">
        <v>279</v>
      </c>
      <c r="D86" s="249"/>
      <c r="E86" s="249"/>
      <c r="F86" s="249"/>
      <c r="G86" s="250"/>
      <c r="H86" s="259"/>
      <c r="I86" s="249"/>
      <c r="J86" s="249"/>
      <c r="K86" s="249"/>
      <c r="L86" s="287"/>
    </row>
    <row r="87" spans="1:12">
      <c r="A87" s="23"/>
      <c r="B87" s="248" t="s">
        <v>271</v>
      </c>
      <c r="C87" s="249" t="s">
        <v>280</v>
      </c>
      <c r="D87" s="249"/>
      <c r="E87" s="249"/>
      <c r="F87" s="249"/>
      <c r="G87" s="250"/>
      <c r="H87" s="259"/>
      <c r="I87" s="249"/>
      <c r="J87" s="249"/>
      <c r="K87" s="249"/>
      <c r="L87" s="287"/>
    </row>
    <row r="88" spans="1:12">
      <c r="A88" s="23"/>
      <c r="B88" s="248" t="s">
        <v>273</v>
      </c>
      <c r="C88" s="249" t="s">
        <v>281</v>
      </c>
      <c r="D88" s="249"/>
      <c r="E88" s="249"/>
      <c r="F88" s="249"/>
      <c r="G88" s="250"/>
      <c r="H88" s="259"/>
      <c r="I88" s="249"/>
      <c r="J88" s="249"/>
      <c r="K88" s="249"/>
      <c r="L88" s="287"/>
    </row>
    <row r="89" spans="1:12">
      <c r="A89" s="23"/>
      <c r="B89" s="223"/>
      <c r="C89" s="219"/>
      <c r="D89" s="219"/>
      <c r="E89" s="219"/>
      <c r="F89" s="268" t="s">
        <v>282</v>
      </c>
      <c r="G89" s="219"/>
      <c r="H89" s="208"/>
      <c r="I89" s="208"/>
      <c r="J89" s="208"/>
      <c r="K89" s="208"/>
      <c r="L89" s="226"/>
    </row>
    <row r="90" spans="1:12">
      <c r="A90" s="23"/>
      <c r="B90" s="280" t="s">
        <v>283</v>
      </c>
      <c r="C90" s="279" t="s">
        <v>284</v>
      </c>
      <c r="D90" s="219"/>
      <c r="E90" s="219"/>
      <c r="F90" s="219"/>
      <c r="G90" s="219"/>
      <c r="H90" s="208"/>
      <c r="I90" s="208"/>
      <c r="J90" s="209"/>
      <c r="K90" s="208"/>
      <c r="L90" s="226"/>
    </row>
    <row r="91" spans="1:12">
      <c r="A91" s="23"/>
      <c r="B91" s="280" t="s">
        <v>285</v>
      </c>
      <c r="C91" s="278" t="s">
        <v>286</v>
      </c>
      <c r="D91" s="208"/>
      <c r="E91" s="209"/>
      <c r="G91" s="961"/>
      <c r="H91" s="961"/>
      <c r="I91" s="224"/>
      <c r="J91" s="225"/>
      <c r="K91" s="961"/>
      <c r="L91" s="962"/>
    </row>
    <row r="92" spans="1:12">
      <c r="A92" s="23"/>
      <c r="B92" s="281" t="s">
        <v>287</v>
      </c>
      <c r="C92" s="963" t="s">
        <v>316</v>
      </c>
      <c r="D92" s="963"/>
      <c r="E92" s="963"/>
      <c r="F92" s="963"/>
      <c r="G92" s="963"/>
      <c r="H92" s="963"/>
      <c r="I92" s="963"/>
      <c r="J92" s="963"/>
      <c r="K92" s="963"/>
      <c r="L92" s="964"/>
    </row>
    <row r="93" spans="1:12">
      <c r="A93" s="23"/>
      <c r="B93" s="280" t="s">
        <v>288</v>
      </c>
      <c r="C93" s="279" t="s">
        <v>289</v>
      </c>
      <c r="D93" s="271"/>
      <c r="E93" s="271"/>
      <c r="F93" s="271"/>
      <c r="G93" s="271"/>
      <c r="H93" s="271"/>
      <c r="I93" s="271"/>
      <c r="J93" s="271"/>
      <c r="K93" s="271"/>
      <c r="L93" s="290"/>
    </row>
    <row r="94" spans="1:12" ht="15" customHeight="1">
      <c r="A94" s="23"/>
      <c r="B94" s="223"/>
      <c r="C94" t="s">
        <v>317</v>
      </c>
      <c r="D94" s="332" t="e">
        <f>'4-22Master'!#REF!</f>
        <v>#REF!</v>
      </c>
      <c r="E94" s="4"/>
      <c r="F94" s="4"/>
      <c r="G94" s="4"/>
      <c r="L94" s="24"/>
    </row>
    <row r="95" spans="1:12">
      <c r="A95" s="23"/>
      <c r="C95" t="s">
        <v>290</v>
      </c>
      <c r="D95" t="s">
        <v>379</v>
      </c>
      <c r="J95" t="s">
        <v>318</v>
      </c>
      <c r="L95" s="24"/>
    </row>
    <row r="96" spans="1:12">
      <c r="A96" s="23"/>
      <c r="L96" s="24"/>
    </row>
    <row r="97" spans="1:12">
      <c r="A97" s="23"/>
      <c r="F97" s="269" t="s">
        <v>291</v>
      </c>
      <c r="L97" s="24"/>
    </row>
    <row r="98" spans="1:12">
      <c r="A98" s="23" t="s">
        <v>319</v>
      </c>
      <c r="B98" t="s">
        <v>292</v>
      </c>
      <c r="E98" s="272" t="e">
        <f>'4-22Master'!#REF!</f>
        <v>#REF!</v>
      </c>
      <c r="H98" s="965" t="s">
        <v>293</v>
      </c>
      <c r="I98" s="965"/>
      <c r="J98" s="273" t="e">
        <f>'4-22Master'!#REF!</f>
        <v>#REF!</v>
      </c>
      <c r="K98" t="s">
        <v>294</v>
      </c>
      <c r="L98" s="24"/>
    </row>
    <row r="99" spans="1:12">
      <c r="A99" s="23"/>
      <c r="B99" s="976" t="e">
        <f>'4-22Master'!#REF!</f>
        <v>#REF!</v>
      </c>
      <c r="C99" s="977"/>
      <c r="D99" s="270"/>
      <c r="E99" s="270"/>
      <c r="F99" s="270"/>
      <c r="G99" s="270"/>
      <c r="H99" s="270"/>
      <c r="I99" s="270"/>
      <c r="J99" s="270"/>
      <c r="K99" s="270"/>
      <c r="L99" s="291"/>
    </row>
    <row r="100" spans="1:12">
      <c r="A100" s="23" t="s">
        <v>321</v>
      </c>
      <c r="B100" s="270" t="s">
        <v>295</v>
      </c>
      <c r="C100" s="270"/>
      <c r="D100" s="270"/>
      <c r="E100" s="270"/>
      <c r="F100" s="270"/>
      <c r="G100" s="270"/>
      <c r="H100" s="270"/>
      <c r="I100" s="270"/>
      <c r="J100" s="270"/>
      <c r="K100" s="270"/>
      <c r="L100" s="291"/>
    </row>
    <row r="101" spans="1:12">
      <c r="A101" s="23"/>
      <c r="B101" s="270" t="s">
        <v>320</v>
      </c>
      <c r="C101" s="270"/>
      <c r="D101" s="270"/>
      <c r="E101" s="270"/>
      <c r="F101" s="270"/>
      <c r="G101" s="270"/>
      <c r="H101" s="270"/>
      <c r="I101" s="270"/>
      <c r="J101" s="270"/>
      <c r="K101" s="270"/>
      <c r="L101" s="291"/>
    </row>
    <row r="102" spans="1:12">
      <c r="A102" s="23"/>
      <c r="B102" t="s">
        <v>296</v>
      </c>
      <c r="L102" s="24"/>
    </row>
    <row r="103" spans="1:12" ht="18.75">
      <c r="A103" s="23"/>
      <c r="B103" s="4" t="s">
        <v>297</v>
      </c>
      <c r="F103" s="222"/>
      <c r="L103" s="24"/>
    </row>
    <row r="104" spans="1:12">
      <c r="A104" s="23"/>
      <c r="B104" s="4" t="s">
        <v>298</v>
      </c>
      <c r="L104" s="24"/>
    </row>
    <row r="105" spans="1:12">
      <c r="A105" s="23"/>
      <c r="B105" t="s">
        <v>299</v>
      </c>
      <c r="L105" s="24"/>
    </row>
    <row r="106" spans="1:12">
      <c r="A106" s="23"/>
      <c r="B106" t="s">
        <v>300</v>
      </c>
      <c r="L106" s="24"/>
    </row>
    <row r="107" spans="1:12">
      <c r="A107" s="23" t="s">
        <v>310</v>
      </c>
      <c r="B107" t="s">
        <v>301</v>
      </c>
      <c r="L107" s="24"/>
    </row>
    <row r="108" spans="1:12">
      <c r="A108" s="23"/>
      <c r="B108" s="282" t="s">
        <v>322</v>
      </c>
      <c r="L108" s="24"/>
    </row>
    <row r="109" spans="1:12" ht="27.95" customHeight="1">
      <c r="A109" s="23"/>
      <c r="B109" t="s">
        <v>296</v>
      </c>
      <c r="L109" s="24"/>
    </row>
    <row r="110" spans="1:12" ht="27.95" customHeight="1">
      <c r="A110" s="23"/>
      <c r="B110" t="s">
        <v>302</v>
      </c>
      <c r="L110" s="24"/>
    </row>
    <row r="111" spans="1:12" ht="27.95" customHeight="1">
      <c r="A111" s="23"/>
      <c r="B111" t="s">
        <v>303</v>
      </c>
      <c r="L111" s="24"/>
    </row>
    <row r="112" spans="1:12" ht="27.95" customHeight="1">
      <c r="A112" s="23"/>
      <c r="B112" s="978" t="s">
        <v>304</v>
      </c>
      <c r="C112" s="978"/>
      <c r="D112" s="978"/>
      <c r="E112" s="978"/>
      <c r="F112" s="978"/>
      <c r="G112" s="978"/>
      <c r="H112" s="978"/>
      <c r="I112" s="978"/>
      <c r="J112" s="978"/>
      <c r="K112" s="978"/>
      <c r="L112" s="979"/>
    </row>
    <row r="113" spans="1:12" ht="27.95" customHeight="1">
      <c r="A113" s="23"/>
      <c r="B113" t="s">
        <v>216</v>
      </c>
      <c r="C113" s="332" t="e">
        <f>D94</f>
        <v>#REF!</v>
      </c>
      <c r="D113" s="252"/>
      <c r="E113" s="252"/>
      <c r="F113" s="252"/>
      <c r="G113" s="252"/>
      <c r="H113" s="252"/>
      <c r="I113" t="s">
        <v>323</v>
      </c>
      <c r="J113" s="252"/>
      <c r="K113" s="252"/>
      <c r="L113" s="283"/>
    </row>
    <row r="114" spans="1:12" ht="27.95" customHeight="1" thickBot="1">
      <c r="A114" s="35"/>
      <c r="B114" s="802"/>
      <c r="C114" s="802"/>
      <c r="D114" s="802"/>
      <c r="E114" s="802"/>
      <c r="F114" s="802"/>
      <c r="G114" s="802"/>
      <c r="H114" s="802"/>
      <c r="I114" s="802"/>
      <c r="J114" s="802"/>
      <c r="K114" s="802"/>
      <c r="L114" s="803"/>
    </row>
    <row r="115" spans="1:12" ht="27.95" customHeight="1" thickBot="1">
      <c r="A115" s="18"/>
      <c r="B115" s="924"/>
      <c r="C115" s="924"/>
      <c r="D115" s="924"/>
      <c r="E115" s="924"/>
      <c r="F115" s="924"/>
      <c r="G115" s="924"/>
      <c r="H115" s="922"/>
      <c r="I115" s="922"/>
      <c r="J115" s="922"/>
      <c r="K115" s="922"/>
      <c r="L115" s="922"/>
    </row>
    <row r="116" spans="1:12" ht="27.95" customHeight="1">
      <c r="A116" s="94"/>
      <c r="B116" s="95"/>
      <c r="C116" s="95"/>
      <c r="D116" s="95"/>
      <c r="E116" s="95"/>
      <c r="F116" s="95"/>
      <c r="G116" s="95"/>
      <c r="H116" s="95"/>
      <c r="I116" s="99" t="s">
        <v>250</v>
      </c>
      <c r="J116" s="95"/>
      <c r="K116" s="95"/>
      <c r="L116" s="96"/>
    </row>
    <row r="117" spans="1:12" ht="27.95" customHeight="1">
      <c r="A117" s="23"/>
      <c r="B117" s="966" t="s">
        <v>305</v>
      </c>
      <c r="C117" s="966"/>
      <c r="D117" s="966"/>
      <c r="E117" s="966"/>
      <c r="F117" s="966"/>
      <c r="G117" s="966"/>
      <c r="H117" s="966"/>
      <c r="I117" s="966"/>
      <c r="J117" s="966"/>
      <c r="K117" s="966"/>
      <c r="L117" s="967"/>
    </row>
    <row r="118" spans="1:12" ht="27.95" customHeight="1">
      <c r="A118" s="23"/>
      <c r="B118" s="252"/>
      <c r="C118" s="252"/>
      <c r="D118" s="260" t="s">
        <v>252</v>
      </c>
      <c r="E118" s="252"/>
      <c r="F118" s="252"/>
      <c r="G118" s="252"/>
      <c r="H118" s="252"/>
      <c r="I118" s="254" t="s">
        <v>306</v>
      </c>
      <c r="J118" s="255"/>
      <c r="K118" s="336" t="e">
        <f>'4-22Master'!#REF!</f>
        <v>#REF!</v>
      </c>
      <c r="L118" s="285"/>
    </row>
    <row r="119" spans="1:12" ht="27.95" customHeight="1">
      <c r="A119" s="23"/>
      <c r="B119" s="2"/>
      <c r="C119" s="2" t="s">
        <v>253</v>
      </c>
      <c r="E119" s="2"/>
      <c r="F119" s="2"/>
      <c r="G119" s="2"/>
      <c r="H119" s="2"/>
      <c r="I119" s="253" t="s">
        <v>307</v>
      </c>
      <c r="J119" s="274" t="str">
        <f>'4-22Master'!G5</f>
        <v>Burgeon IT Services Pvt.Ltd.</v>
      </c>
      <c r="K119" s="256"/>
      <c r="L119" s="286"/>
    </row>
    <row r="120" spans="1:12" ht="27.95" customHeight="1">
      <c r="A120" s="23"/>
      <c r="B120" s="261"/>
      <c r="C120" s="230" t="s">
        <v>254</v>
      </c>
      <c r="E120" s="261"/>
      <c r="F120" s="261"/>
      <c r="H120" s="231"/>
      <c r="I120" s="277" t="str">
        <f>'4-22Master'!G6</f>
        <v>Siri Mansion LIGB 436 Dr.A S Rao Nagar,Hyderabad</v>
      </c>
      <c r="J120" s="275"/>
      <c r="K120" s="276"/>
      <c r="L120" s="240"/>
    </row>
    <row r="121" spans="1:12" ht="27.95" customHeight="1">
      <c r="A121" s="23"/>
      <c r="L121" s="24"/>
    </row>
    <row r="122" spans="1:12" ht="27.95" customHeight="1">
      <c r="A122" s="23">
        <v>1</v>
      </c>
      <c r="B122" s="257" t="s">
        <v>255</v>
      </c>
      <c r="C122" s="77"/>
      <c r="D122" s="77"/>
      <c r="E122" s="77"/>
      <c r="F122" s="77"/>
      <c r="G122" s="78"/>
      <c r="H122" s="938" t="e">
        <f>'4-22Master'!#REF!</f>
        <v>#REF!</v>
      </c>
      <c r="I122" s="948"/>
      <c r="J122" s="948"/>
      <c r="K122" s="948"/>
      <c r="L122" s="949"/>
    </row>
    <row r="123" spans="1:12" ht="22.5" customHeight="1">
      <c r="A123" s="23">
        <v>2</v>
      </c>
      <c r="B123" s="968" t="s">
        <v>256</v>
      </c>
      <c r="C123" s="969"/>
      <c r="D123" s="969"/>
      <c r="E123" s="969"/>
      <c r="F123" s="258" t="s">
        <v>257</v>
      </c>
      <c r="G123" s="242"/>
      <c r="H123" s="970" t="e">
        <f>'4-22Master'!#REF!</f>
        <v>#REF!</v>
      </c>
      <c r="I123" s="971"/>
      <c r="J123" s="971"/>
      <c r="K123" s="971"/>
      <c r="L123" s="972"/>
    </row>
    <row r="124" spans="1:12" ht="9.75" customHeight="1">
      <c r="A124" s="23"/>
      <c r="B124" s="243" t="s">
        <v>258</v>
      </c>
      <c r="C124" s="244"/>
      <c r="D124" s="244"/>
      <c r="E124" s="244"/>
      <c r="F124" s="244" t="s">
        <v>251</v>
      </c>
      <c r="G124" s="245"/>
      <c r="H124" s="973"/>
      <c r="I124" s="974"/>
      <c r="J124" s="974"/>
      <c r="K124" s="974"/>
      <c r="L124" s="975"/>
    </row>
    <row r="125" spans="1:12" ht="22.5" customHeight="1">
      <c r="A125" s="23">
        <v>3</v>
      </c>
      <c r="B125" s="259" t="s">
        <v>259</v>
      </c>
      <c r="C125" s="249"/>
      <c r="D125" s="249"/>
      <c r="E125" s="249"/>
      <c r="F125" s="249"/>
      <c r="G125" s="250"/>
      <c r="H125" s="955" t="e">
        <f>'4-22Master'!#REF!</f>
        <v>#REF!</v>
      </c>
      <c r="I125" s="956"/>
      <c r="J125" s="956"/>
      <c r="K125" s="956"/>
      <c r="L125" s="957"/>
    </row>
    <row r="126" spans="1:12" ht="20.25" customHeight="1">
      <c r="A126" s="23">
        <v>4</v>
      </c>
      <c r="B126" s="235" t="s">
        <v>260</v>
      </c>
      <c r="C126" s="77"/>
      <c r="D126" s="77"/>
      <c r="E126" s="77"/>
      <c r="F126" s="77"/>
      <c r="G126" s="78"/>
      <c r="H126" s="936" t="e">
        <f>'4-22Master'!#REF!</f>
        <v>#REF!</v>
      </c>
      <c r="I126" s="943"/>
      <c r="J126" s="943"/>
      <c r="K126" s="943"/>
      <c r="L126" s="937"/>
    </row>
    <row r="127" spans="1:12">
      <c r="A127" s="23">
        <v>5</v>
      </c>
      <c r="B127" s="958" t="s">
        <v>308</v>
      </c>
      <c r="C127" s="959"/>
      <c r="D127" s="959"/>
      <c r="E127" s="959"/>
      <c r="F127" s="959"/>
      <c r="G127" s="78"/>
      <c r="H127" s="947" t="s">
        <v>387</v>
      </c>
      <c r="I127" s="948"/>
      <c r="J127" s="948"/>
      <c r="K127" s="948"/>
      <c r="L127" s="949"/>
    </row>
    <row r="128" spans="1:12">
      <c r="A128" s="23">
        <v>6</v>
      </c>
      <c r="B128" s="248" t="s">
        <v>261</v>
      </c>
      <c r="C128" s="249" t="s">
        <v>262</v>
      </c>
      <c r="D128" s="249"/>
      <c r="E128" s="249"/>
      <c r="F128" s="249"/>
      <c r="G128" s="250"/>
      <c r="H128" s="259"/>
      <c r="I128" s="249"/>
      <c r="J128" s="249"/>
      <c r="K128" s="249"/>
      <c r="L128" s="287"/>
    </row>
    <row r="129" spans="1:12">
      <c r="A129" s="23"/>
      <c r="B129" s="248" t="s">
        <v>263</v>
      </c>
      <c r="C129" s="249" t="s">
        <v>264</v>
      </c>
      <c r="D129" s="249"/>
      <c r="E129" s="249"/>
      <c r="F129" s="249"/>
      <c r="G129" s="250"/>
      <c r="H129" s="259"/>
      <c r="I129" s="241"/>
      <c r="J129" s="241"/>
      <c r="K129" s="249"/>
      <c r="L129" s="287"/>
    </row>
    <row r="130" spans="1:12">
      <c r="A130" s="23">
        <v>7</v>
      </c>
      <c r="B130" s="955" t="s">
        <v>265</v>
      </c>
      <c r="C130" s="956"/>
      <c r="D130" s="956"/>
      <c r="E130" s="956"/>
      <c r="F130" s="956"/>
      <c r="G130" s="960"/>
      <c r="H130" s="263" t="s">
        <v>266</v>
      </c>
      <c r="I130" s="264"/>
      <c r="J130" s="265"/>
      <c r="K130" s="263" t="s">
        <v>267</v>
      </c>
      <c r="L130" s="288"/>
    </row>
    <row r="131" spans="1:12">
      <c r="A131" s="23">
        <v>8</v>
      </c>
      <c r="B131" s="955" t="s">
        <v>309</v>
      </c>
      <c r="C131" s="956"/>
      <c r="D131" s="956"/>
      <c r="E131" s="956"/>
      <c r="F131" s="956"/>
      <c r="G131" s="960"/>
      <c r="H131" s="263" t="s">
        <v>266</v>
      </c>
      <c r="I131" s="264"/>
      <c r="J131" s="265"/>
      <c r="K131" s="263" t="s">
        <v>267</v>
      </c>
      <c r="L131" s="288"/>
    </row>
    <row r="132" spans="1:12">
      <c r="A132" s="23"/>
      <c r="B132" s="235"/>
      <c r="C132" s="267"/>
      <c r="D132" s="267"/>
      <c r="E132" s="267"/>
      <c r="F132" s="267" t="s">
        <v>268</v>
      </c>
      <c r="G132" s="267"/>
      <c r="H132" s="267"/>
      <c r="I132" s="267"/>
      <c r="J132" s="267"/>
      <c r="K132" s="267"/>
      <c r="L132" s="289"/>
    </row>
    <row r="133" spans="1:12">
      <c r="A133" s="23">
        <v>9</v>
      </c>
      <c r="B133" s="248" t="s">
        <v>269</v>
      </c>
      <c r="C133" s="249" t="s">
        <v>270</v>
      </c>
      <c r="D133" s="249"/>
      <c r="E133" s="249"/>
      <c r="F133" s="249"/>
      <c r="G133" s="250"/>
      <c r="H133" s="259"/>
      <c r="I133" s="249"/>
      <c r="J133" s="249"/>
      <c r="K133" s="249"/>
      <c r="L133" s="287"/>
    </row>
    <row r="134" spans="1:12">
      <c r="A134" s="105"/>
      <c r="B134" s="248" t="s">
        <v>271</v>
      </c>
      <c r="C134" s="249" t="s">
        <v>272</v>
      </c>
      <c r="D134" s="249"/>
      <c r="E134" s="249"/>
      <c r="F134" s="249"/>
      <c r="G134" s="250"/>
      <c r="H134" s="259"/>
      <c r="I134" s="249"/>
      <c r="J134" s="249"/>
      <c r="K134" s="249"/>
      <c r="L134" s="287"/>
    </row>
    <row r="135" spans="1:12">
      <c r="A135" s="105"/>
      <c r="B135" s="248" t="s">
        <v>310</v>
      </c>
      <c r="C135" s="249" t="s">
        <v>311</v>
      </c>
      <c r="D135" s="249"/>
      <c r="E135" s="249"/>
      <c r="F135" s="249"/>
      <c r="G135" s="250"/>
      <c r="H135" s="259"/>
      <c r="I135" s="249"/>
      <c r="J135" s="249"/>
      <c r="K135" s="249"/>
      <c r="L135" s="287"/>
    </row>
    <row r="136" spans="1:12">
      <c r="A136" s="105"/>
      <c r="B136" s="248" t="s">
        <v>274</v>
      </c>
      <c r="C136" s="249" t="s">
        <v>275</v>
      </c>
      <c r="D136" s="249"/>
      <c r="E136" s="249"/>
      <c r="F136" s="249"/>
      <c r="G136" s="250"/>
      <c r="H136" s="259"/>
      <c r="I136" s="249"/>
      <c r="J136" s="249"/>
      <c r="K136" s="249"/>
      <c r="L136" s="287"/>
    </row>
    <row r="137" spans="1:12">
      <c r="A137" s="105"/>
      <c r="B137" s="248" t="s">
        <v>276</v>
      </c>
      <c r="C137" s="249" t="s">
        <v>277</v>
      </c>
      <c r="D137" s="249"/>
      <c r="E137" s="249"/>
      <c r="F137" s="249"/>
      <c r="G137" s="250"/>
      <c r="H137" s="259"/>
      <c r="I137" s="249"/>
      <c r="J137" s="249"/>
      <c r="K137" s="249"/>
      <c r="L137" s="287"/>
    </row>
    <row r="138" spans="1:12">
      <c r="A138" s="105">
        <v>10</v>
      </c>
      <c r="B138" s="248" t="s">
        <v>269</v>
      </c>
      <c r="C138" s="249" t="s">
        <v>312</v>
      </c>
      <c r="D138" s="249"/>
      <c r="E138" s="249"/>
      <c r="F138" s="249"/>
      <c r="G138" s="250"/>
      <c r="H138" s="263" t="s">
        <v>266</v>
      </c>
      <c r="I138" s="264"/>
      <c r="J138" s="265"/>
      <c r="K138" s="263" t="s">
        <v>267</v>
      </c>
      <c r="L138" s="288"/>
    </row>
    <row r="139" spans="1:12">
      <c r="A139" s="105"/>
      <c r="B139" s="248" t="s">
        <v>271</v>
      </c>
      <c r="C139" s="249" t="s">
        <v>313</v>
      </c>
      <c r="D139" s="249"/>
      <c r="E139" s="249"/>
      <c r="F139" s="249"/>
      <c r="G139" s="250"/>
      <c r="H139" s="259"/>
      <c r="I139" s="249"/>
      <c r="J139" s="249"/>
      <c r="K139" s="249"/>
      <c r="L139" s="287"/>
    </row>
    <row r="140" spans="1:12">
      <c r="A140" s="105"/>
      <c r="B140" s="248" t="s">
        <v>310</v>
      </c>
      <c r="C140" s="249" t="s">
        <v>278</v>
      </c>
      <c r="D140" s="249"/>
      <c r="E140" s="249"/>
      <c r="F140" s="249"/>
      <c r="G140" s="250"/>
      <c r="H140" s="259"/>
      <c r="I140" s="249"/>
      <c r="J140" s="249"/>
      <c r="K140" s="249"/>
      <c r="L140" s="287"/>
    </row>
    <row r="141" spans="1:12">
      <c r="A141" s="105"/>
      <c r="B141" s="248" t="s">
        <v>274</v>
      </c>
      <c r="C141" s="249" t="s">
        <v>314</v>
      </c>
      <c r="D141" s="249"/>
      <c r="E141" s="249"/>
      <c r="F141" s="249"/>
      <c r="G141" s="250"/>
      <c r="H141" s="259"/>
      <c r="I141" s="249"/>
      <c r="J141" s="249"/>
      <c r="K141" s="249"/>
      <c r="L141" s="287"/>
    </row>
    <row r="142" spans="1:12">
      <c r="A142" s="23"/>
      <c r="B142" s="235"/>
      <c r="C142" s="267"/>
      <c r="D142" s="267"/>
      <c r="E142" s="267" t="s">
        <v>315</v>
      </c>
      <c r="F142" s="267"/>
      <c r="G142" s="267"/>
      <c r="H142" s="267"/>
      <c r="I142" s="267"/>
      <c r="J142" s="267"/>
      <c r="K142" s="267"/>
      <c r="L142" s="289"/>
    </row>
    <row r="143" spans="1:12">
      <c r="A143" s="23">
        <v>11</v>
      </c>
      <c r="B143" s="248" t="s">
        <v>269</v>
      </c>
      <c r="C143" s="249" t="s">
        <v>279</v>
      </c>
      <c r="D143" s="249"/>
      <c r="E143" s="249"/>
      <c r="F143" s="249"/>
      <c r="G143" s="250"/>
      <c r="H143" s="259"/>
      <c r="I143" s="249"/>
      <c r="J143" s="249"/>
      <c r="K143" s="249"/>
      <c r="L143" s="287"/>
    </row>
    <row r="144" spans="1:12">
      <c r="A144" s="23"/>
      <c r="B144" s="248" t="s">
        <v>271</v>
      </c>
      <c r="C144" s="249" t="s">
        <v>280</v>
      </c>
      <c r="D144" s="249"/>
      <c r="E144" s="249"/>
      <c r="F144" s="249"/>
      <c r="G144" s="250"/>
      <c r="H144" s="259"/>
      <c r="I144" s="249"/>
      <c r="J144" s="249"/>
      <c r="K144" s="249"/>
      <c r="L144" s="287"/>
    </row>
    <row r="145" spans="1:12">
      <c r="A145" s="23"/>
      <c r="B145" s="248" t="s">
        <v>273</v>
      </c>
      <c r="C145" s="249" t="s">
        <v>281</v>
      </c>
      <c r="D145" s="249"/>
      <c r="E145" s="249"/>
      <c r="F145" s="249"/>
      <c r="G145" s="250"/>
      <c r="H145" s="259"/>
      <c r="I145" s="249"/>
      <c r="J145" s="249"/>
      <c r="K145" s="249"/>
      <c r="L145" s="287"/>
    </row>
    <row r="146" spans="1:12">
      <c r="A146" s="23"/>
      <c r="B146" s="223"/>
      <c r="C146" s="219"/>
      <c r="D146" s="219"/>
      <c r="E146" s="219"/>
      <c r="F146" s="268" t="s">
        <v>282</v>
      </c>
      <c r="G146" s="219"/>
      <c r="H146" s="208"/>
      <c r="I146" s="208"/>
      <c r="J146" s="208"/>
      <c r="K146" s="208"/>
      <c r="L146" s="226"/>
    </row>
    <row r="147" spans="1:12">
      <c r="A147" s="23"/>
      <c r="B147" s="280" t="s">
        <v>283</v>
      </c>
      <c r="C147" s="279" t="s">
        <v>284</v>
      </c>
      <c r="D147" s="219"/>
      <c r="E147" s="219"/>
      <c r="F147" s="219"/>
      <c r="G147" s="219"/>
      <c r="H147" s="208"/>
      <c r="I147" s="208"/>
      <c r="J147" s="209"/>
      <c r="K147" s="208"/>
      <c r="L147" s="226"/>
    </row>
    <row r="148" spans="1:12">
      <c r="A148" s="23"/>
      <c r="B148" s="280" t="s">
        <v>285</v>
      </c>
      <c r="C148" s="278" t="s">
        <v>286</v>
      </c>
      <c r="D148" s="208"/>
      <c r="E148" s="209"/>
      <c r="G148" s="961"/>
      <c r="H148" s="961"/>
      <c r="I148" s="224"/>
      <c r="J148" s="225"/>
      <c r="K148" s="961"/>
      <c r="L148" s="962"/>
    </row>
    <row r="149" spans="1:12">
      <c r="A149" s="23"/>
      <c r="B149" s="281" t="s">
        <v>287</v>
      </c>
      <c r="C149" s="963" t="s">
        <v>316</v>
      </c>
      <c r="D149" s="963"/>
      <c r="E149" s="963"/>
      <c r="F149" s="963"/>
      <c r="G149" s="963"/>
      <c r="H149" s="963"/>
      <c r="I149" s="963"/>
      <c r="J149" s="963"/>
      <c r="K149" s="963"/>
      <c r="L149" s="964"/>
    </row>
    <row r="150" spans="1:12">
      <c r="A150" s="23"/>
      <c r="B150" s="280" t="s">
        <v>288</v>
      </c>
      <c r="C150" s="279" t="s">
        <v>289</v>
      </c>
      <c r="D150" s="271"/>
      <c r="E150" s="271"/>
      <c r="F150" s="271"/>
      <c r="G150" s="271"/>
      <c r="H150" s="271"/>
      <c r="I150" s="271"/>
      <c r="J150" s="271"/>
      <c r="K150" s="271"/>
      <c r="L150" s="290"/>
    </row>
    <row r="151" spans="1:12">
      <c r="A151" s="23"/>
      <c r="B151" s="223"/>
      <c r="C151" t="s">
        <v>317</v>
      </c>
      <c r="D151" s="337" t="e">
        <f>'4-22Master'!#REF!</f>
        <v>#REF!</v>
      </c>
      <c r="E151" s="4"/>
      <c r="F151" s="4"/>
      <c r="G151" s="4"/>
      <c r="L151" s="24"/>
    </row>
    <row r="152" spans="1:12">
      <c r="A152" s="23"/>
      <c r="C152" t="s">
        <v>290</v>
      </c>
      <c r="D152" t="s">
        <v>379</v>
      </c>
      <c r="J152" t="s">
        <v>318</v>
      </c>
      <c r="L152" s="24"/>
    </row>
    <row r="153" spans="1:12">
      <c r="A153" s="23"/>
      <c r="L153" s="24"/>
    </row>
    <row r="154" spans="1:12">
      <c r="A154" s="23"/>
      <c r="F154" s="269" t="s">
        <v>291</v>
      </c>
      <c r="L154" s="24"/>
    </row>
    <row r="155" spans="1:12">
      <c r="A155" s="23" t="s">
        <v>319</v>
      </c>
      <c r="B155" t="s">
        <v>292</v>
      </c>
      <c r="E155" s="272" t="e">
        <f>'4-22Master'!#REF!</f>
        <v>#REF!</v>
      </c>
      <c r="H155" s="965" t="s">
        <v>293</v>
      </c>
      <c r="I155" s="965"/>
      <c r="J155" s="273" t="e">
        <f>'4-22Master'!#REF!</f>
        <v>#REF!</v>
      </c>
      <c r="K155" t="s">
        <v>294</v>
      </c>
      <c r="L155" s="24"/>
    </row>
    <row r="156" spans="1:12">
      <c r="A156" s="23"/>
      <c r="B156" s="976" t="e">
        <f>'4-22Master'!#REF!</f>
        <v>#REF!</v>
      </c>
      <c r="C156" s="977"/>
      <c r="D156" s="270"/>
      <c r="E156" s="270"/>
      <c r="F156" s="270"/>
      <c r="G156" s="270"/>
      <c r="H156" s="270"/>
      <c r="I156" s="270"/>
      <c r="J156" s="270"/>
      <c r="K156" s="270"/>
      <c r="L156" s="291"/>
    </row>
    <row r="157" spans="1:12">
      <c r="A157" s="23" t="s">
        <v>321</v>
      </c>
      <c r="B157" s="270" t="s">
        <v>295</v>
      </c>
      <c r="C157" s="270"/>
      <c r="D157" s="270"/>
      <c r="E157" s="270"/>
      <c r="F157" s="270"/>
      <c r="G157" s="270"/>
      <c r="H157" s="270"/>
      <c r="I157" s="270"/>
      <c r="J157" s="270"/>
      <c r="K157" s="270"/>
      <c r="L157" s="291"/>
    </row>
    <row r="158" spans="1:12">
      <c r="A158" s="23"/>
      <c r="B158" s="270" t="s">
        <v>320</v>
      </c>
      <c r="C158" s="270"/>
      <c r="D158" s="270"/>
      <c r="E158" s="270"/>
      <c r="F158" s="270"/>
      <c r="G158" s="270"/>
      <c r="H158" s="270"/>
      <c r="I158" s="270"/>
      <c r="J158" s="270"/>
      <c r="K158" s="270"/>
      <c r="L158" s="291"/>
    </row>
    <row r="159" spans="1:12">
      <c r="A159" s="23"/>
      <c r="B159" t="s">
        <v>296</v>
      </c>
      <c r="L159" s="24"/>
    </row>
    <row r="160" spans="1:12" ht="18.75">
      <c r="A160" s="23"/>
      <c r="B160" s="4" t="s">
        <v>297</v>
      </c>
      <c r="F160" s="222"/>
      <c r="L160" s="24"/>
    </row>
    <row r="161" spans="1:12">
      <c r="A161" s="23"/>
      <c r="B161" s="4" t="s">
        <v>298</v>
      </c>
      <c r="L161" s="24"/>
    </row>
    <row r="162" spans="1:12" ht="27.95" customHeight="1">
      <c r="A162" s="23"/>
      <c r="B162" t="s">
        <v>299</v>
      </c>
      <c r="L162" s="24"/>
    </row>
    <row r="163" spans="1:12" ht="27.95" customHeight="1">
      <c r="A163" s="23"/>
      <c r="B163" t="s">
        <v>300</v>
      </c>
      <c r="L163" s="24"/>
    </row>
    <row r="164" spans="1:12" ht="27.95" customHeight="1">
      <c r="A164" s="23" t="s">
        <v>310</v>
      </c>
      <c r="B164" t="s">
        <v>301</v>
      </c>
      <c r="L164" s="24"/>
    </row>
    <row r="165" spans="1:12" ht="27.95" customHeight="1">
      <c r="A165" s="23"/>
      <c r="B165" s="282" t="s">
        <v>322</v>
      </c>
      <c r="L165" s="24"/>
    </row>
    <row r="166" spans="1:12" ht="27.95" customHeight="1">
      <c r="A166" s="23"/>
      <c r="B166" t="s">
        <v>296</v>
      </c>
      <c r="L166" s="24"/>
    </row>
    <row r="167" spans="1:12" ht="27.95" customHeight="1">
      <c r="A167" s="23"/>
      <c r="B167" t="s">
        <v>302</v>
      </c>
      <c r="L167" s="24"/>
    </row>
    <row r="168" spans="1:12" ht="27.95" customHeight="1">
      <c r="A168" s="23"/>
      <c r="B168" t="s">
        <v>303</v>
      </c>
      <c r="L168" s="24"/>
    </row>
    <row r="169" spans="1:12" ht="27.95" customHeight="1">
      <c r="A169" s="23"/>
      <c r="B169" s="978" t="s">
        <v>304</v>
      </c>
      <c r="C169" s="978"/>
      <c r="D169" s="978"/>
      <c r="E169" s="978"/>
      <c r="F169" s="978"/>
      <c r="G169" s="978"/>
      <c r="H169" s="978"/>
      <c r="I169" s="978"/>
      <c r="J169" s="978"/>
      <c r="K169" s="978"/>
      <c r="L169" s="979"/>
    </row>
    <row r="170" spans="1:12" ht="27.95" customHeight="1">
      <c r="A170" s="23"/>
      <c r="B170" t="s">
        <v>216</v>
      </c>
      <c r="C170" s="332" t="e">
        <f>D151</f>
        <v>#REF!</v>
      </c>
      <c r="D170" s="252"/>
      <c r="E170" s="252"/>
      <c r="F170" s="252"/>
      <c r="G170" s="252"/>
      <c r="H170" s="252"/>
      <c r="I170" t="s">
        <v>323</v>
      </c>
      <c r="J170" s="252"/>
      <c r="K170" s="252"/>
      <c r="L170" s="283"/>
    </row>
    <row r="171" spans="1:12" ht="27.95" customHeight="1" thickBot="1">
      <c r="A171" s="35"/>
      <c r="B171" s="802"/>
      <c r="C171" s="802"/>
      <c r="D171" s="802"/>
      <c r="E171" s="802"/>
      <c r="F171" s="802"/>
      <c r="G171" s="802"/>
      <c r="H171" s="802"/>
      <c r="I171" s="802"/>
      <c r="J171" s="802"/>
      <c r="K171" s="802"/>
      <c r="L171" s="803"/>
    </row>
    <row r="172" spans="1:12" ht="27.95" customHeight="1">
      <c r="A172" s="94"/>
      <c r="B172" s="95"/>
      <c r="C172" s="95"/>
      <c r="D172" s="95"/>
      <c r="E172" s="95"/>
      <c r="F172" s="95"/>
      <c r="G172" s="95"/>
      <c r="H172" s="95"/>
      <c r="I172" s="99" t="s">
        <v>250</v>
      </c>
      <c r="J172" s="95"/>
      <c r="K172" s="95"/>
      <c r="L172" s="96"/>
    </row>
    <row r="173" spans="1:12" ht="27.95" customHeight="1">
      <c r="A173" s="23"/>
      <c r="B173" s="966" t="s">
        <v>305</v>
      </c>
      <c r="C173" s="966"/>
      <c r="D173" s="966"/>
      <c r="E173" s="966"/>
      <c r="F173" s="966"/>
      <c r="G173" s="966"/>
      <c r="H173" s="966"/>
      <c r="I173" s="966"/>
      <c r="J173" s="966"/>
      <c r="K173" s="966"/>
      <c r="L173" s="967"/>
    </row>
    <row r="174" spans="1:12" ht="27.95" customHeight="1">
      <c r="A174" s="23"/>
      <c r="B174" s="252"/>
      <c r="C174" s="252"/>
      <c r="D174" s="260" t="s">
        <v>252</v>
      </c>
      <c r="E174" s="252"/>
      <c r="F174" s="252"/>
      <c r="G174" s="252"/>
      <c r="H174" s="252"/>
      <c r="I174" s="254" t="s">
        <v>306</v>
      </c>
      <c r="J174" s="255"/>
      <c r="K174" s="336" t="e">
        <f>'4-22Master'!#REF!</f>
        <v>#REF!</v>
      </c>
      <c r="L174" s="285"/>
    </row>
    <row r="175" spans="1:12" ht="27.95" customHeight="1">
      <c r="A175" s="23"/>
      <c r="B175" s="2"/>
      <c r="C175" s="2" t="s">
        <v>253</v>
      </c>
      <c r="E175" s="2"/>
      <c r="F175" s="2"/>
      <c r="G175" s="2"/>
      <c r="H175" s="2"/>
      <c r="I175" s="253" t="s">
        <v>307</v>
      </c>
      <c r="J175" s="338" t="str">
        <f>'4-22Master'!G5</f>
        <v>Burgeon IT Services Pvt.Ltd.</v>
      </c>
      <c r="K175" s="256"/>
      <c r="L175" s="286"/>
    </row>
    <row r="176" spans="1:12" ht="27.95" customHeight="1">
      <c r="A176" s="23"/>
      <c r="B176" s="261"/>
      <c r="C176" s="230" t="s">
        <v>254</v>
      </c>
      <c r="E176" s="261"/>
      <c r="F176" s="261"/>
      <c r="H176" s="231"/>
      <c r="I176" s="277" t="str">
        <f>'4-22Master'!G6</f>
        <v>Siri Mansion LIGB 436 Dr.A S Rao Nagar,Hyderabad</v>
      </c>
      <c r="J176" s="275"/>
      <c r="K176" s="276"/>
      <c r="L176" s="240"/>
    </row>
    <row r="177" spans="1:12" ht="15.75" customHeight="1">
      <c r="A177" s="23"/>
      <c r="L177" s="24"/>
    </row>
    <row r="178" spans="1:12" ht="27" customHeight="1">
      <c r="A178" s="23">
        <v>1</v>
      </c>
      <c r="B178" s="257" t="s">
        <v>255</v>
      </c>
      <c r="C178" s="77"/>
      <c r="D178" s="77"/>
      <c r="E178" s="77"/>
      <c r="F178" s="77"/>
      <c r="G178" s="78"/>
      <c r="H178" s="938" t="e">
        <f>'4-22Master'!#REF!</f>
        <v>#REF!</v>
      </c>
      <c r="I178" s="948"/>
      <c r="J178" s="948"/>
      <c r="K178" s="948"/>
      <c r="L178" s="949"/>
    </row>
    <row r="179" spans="1:12" ht="17.25" customHeight="1">
      <c r="A179" s="23">
        <v>2</v>
      </c>
      <c r="B179" s="968" t="s">
        <v>256</v>
      </c>
      <c r="C179" s="969"/>
      <c r="D179" s="969"/>
      <c r="E179" s="969"/>
      <c r="F179" s="258" t="s">
        <v>257</v>
      </c>
      <c r="G179" s="242"/>
      <c r="H179" s="970" t="e">
        <f>'4-22Master'!#REF!</f>
        <v>#REF!</v>
      </c>
      <c r="I179" s="971"/>
      <c r="J179" s="971"/>
      <c r="K179" s="971"/>
      <c r="L179" s="972"/>
    </row>
    <row r="180" spans="1:12" ht="11.25" customHeight="1">
      <c r="A180" s="23"/>
      <c r="B180" s="243" t="s">
        <v>258</v>
      </c>
      <c r="C180" s="244"/>
      <c r="D180" s="244"/>
      <c r="E180" s="244"/>
      <c r="F180" s="244" t="s">
        <v>251</v>
      </c>
      <c r="G180" s="245"/>
      <c r="H180" s="973"/>
      <c r="I180" s="974"/>
      <c r="J180" s="974"/>
      <c r="K180" s="974"/>
      <c r="L180" s="975"/>
    </row>
    <row r="181" spans="1:12">
      <c r="A181" s="23">
        <v>3</v>
      </c>
      <c r="B181" s="259" t="s">
        <v>259</v>
      </c>
      <c r="C181" s="249"/>
      <c r="D181" s="249"/>
      <c r="E181" s="249"/>
      <c r="F181" s="249"/>
      <c r="G181" s="250"/>
      <c r="H181" s="955" t="e">
        <f>'4-22Master'!#REF!</f>
        <v>#REF!</v>
      </c>
      <c r="I181" s="956"/>
      <c r="J181" s="956"/>
      <c r="K181" s="956"/>
      <c r="L181" s="957"/>
    </row>
    <row r="182" spans="1:12">
      <c r="A182" s="23">
        <v>4</v>
      </c>
      <c r="B182" s="235" t="s">
        <v>260</v>
      </c>
      <c r="C182" s="77"/>
      <c r="D182" s="77"/>
      <c r="E182" s="77"/>
      <c r="F182" s="77"/>
      <c r="G182" s="78"/>
      <c r="H182" s="936" t="e">
        <f>'4-22Master'!#REF!</f>
        <v>#REF!</v>
      </c>
      <c r="I182" s="943"/>
      <c r="J182" s="943"/>
      <c r="K182" s="943"/>
      <c r="L182" s="937"/>
    </row>
    <row r="183" spans="1:12">
      <c r="A183" s="23">
        <v>5</v>
      </c>
      <c r="B183" s="958" t="s">
        <v>308</v>
      </c>
      <c r="C183" s="959"/>
      <c r="D183" s="959"/>
      <c r="E183" s="959"/>
      <c r="F183" s="959"/>
      <c r="G183" s="78"/>
      <c r="H183" s="947" t="s">
        <v>387</v>
      </c>
      <c r="I183" s="948"/>
      <c r="J183" s="948"/>
      <c r="K183" s="948"/>
      <c r="L183" s="949"/>
    </row>
    <row r="184" spans="1:12">
      <c r="A184" s="23">
        <v>6</v>
      </c>
      <c r="B184" s="248" t="s">
        <v>261</v>
      </c>
      <c r="C184" s="249" t="s">
        <v>262</v>
      </c>
      <c r="D184" s="249"/>
      <c r="E184" s="249"/>
      <c r="F184" s="249"/>
      <c r="G184" s="250"/>
      <c r="H184" s="259"/>
      <c r="I184" s="249"/>
      <c r="J184" s="249"/>
      <c r="K184" s="249"/>
      <c r="L184" s="287"/>
    </row>
    <row r="185" spans="1:12">
      <c r="A185" s="23"/>
      <c r="B185" s="248" t="s">
        <v>263</v>
      </c>
      <c r="C185" s="249" t="s">
        <v>264</v>
      </c>
      <c r="D185" s="249"/>
      <c r="E185" s="249"/>
      <c r="F185" s="249"/>
      <c r="G185" s="250"/>
      <c r="H185" s="259"/>
      <c r="I185" s="241"/>
      <c r="J185" s="241"/>
      <c r="K185" s="249"/>
      <c r="L185" s="287"/>
    </row>
    <row r="186" spans="1:12">
      <c r="A186" s="23">
        <v>7</v>
      </c>
      <c r="B186" s="955" t="s">
        <v>265</v>
      </c>
      <c r="C186" s="956"/>
      <c r="D186" s="956"/>
      <c r="E186" s="956"/>
      <c r="F186" s="956"/>
      <c r="G186" s="960"/>
      <c r="H186" s="263" t="s">
        <v>266</v>
      </c>
      <c r="I186" s="264"/>
      <c r="J186" s="265"/>
      <c r="K186" s="263" t="s">
        <v>267</v>
      </c>
      <c r="L186" s="288"/>
    </row>
    <row r="187" spans="1:12">
      <c r="A187" s="23">
        <v>8</v>
      </c>
      <c r="B187" s="955" t="s">
        <v>309</v>
      </c>
      <c r="C187" s="956"/>
      <c r="D187" s="956"/>
      <c r="E187" s="956"/>
      <c r="F187" s="956"/>
      <c r="G187" s="960"/>
      <c r="H187" s="263" t="s">
        <v>266</v>
      </c>
      <c r="I187" s="264"/>
      <c r="J187" s="265"/>
      <c r="K187" s="263" t="s">
        <v>267</v>
      </c>
      <c r="L187" s="288"/>
    </row>
    <row r="188" spans="1:12">
      <c r="A188" s="23"/>
      <c r="B188" s="235"/>
      <c r="C188" s="267"/>
      <c r="D188" s="267"/>
      <c r="E188" s="267"/>
      <c r="F188" s="267" t="s">
        <v>268</v>
      </c>
      <c r="G188" s="267"/>
      <c r="H188" s="267"/>
      <c r="I188" s="267"/>
      <c r="J188" s="267"/>
      <c r="K188" s="267"/>
      <c r="L188" s="289"/>
    </row>
    <row r="189" spans="1:12">
      <c r="A189" s="23">
        <v>9</v>
      </c>
      <c r="B189" s="248" t="s">
        <v>269</v>
      </c>
      <c r="C189" s="249" t="s">
        <v>270</v>
      </c>
      <c r="D189" s="249"/>
      <c r="E189" s="249"/>
      <c r="F189" s="249"/>
      <c r="G189" s="250"/>
      <c r="H189" s="259"/>
      <c r="I189" s="249"/>
      <c r="J189" s="249"/>
      <c r="K189" s="249"/>
      <c r="L189" s="287"/>
    </row>
    <row r="190" spans="1:12">
      <c r="A190" s="105"/>
      <c r="B190" s="248" t="s">
        <v>271</v>
      </c>
      <c r="C190" s="249" t="s">
        <v>272</v>
      </c>
      <c r="D190" s="249"/>
      <c r="E190" s="249"/>
      <c r="F190" s="249"/>
      <c r="G190" s="250"/>
      <c r="H190" s="259"/>
      <c r="I190" s="249"/>
      <c r="J190" s="249"/>
      <c r="K190" s="249"/>
      <c r="L190" s="287"/>
    </row>
    <row r="191" spans="1:12">
      <c r="A191" s="105"/>
      <c r="B191" s="248" t="s">
        <v>310</v>
      </c>
      <c r="C191" s="249" t="s">
        <v>311</v>
      </c>
      <c r="D191" s="249"/>
      <c r="E191" s="249"/>
      <c r="F191" s="249"/>
      <c r="G191" s="250"/>
      <c r="H191" s="259"/>
      <c r="I191" s="249"/>
      <c r="J191" s="249"/>
      <c r="K191" s="249"/>
      <c r="L191" s="287"/>
    </row>
    <row r="192" spans="1:12">
      <c r="A192" s="105"/>
      <c r="B192" s="248" t="s">
        <v>274</v>
      </c>
      <c r="C192" s="249" t="s">
        <v>275</v>
      </c>
      <c r="D192" s="249"/>
      <c r="E192" s="249"/>
      <c r="F192" s="249"/>
      <c r="G192" s="250"/>
      <c r="H192" s="259"/>
      <c r="I192" s="249"/>
      <c r="J192" s="249"/>
      <c r="K192" s="249"/>
      <c r="L192" s="287"/>
    </row>
    <row r="193" spans="1:12">
      <c r="A193" s="105"/>
      <c r="B193" s="248" t="s">
        <v>276</v>
      </c>
      <c r="C193" s="249" t="s">
        <v>277</v>
      </c>
      <c r="D193" s="249"/>
      <c r="E193" s="249"/>
      <c r="F193" s="249"/>
      <c r="G193" s="250"/>
      <c r="H193" s="259"/>
      <c r="I193" s="249"/>
      <c r="J193" s="249"/>
      <c r="K193" s="249"/>
      <c r="L193" s="287"/>
    </row>
    <row r="194" spans="1:12">
      <c r="A194" s="105">
        <v>10</v>
      </c>
      <c r="B194" s="248" t="s">
        <v>269</v>
      </c>
      <c r="C194" s="249" t="s">
        <v>312</v>
      </c>
      <c r="D194" s="249"/>
      <c r="E194" s="249"/>
      <c r="F194" s="249"/>
      <c r="G194" s="250"/>
      <c r="H194" s="263" t="s">
        <v>266</v>
      </c>
      <c r="I194" s="264"/>
      <c r="J194" s="265"/>
      <c r="K194" s="263" t="s">
        <v>267</v>
      </c>
      <c r="L194" s="288"/>
    </row>
    <row r="195" spans="1:12">
      <c r="A195" s="105"/>
      <c r="B195" s="248" t="s">
        <v>271</v>
      </c>
      <c r="C195" s="249" t="s">
        <v>313</v>
      </c>
      <c r="D195" s="249"/>
      <c r="E195" s="249"/>
      <c r="F195" s="249"/>
      <c r="G195" s="250"/>
      <c r="H195" s="259"/>
      <c r="I195" s="249"/>
      <c r="J195" s="249"/>
      <c r="K195" s="249"/>
      <c r="L195" s="287"/>
    </row>
    <row r="196" spans="1:12">
      <c r="A196" s="105"/>
      <c r="B196" s="248" t="s">
        <v>310</v>
      </c>
      <c r="C196" s="249" t="s">
        <v>278</v>
      </c>
      <c r="D196" s="249"/>
      <c r="E196" s="249"/>
      <c r="F196" s="249"/>
      <c r="G196" s="250"/>
      <c r="H196" s="259"/>
      <c r="I196" s="249"/>
      <c r="J196" s="249"/>
      <c r="K196" s="249"/>
      <c r="L196" s="287"/>
    </row>
    <row r="197" spans="1:12">
      <c r="A197" s="105"/>
      <c r="B197" s="248" t="s">
        <v>274</v>
      </c>
      <c r="C197" s="249" t="s">
        <v>314</v>
      </c>
      <c r="D197" s="249"/>
      <c r="E197" s="249"/>
      <c r="F197" s="249"/>
      <c r="G197" s="250"/>
      <c r="H197" s="259"/>
      <c r="I197" s="249"/>
      <c r="J197" s="249"/>
      <c r="K197" s="249"/>
      <c r="L197" s="287"/>
    </row>
    <row r="198" spans="1:12">
      <c r="A198" s="23"/>
      <c r="B198" s="235"/>
      <c r="C198" s="267"/>
      <c r="D198" s="267"/>
      <c r="E198" s="267" t="s">
        <v>315</v>
      </c>
      <c r="F198" s="267"/>
      <c r="G198" s="267"/>
      <c r="H198" s="267"/>
      <c r="I198" s="267"/>
      <c r="J198" s="267"/>
      <c r="K198" s="267"/>
      <c r="L198" s="289"/>
    </row>
    <row r="199" spans="1:12">
      <c r="A199" s="23">
        <v>11</v>
      </c>
      <c r="B199" s="248" t="s">
        <v>269</v>
      </c>
      <c r="C199" s="249" t="s">
        <v>279</v>
      </c>
      <c r="D199" s="249"/>
      <c r="E199" s="249"/>
      <c r="F199" s="249"/>
      <c r="G199" s="250"/>
      <c r="H199" s="259"/>
      <c r="I199" s="249"/>
      <c r="J199" s="249"/>
      <c r="K199" s="249"/>
      <c r="L199" s="287"/>
    </row>
    <row r="200" spans="1:12">
      <c r="A200" s="23"/>
      <c r="B200" s="248" t="s">
        <v>271</v>
      </c>
      <c r="C200" s="249" t="s">
        <v>280</v>
      </c>
      <c r="D200" s="249"/>
      <c r="E200" s="249"/>
      <c r="F200" s="249"/>
      <c r="G200" s="250"/>
      <c r="H200" s="259"/>
      <c r="I200" s="249"/>
      <c r="J200" s="249"/>
      <c r="K200" s="249"/>
      <c r="L200" s="287"/>
    </row>
    <row r="201" spans="1:12">
      <c r="A201" s="23"/>
      <c r="B201" s="248" t="s">
        <v>273</v>
      </c>
      <c r="C201" s="249" t="s">
        <v>281</v>
      </c>
      <c r="D201" s="249"/>
      <c r="E201" s="249"/>
      <c r="F201" s="249"/>
      <c r="G201" s="250"/>
      <c r="H201" s="259"/>
      <c r="I201" s="249"/>
      <c r="J201" s="249"/>
      <c r="K201" s="249"/>
      <c r="L201" s="287"/>
    </row>
    <row r="202" spans="1:12">
      <c r="A202" s="23"/>
      <c r="B202" s="223"/>
      <c r="C202" s="219"/>
      <c r="D202" s="219"/>
      <c r="E202" s="219"/>
      <c r="F202" s="268" t="s">
        <v>282</v>
      </c>
      <c r="G202" s="219"/>
      <c r="H202" s="208"/>
      <c r="I202" s="208"/>
      <c r="J202" s="208"/>
      <c r="K202" s="208"/>
      <c r="L202" s="226"/>
    </row>
    <row r="203" spans="1:12">
      <c r="A203" s="23"/>
      <c r="B203" s="280" t="s">
        <v>283</v>
      </c>
      <c r="C203" s="279" t="s">
        <v>284</v>
      </c>
      <c r="D203" s="219"/>
      <c r="E203" s="219"/>
      <c r="F203" s="219"/>
      <c r="G203" s="219"/>
      <c r="H203" s="208"/>
      <c r="I203" s="208"/>
      <c r="J203" s="209"/>
      <c r="K203" s="208"/>
      <c r="L203" s="226"/>
    </row>
    <row r="204" spans="1:12">
      <c r="A204" s="23"/>
      <c r="B204" s="280" t="s">
        <v>285</v>
      </c>
      <c r="C204" s="278" t="s">
        <v>286</v>
      </c>
      <c r="D204" s="208"/>
      <c r="E204" s="209"/>
      <c r="G204" s="961"/>
      <c r="H204" s="961"/>
      <c r="I204" s="224"/>
      <c r="J204" s="225"/>
      <c r="K204" s="961"/>
      <c r="L204" s="962"/>
    </row>
    <row r="205" spans="1:12">
      <c r="A205" s="23"/>
      <c r="B205" s="281" t="s">
        <v>287</v>
      </c>
      <c r="C205" s="963" t="s">
        <v>316</v>
      </c>
      <c r="D205" s="963"/>
      <c r="E205" s="963"/>
      <c r="F205" s="963"/>
      <c r="G205" s="963"/>
      <c r="H205" s="963"/>
      <c r="I205" s="963"/>
      <c r="J205" s="963"/>
      <c r="K205" s="963"/>
      <c r="L205" s="964"/>
    </row>
    <row r="206" spans="1:12">
      <c r="A206" s="23"/>
      <c r="B206" s="280" t="s">
        <v>288</v>
      </c>
      <c r="C206" s="279" t="s">
        <v>289</v>
      </c>
      <c r="D206" s="271"/>
      <c r="E206" s="271"/>
      <c r="F206" s="271"/>
      <c r="G206" s="271"/>
      <c r="H206" s="271"/>
      <c r="I206" s="271"/>
      <c r="J206" s="271"/>
      <c r="K206" s="271"/>
      <c r="L206" s="290"/>
    </row>
    <row r="207" spans="1:12">
      <c r="A207" s="23"/>
      <c r="B207" s="223"/>
      <c r="C207" t="s">
        <v>317</v>
      </c>
      <c r="D207" s="337" t="e">
        <f>'4-22Master'!#REF!</f>
        <v>#REF!</v>
      </c>
      <c r="E207" s="4"/>
      <c r="F207" s="4"/>
      <c r="G207" s="4"/>
      <c r="L207" s="24"/>
    </row>
    <row r="208" spans="1:12">
      <c r="A208" s="23"/>
      <c r="C208" t="s">
        <v>290</v>
      </c>
      <c r="D208" t="s">
        <v>379</v>
      </c>
      <c r="J208" t="s">
        <v>318</v>
      </c>
      <c r="L208" s="24"/>
    </row>
    <row r="209" spans="1:12">
      <c r="A209" s="23"/>
      <c r="L209" s="24"/>
    </row>
    <row r="210" spans="1:12">
      <c r="A210" s="23"/>
      <c r="F210" s="269" t="s">
        <v>291</v>
      </c>
      <c r="L210" s="24"/>
    </row>
    <row r="211" spans="1:12">
      <c r="A211" s="23" t="s">
        <v>319</v>
      </c>
      <c r="B211" t="s">
        <v>292</v>
      </c>
      <c r="E211" s="272" t="e">
        <f>'4-22Master'!#REF!</f>
        <v>#REF!</v>
      </c>
      <c r="H211" s="965" t="s">
        <v>293</v>
      </c>
      <c r="I211" s="965"/>
      <c r="J211" s="273" t="e">
        <f>'4-22Master'!#REF!</f>
        <v>#REF!</v>
      </c>
      <c r="K211" t="s">
        <v>294</v>
      </c>
      <c r="L211" s="24"/>
    </row>
    <row r="212" spans="1:12">
      <c r="A212" s="23"/>
      <c r="B212" s="976" t="e">
        <f>'4-22Master'!#REF!</f>
        <v>#REF!</v>
      </c>
      <c r="C212" s="977"/>
      <c r="D212" s="270"/>
      <c r="E212" s="270"/>
      <c r="F212" s="270"/>
      <c r="G212" s="270"/>
      <c r="H212" s="270"/>
      <c r="I212" s="270"/>
      <c r="J212" s="270"/>
      <c r="K212" s="270"/>
      <c r="L212" s="291"/>
    </row>
    <row r="213" spans="1:12">
      <c r="A213" s="23" t="s">
        <v>321</v>
      </c>
      <c r="B213" s="270" t="s">
        <v>295</v>
      </c>
      <c r="C213" s="270"/>
      <c r="D213" s="270"/>
      <c r="E213" s="270"/>
      <c r="F213" s="270"/>
      <c r="G213" s="270"/>
      <c r="H213" s="270"/>
      <c r="I213" s="270"/>
      <c r="J213" s="270"/>
      <c r="K213" s="270"/>
      <c r="L213" s="291"/>
    </row>
    <row r="214" spans="1:12">
      <c r="A214" s="23"/>
      <c r="B214" s="270" t="s">
        <v>320</v>
      </c>
      <c r="C214" s="270"/>
      <c r="D214" s="270"/>
      <c r="E214" s="270"/>
      <c r="F214" s="270"/>
      <c r="G214" s="270"/>
      <c r="H214" s="270"/>
      <c r="I214" s="270"/>
      <c r="J214" s="270"/>
      <c r="K214" s="270"/>
      <c r="L214" s="291"/>
    </row>
    <row r="215" spans="1:12" ht="27.95" customHeight="1">
      <c r="A215" s="23"/>
      <c r="B215" t="s">
        <v>296</v>
      </c>
      <c r="L215" s="24"/>
    </row>
    <row r="216" spans="1:12" ht="27.95" customHeight="1">
      <c r="A216" s="23"/>
      <c r="B216" s="4" t="s">
        <v>297</v>
      </c>
      <c r="F216" s="222"/>
      <c r="L216" s="24"/>
    </row>
    <row r="217" spans="1:12" ht="27.95" customHeight="1">
      <c r="A217" s="23"/>
      <c r="B217" s="4" t="s">
        <v>298</v>
      </c>
      <c r="L217" s="24"/>
    </row>
    <row r="218" spans="1:12" ht="27.95" customHeight="1">
      <c r="A218" s="23"/>
      <c r="B218" t="s">
        <v>299</v>
      </c>
      <c r="L218" s="24"/>
    </row>
    <row r="219" spans="1:12" ht="27.95" customHeight="1">
      <c r="A219" s="23"/>
      <c r="B219" t="s">
        <v>300</v>
      </c>
      <c r="L219" s="24"/>
    </row>
    <row r="220" spans="1:12" ht="27.95" customHeight="1">
      <c r="A220" s="23" t="s">
        <v>310</v>
      </c>
      <c r="B220" t="s">
        <v>301</v>
      </c>
      <c r="L220" s="24"/>
    </row>
    <row r="221" spans="1:12" ht="27.95" customHeight="1">
      <c r="A221" s="23"/>
      <c r="B221" s="282" t="s">
        <v>322</v>
      </c>
      <c r="L221" s="24"/>
    </row>
    <row r="222" spans="1:12" ht="27.95" customHeight="1">
      <c r="A222" s="23"/>
      <c r="B222" t="s">
        <v>296</v>
      </c>
      <c r="L222" s="24"/>
    </row>
    <row r="223" spans="1:12" ht="27.95" customHeight="1">
      <c r="A223" s="23"/>
      <c r="B223" t="s">
        <v>302</v>
      </c>
      <c r="L223" s="24"/>
    </row>
    <row r="224" spans="1:12" ht="27.95" customHeight="1">
      <c r="A224" s="23"/>
      <c r="B224" t="s">
        <v>303</v>
      </c>
      <c r="L224" s="24"/>
    </row>
    <row r="225" spans="1:12" ht="27.95" customHeight="1">
      <c r="A225" s="23"/>
      <c r="B225" s="978" t="s">
        <v>304</v>
      </c>
      <c r="C225" s="978"/>
      <c r="D225" s="978"/>
      <c r="E225" s="978"/>
      <c r="F225" s="978"/>
      <c r="G225" s="978"/>
      <c r="H225" s="978"/>
      <c r="I225" s="978"/>
      <c r="J225" s="978"/>
      <c r="K225" s="978"/>
      <c r="L225" s="979"/>
    </row>
    <row r="226" spans="1:12" ht="27.95" customHeight="1">
      <c r="A226" s="23"/>
      <c r="B226" t="s">
        <v>216</v>
      </c>
      <c r="C226" s="332" t="e">
        <f>D207</f>
        <v>#REF!</v>
      </c>
      <c r="D226" s="252"/>
      <c r="E226" s="252"/>
      <c r="F226" s="252"/>
      <c r="G226" s="252"/>
      <c r="H226" s="252"/>
      <c r="I226" t="s">
        <v>323</v>
      </c>
      <c r="J226" s="252"/>
      <c r="K226" s="252"/>
      <c r="L226" s="283"/>
    </row>
    <row r="227" spans="1:12" ht="27.95" customHeight="1" thickBot="1">
      <c r="A227" s="35"/>
      <c r="B227" s="802"/>
      <c r="C227" s="802"/>
      <c r="D227" s="802"/>
      <c r="E227" s="802"/>
      <c r="F227" s="802"/>
      <c r="G227" s="802"/>
      <c r="H227" s="802"/>
      <c r="I227" s="802"/>
      <c r="J227" s="802"/>
      <c r="K227" s="802"/>
      <c r="L227" s="803"/>
    </row>
    <row r="228" spans="1:12" ht="27.95" customHeight="1">
      <c r="A228" s="94"/>
      <c r="B228" s="95"/>
      <c r="C228" s="95"/>
      <c r="D228" s="95"/>
      <c r="E228" s="95"/>
      <c r="F228" s="95"/>
      <c r="G228" s="95"/>
      <c r="H228" s="95"/>
      <c r="I228" s="99" t="s">
        <v>250</v>
      </c>
      <c r="J228" s="95"/>
      <c r="K228" s="95"/>
      <c r="L228" s="96"/>
    </row>
    <row r="229" spans="1:12" ht="27.95" customHeight="1">
      <c r="A229" s="23"/>
      <c r="B229" s="966" t="s">
        <v>305</v>
      </c>
      <c r="C229" s="966"/>
      <c r="D229" s="966"/>
      <c r="E229" s="966"/>
      <c r="F229" s="966"/>
      <c r="G229" s="966"/>
      <c r="H229" s="966"/>
      <c r="I229" s="966"/>
      <c r="J229" s="966"/>
      <c r="K229" s="966"/>
      <c r="L229" s="967"/>
    </row>
    <row r="230" spans="1:12" ht="27.95" customHeight="1">
      <c r="A230" s="23"/>
      <c r="B230" s="252"/>
      <c r="C230" s="252"/>
      <c r="D230" s="260" t="s">
        <v>252</v>
      </c>
      <c r="E230" s="252"/>
      <c r="F230" s="252"/>
      <c r="G230" s="252"/>
      <c r="H230" s="252"/>
      <c r="I230" s="254" t="s">
        <v>306</v>
      </c>
      <c r="J230" s="255"/>
      <c r="K230" s="336" t="e">
        <f>'4-22Master'!#REF!</f>
        <v>#REF!</v>
      </c>
      <c r="L230" s="285"/>
    </row>
    <row r="231" spans="1:12" ht="27.95" customHeight="1">
      <c r="A231" s="23"/>
      <c r="B231" s="2"/>
      <c r="C231" s="2" t="s">
        <v>253</v>
      </c>
      <c r="E231" s="2"/>
      <c r="F231" s="2"/>
      <c r="G231" s="2"/>
      <c r="H231" s="2"/>
      <c r="I231" s="253" t="s">
        <v>307</v>
      </c>
      <c r="J231" s="274" t="str">
        <f>'4-22Master'!G5</f>
        <v>Burgeon IT Services Pvt.Ltd.</v>
      </c>
      <c r="K231" s="256"/>
      <c r="L231" s="286"/>
    </row>
    <row r="232" spans="1:12" ht="27.95" customHeight="1">
      <c r="A232" s="23"/>
      <c r="B232" s="261"/>
      <c r="C232" s="230" t="s">
        <v>254</v>
      </c>
      <c r="E232" s="261"/>
      <c r="F232" s="261"/>
      <c r="H232" s="231"/>
      <c r="I232" s="277" t="str">
        <f>'4-22Master'!G6</f>
        <v>Siri Mansion LIGB 436 Dr.A S Rao Nagar,Hyderabad</v>
      </c>
      <c r="J232" s="275"/>
      <c r="K232" s="276"/>
      <c r="L232" s="240"/>
    </row>
    <row r="233" spans="1:12">
      <c r="A233" s="23"/>
      <c r="L233" s="24"/>
    </row>
    <row r="234" spans="1:12" ht="19.5" customHeight="1">
      <c r="A234" s="23">
        <v>1</v>
      </c>
      <c r="B234" s="257" t="s">
        <v>255</v>
      </c>
      <c r="C234" s="77"/>
      <c r="D234" s="77"/>
      <c r="E234" s="77"/>
      <c r="F234" s="77"/>
      <c r="G234" s="78"/>
      <c r="H234" s="938" t="e">
        <f>'4-22Master'!#REF!</f>
        <v>#REF!</v>
      </c>
      <c r="I234" s="948"/>
      <c r="J234" s="948"/>
      <c r="K234" s="948"/>
      <c r="L234" s="949"/>
    </row>
    <row r="235" spans="1:12">
      <c r="A235" s="23">
        <v>2</v>
      </c>
      <c r="B235" s="968" t="s">
        <v>256</v>
      </c>
      <c r="C235" s="969"/>
      <c r="D235" s="969"/>
      <c r="E235" s="969"/>
      <c r="F235" s="258" t="s">
        <v>257</v>
      </c>
      <c r="G235" s="242"/>
      <c r="H235" s="970" t="e">
        <f>'4-22Master'!#REF!</f>
        <v>#REF!</v>
      </c>
      <c r="I235" s="971"/>
      <c r="J235" s="971"/>
      <c r="K235" s="971"/>
      <c r="L235" s="972"/>
    </row>
    <row r="236" spans="1:12" ht="12" customHeight="1">
      <c r="A236" s="23"/>
      <c r="B236" s="243" t="s">
        <v>258</v>
      </c>
      <c r="C236" s="244"/>
      <c r="D236" s="244"/>
      <c r="E236" s="244"/>
      <c r="F236" s="244" t="s">
        <v>251</v>
      </c>
      <c r="G236" s="245"/>
      <c r="H236" s="973"/>
      <c r="I236" s="974"/>
      <c r="J236" s="974"/>
      <c r="K236" s="974"/>
      <c r="L236" s="975"/>
    </row>
    <row r="237" spans="1:12">
      <c r="A237" s="23">
        <v>3</v>
      </c>
      <c r="B237" s="259" t="s">
        <v>259</v>
      </c>
      <c r="C237" s="249"/>
      <c r="D237" s="249"/>
      <c r="E237" s="249"/>
      <c r="F237" s="249"/>
      <c r="G237" s="250"/>
      <c r="H237" s="955" t="e">
        <f>'4-22Master'!#REF!</f>
        <v>#REF!</v>
      </c>
      <c r="I237" s="956"/>
      <c r="J237" s="956"/>
      <c r="K237" s="956"/>
      <c r="L237" s="957"/>
    </row>
    <row r="238" spans="1:12">
      <c r="A238" s="23">
        <v>4</v>
      </c>
      <c r="B238" s="235" t="s">
        <v>260</v>
      </c>
      <c r="C238" s="77"/>
      <c r="D238" s="77"/>
      <c r="E238" s="77"/>
      <c r="F238" s="77"/>
      <c r="G238" s="78"/>
      <c r="H238" s="936" t="e">
        <f>'4-22Master'!#REF!</f>
        <v>#REF!</v>
      </c>
      <c r="I238" s="943"/>
      <c r="J238" s="943"/>
      <c r="K238" s="943"/>
      <c r="L238" s="937"/>
    </row>
    <row r="239" spans="1:12">
      <c r="A239" s="23">
        <v>5</v>
      </c>
      <c r="B239" s="958" t="s">
        <v>308</v>
      </c>
      <c r="C239" s="959"/>
      <c r="D239" s="959"/>
      <c r="E239" s="959"/>
      <c r="F239" s="959"/>
      <c r="G239" s="78"/>
      <c r="H239" s="947" t="s">
        <v>387</v>
      </c>
      <c r="I239" s="948"/>
      <c r="J239" s="948"/>
      <c r="K239" s="948"/>
      <c r="L239" s="949"/>
    </row>
    <row r="240" spans="1:12">
      <c r="A240" s="23">
        <v>6</v>
      </c>
      <c r="B240" s="248" t="s">
        <v>261</v>
      </c>
      <c r="C240" s="249" t="s">
        <v>262</v>
      </c>
      <c r="D240" s="249"/>
      <c r="E240" s="249"/>
      <c r="F240" s="249"/>
      <c r="G240" s="250"/>
      <c r="H240" s="259"/>
      <c r="I240" s="249"/>
      <c r="J240" s="249"/>
      <c r="K240" s="249"/>
      <c r="L240" s="287"/>
    </row>
    <row r="241" spans="1:12">
      <c r="A241" s="23"/>
      <c r="B241" s="248" t="s">
        <v>263</v>
      </c>
      <c r="C241" s="249" t="s">
        <v>264</v>
      </c>
      <c r="D241" s="249"/>
      <c r="E241" s="249"/>
      <c r="F241" s="249"/>
      <c r="G241" s="250"/>
      <c r="H241" s="259"/>
      <c r="I241" s="241"/>
      <c r="J241" s="241"/>
      <c r="K241" s="249"/>
      <c r="L241" s="287"/>
    </row>
    <row r="242" spans="1:12">
      <c r="A242" s="23">
        <v>7</v>
      </c>
      <c r="B242" s="955" t="s">
        <v>265</v>
      </c>
      <c r="C242" s="956"/>
      <c r="D242" s="956"/>
      <c r="E242" s="956"/>
      <c r="F242" s="956"/>
      <c r="G242" s="960"/>
      <c r="H242" s="263" t="s">
        <v>266</v>
      </c>
      <c r="I242" s="264"/>
      <c r="J242" s="265"/>
      <c r="K242" s="263" t="s">
        <v>267</v>
      </c>
      <c r="L242" s="288"/>
    </row>
    <row r="243" spans="1:12">
      <c r="A243" s="23">
        <v>8</v>
      </c>
      <c r="B243" s="955" t="s">
        <v>309</v>
      </c>
      <c r="C243" s="956"/>
      <c r="D243" s="956"/>
      <c r="E243" s="956"/>
      <c r="F243" s="956"/>
      <c r="G243" s="960"/>
      <c r="H243" s="263" t="s">
        <v>266</v>
      </c>
      <c r="I243" s="264"/>
      <c r="J243" s="265"/>
      <c r="K243" s="263" t="s">
        <v>267</v>
      </c>
      <c r="L243" s="288"/>
    </row>
    <row r="244" spans="1:12">
      <c r="A244" s="23"/>
      <c r="B244" s="235"/>
      <c r="C244" s="267"/>
      <c r="D244" s="267"/>
      <c r="E244" s="267"/>
      <c r="F244" s="267" t="s">
        <v>268</v>
      </c>
      <c r="G244" s="267"/>
      <c r="H244" s="267"/>
      <c r="I244" s="267"/>
      <c r="J244" s="267"/>
      <c r="K244" s="267"/>
      <c r="L244" s="289"/>
    </row>
    <row r="245" spans="1:12">
      <c r="A245" s="23">
        <v>9</v>
      </c>
      <c r="B245" s="248" t="s">
        <v>269</v>
      </c>
      <c r="C245" s="249" t="s">
        <v>270</v>
      </c>
      <c r="D245" s="249"/>
      <c r="E245" s="249"/>
      <c r="F245" s="249"/>
      <c r="G245" s="250"/>
      <c r="H245" s="259"/>
      <c r="I245" s="249"/>
      <c r="J245" s="249"/>
      <c r="K245" s="249"/>
      <c r="L245" s="287"/>
    </row>
    <row r="246" spans="1:12">
      <c r="A246" s="105"/>
      <c r="B246" s="248" t="s">
        <v>271</v>
      </c>
      <c r="C246" s="249" t="s">
        <v>272</v>
      </c>
      <c r="D246" s="249"/>
      <c r="E246" s="249"/>
      <c r="F246" s="249"/>
      <c r="G246" s="250"/>
      <c r="H246" s="259"/>
      <c r="I246" s="249"/>
      <c r="J246" s="249"/>
      <c r="K246" s="249"/>
      <c r="L246" s="287"/>
    </row>
    <row r="247" spans="1:12">
      <c r="A247" s="105"/>
      <c r="B247" s="248" t="s">
        <v>310</v>
      </c>
      <c r="C247" s="249" t="s">
        <v>311</v>
      </c>
      <c r="D247" s="249"/>
      <c r="E247" s="249"/>
      <c r="F247" s="249"/>
      <c r="G247" s="250"/>
      <c r="H247" s="259"/>
      <c r="I247" s="249"/>
      <c r="J247" s="249"/>
      <c r="K247" s="249"/>
      <c r="L247" s="287"/>
    </row>
    <row r="248" spans="1:12">
      <c r="A248" s="105"/>
      <c r="B248" s="248" t="s">
        <v>274</v>
      </c>
      <c r="C248" s="249" t="s">
        <v>275</v>
      </c>
      <c r="D248" s="249"/>
      <c r="E248" s="249"/>
      <c r="F248" s="249"/>
      <c r="G248" s="250"/>
      <c r="H248" s="259"/>
      <c r="I248" s="249"/>
      <c r="J248" s="249"/>
      <c r="K248" s="249"/>
      <c r="L248" s="287"/>
    </row>
    <row r="249" spans="1:12">
      <c r="A249" s="105"/>
      <c r="B249" s="248" t="s">
        <v>276</v>
      </c>
      <c r="C249" s="249" t="s">
        <v>277</v>
      </c>
      <c r="D249" s="249"/>
      <c r="E249" s="249"/>
      <c r="F249" s="249"/>
      <c r="G249" s="250"/>
      <c r="H249" s="259"/>
      <c r="I249" s="249"/>
      <c r="J249" s="249"/>
      <c r="K249" s="249"/>
      <c r="L249" s="287"/>
    </row>
    <row r="250" spans="1:12">
      <c r="A250" s="105">
        <v>10</v>
      </c>
      <c r="B250" s="248" t="s">
        <v>269</v>
      </c>
      <c r="C250" s="249" t="s">
        <v>312</v>
      </c>
      <c r="D250" s="249"/>
      <c r="E250" s="249"/>
      <c r="F250" s="249"/>
      <c r="G250" s="250"/>
      <c r="H250" s="263" t="s">
        <v>266</v>
      </c>
      <c r="I250" s="264"/>
      <c r="J250" s="265"/>
      <c r="K250" s="263" t="s">
        <v>267</v>
      </c>
      <c r="L250" s="288"/>
    </row>
    <row r="251" spans="1:12">
      <c r="A251" s="105"/>
      <c r="B251" s="248" t="s">
        <v>271</v>
      </c>
      <c r="C251" s="249" t="s">
        <v>313</v>
      </c>
      <c r="D251" s="249"/>
      <c r="E251" s="249"/>
      <c r="F251" s="249"/>
      <c r="G251" s="250"/>
      <c r="H251" s="259"/>
      <c r="I251" s="249"/>
      <c r="J251" s="249"/>
      <c r="K251" s="249"/>
      <c r="L251" s="287"/>
    </row>
    <row r="252" spans="1:12">
      <c r="A252" s="105"/>
      <c r="B252" s="248" t="s">
        <v>310</v>
      </c>
      <c r="C252" s="249" t="s">
        <v>278</v>
      </c>
      <c r="D252" s="249"/>
      <c r="E252" s="249"/>
      <c r="F252" s="249"/>
      <c r="G252" s="250"/>
      <c r="H252" s="259"/>
      <c r="I252" s="249"/>
      <c r="J252" s="249"/>
      <c r="K252" s="249"/>
      <c r="L252" s="287"/>
    </row>
    <row r="253" spans="1:12">
      <c r="A253" s="105"/>
      <c r="B253" s="248" t="s">
        <v>274</v>
      </c>
      <c r="C253" s="249" t="s">
        <v>314</v>
      </c>
      <c r="D253" s="249"/>
      <c r="E253" s="249"/>
      <c r="F253" s="249"/>
      <c r="G253" s="250"/>
      <c r="H253" s="259"/>
      <c r="I253" s="249"/>
      <c r="J253" s="249"/>
      <c r="K253" s="249"/>
      <c r="L253" s="287"/>
    </row>
    <row r="254" spans="1:12">
      <c r="A254" s="23"/>
      <c r="B254" s="235"/>
      <c r="C254" s="267"/>
      <c r="D254" s="267"/>
      <c r="E254" s="267" t="s">
        <v>315</v>
      </c>
      <c r="F254" s="267"/>
      <c r="G254" s="267"/>
      <c r="H254" s="267"/>
      <c r="I254" s="267"/>
      <c r="J254" s="267"/>
      <c r="K254" s="267"/>
      <c r="L254" s="289"/>
    </row>
    <row r="255" spans="1:12">
      <c r="A255" s="23">
        <v>11</v>
      </c>
      <c r="B255" s="248" t="s">
        <v>269</v>
      </c>
      <c r="C255" s="249" t="s">
        <v>279</v>
      </c>
      <c r="D255" s="249"/>
      <c r="E255" s="249"/>
      <c r="F255" s="249"/>
      <c r="G255" s="250"/>
      <c r="H255" s="259"/>
      <c r="I255" s="249"/>
      <c r="J255" s="249"/>
      <c r="K255" s="249"/>
      <c r="L255" s="287"/>
    </row>
    <row r="256" spans="1:12">
      <c r="A256" s="23"/>
      <c r="B256" s="248" t="s">
        <v>271</v>
      </c>
      <c r="C256" s="249" t="s">
        <v>280</v>
      </c>
      <c r="D256" s="249"/>
      <c r="E256" s="249"/>
      <c r="F256" s="249"/>
      <c r="G256" s="250"/>
      <c r="H256" s="259"/>
      <c r="I256" s="249"/>
      <c r="J256" s="249"/>
      <c r="K256" s="249"/>
      <c r="L256" s="287"/>
    </row>
    <row r="257" spans="1:12">
      <c r="A257" s="23"/>
      <c r="B257" s="248" t="s">
        <v>273</v>
      </c>
      <c r="C257" s="249" t="s">
        <v>281</v>
      </c>
      <c r="D257" s="249"/>
      <c r="E257" s="249"/>
      <c r="F257" s="249"/>
      <c r="G257" s="250"/>
      <c r="H257" s="259"/>
      <c r="I257" s="249"/>
      <c r="J257" s="249"/>
      <c r="K257" s="249"/>
      <c r="L257" s="287"/>
    </row>
    <row r="258" spans="1:12">
      <c r="A258" s="23"/>
      <c r="B258" s="223"/>
      <c r="C258" s="219"/>
      <c r="D258" s="219"/>
      <c r="E258" s="219"/>
      <c r="F258" s="268" t="s">
        <v>282</v>
      </c>
      <c r="G258" s="219"/>
      <c r="H258" s="208"/>
      <c r="I258" s="208"/>
      <c r="J258" s="208"/>
      <c r="K258" s="208"/>
      <c r="L258" s="226"/>
    </row>
    <row r="259" spans="1:12">
      <c r="A259" s="23"/>
      <c r="B259" s="280" t="s">
        <v>283</v>
      </c>
      <c r="C259" s="279" t="s">
        <v>284</v>
      </c>
      <c r="D259" s="219"/>
      <c r="E259" s="219"/>
      <c r="F259" s="219"/>
      <c r="G259" s="219"/>
      <c r="H259" s="208"/>
      <c r="I259" s="208"/>
      <c r="J259" s="209"/>
      <c r="K259" s="208"/>
      <c r="L259" s="226"/>
    </row>
    <row r="260" spans="1:12">
      <c r="A260" s="23"/>
      <c r="B260" s="280" t="s">
        <v>285</v>
      </c>
      <c r="C260" s="278" t="s">
        <v>286</v>
      </c>
      <c r="D260" s="208"/>
      <c r="E260" s="209"/>
      <c r="G260" s="961"/>
      <c r="H260" s="961"/>
      <c r="I260" s="224"/>
      <c r="J260" s="225"/>
      <c r="K260" s="961"/>
      <c r="L260" s="962"/>
    </row>
    <row r="261" spans="1:12">
      <c r="A261" s="23"/>
      <c r="B261" s="281" t="s">
        <v>287</v>
      </c>
      <c r="C261" s="963" t="s">
        <v>316</v>
      </c>
      <c r="D261" s="963"/>
      <c r="E261" s="963"/>
      <c r="F261" s="963"/>
      <c r="G261" s="963"/>
      <c r="H261" s="963"/>
      <c r="I261" s="963"/>
      <c r="J261" s="963"/>
      <c r="K261" s="963"/>
      <c r="L261" s="964"/>
    </row>
    <row r="262" spans="1:12">
      <c r="A262" s="23"/>
      <c r="B262" s="280" t="s">
        <v>288</v>
      </c>
      <c r="C262" s="279" t="s">
        <v>289</v>
      </c>
      <c r="D262" s="271"/>
      <c r="E262" s="271"/>
      <c r="F262" s="271"/>
      <c r="G262" s="271"/>
      <c r="H262" s="271"/>
      <c r="I262" s="271"/>
      <c r="J262" s="271"/>
      <c r="K262" s="271"/>
      <c r="L262" s="290"/>
    </row>
    <row r="263" spans="1:12">
      <c r="A263" s="23"/>
      <c r="B263" s="223"/>
      <c r="C263" t="s">
        <v>317</v>
      </c>
      <c r="D263" s="337" t="e">
        <f>'4-22Master'!#REF!</f>
        <v>#REF!</v>
      </c>
      <c r="E263" s="4"/>
      <c r="F263" s="4"/>
      <c r="G263" s="4"/>
      <c r="L263" s="24"/>
    </row>
    <row r="264" spans="1:12">
      <c r="A264" s="23"/>
      <c r="C264" t="s">
        <v>290</v>
      </c>
      <c r="D264" t="s">
        <v>379</v>
      </c>
      <c r="J264" t="s">
        <v>318</v>
      </c>
      <c r="L264" s="24"/>
    </row>
    <row r="265" spans="1:12">
      <c r="A265" s="23"/>
      <c r="L265" s="24"/>
    </row>
    <row r="266" spans="1:12">
      <c r="A266" s="23"/>
      <c r="F266" s="269" t="s">
        <v>291</v>
      </c>
      <c r="L266" s="24"/>
    </row>
    <row r="267" spans="1:12">
      <c r="A267" s="23" t="s">
        <v>319</v>
      </c>
      <c r="B267" t="s">
        <v>292</v>
      </c>
      <c r="E267" s="272" t="e">
        <f>'4-22Master'!#REF!</f>
        <v>#REF!</v>
      </c>
      <c r="H267" s="965" t="s">
        <v>293</v>
      </c>
      <c r="I267" s="965"/>
      <c r="J267" s="273" t="e">
        <f>'4-22Master'!#REF!</f>
        <v>#REF!</v>
      </c>
      <c r="K267" t="s">
        <v>294</v>
      </c>
      <c r="L267" s="24"/>
    </row>
    <row r="268" spans="1:12" ht="24" customHeight="1">
      <c r="A268" s="23"/>
      <c r="B268" s="976" t="e">
        <f>'4-22Master'!#REF!</f>
        <v>#REF!</v>
      </c>
      <c r="C268" s="977"/>
      <c r="D268" s="270"/>
      <c r="E268" s="270"/>
      <c r="F268" s="270"/>
      <c r="G268" s="270"/>
      <c r="H268" s="270"/>
      <c r="I268" s="270"/>
      <c r="J268" s="270"/>
      <c r="K268" s="270"/>
      <c r="L268" s="291"/>
    </row>
    <row r="269" spans="1:12" ht="24" customHeight="1">
      <c r="A269" s="23" t="s">
        <v>321</v>
      </c>
      <c r="B269" s="270" t="s">
        <v>295</v>
      </c>
      <c r="C269" s="270"/>
      <c r="D269" s="270"/>
      <c r="E269" s="270"/>
      <c r="F269" s="270"/>
      <c r="G269" s="270"/>
      <c r="H269" s="270"/>
      <c r="I269" s="270"/>
      <c r="J269" s="270"/>
      <c r="K269" s="270"/>
      <c r="L269" s="291"/>
    </row>
    <row r="270" spans="1:12" ht="23.25" customHeight="1">
      <c r="A270" s="23"/>
      <c r="B270" s="270" t="s">
        <v>320</v>
      </c>
      <c r="C270" s="270"/>
      <c r="D270" s="270"/>
      <c r="E270" s="270"/>
      <c r="F270" s="270"/>
      <c r="G270" s="270"/>
      <c r="H270" s="270"/>
      <c r="I270" s="270"/>
      <c r="J270" s="270"/>
      <c r="K270" s="270"/>
      <c r="L270" s="291"/>
    </row>
    <row r="271" spans="1:12" ht="21.75" customHeight="1">
      <c r="A271" s="23"/>
      <c r="B271" t="s">
        <v>296</v>
      </c>
      <c r="L271" s="24"/>
    </row>
    <row r="272" spans="1:12" ht="27.95" customHeight="1">
      <c r="A272" s="23"/>
      <c r="B272" s="4" t="s">
        <v>297</v>
      </c>
      <c r="F272" s="222"/>
      <c r="L272" s="24"/>
    </row>
    <row r="273" spans="1:12" ht="21" customHeight="1">
      <c r="A273" s="23"/>
      <c r="B273" s="4" t="s">
        <v>298</v>
      </c>
      <c r="L273" s="24"/>
    </row>
    <row r="274" spans="1:12" ht="27.95" customHeight="1">
      <c r="A274" s="23"/>
      <c r="B274" t="s">
        <v>299</v>
      </c>
      <c r="L274" s="24"/>
    </row>
    <row r="275" spans="1:12" ht="27.95" customHeight="1">
      <c r="A275" s="23"/>
      <c r="B275" t="s">
        <v>300</v>
      </c>
      <c r="L275" s="24"/>
    </row>
    <row r="276" spans="1:12" ht="27.95" customHeight="1">
      <c r="A276" s="23" t="s">
        <v>310</v>
      </c>
      <c r="B276" t="s">
        <v>301</v>
      </c>
      <c r="L276" s="24"/>
    </row>
    <row r="277" spans="1:12" ht="27.95" customHeight="1">
      <c r="A277" s="23"/>
      <c r="B277" s="282" t="s">
        <v>322</v>
      </c>
      <c r="L277" s="24"/>
    </row>
    <row r="278" spans="1:12" ht="27.95" customHeight="1">
      <c r="A278" s="23"/>
      <c r="B278" t="s">
        <v>296</v>
      </c>
      <c r="L278" s="24"/>
    </row>
    <row r="279" spans="1:12" ht="19.5" customHeight="1">
      <c r="A279" s="23"/>
      <c r="B279" t="s">
        <v>302</v>
      </c>
      <c r="L279" s="24"/>
    </row>
    <row r="280" spans="1:12" ht="21.75" customHeight="1">
      <c r="A280" s="23"/>
      <c r="B280" t="s">
        <v>303</v>
      </c>
      <c r="L280" s="24"/>
    </row>
    <row r="281" spans="1:12" ht="18.75" customHeight="1">
      <c r="A281" s="23"/>
      <c r="B281" s="978" t="s">
        <v>304</v>
      </c>
      <c r="C281" s="978"/>
      <c r="D281" s="978"/>
      <c r="E281" s="978"/>
      <c r="F281" s="978"/>
      <c r="G281" s="978"/>
      <c r="H281" s="978"/>
      <c r="I281" s="978"/>
      <c r="J281" s="978"/>
      <c r="K281" s="978"/>
      <c r="L281" s="979"/>
    </row>
    <row r="282" spans="1:12" ht="27.95" customHeight="1">
      <c r="A282" s="23"/>
      <c r="B282" t="s">
        <v>216</v>
      </c>
      <c r="C282" s="332" t="e">
        <f>'4-22Master'!#REF!</f>
        <v>#REF!</v>
      </c>
      <c r="D282" s="252"/>
      <c r="E282" s="252"/>
      <c r="F282" s="252"/>
      <c r="G282" s="252"/>
      <c r="H282" s="252"/>
      <c r="I282" t="s">
        <v>323</v>
      </c>
      <c r="J282" s="252"/>
      <c r="K282" s="252"/>
      <c r="L282" s="283"/>
    </row>
    <row r="283" spans="1:12" ht="27.95" customHeight="1" thickBot="1">
      <c r="A283" s="35"/>
      <c r="B283" s="802"/>
      <c r="C283" s="802"/>
      <c r="D283" s="802"/>
      <c r="E283" s="802"/>
      <c r="F283" s="802"/>
      <c r="G283" s="802"/>
      <c r="H283" s="802"/>
      <c r="I283" s="802"/>
      <c r="J283" s="802"/>
      <c r="K283" s="802"/>
      <c r="L283" s="803"/>
    </row>
    <row r="284" spans="1:12" ht="27.95" customHeight="1">
      <c r="A284" s="94"/>
      <c r="B284" s="95"/>
      <c r="C284" s="95"/>
      <c r="D284" s="95"/>
      <c r="E284" s="95"/>
      <c r="F284" s="95"/>
      <c r="G284" s="95"/>
      <c r="H284" s="95"/>
      <c r="I284" s="99" t="s">
        <v>250</v>
      </c>
      <c r="J284" s="95"/>
      <c r="K284" s="95"/>
      <c r="L284" s="96"/>
    </row>
    <row r="285" spans="1:12" ht="27.95" customHeight="1">
      <c r="A285" s="23"/>
      <c r="B285" s="966" t="s">
        <v>305</v>
      </c>
      <c r="C285" s="966"/>
      <c r="D285" s="966"/>
      <c r="E285" s="966"/>
      <c r="F285" s="966"/>
      <c r="G285" s="966"/>
      <c r="H285" s="966"/>
      <c r="I285" s="966"/>
      <c r="J285" s="966"/>
      <c r="K285" s="966"/>
      <c r="L285" s="967"/>
    </row>
    <row r="286" spans="1:12" ht="23.25">
      <c r="A286" s="23"/>
      <c r="B286" s="252"/>
      <c r="C286" s="252"/>
      <c r="D286" s="260" t="s">
        <v>252</v>
      </c>
      <c r="E286" s="252"/>
      <c r="F286" s="252"/>
      <c r="G286" s="252"/>
      <c r="H286" s="252"/>
      <c r="I286" s="254" t="s">
        <v>306</v>
      </c>
      <c r="J286" s="255"/>
      <c r="K286" s="336" t="e">
        <f>'4-22Master'!#REF!</f>
        <v>#REF!</v>
      </c>
      <c r="L286" s="285"/>
    </row>
    <row r="287" spans="1:12" ht="15.75">
      <c r="A287" s="23"/>
      <c r="B287" s="2"/>
      <c r="C287" s="2" t="s">
        <v>253</v>
      </c>
      <c r="E287" s="2"/>
      <c r="F287" s="2"/>
      <c r="G287" s="2"/>
      <c r="H287" s="2"/>
      <c r="I287" s="253" t="s">
        <v>307</v>
      </c>
      <c r="J287" s="274" t="str">
        <f>'4-22Master'!G5</f>
        <v>Burgeon IT Services Pvt.Ltd.</v>
      </c>
      <c r="K287" s="256"/>
      <c r="L287" s="286"/>
    </row>
    <row r="288" spans="1:12">
      <c r="A288" s="23"/>
      <c r="B288" s="261"/>
      <c r="C288" s="230" t="s">
        <v>254</v>
      </c>
      <c r="E288" s="261"/>
      <c r="F288" s="261"/>
      <c r="H288" s="231"/>
      <c r="I288" s="277" t="str">
        <f>'4-22Master'!G6</f>
        <v>Siri Mansion LIGB 436 Dr.A S Rao Nagar,Hyderabad</v>
      </c>
      <c r="J288" s="275"/>
      <c r="K288" s="276"/>
      <c r="L288" s="240"/>
    </row>
    <row r="289" spans="1:12">
      <c r="A289" s="23"/>
      <c r="L289" s="24"/>
    </row>
    <row r="290" spans="1:12">
      <c r="A290" s="23">
        <v>1</v>
      </c>
      <c r="B290" s="257" t="s">
        <v>255</v>
      </c>
      <c r="C290" s="77"/>
      <c r="D290" s="77"/>
      <c r="E290" s="77"/>
      <c r="F290" s="77"/>
      <c r="G290" s="78"/>
      <c r="H290" s="938" t="e">
        <f>'4-22Master'!#REF!</f>
        <v>#REF!</v>
      </c>
      <c r="I290" s="948"/>
      <c r="J290" s="948"/>
      <c r="K290" s="948"/>
      <c r="L290" s="949"/>
    </row>
    <row r="291" spans="1:12">
      <c r="A291" s="23">
        <v>2</v>
      </c>
      <c r="B291" s="968" t="s">
        <v>256</v>
      </c>
      <c r="C291" s="969"/>
      <c r="D291" s="969"/>
      <c r="E291" s="969"/>
      <c r="F291" s="258" t="s">
        <v>257</v>
      </c>
      <c r="G291" s="242"/>
      <c r="H291" s="970" t="e">
        <f>'4-22Master'!#REF!</f>
        <v>#REF!</v>
      </c>
      <c r="I291" s="971"/>
      <c r="J291" s="971"/>
      <c r="K291" s="971"/>
      <c r="L291" s="972"/>
    </row>
    <row r="292" spans="1:12">
      <c r="A292" s="23"/>
      <c r="B292" s="243" t="s">
        <v>258</v>
      </c>
      <c r="C292" s="244"/>
      <c r="D292" s="244"/>
      <c r="E292" s="244"/>
      <c r="F292" s="244" t="s">
        <v>251</v>
      </c>
      <c r="G292" s="245"/>
      <c r="H292" s="973"/>
      <c r="I292" s="974"/>
      <c r="J292" s="974"/>
      <c r="K292" s="974"/>
      <c r="L292" s="975"/>
    </row>
    <row r="293" spans="1:12">
      <c r="A293" s="23">
        <v>3</v>
      </c>
      <c r="B293" s="259" t="s">
        <v>259</v>
      </c>
      <c r="C293" s="249"/>
      <c r="D293" s="249"/>
      <c r="E293" s="249"/>
      <c r="F293" s="249"/>
      <c r="G293" s="250"/>
      <c r="H293" s="955" t="e">
        <f>'4-22Master'!#REF!</f>
        <v>#REF!</v>
      </c>
      <c r="I293" s="956"/>
      <c r="J293" s="956"/>
      <c r="K293" s="956"/>
      <c r="L293" s="957"/>
    </row>
    <row r="294" spans="1:12">
      <c r="A294" s="23">
        <v>4</v>
      </c>
      <c r="B294" s="235" t="s">
        <v>260</v>
      </c>
      <c r="C294" s="77"/>
      <c r="D294" s="77"/>
      <c r="E294" s="77"/>
      <c r="F294" s="77"/>
      <c r="G294" s="78"/>
      <c r="H294" s="936" t="e">
        <f>'4-22Master'!#REF!</f>
        <v>#REF!</v>
      </c>
      <c r="I294" s="943"/>
      <c r="J294" s="943"/>
      <c r="K294" s="943"/>
      <c r="L294" s="937"/>
    </row>
    <row r="295" spans="1:12">
      <c r="A295" s="23">
        <v>5</v>
      </c>
      <c r="B295" s="958" t="s">
        <v>308</v>
      </c>
      <c r="C295" s="959"/>
      <c r="D295" s="959"/>
      <c r="E295" s="959"/>
      <c r="F295" s="959"/>
      <c r="G295" s="78"/>
      <c r="H295" s="947" t="s">
        <v>387</v>
      </c>
      <c r="I295" s="948"/>
      <c r="J295" s="948"/>
      <c r="K295" s="948"/>
      <c r="L295" s="949"/>
    </row>
    <row r="296" spans="1:12">
      <c r="A296" s="23">
        <v>6</v>
      </c>
      <c r="B296" s="248" t="s">
        <v>261</v>
      </c>
      <c r="C296" s="249" t="s">
        <v>262</v>
      </c>
      <c r="D296" s="249"/>
      <c r="E296" s="249"/>
      <c r="F296" s="249"/>
      <c r="G296" s="250"/>
      <c r="H296" s="259"/>
      <c r="I296" s="249"/>
      <c r="J296" s="249"/>
      <c r="K296" s="249"/>
      <c r="L296" s="287"/>
    </row>
    <row r="297" spans="1:12">
      <c r="A297" s="23"/>
      <c r="B297" s="248" t="s">
        <v>263</v>
      </c>
      <c r="C297" s="249" t="s">
        <v>264</v>
      </c>
      <c r="D297" s="249"/>
      <c r="E297" s="249"/>
      <c r="F297" s="249"/>
      <c r="G297" s="250"/>
      <c r="H297" s="259"/>
      <c r="I297" s="241"/>
      <c r="J297" s="241"/>
      <c r="K297" s="249"/>
      <c r="L297" s="287"/>
    </row>
    <row r="298" spans="1:12">
      <c r="A298" s="23">
        <v>7</v>
      </c>
      <c r="B298" s="955" t="s">
        <v>265</v>
      </c>
      <c r="C298" s="956"/>
      <c r="D298" s="956"/>
      <c r="E298" s="956"/>
      <c r="F298" s="956"/>
      <c r="G298" s="960"/>
      <c r="H298" s="263" t="s">
        <v>266</v>
      </c>
      <c r="I298" s="264"/>
      <c r="J298" s="265"/>
      <c r="K298" s="263" t="s">
        <v>267</v>
      </c>
      <c r="L298" s="288"/>
    </row>
    <row r="299" spans="1:12">
      <c r="A299" s="23">
        <v>8</v>
      </c>
      <c r="B299" s="955" t="s">
        <v>309</v>
      </c>
      <c r="C299" s="956"/>
      <c r="D299" s="956"/>
      <c r="E299" s="956"/>
      <c r="F299" s="956"/>
      <c r="G299" s="960"/>
      <c r="H299" s="263" t="s">
        <v>266</v>
      </c>
      <c r="I299" s="264"/>
      <c r="J299" s="265"/>
      <c r="K299" s="263" t="s">
        <v>267</v>
      </c>
      <c r="L299" s="288"/>
    </row>
    <row r="300" spans="1:12">
      <c r="A300" s="23"/>
      <c r="B300" s="235"/>
      <c r="C300" s="267"/>
      <c r="D300" s="267"/>
      <c r="E300" s="267"/>
      <c r="F300" s="267" t="s">
        <v>268</v>
      </c>
      <c r="G300" s="267"/>
      <c r="H300" s="267"/>
      <c r="I300" s="267"/>
      <c r="J300" s="267"/>
      <c r="K300" s="267"/>
      <c r="L300" s="289"/>
    </row>
    <row r="301" spans="1:12">
      <c r="A301" s="23">
        <v>9</v>
      </c>
      <c r="B301" s="248" t="s">
        <v>269</v>
      </c>
      <c r="C301" s="249" t="s">
        <v>270</v>
      </c>
      <c r="D301" s="249"/>
      <c r="E301" s="249"/>
      <c r="F301" s="249"/>
      <c r="G301" s="250"/>
      <c r="H301" s="259"/>
      <c r="I301" s="249"/>
      <c r="J301" s="249"/>
      <c r="K301" s="249"/>
      <c r="L301" s="287"/>
    </row>
    <row r="302" spans="1:12">
      <c r="A302" s="105"/>
      <c r="B302" s="248" t="s">
        <v>271</v>
      </c>
      <c r="C302" s="249" t="s">
        <v>272</v>
      </c>
      <c r="D302" s="249"/>
      <c r="E302" s="249"/>
      <c r="F302" s="249"/>
      <c r="G302" s="250"/>
      <c r="H302" s="259"/>
      <c r="I302" s="249"/>
      <c r="J302" s="249"/>
      <c r="K302" s="249"/>
      <c r="L302" s="287"/>
    </row>
    <row r="303" spans="1:12">
      <c r="A303" s="105"/>
      <c r="B303" s="248" t="s">
        <v>310</v>
      </c>
      <c r="C303" s="249" t="s">
        <v>311</v>
      </c>
      <c r="D303" s="249"/>
      <c r="E303" s="249"/>
      <c r="F303" s="249"/>
      <c r="G303" s="250"/>
      <c r="H303" s="259"/>
      <c r="I303" s="249"/>
      <c r="J303" s="249"/>
      <c r="K303" s="249"/>
      <c r="L303" s="287"/>
    </row>
    <row r="304" spans="1:12">
      <c r="A304" s="105"/>
      <c r="B304" s="248" t="s">
        <v>274</v>
      </c>
      <c r="C304" s="249" t="s">
        <v>275</v>
      </c>
      <c r="D304" s="249"/>
      <c r="E304" s="249"/>
      <c r="F304" s="249"/>
      <c r="G304" s="250"/>
      <c r="H304" s="259"/>
      <c r="I304" s="249"/>
      <c r="J304" s="249"/>
      <c r="K304" s="249"/>
      <c r="L304" s="287"/>
    </row>
    <row r="305" spans="1:12">
      <c r="A305" s="105"/>
      <c r="B305" s="248" t="s">
        <v>276</v>
      </c>
      <c r="C305" s="249" t="s">
        <v>277</v>
      </c>
      <c r="D305" s="249"/>
      <c r="E305" s="249"/>
      <c r="F305" s="249"/>
      <c r="G305" s="250"/>
      <c r="H305" s="259"/>
      <c r="I305" s="249"/>
      <c r="J305" s="249"/>
      <c r="K305" s="249"/>
      <c r="L305" s="287"/>
    </row>
    <row r="306" spans="1:12">
      <c r="A306" s="105">
        <v>10</v>
      </c>
      <c r="B306" s="248" t="s">
        <v>269</v>
      </c>
      <c r="C306" s="249" t="s">
        <v>312</v>
      </c>
      <c r="D306" s="249"/>
      <c r="E306" s="249"/>
      <c r="F306" s="249"/>
      <c r="G306" s="250"/>
      <c r="H306" s="263" t="s">
        <v>266</v>
      </c>
      <c r="I306" s="264"/>
      <c r="J306" s="265"/>
      <c r="K306" s="263" t="s">
        <v>267</v>
      </c>
      <c r="L306" s="288"/>
    </row>
    <row r="307" spans="1:12">
      <c r="A307" s="105"/>
      <c r="B307" s="248" t="s">
        <v>271</v>
      </c>
      <c r="C307" s="249" t="s">
        <v>313</v>
      </c>
      <c r="D307" s="249"/>
      <c r="E307" s="249"/>
      <c r="F307" s="249"/>
      <c r="G307" s="250"/>
      <c r="H307" s="259"/>
      <c r="I307" s="249"/>
      <c r="J307" s="249"/>
      <c r="K307" s="249"/>
      <c r="L307" s="287"/>
    </row>
    <row r="308" spans="1:12">
      <c r="A308" s="105"/>
      <c r="B308" s="248" t="s">
        <v>310</v>
      </c>
      <c r="C308" s="249" t="s">
        <v>278</v>
      </c>
      <c r="D308" s="249"/>
      <c r="E308" s="249"/>
      <c r="F308" s="249"/>
      <c r="G308" s="250"/>
      <c r="H308" s="259"/>
      <c r="I308" s="249"/>
      <c r="J308" s="249"/>
      <c r="K308" s="249"/>
      <c r="L308" s="287"/>
    </row>
    <row r="309" spans="1:12">
      <c r="A309" s="105"/>
      <c r="B309" s="248" t="s">
        <v>274</v>
      </c>
      <c r="C309" s="249" t="s">
        <v>314</v>
      </c>
      <c r="D309" s="249"/>
      <c r="E309" s="249"/>
      <c r="F309" s="249"/>
      <c r="G309" s="250"/>
      <c r="H309" s="259"/>
      <c r="I309" s="249"/>
      <c r="J309" s="249"/>
      <c r="K309" s="249"/>
      <c r="L309" s="287"/>
    </row>
    <row r="310" spans="1:12">
      <c r="A310" s="23"/>
      <c r="B310" s="235"/>
      <c r="C310" s="267"/>
      <c r="D310" s="267"/>
      <c r="E310" s="267" t="s">
        <v>315</v>
      </c>
      <c r="F310" s="267"/>
      <c r="G310" s="267"/>
      <c r="H310" s="267"/>
      <c r="I310" s="267"/>
      <c r="J310" s="267"/>
      <c r="K310" s="267"/>
      <c r="L310" s="289"/>
    </row>
    <row r="311" spans="1:12">
      <c r="A311" s="23">
        <v>11</v>
      </c>
      <c r="B311" s="248" t="s">
        <v>269</v>
      </c>
      <c r="C311" s="249" t="s">
        <v>279</v>
      </c>
      <c r="D311" s="249"/>
      <c r="E311" s="249"/>
      <c r="F311" s="249"/>
      <c r="G311" s="250"/>
      <c r="H311" s="259"/>
      <c r="I311" s="249"/>
      <c r="J311" s="249"/>
      <c r="K311" s="249"/>
      <c r="L311" s="287"/>
    </row>
    <row r="312" spans="1:12">
      <c r="A312" s="23"/>
      <c r="B312" s="248" t="s">
        <v>271</v>
      </c>
      <c r="C312" s="249" t="s">
        <v>280</v>
      </c>
      <c r="D312" s="249"/>
      <c r="E312" s="249"/>
      <c r="F312" s="249"/>
      <c r="G312" s="250"/>
      <c r="H312" s="259"/>
      <c r="I312" s="249"/>
      <c r="J312" s="249"/>
      <c r="K312" s="249"/>
      <c r="L312" s="287"/>
    </row>
    <row r="313" spans="1:12">
      <c r="A313" s="23"/>
      <c r="B313" s="248" t="s">
        <v>273</v>
      </c>
      <c r="C313" s="249" t="s">
        <v>281</v>
      </c>
      <c r="D313" s="249"/>
      <c r="E313" s="249"/>
      <c r="F313" s="249"/>
      <c r="G313" s="250"/>
      <c r="H313" s="259"/>
      <c r="I313" s="249"/>
      <c r="J313" s="249"/>
      <c r="K313" s="249"/>
      <c r="L313" s="287"/>
    </row>
    <row r="314" spans="1:12">
      <c r="A314" s="23"/>
      <c r="B314" s="223"/>
      <c r="C314" s="219"/>
      <c r="D314" s="219"/>
      <c r="E314" s="219"/>
      <c r="F314" s="268" t="s">
        <v>282</v>
      </c>
      <c r="G314" s="219"/>
      <c r="H314" s="208"/>
      <c r="I314" s="208"/>
      <c r="J314" s="208"/>
      <c r="K314" s="208"/>
      <c r="L314" s="226"/>
    </row>
    <row r="315" spans="1:12">
      <c r="A315" s="23"/>
      <c r="B315" s="280" t="s">
        <v>283</v>
      </c>
      <c r="C315" s="279" t="s">
        <v>284</v>
      </c>
      <c r="D315" s="219"/>
      <c r="E315" s="219"/>
      <c r="F315" s="219"/>
      <c r="G315" s="219"/>
      <c r="H315" s="208"/>
      <c r="I315" s="208"/>
      <c r="J315" s="209"/>
      <c r="K315" s="208"/>
      <c r="L315" s="226"/>
    </row>
    <row r="316" spans="1:12">
      <c r="A316" s="23"/>
      <c r="B316" s="280" t="s">
        <v>285</v>
      </c>
      <c r="C316" s="278" t="s">
        <v>286</v>
      </c>
      <c r="D316" s="208"/>
      <c r="E316" s="209"/>
      <c r="G316" s="961"/>
      <c r="H316" s="961"/>
      <c r="I316" s="224"/>
      <c r="J316" s="225"/>
      <c r="K316" s="961"/>
      <c r="L316" s="962"/>
    </row>
    <row r="317" spans="1:12">
      <c r="A317" s="23"/>
      <c r="B317" s="281" t="s">
        <v>287</v>
      </c>
      <c r="C317" s="963" t="s">
        <v>316</v>
      </c>
      <c r="D317" s="963"/>
      <c r="E317" s="963"/>
      <c r="F317" s="963"/>
      <c r="G317" s="963"/>
      <c r="H317" s="963"/>
      <c r="I317" s="963"/>
      <c r="J317" s="963"/>
      <c r="K317" s="963"/>
      <c r="L317" s="964"/>
    </row>
    <row r="318" spans="1:12">
      <c r="A318" s="23"/>
      <c r="B318" s="280" t="s">
        <v>288</v>
      </c>
      <c r="C318" s="279" t="s">
        <v>289</v>
      </c>
      <c r="D318" s="271"/>
      <c r="E318" s="271"/>
      <c r="F318" s="271"/>
      <c r="G318" s="271"/>
      <c r="H318" s="271"/>
      <c r="I318" s="271"/>
      <c r="J318" s="271"/>
      <c r="K318" s="271"/>
      <c r="L318" s="290"/>
    </row>
    <row r="319" spans="1:12">
      <c r="A319" s="23"/>
      <c r="B319" s="223"/>
      <c r="C319" t="s">
        <v>317</v>
      </c>
      <c r="D319" s="337" t="e">
        <f>'4-22Master'!#REF!</f>
        <v>#REF!</v>
      </c>
      <c r="E319" s="4"/>
      <c r="F319" s="4"/>
      <c r="G319" s="4"/>
      <c r="L319" s="24"/>
    </row>
    <row r="320" spans="1:12">
      <c r="A320" s="23"/>
      <c r="C320" t="s">
        <v>290</v>
      </c>
      <c r="D320" t="s">
        <v>379</v>
      </c>
      <c r="J320" t="s">
        <v>318</v>
      </c>
      <c r="L320" s="24"/>
    </row>
    <row r="321" spans="1:12" ht="16.5" customHeight="1">
      <c r="A321" s="23"/>
      <c r="L321" s="24"/>
    </row>
    <row r="322" spans="1:12" ht="21.75" customHeight="1">
      <c r="A322" s="23"/>
      <c r="F322" s="269" t="s">
        <v>291</v>
      </c>
      <c r="L322" s="24"/>
    </row>
    <row r="323" spans="1:12" ht="27.95" customHeight="1">
      <c r="A323" s="23" t="s">
        <v>319</v>
      </c>
      <c r="B323" t="s">
        <v>292</v>
      </c>
      <c r="E323" s="272" t="e">
        <f>'4-22Master'!#REF!</f>
        <v>#REF!</v>
      </c>
      <c r="H323" s="965" t="s">
        <v>293</v>
      </c>
      <c r="I323" s="965"/>
      <c r="J323" s="273" t="e">
        <f>'4-22Master'!#REF!</f>
        <v>#REF!</v>
      </c>
      <c r="K323" t="s">
        <v>294</v>
      </c>
      <c r="L323" s="24"/>
    </row>
    <row r="324" spans="1:12" ht="25.5" customHeight="1">
      <c r="A324" s="23"/>
      <c r="B324" s="976" t="e">
        <f>'4-22Master'!#REF!</f>
        <v>#REF!</v>
      </c>
      <c r="C324" s="977"/>
      <c r="D324" s="270"/>
      <c r="E324" s="270"/>
      <c r="F324" s="270"/>
      <c r="G324" s="270"/>
      <c r="H324" s="270"/>
      <c r="I324" s="270"/>
      <c r="J324" s="270"/>
      <c r="K324" s="270"/>
      <c r="L324" s="291"/>
    </row>
    <row r="325" spans="1:12" ht="24.75" customHeight="1">
      <c r="A325" s="23" t="s">
        <v>321</v>
      </c>
      <c r="B325" s="270" t="s">
        <v>295</v>
      </c>
      <c r="C325" s="270"/>
      <c r="D325" s="270"/>
      <c r="E325" s="270"/>
      <c r="F325" s="270"/>
      <c r="G325" s="270"/>
      <c r="H325" s="270"/>
      <c r="I325" s="270"/>
      <c r="J325" s="270"/>
      <c r="K325" s="270"/>
      <c r="L325" s="291"/>
    </row>
    <row r="326" spans="1:12" ht="27.95" customHeight="1">
      <c r="A326" s="23"/>
      <c r="B326" s="270" t="s">
        <v>320</v>
      </c>
      <c r="C326" s="270"/>
      <c r="D326" s="270"/>
      <c r="E326" s="270"/>
      <c r="F326" s="270"/>
      <c r="G326" s="270"/>
      <c r="H326" s="270"/>
      <c r="I326" s="270"/>
      <c r="J326" s="270"/>
      <c r="K326" s="270"/>
      <c r="L326" s="291"/>
    </row>
    <row r="327" spans="1:12" ht="27.95" customHeight="1">
      <c r="A327" s="23"/>
      <c r="B327" t="s">
        <v>296</v>
      </c>
      <c r="L327" s="24"/>
    </row>
    <row r="328" spans="1:12" ht="27.95" customHeight="1">
      <c r="A328" s="23"/>
      <c r="B328" s="4" t="s">
        <v>297</v>
      </c>
      <c r="F328" s="222"/>
      <c r="L328" s="24"/>
    </row>
    <row r="329" spans="1:12" ht="27.95" customHeight="1">
      <c r="A329" s="23"/>
      <c r="B329" s="4" t="s">
        <v>298</v>
      </c>
      <c r="L329" s="24"/>
    </row>
    <row r="330" spans="1:12" ht="27.95" customHeight="1">
      <c r="A330" s="23"/>
      <c r="B330" t="s">
        <v>299</v>
      </c>
      <c r="L330" s="24"/>
    </row>
    <row r="331" spans="1:12" ht="27.95" customHeight="1">
      <c r="A331" s="23"/>
      <c r="B331" t="s">
        <v>300</v>
      </c>
      <c r="L331" s="24"/>
    </row>
    <row r="332" spans="1:12" ht="27.95" customHeight="1">
      <c r="A332" s="23" t="s">
        <v>310</v>
      </c>
      <c r="B332" t="s">
        <v>301</v>
      </c>
      <c r="L332" s="24"/>
    </row>
    <row r="333" spans="1:12" ht="27.95" customHeight="1">
      <c r="A333" s="23"/>
      <c r="B333" s="282" t="s">
        <v>322</v>
      </c>
      <c r="L333" s="24"/>
    </row>
    <row r="334" spans="1:12" ht="27.95" customHeight="1">
      <c r="A334" s="23"/>
      <c r="B334" t="s">
        <v>296</v>
      </c>
      <c r="L334" s="24"/>
    </row>
    <row r="335" spans="1:12" ht="27.95" customHeight="1">
      <c r="A335" s="23"/>
      <c r="B335" t="s">
        <v>302</v>
      </c>
      <c r="L335" s="24"/>
    </row>
    <row r="336" spans="1:12" ht="27.95" customHeight="1">
      <c r="A336" s="23"/>
      <c r="B336" t="s">
        <v>303</v>
      </c>
      <c r="L336" s="24"/>
    </row>
    <row r="337" spans="1:12" ht="27.95" customHeight="1">
      <c r="A337" s="23"/>
      <c r="B337" s="978" t="s">
        <v>304</v>
      </c>
      <c r="C337" s="978"/>
      <c r="D337" s="978"/>
      <c r="E337" s="978"/>
      <c r="F337" s="978"/>
      <c r="G337" s="978"/>
      <c r="H337" s="978"/>
      <c r="I337" s="978"/>
      <c r="J337" s="978"/>
      <c r="K337" s="978"/>
      <c r="L337" s="979"/>
    </row>
    <row r="338" spans="1:12" ht="27.95" customHeight="1">
      <c r="A338" s="23"/>
      <c r="B338" t="s">
        <v>216</v>
      </c>
      <c r="C338" s="332" t="e">
        <f>'4-22Master'!#REF!</f>
        <v>#REF!</v>
      </c>
      <c r="D338" s="252"/>
      <c r="E338" s="252"/>
      <c r="F338" s="252"/>
      <c r="G338" s="252"/>
      <c r="H338" s="252"/>
      <c r="I338" t="s">
        <v>323</v>
      </c>
      <c r="J338" s="252"/>
      <c r="K338" s="252"/>
      <c r="L338" s="283"/>
    </row>
    <row r="339" spans="1:12" ht="16.5" thickBot="1">
      <c r="A339" s="35"/>
      <c r="B339" s="802"/>
      <c r="C339" s="802"/>
      <c r="D339" s="802"/>
      <c r="E339" s="802"/>
      <c r="F339" s="802"/>
      <c r="G339" s="802"/>
      <c r="H339" s="802"/>
      <c r="I339" s="802"/>
      <c r="J339" s="802"/>
      <c r="K339" s="802"/>
      <c r="L339" s="803"/>
    </row>
    <row r="340" spans="1:12">
      <c r="A340" s="94"/>
      <c r="B340" s="95"/>
      <c r="C340" s="95"/>
      <c r="D340" s="95"/>
      <c r="E340" s="95"/>
      <c r="F340" s="95"/>
      <c r="G340" s="95"/>
      <c r="H340" s="95"/>
      <c r="I340" s="99" t="s">
        <v>250</v>
      </c>
      <c r="J340" s="95"/>
      <c r="K340" s="95"/>
      <c r="L340" s="96"/>
    </row>
    <row r="341" spans="1:12">
      <c r="A341" s="23"/>
      <c r="B341" s="966" t="s">
        <v>305</v>
      </c>
      <c r="C341" s="966"/>
      <c r="D341" s="966"/>
      <c r="E341" s="966"/>
      <c r="F341" s="966"/>
      <c r="G341" s="966"/>
      <c r="H341" s="966"/>
      <c r="I341" s="966"/>
      <c r="J341" s="966"/>
      <c r="K341" s="966"/>
      <c r="L341" s="967"/>
    </row>
    <row r="342" spans="1:12" ht="23.25">
      <c r="A342" s="23"/>
      <c r="B342" s="252"/>
      <c r="C342" s="252"/>
      <c r="D342" s="260" t="s">
        <v>252</v>
      </c>
      <c r="E342" s="252"/>
      <c r="F342" s="252"/>
      <c r="G342" s="252"/>
      <c r="H342" s="252"/>
      <c r="I342" s="254" t="s">
        <v>306</v>
      </c>
      <c r="J342" s="255"/>
      <c r="K342" s="336">
        <f>'4-22Master'!A18</f>
        <v>10</v>
      </c>
      <c r="L342" s="285"/>
    </row>
    <row r="343" spans="1:12" ht="15.75">
      <c r="A343" s="23"/>
      <c r="B343" s="2"/>
      <c r="C343" s="2" t="s">
        <v>253</v>
      </c>
      <c r="E343" s="2"/>
      <c r="F343" s="2"/>
      <c r="G343" s="2"/>
      <c r="H343" s="2"/>
      <c r="I343" s="253" t="s">
        <v>307</v>
      </c>
      <c r="J343" s="274" t="str">
        <f>'4-22Master'!G5</f>
        <v>Burgeon IT Services Pvt.Ltd.</v>
      </c>
      <c r="K343" s="256"/>
      <c r="L343" s="286"/>
    </row>
    <row r="344" spans="1:12">
      <c r="A344" s="23"/>
      <c r="B344" s="261"/>
      <c r="C344" s="230" t="s">
        <v>254</v>
      </c>
      <c r="E344" s="261"/>
      <c r="F344" s="261"/>
      <c r="H344" s="231"/>
      <c r="I344" s="277" t="str">
        <f>'4-22Master'!G6</f>
        <v>Siri Mansion LIGB 436 Dr.A S Rao Nagar,Hyderabad</v>
      </c>
      <c r="J344" s="275"/>
      <c r="K344" s="276"/>
      <c r="L344" s="240"/>
    </row>
    <row r="345" spans="1:12">
      <c r="A345" s="23"/>
      <c r="L345" s="24"/>
    </row>
    <row r="346" spans="1:12" ht="20.25" customHeight="1">
      <c r="A346" s="23">
        <v>1</v>
      </c>
      <c r="B346" s="257" t="s">
        <v>255</v>
      </c>
      <c r="C346" s="77"/>
      <c r="D346" s="77"/>
      <c r="E346" s="77"/>
      <c r="F346" s="77"/>
      <c r="G346" s="78"/>
      <c r="H346" s="938" t="str">
        <f>'4-22Master'!C18</f>
        <v>Amith a</v>
      </c>
      <c r="I346" s="948"/>
      <c r="J346" s="948"/>
      <c r="K346" s="948"/>
      <c r="L346" s="949"/>
    </row>
    <row r="347" spans="1:12" ht="11.25" customHeight="1">
      <c r="A347" s="23">
        <v>2</v>
      </c>
      <c r="B347" s="968" t="s">
        <v>256</v>
      </c>
      <c r="C347" s="969"/>
      <c r="D347" s="969"/>
      <c r="E347" s="969"/>
      <c r="F347" s="258" t="s">
        <v>257</v>
      </c>
      <c r="G347" s="242"/>
      <c r="H347" s="970" t="str">
        <f>'4-22Master'!F18</f>
        <v>N.Ananda</v>
      </c>
      <c r="I347" s="971"/>
      <c r="J347" s="971"/>
      <c r="K347" s="971"/>
      <c r="L347" s="972"/>
    </row>
    <row r="348" spans="1:12" ht="11.25" customHeight="1">
      <c r="A348" s="23"/>
      <c r="B348" s="243" t="s">
        <v>258</v>
      </c>
      <c r="C348" s="244"/>
      <c r="D348" s="244"/>
      <c r="E348" s="244"/>
      <c r="F348" s="244" t="s">
        <v>251</v>
      </c>
      <c r="G348" s="245"/>
      <c r="H348" s="973"/>
      <c r="I348" s="974"/>
      <c r="J348" s="974"/>
      <c r="K348" s="974"/>
      <c r="L348" s="975"/>
    </row>
    <row r="349" spans="1:12">
      <c r="A349" s="23">
        <v>3</v>
      </c>
      <c r="B349" s="259" t="s">
        <v>259</v>
      </c>
      <c r="C349" s="249"/>
      <c r="D349" s="249"/>
      <c r="E349" s="249"/>
      <c r="F349" s="249"/>
      <c r="G349" s="250"/>
      <c r="H349" s="955" t="e">
        <f>'4-22Master'!#REF!</f>
        <v>#REF!</v>
      </c>
      <c r="I349" s="956"/>
      <c r="J349" s="956"/>
      <c r="K349" s="956"/>
      <c r="L349" s="957"/>
    </row>
    <row r="350" spans="1:12">
      <c r="A350" s="23">
        <v>4</v>
      </c>
      <c r="B350" s="235" t="s">
        <v>260</v>
      </c>
      <c r="C350" s="77"/>
      <c r="D350" s="77"/>
      <c r="E350" s="77"/>
      <c r="F350" s="77"/>
      <c r="G350" s="78"/>
      <c r="H350" s="936" t="e">
        <f>'4-22Master'!#REF!</f>
        <v>#REF!</v>
      </c>
      <c r="I350" s="943"/>
      <c r="J350" s="943"/>
      <c r="K350" s="943"/>
      <c r="L350" s="937"/>
    </row>
    <row r="351" spans="1:12">
      <c r="A351" s="23">
        <v>5</v>
      </c>
      <c r="B351" s="958" t="s">
        <v>308</v>
      </c>
      <c r="C351" s="959"/>
      <c r="D351" s="959"/>
      <c r="E351" s="959"/>
      <c r="F351" s="959"/>
      <c r="G351" s="78"/>
      <c r="H351" s="947" t="s">
        <v>387</v>
      </c>
      <c r="I351" s="948"/>
      <c r="J351" s="948"/>
      <c r="K351" s="948"/>
      <c r="L351" s="949"/>
    </row>
    <row r="352" spans="1:12">
      <c r="A352" s="23">
        <v>6</v>
      </c>
      <c r="B352" s="248" t="s">
        <v>261</v>
      </c>
      <c r="C352" s="249" t="s">
        <v>262</v>
      </c>
      <c r="D352" s="249"/>
      <c r="E352" s="249"/>
      <c r="F352" s="249"/>
      <c r="G352" s="250"/>
      <c r="H352" s="259"/>
      <c r="I352" s="249"/>
      <c r="J352" s="249"/>
      <c r="K352" s="249"/>
      <c r="L352" s="287"/>
    </row>
    <row r="353" spans="1:12">
      <c r="A353" s="23"/>
      <c r="B353" s="248" t="s">
        <v>263</v>
      </c>
      <c r="C353" s="249" t="s">
        <v>264</v>
      </c>
      <c r="D353" s="249"/>
      <c r="E353" s="249"/>
      <c r="F353" s="249"/>
      <c r="G353" s="250"/>
      <c r="H353" s="259"/>
      <c r="I353" s="241"/>
      <c r="J353" s="241"/>
      <c r="K353" s="249"/>
      <c r="L353" s="287"/>
    </row>
    <row r="354" spans="1:12">
      <c r="A354" s="23">
        <v>7</v>
      </c>
      <c r="B354" s="955" t="s">
        <v>265</v>
      </c>
      <c r="C354" s="956"/>
      <c r="D354" s="956"/>
      <c r="E354" s="956"/>
      <c r="F354" s="956"/>
      <c r="G354" s="960"/>
      <c r="H354" s="263" t="s">
        <v>266</v>
      </c>
      <c r="I354" s="264"/>
      <c r="J354" s="265"/>
      <c r="K354" s="263" t="s">
        <v>267</v>
      </c>
      <c r="L354" s="288"/>
    </row>
    <row r="355" spans="1:12">
      <c r="A355" s="23">
        <v>8</v>
      </c>
      <c r="B355" s="955" t="s">
        <v>309</v>
      </c>
      <c r="C355" s="956"/>
      <c r="D355" s="956"/>
      <c r="E355" s="956"/>
      <c r="F355" s="956"/>
      <c r="G355" s="960"/>
      <c r="H355" s="263" t="s">
        <v>266</v>
      </c>
      <c r="I355" s="264"/>
      <c r="J355" s="265"/>
      <c r="K355" s="263" t="s">
        <v>267</v>
      </c>
      <c r="L355" s="288"/>
    </row>
    <row r="356" spans="1:12">
      <c r="A356" s="23"/>
      <c r="B356" s="235"/>
      <c r="C356" s="267"/>
      <c r="D356" s="267"/>
      <c r="E356" s="267"/>
      <c r="F356" s="267" t="s">
        <v>268</v>
      </c>
      <c r="G356" s="267"/>
      <c r="H356" s="267"/>
      <c r="I356" s="267"/>
      <c r="J356" s="267"/>
      <c r="K356" s="267"/>
      <c r="L356" s="289"/>
    </row>
    <row r="357" spans="1:12">
      <c r="A357" s="23">
        <v>9</v>
      </c>
      <c r="B357" s="248" t="s">
        <v>269</v>
      </c>
      <c r="C357" s="249" t="s">
        <v>270</v>
      </c>
      <c r="D357" s="249"/>
      <c r="E357" s="249"/>
      <c r="F357" s="249"/>
      <c r="G357" s="250"/>
      <c r="H357" s="259"/>
      <c r="I357" s="249"/>
      <c r="J357" s="249"/>
      <c r="K357" s="249"/>
      <c r="L357" s="287"/>
    </row>
    <row r="358" spans="1:12">
      <c r="A358" s="105"/>
      <c r="B358" s="248" t="s">
        <v>271</v>
      </c>
      <c r="C358" s="249" t="s">
        <v>272</v>
      </c>
      <c r="D358" s="249"/>
      <c r="E358" s="249"/>
      <c r="F358" s="249"/>
      <c r="G358" s="250"/>
      <c r="H358" s="259"/>
      <c r="I358" s="249"/>
      <c r="J358" s="249"/>
      <c r="K358" s="249"/>
      <c r="L358" s="287"/>
    </row>
    <row r="359" spans="1:12">
      <c r="A359" s="105"/>
      <c r="B359" s="248" t="s">
        <v>310</v>
      </c>
      <c r="C359" s="249" t="s">
        <v>311</v>
      </c>
      <c r="D359" s="249"/>
      <c r="E359" s="249"/>
      <c r="F359" s="249"/>
      <c r="G359" s="250"/>
      <c r="H359" s="259"/>
      <c r="I359" s="249"/>
      <c r="J359" s="249"/>
      <c r="K359" s="249"/>
      <c r="L359" s="287"/>
    </row>
    <row r="360" spans="1:12">
      <c r="A360" s="105"/>
      <c r="B360" s="248" t="s">
        <v>274</v>
      </c>
      <c r="C360" s="249" t="s">
        <v>275</v>
      </c>
      <c r="D360" s="249"/>
      <c r="E360" s="249"/>
      <c r="F360" s="249"/>
      <c r="G360" s="250"/>
      <c r="H360" s="259"/>
      <c r="I360" s="249"/>
      <c r="J360" s="249"/>
      <c r="K360" s="249"/>
      <c r="L360" s="287"/>
    </row>
    <row r="361" spans="1:12">
      <c r="A361" s="105"/>
      <c r="B361" s="248" t="s">
        <v>276</v>
      </c>
      <c r="C361" s="249" t="s">
        <v>277</v>
      </c>
      <c r="D361" s="249"/>
      <c r="E361" s="249"/>
      <c r="F361" s="249"/>
      <c r="G361" s="250"/>
      <c r="H361" s="259"/>
      <c r="I361" s="249"/>
      <c r="J361" s="249"/>
      <c r="K361" s="249"/>
      <c r="L361" s="287"/>
    </row>
    <row r="362" spans="1:12">
      <c r="A362" s="105">
        <v>10</v>
      </c>
      <c r="B362" s="248" t="s">
        <v>269</v>
      </c>
      <c r="C362" s="249" t="s">
        <v>312</v>
      </c>
      <c r="D362" s="249"/>
      <c r="E362" s="249"/>
      <c r="F362" s="249"/>
      <c r="G362" s="250"/>
      <c r="H362" s="263" t="s">
        <v>266</v>
      </c>
      <c r="I362" s="264"/>
      <c r="J362" s="265"/>
      <c r="K362" s="263" t="s">
        <v>267</v>
      </c>
      <c r="L362" s="288"/>
    </row>
    <row r="363" spans="1:12">
      <c r="A363" s="105"/>
      <c r="B363" s="248" t="s">
        <v>271</v>
      </c>
      <c r="C363" s="249" t="s">
        <v>313</v>
      </c>
      <c r="D363" s="249"/>
      <c r="E363" s="249"/>
      <c r="F363" s="249"/>
      <c r="G363" s="250"/>
      <c r="H363" s="259"/>
      <c r="I363" s="249"/>
      <c r="J363" s="249"/>
      <c r="K363" s="249"/>
      <c r="L363" s="287"/>
    </row>
    <row r="364" spans="1:12">
      <c r="A364" s="105"/>
      <c r="B364" s="248" t="s">
        <v>310</v>
      </c>
      <c r="C364" s="249" t="s">
        <v>278</v>
      </c>
      <c r="D364" s="249"/>
      <c r="E364" s="249"/>
      <c r="F364" s="249"/>
      <c r="G364" s="250"/>
      <c r="H364" s="259"/>
      <c r="I364" s="249"/>
      <c r="J364" s="249"/>
      <c r="K364" s="249"/>
      <c r="L364" s="287"/>
    </row>
    <row r="365" spans="1:12">
      <c r="A365" s="105"/>
      <c r="B365" s="248" t="s">
        <v>274</v>
      </c>
      <c r="C365" s="249" t="s">
        <v>314</v>
      </c>
      <c r="D365" s="249"/>
      <c r="E365" s="249"/>
      <c r="F365" s="249"/>
      <c r="G365" s="250"/>
      <c r="H365" s="259"/>
      <c r="I365" s="249"/>
      <c r="J365" s="249"/>
      <c r="K365" s="249"/>
      <c r="L365" s="287"/>
    </row>
    <row r="366" spans="1:12">
      <c r="A366" s="23"/>
      <c r="B366" s="235"/>
      <c r="C366" s="267"/>
      <c r="D366" s="267"/>
      <c r="E366" s="267" t="s">
        <v>315</v>
      </c>
      <c r="F366" s="267"/>
      <c r="G366" s="267"/>
      <c r="H366" s="267"/>
      <c r="I366" s="267"/>
      <c r="J366" s="267"/>
      <c r="K366" s="267"/>
      <c r="L366" s="289"/>
    </row>
    <row r="367" spans="1:12">
      <c r="A367" s="23">
        <v>11</v>
      </c>
      <c r="B367" s="248" t="s">
        <v>269</v>
      </c>
      <c r="C367" s="249" t="s">
        <v>279</v>
      </c>
      <c r="D367" s="249"/>
      <c r="E367" s="249"/>
      <c r="F367" s="249"/>
      <c r="G367" s="250"/>
      <c r="H367" s="259"/>
      <c r="I367" s="249"/>
      <c r="J367" s="249"/>
      <c r="K367" s="249"/>
      <c r="L367" s="287"/>
    </row>
    <row r="368" spans="1:12">
      <c r="A368" s="23"/>
      <c r="B368" s="248" t="s">
        <v>271</v>
      </c>
      <c r="C368" s="249" t="s">
        <v>280</v>
      </c>
      <c r="D368" s="249"/>
      <c r="E368" s="249"/>
      <c r="F368" s="249"/>
      <c r="G368" s="250"/>
      <c r="H368" s="259"/>
      <c r="I368" s="249"/>
      <c r="J368" s="249"/>
      <c r="K368" s="249"/>
      <c r="L368" s="287"/>
    </row>
    <row r="369" spans="1:12">
      <c r="A369" s="23"/>
      <c r="B369" s="248" t="s">
        <v>273</v>
      </c>
      <c r="C369" s="249" t="s">
        <v>281</v>
      </c>
      <c r="D369" s="249"/>
      <c r="E369" s="249"/>
      <c r="F369" s="249"/>
      <c r="G369" s="250"/>
      <c r="H369" s="259"/>
      <c r="I369" s="249"/>
      <c r="J369" s="249"/>
      <c r="K369" s="249"/>
      <c r="L369" s="287"/>
    </row>
    <row r="370" spans="1:12">
      <c r="A370" s="23"/>
      <c r="B370" s="223"/>
      <c r="C370" s="219"/>
      <c r="D370" s="219"/>
      <c r="E370" s="219"/>
      <c r="F370" s="268" t="s">
        <v>282</v>
      </c>
      <c r="G370" s="219"/>
      <c r="H370" s="208"/>
      <c r="I370" s="208"/>
      <c r="J370" s="208"/>
      <c r="K370" s="208"/>
      <c r="L370" s="226"/>
    </row>
    <row r="371" spans="1:12">
      <c r="A371" s="23"/>
      <c r="B371" s="280" t="s">
        <v>283</v>
      </c>
      <c r="C371" s="279" t="s">
        <v>284</v>
      </c>
      <c r="D371" s="219"/>
      <c r="E371" s="219"/>
      <c r="F371" s="219"/>
      <c r="G371" s="219"/>
      <c r="H371" s="208"/>
      <c r="I371" s="208"/>
      <c r="J371" s="209"/>
      <c r="K371" s="208"/>
      <c r="L371" s="226"/>
    </row>
    <row r="372" spans="1:12">
      <c r="A372" s="23"/>
      <c r="B372" s="280" t="s">
        <v>285</v>
      </c>
      <c r="C372" s="278" t="s">
        <v>286</v>
      </c>
      <c r="D372" s="208"/>
      <c r="E372" s="209"/>
      <c r="G372" s="961"/>
      <c r="H372" s="961"/>
      <c r="I372" s="224"/>
      <c r="J372" s="225"/>
      <c r="K372" s="961"/>
      <c r="L372" s="962"/>
    </row>
    <row r="373" spans="1:12">
      <c r="A373" s="23"/>
      <c r="B373" s="281" t="s">
        <v>287</v>
      </c>
      <c r="C373" s="963" t="s">
        <v>316</v>
      </c>
      <c r="D373" s="963"/>
      <c r="E373" s="963"/>
      <c r="F373" s="963"/>
      <c r="G373" s="963"/>
      <c r="H373" s="963"/>
      <c r="I373" s="963"/>
      <c r="J373" s="963"/>
      <c r="K373" s="963"/>
      <c r="L373" s="964"/>
    </row>
    <row r="374" spans="1:12" ht="27.95" customHeight="1">
      <c r="A374" s="23"/>
      <c r="B374" s="280" t="s">
        <v>288</v>
      </c>
      <c r="C374" s="279" t="s">
        <v>289</v>
      </c>
      <c r="D374" s="271"/>
      <c r="E374" s="271"/>
      <c r="F374" s="271"/>
      <c r="G374" s="271"/>
      <c r="H374" s="271"/>
      <c r="I374" s="271"/>
      <c r="J374" s="271"/>
      <c r="K374" s="271"/>
      <c r="L374" s="290"/>
    </row>
    <row r="375" spans="1:12" ht="27.95" customHeight="1">
      <c r="A375" s="23"/>
      <c r="B375" s="223"/>
      <c r="C375" t="s">
        <v>317</v>
      </c>
      <c r="D375" s="337">
        <f>'4-22Master'!O18</f>
        <v>44326</v>
      </c>
      <c r="E375" s="4"/>
      <c r="F375" s="4"/>
      <c r="G375" s="4"/>
      <c r="L375" s="24"/>
    </row>
    <row r="376" spans="1:12" ht="27.95" customHeight="1">
      <c r="A376" s="23"/>
      <c r="C376" t="s">
        <v>290</v>
      </c>
      <c r="D376" t="s">
        <v>379</v>
      </c>
      <c r="J376" t="s">
        <v>318</v>
      </c>
      <c r="L376" s="24"/>
    </row>
    <row r="377" spans="1:12" ht="27.95" customHeight="1">
      <c r="A377" s="23"/>
      <c r="F377" s="269" t="s">
        <v>291</v>
      </c>
      <c r="L377" s="24"/>
    </row>
    <row r="378" spans="1:12" ht="27.95" customHeight="1">
      <c r="A378" s="23" t="s">
        <v>319</v>
      </c>
      <c r="B378" t="s">
        <v>292</v>
      </c>
      <c r="E378" s="272" t="str">
        <f>'4-22Master'!C18</f>
        <v>Amith a</v>
      </c>
      <c r="H378" s="965" t="s">
        <v>293</v>
      </c>
      <c r="I378" s="965"/>
      <c r="J378" s="273">
        <f>'4-22Master'!O18</f>
        <v>44326</v>
      </c>
      <c r="K378" t="s">
        <v>294</v>
      </c>
      <c r="L378" s="24"/>
    </row>
    <row r="379" spans="1:12" ht="27.95" customHeight="1">
      <c r="A379" s="23"/>
      <c r="B379" s="976">
        <f>'4-22Master'!T18</f>
        <v>100081114505</v>
      </c>
      <c r="C379" s="977"/>
      <c r="D379" s="270"/>
      <c r="E379" s="270"/>
      <c r="F379" s="270"/>
      <c r="G379" s="270"/>
      <c r="H379" s="270"/>
      <c r="I379" s="270"/>
      <c r="J379" s="270"/>
      <c r="K379" s="270"/>
      <c r="L379" s="291"/>
    </row>
    <row r="380" spans="1:12" ht="27.95" customHeight="1">
      <c r="A380" s="23" t="s">
        <v>321</v>
      </c>
      <c r="B380" s="270" t="s">
        <v>295</v>
      </c>
      <c r="C380" s="270"/>
      <c r="D380" s="270"/>
      <c r="E380" s="270"/>
      <c r="F380" s="270"/>
      <c r="G380" s="270"/>
      <c r="H380" s="270"/>
      <c r="I380" s="270"/>
      <c r="J380" s="270"/>
      <c r="K380" s="270"/>
      <c r="L380" s="291"/>
    </row>
    <row r="381" spans="1:12" ht="27.95" customHeight="1">
      <c r="A381" s="23"/>
      <c r="B381" s="270" t="s">
        <v>320</v>
      </c>
      <c r="C381" s="270"/>
      <c r="D381" s="270"/>
      <c r="E381" s="270"/>
      <c r="F381" s="270"/>
      <c r="G381" s="270"/>
      <c r="H381" s="270"/>
      <c r="I381" s="270"/>
      <c r="J381" s="270"/>
      <c r="K381" s="270"/>
      <c r="L381" s="291"/>
    </row>
    <row r="382" spans="1:12" ht="27.95" customHeight="1">
      <c r="A382" s="23"/>
      <c r="B382" t="s">
        <v>296</v>
      </c>
      <c r="L382" s="24"/>
    </row>
    <row r="383" spans="1:12" ht="27.95" customHeight="1">
      <c r="A383" s="23"/>
      <c r="B383" s="4" t="s">
        <v>297</v>
      </c>
      <c r="F383" s="222"/>
      <c r="L383" s="24"/>
    </row>
    <row r="384" spans="1:12" ht="27.95" customHeight="1">
      <c r="A384" s="23"/>
      <c r="B384" s="4" t="s">
        <v>298</v>
      </c>
      <c r="L384" s="24"/>
    </row>
    <row r="385" spans="1:12" ht="27.95" customHeight="1">
      <c r="A385" s="23"/>
      <c r="B385" t="s">
        <v>299</v>
      </c>
      <c r="L385" s="24"/>
    </row>
    <row r="386" spans="1:12" ht="27.95" customHeight="1">
      <c r="A386" s="23"/>
      <c r="B386" t="s">
        <v>300</v>
      </c>
      <c r="L386" s="24"/>
    </row>
    <row r="387" spans="1:12" ht="27.95" customHeight="1">
      <c r="A387" s="23" t="s">
        <v>310</v>
      </c>
      <c r="B387" t="s">
        <v>301</v>
      </c>
      <c r="L387" s="24"/>
    </row>
    <row r="388" spans="1:12" ht="27.95" customHeight="1">
      <c r="A388" s="23"/>
      <c r="B388" s="282" t="s">
        <v>322</v>
      </c>
      <c r="L388" s="24"/>
    </row>
    <row r="389" spans="1:12" ht="27.95" customHeight="1">
      <c r="A389" s="23"/>
      <c r="B389" t="s">
        <v>296</v>
      </c>
      <c r="L389" s="24"/>
    </row>
    <row r="390" spans="1:12" ht="27.95" customHeight="1">
      <c r="A390" s="23"/>
      <c r="B390" t="s">
        <v>302</v>
      </c>
      <c r="L390" s="24"/>
    </row>
    <row r="391" spans="1:12">
      <c r="A391" s="23"/>
      <c r="B391" t="s">
        <v>303</v>
      </c>
      <c r="L391" s="24"/>
    </row>
    <row r="392" spans="1:12">
      <c r="A392" s="23"/>
      <c r="B392" s="978" t="s">
        <v>304</v>
      </c>
      <c r="C392" s="978"/>
      <c r="D392" s="978"/>
      <c r="E392" s="978"/>
      <c r="F392" s="978"/>
      <c r="G392" s="978"/>
      <c r="H392" s="978"/>
      <c r="I392" s="978"/>
      <c r="J392" s="978"/>
      <c r="K392" s="978"/>
      <c r="L392" s="979"/>
    </row>
    <row r="393" spans="1:12" ht="23.25">
      <c r="A393" s="23"/>
      <c r="B393" t="s">
        <v>216</v>
      </c>
      <c r="C393" s="332">
        <f>'4-22Master'!O18</f>
        <v>44326</v>
      </c>
      <c r="D393" s="252"/>
      <c r="E393" s="252"/>
      <c r="F393" s="252"/>
      <c r="G393" s="252"/>
      <c r="H393" s="252"/>
      <c r="I393" t="s">
        <v>323</v>
      </c>
      <c r="J393" s="252"/>
      <c r="K393" s="252"/>
      <c r="L393" s="283"/>
    </row>
    <row r="394" spans="1:12" ht="16.5" thickBot="1">
      <c r="A394" s="35"/>
      <c r="B394" s="802"/>
      <c r="C394" s="802"/>
      <c r="D394" s="802"/>
      <c r="E394" s="802"/>
      <c r="F394" s="802"/>
      <c r="G394" s="802"/>
      <c r="H394" s="802"/>
      <c r="I394" s="802"/>
      <c r="J394" s="802"/>
      <c r="K394" s="802"/>
      <c r="L394" s="803"/>
    </row>
    <row r="395" spans="1:12" ht="24" thickBot="1">
      <c r="B395" s="800"/>
      <c r="C395" s="800"/>
      <c r="D395" s="800"/>
      <c r="E395" s="800"/>
      <c r="F395" s="800"/>
      <c r="G395" s="800"/>
      <c r="H395" s="800"/>
      <c r="I395" s="800"/>
      <c r="J395" s="800"/>
      <c r="K395" s="800"/>
      <c r="L395" s="800"/>
    </row>
    <row r="396" spans="1:12">
      <c r="A396" s="94"/>
      <c r="B396" s="95"/>
      <c r="C396" s="95"/>
      <c r="D396" s="95"/>
      <c r="E396" s="95"/>
      <c r="F396" s="95"/>
      <c r="G396" s="95"/>
      <c r="H396" s="95"/>
      <c r="I396" s="99" t="s">
        <v>250</v>
      </c>
      <c r="J396" s="95"/>
      <c r="K396" s="95"/>
      <c r="L396" s="96"/>
    </row>
    <row r="397" spans="1:12" ht="15" customHeight="1">
      <c r="A397" s="23"/>
      <c r="B397" s="966" t="s">
        <v>305</v>
      </c>
      <c r="C397" s="966"/>
      <c r="D397" s="966"/>
      <c r="E397" s="966"/>
      <c r="F397" s="966"/>
      <c r="G397" s="966"/>
      <c r="H397" s="966"/>
      <c r="I397" s="966"/>
      <c r="J397" s="966"/>
      <c r="K397" s="966"/>
      <c r="L397" s="967"/>
    </row>
    <row r="398" spans="1:12" ht="23.25">
      <c r="A398" s="23"/>
      <c r="B398" s="252"/>
      <c r="C398" s="252"/>
      <c r="D398" s="260" t="s">
        <v>252</v>
      </c>
      <c r="E398" s="252"/>
      <c r="F398" s="252"/>
      <c r="G398" s="252"/>
      <c r="H398" s="252"/>
      <c r="I398" s="254" t="s">
        <v>306</v>
      </c>
      <c r="J398" s="255"/>
      <c r="K398" s="336" t="e">
        <f>'4-22Master'!#REF!</f>
        <v>#REF!</v>
      </c>
      <c r="L398" s="285"/>
    </row>
    <row r="399" spans="1:12" ht="15.75">
      <c r="A399" s="23"/>
      <c r="B399" s="2"/>
      <c r="C399" s="2" t="s">
        <v>253</v>
      </c>
      <c r="E399" s="2"/>
      <c r="F399" s="2"/>
      <c r="G399" s="2"/>
      <c r="H399" s="2"/>
      <c r="I399" s="253" t="s">
        <v>307</v>
      </c>
      <c r="J399" s="274" t="str">
        <f>'4-22Master'!G5</f>
        <v>Burgeon IT Services Pvt.Ltd.</v>
      </c>
      <c r="K399" s="256"/>
      <c r="L399" s="286"/>
    </row>
    <row r="400" spans="1:12">
      <c r="A400" s="23"/>
      <c r="B400" s="261"/>
      <c r="C400" s="230" t="s">
        <v>254</v>
      </c>
      <c r="E400" s="261"/>
      <c r="F400" s="261"/>
      <c r="H400" s="231"/>
      <c r="I400" s="277" t="str">
        <f>'4-22Master'!G6</f>
        <v>Siri Mansion LIGB 436 Dr.A S Rao Nagar,Hyderabad</v>
      </c>
      <c r="J400" s="275"/>
      <c r="K400" s="276"/>
      <c r="L400" s="240"/>
    </row>
    <row r="401" spans="1:12">
      <c r="A401" s="23"/>
      <c r="L401" s="24"/>
    </row>
    <row r="402" spans="1:12">
      <c r="A402" s="23">
        <v>1</v>
      </c>
      <c r="B402" s="257" t="s">
        <v>255</v>
      </c>
      <c r="C402" s="77"/>
      <c r="D402" s="77"/>
      <c r="E402" s="77"/>
      <c r="F402" s="77"/>
      <c r="G402" s="78"/>
      <c r="H402" s="938" t="e">
        <f>'4-22Master'!#REF!</f>
        <v>#REF!</v>
      </c>
      <c r="I402" s="948"/>
      <c r="J402" s="948"/>
      <c r="K402" s="948"/>
      <c r="L402" s="949"/>
    </row>
    <row r="403" spans="1:12">
      <c r="A403" s="23">
        <v>2</v>
      </c>
      <c r="B403" s="968" t="s">
        <v>256</v>
      </c>
      <c r="C403" s="969"/>
      <c r="D403" s="969"/>
      <c r="E403" s="969"/>
      <c r="F403" s="258" t="s">
        <v>257</v>
      </c>
      <c r="G403" s="242"/>
      <c r="H403" s="970" t="e">
        <f>'4-22Master'!#REF!</f>
        <v>#REF!</v>
      </c>
      <c r="I403" s="971"/>
      <c r="J403" s="971"/>
      <c r="K403" s="971"/>
      <c r="L403" s="972"/>
    </row>
    <row r="404" spans="1:12">
      <c r="A404" s="23"/>
      <c r="B404" s="243" t="s">
        <v>258</v>
      </c>
      <c r="C404" s="244"/>
      <c r="D404" s="244"/>
      <c r="E404" s="244"/>
      <c r="F404" s="244" t="s">
        <v>251</v>
      </c>
      <c r="G404" s="245"/>
      <c r="H404" s="973"/>
      <c r="I404" s="974"/>
      <c r="J404" s="974"/>
      <c r="K404" s="974"/>
      <c r="L404" s="975"/>
    </row>
    <row r="405" spans="1:12">
      <c r="A405" s="23">
        <v>3</v>
      </c>
      <c r="B405" s="259" t="s">
        <v>259</v>
      </c>
      <c r="C405" s="249"/>
      <c r="D405" s="249"/>
      <c r="E405" s="249"/>
      <c r="F405" s="249"/>
      <c r="G405" s="250"/>
      <c r="H405" s="955" t="e">
        <f>'4-22Master'!#REF!</f>
        <v>#REF!</v>
      </c>
      <c r="I405" s="956"/>
      <c r="J405" s="956"/>
      <c r="K405" s="956"/>
      <c r="L405" s="957"/>
    </row>
    <row r="406" spans="1:12">
      <c r="A406" s="23">
        <v>4</v>
      </c>
      <c r="B406" s="235" t="s">
        <v>260</v>
      </c>
      <c r="C406" s="77"/>
      <c r="D406" s="77"/>
      <c r="E406" s="77"/>
      <c r="F406" s="77"/>
      <c r="G406" s="78"/>
      <c r="H406" s="936" t="e">
        <f>'4-22Master'!#REF!</f>
        <v>#REF!</v>
      </c>
      <c r="I406" s="943"/>
      <c r="J406" s="943"/>
      <c r="K406" s="943"/>
      <c r="L406" s="937"/>
    </row>
    <row r="407" spans="1:12">
      <c r="A407" s="23">
        <v>5</v>
      </c>
      <c r="B407" s="958" t="s">
        <v>308</v>
      </c>
      <c r="C407" s="959"/>
      <c r="D407" s="959"/>
      <c r="E407" s="959"/>
      <c r="F407" s="959"/>
      <c r="G407" s="78"/>
      <c r="H407" s="947" t="s">
        <v>387</v>
      </c>
      <c r="I407" s="948"/>
      <c r="J407" s="948"/>
      <c r="K407" s="948"/>
      <c r="L407" s="949"/>
    </row>
    <row r="408" spans="1:12">
      <c r="A408" s="23">
        <v>6</v>
      </c>
      <c r="B408" s="248" t="s">
        <v>261</v>
      </c>
      <c r="C408" s="249" t="s">
        <v>262</v>
      </c>
      <c r="D408" s="249"/>
      <c r="E408" s="249"/>
      <c r="F408" s="249"/>
      <c r="G408" s="250"/>
      <c r="H408" s="259"/>
      <c r="I408" s="249"/>
      <c r="J408" s="249"/>
      <c r="K408" s="249"/>
      <c r="L408" s="287"/>
    </row>
    <row r="409" spans="1:12">
      <c r="A409" s="23"/>
      <c r="B409" s="248" t="s">
        <v>263</v>
      </c>
      <c r="C409" s="249" t="s">
        <v>264</v>
      </c>
      <c r="D409" s="249"/>
      <c r="E409" s="249"/>
      <c r="F409" s="249"/>
      <c r="G409" s="250"/>
      <c r="H409" s="259"/>
      <c r="I409" s="241"/>
      <c r="J409" s="241"/>
      <c r="K409" s="249"/>
      <c r="L409" s="287"/>
    </row>
    <row r="410" spans="1:12">
      <c r="A410" s="23">
        <v>7</v>
      </c>
      <c r="B410" s="955" t="s">
        <v>265</v>
      </c>
      <c r="C410" s="956"/>
      <c r="D410" s="956"/>
      <c r="E410" s="956"/>
      <c r="F410" s="956"/>
      <c r="G410" s="960"/>
      <c r="H410" s="263" t="s">
        <v>266</v>
      </c>
      <c r="I410" s="264"/>
      <c r="J410" s="265"/>
      <c r="K410" s="263" t="s">
        <v>267</v>
      </c>
      <c r="L410" s="288"/>
    </row>
    <row r="411" spans="1:12">
      <c r="A411" s="23">
        <v>8</v>
      </c>
      <c r="B411" s="955" t="s">
        <v>309</v>
      </c>
      <c r="C411" s="956"/>
      <c r="D411" s="956"/>
      <c r="E411" s="956"/>
      <c r="F411" s="956"/>
      <c r="G411" s="960"/>
      <c r="H411" s="263" t="s">
        <v>266</v>
      </c>
      <c r="I411" s="264"/>
      <c r="J411" s="265"/>
      <c r="K411" s="263" t="s">
        <v>267</v>
      </c>
      <c r="L411" s="288"/>
    </row>
    <row r="412" spans="1:12" ht="27.95" customHeight="1">
      <c r="A412" s="23"/>
      <c r="B412" s="235"/>
      <c r="C412" s="267"/>
      <c r="D412" s="267"/>
      <c r="E412" s="267"/>
      <c r="F412" s="267" t="s">
        <v>268</v>
      </c>
      <c r="G412" s="267"/>
      <c r="H412" s="267"/>
      <c r="I412" s="267"/>
      <c r="J412" s="267"/>
      <c r="K412" s="267"/>
      <c r="L412" s="289"/>
    </row>
    <row r="413" spans="1:12" ht="27.95" customHeight="1">
      <c r="A413" s="23">
        <v>9</v>
      </c>
      <c r="B413" s="248" t="s">
        <v>269</v>
      </c>
      <c r="C413" s="249" t="s">
        <v>270</v>
      </c>
      <c r="D413" s="249"/>
      <c r="E413" s="249"/>
      <c r="F413" s="249"/>
      <c r="G413" s="250"/>
      <c r="H413" s="259"/>
      <c r="I413" s="249"/>
      <c r="J413" s="249"/>
      <c r="K413" s="249"/>
      <c r="L413" s="287"/>
    </row>
    <row r="414" spans="1:12" ht="27.95" customHeight="1">
      <c r="A414" s="105"/>
      <c r="B414" s="248" t="s">
        <v>271</v>
      </c>
      <c r="C414" s="249" t="s">
        <v>272</v>
      </c>
      <c r="D414" s="249"/>
      <c r="E414" s="249"/>
      <c r="F414" s="249"/>
      <c r="G414" s="250"/>
      <c r="H414" s="259"/>
      <c r="I414" s="249"/>
      <c r="J414" s="249"/>
      <c r="K414" s="249"/>
      <c r="L414" s="287"/>
    </row>
    <row r="415" spans="1:12" ht="27.95" customHeight="1">
      <c r="A415" s="105"/>
      <c r="B415" s="248" t="s">
        <v>310</v>
      </c>
      <c r="C415" s="249" t="s">
        <v>311</v>
      </c>
      <c r="D415" s="249"/>
      <c r="E415" s="249"/>
      <c r="F415" s="249"/>
      <c r="G415" s="250"/>
      <c r="H415" s="259"/>
      <c r="I415" s="249"/>
      <c r="J415" s="249"/>
      <c r="K415" s="249"/>
      <c r="L415" s="287"/>
    </row>
    <row r="416" spans="1:12" ht="27.95" customHeight="1">
      <c r="A416" s="105"/>
      <c r="B416" s="248" t="s">
        <v>274</v>
      </c>
      <c r="C416" s="249" t="s">
        <v>275</v>
      </c>
      <c r="D416" s="249"/>
      <c r="E416" s="249"/>
      <c r="F416" s="249"/>
      <c r="G416" s="250"/>
      <c r="H416" s="259"/>
      <c r="I416" s="249"/>
      <c r="J416" s="249"/>
      <c r="K416" s="249"/>
      <c r="L416" s="287"/>
    </row>
    <row r="417" spans="1:12" ht="27.95" customHeight="1">
      <c r="A417" s="105"/>
      <c r="B417" s="248" t="s">
        <v>276</v>
      </c>
      <c r="C417" s="249" t="s">
        <v>277</v>
      </c>
      <c r="D417" s="249"/>
      <c r="E417" s="249"/>
      <c r="F417" s="249"/>
      <c r="G417" s="250"/>
      <c r="H417" s="259"/>
      <c r="I417" s="249"/>
      <c r="J417" s="249"/>
      <c r="K417" s="249"/>
      <c r="L417" s="287"/>
    </row>
    <row r="418" spans="1:12" ht="27.95" customHeight="1">
      <c r="A418" s="105">
        <v>10</v>
      </c>
      <c r="B418" s="248" t="s">
        <v>269</v>
      </c>
      <c r="C418" s="249" t="s">
        <v>312</v>
      </c>
      <c r="D418" s="249"/>
      <c r="E418" s="249"/>
      <c r="F418" s="249"/>
      <c r="G418" s="250"/>
      <c r="H418" s="263" t="s">
        <v>266</v>
      </c>
      <c r="I418" s="264"/>
      <c r="J418" s="265"/>
      <c r="K418" s="263" t="s">
        <v>267</v>
      </c>
      <c r="L418" s="288"/>
    </row>
    <row r="419" spans="1:12" ht="27.95" customHeight="1">
      <c r="A419" s="105"/>
      <c r="B419" s="248" t="s">
        <v>271</v>
      </c>
      <c r="C419" s="249" t="s">
        <v>313</v>
      </c>
      <c r="D419" s="249"/>
      <c r="E419" s="249"/>
      <c r="F419" s="249"/>
      <c r="G419" s="250"/>
      <c r="H419" s="259"/>
      <c r="I419" s="249"/>
      <c r="J419" s="249"/>
      <c r="K419" s="249"/>
      <c r="L419" s="287"/>
    </row>
    <row r="420" spans="1:12" ht="27.95" customHeight="1">
      <c r="A420" s="105"/>
      <c r="B420" s="248" t="s">
        <v>310</v>
      </c>
      <c r="C420" s="249" t="s">
        <v>278</v>
      </c>
      <c r="D420" s="249"/>
      <c r="E420" s="249"/>
      <c r="F420" s="249"/>
      <c r="G420" s="250"/>
      <c r="H420" s="259"/>
      <c r="I420" s="249"/>
      <c r="J420" s="249"/>
      <c r="K420" s="249"/>
      <c r="L420" s="287"/>
    </row>
    <row r="421" spans="1:12" ht="27.95" customHeight="1">
      <c r="A421" s="105"/>
      <c r="B421" s="248" t="s">
        <v>274</v>
      </c>
      <c r="C421" s="249" t="s">
        <v>314</v>
      </c>
      <c r="D421" s="249"/>
      <c r="E421" s="249"/>
      <c r="F421" s="249"/>
      <c r="G421" s="250"/>
      <c r="H421" s="259"/>
      <c r="I421" s="249"/>
      <c r="J421" s="249"/>
      <c r="K421" s="249"/>
      <c r="L421" s="287"/>
    </row>
    <row r="422" spans="1:12" ht="27.95" customHeight="1">
      <c r="A422" s="23"/>
      <c r="B422" s="235"/>
      <c r="C422" s="267"/>
      <c r="D422" s="267"/>
      <c r="E422" s="267" t="s">
        <v>315</v>
      </c>
      <c r="F422" s="267"/>
      <c r="G422" s="267"/>
      <c r="H422" s="267"/>
      <c r="I422" s="267"/>
      <c r="J422" s="267"/>
      <c r="K422" s="267"/>
      <c r="L422" s="289"/>
    </row>
    <row r="423" spans="1:12" ht="27.95" customHeight="1">
      <c r="A423" s="23">
        <v>11</v>
      </c>
      <c r="B423" s="248" t="s">
        <v>269</v>
      </c>
      <c r="C423" s="249" t="s">
        <v>279</v>
      </c>
      <c r="D423" s="249"/>
      <c r="E423" s="249"/>
      <c r="F423" s="249"/>
      <c r="G423" s="250"/>
      <c r="H423" s="259"/>
      <c r="I423" s="249"/>
      <c r="J423" s="249"/>
      <c r="K423" s="249"/>
      <c r="L423" s="287"/>
    </row>
    <row r="424" spans="1:12" ht="27.95" customHeight="1">
      <c r="A424" s="23"/>
      <c r="B424" s="248" t="s">
        <v>271</v>
      </c>
      <c r="C424" s="249" t="s">
        <v>280</v>
      </c>
      <c r="D424" s="249"/>
      <c r="E424" s="249"/>
      <c r="F424" s="249"/>
      <c r="G424" s="250"/>
      <c r="H424" s="259"/>
      <c r="I424" s="249"/>
      <c r="J424" s="249"/>
      <c r="K424" s="249"/>
      <c r="L424" s="287"/>
    </row>
    <row r="425" spans="1:12" ht="27.95" customHeight="1">
      <c r="A425" s="23"/>
      <c r="B425" s="248" t="s">
        <v>273</v>
      </c>
      <c r="C425" s="249" t="s">
        <v>281</v>
      </c>
      <c r="D425" s="249"/>
      <c r="E425" s="249"/>
      <c r="F425" s="249"/>
      <c r="G425" s="250"/>
      <c r="H425" s="259"/>
      <c r="I425" s="249"/>
      <c r="J425" s="249"/>
      <c r="K425" s="249"/>
      <c r="L425" s="287"/>
    </row>
    <row r="426" spans="1:12" ht="27.95" customHeight="1">
      <c r="A426" s="23"/>
      <c r="B426" s="223"/>
      <c r="C426" s="219"/>
      <c r="D426" s="219"/>
      <c r="E426" s="219"/>
      <c r="F426" s="268" t="s">
        <v>282</v>
      </c>
      <c r="G426" s="219"/>
      <c r="H426" s="208"/>
      <c r="I426" s="208"/>
      <c r="J426" s="208"/>
      <c r="K426" s="208"/>
      <c r="L426" s="226"/>
    </row>
    <row r="427" spans="1:12" ht="27.95" customHeight="1">
      <c r="A427" s="23"/>
      <c r="B427" s="280" t="s">
        <v>283</v>
      </c>
      <c r="C427" s="279" t="s">
        <v>284</v>
      </c>
      <c r="D427" s="219"/>
      <c r="E427" s="219"/>
      <c r="F427" s="219"/>
      <c r="G427" s="219"/>
      <c r="H427" s="208"/>
      <c r="I427" s="208"/>
      <c r="J427" s="209"/>
      <c r="K427" s="208"/>
      <c r="L427" s="226"/>
    </row>
    <row r="428" spans="1:12" ht="27.95" customHeight="1">
      <c r="A428" s="23"/>
      <c r="B428" s="280" t="s">
        <v>285</v>
      </c>
      <c r="C428" s="278" t="s">
        <v>286</v>
      </c>
      <c r="D428" s="208"/>
      <c r="E428" s="209"/>
      <c r="G428" s="961"/>
      <c r="H428" s="961"/>
      <c r="I428" s="224"/>
      <c r="J428" s="225"/>
      <c r="K428" s="961"/>
      <c r="L428" s="962"/>
    </row>
    <row r="429" spans="1:12" ht="27.95" customHeight="1">
      <c r="A429" s="23"/>
      <c r="B429" s="281" t="s">
        <v>287</v>
      </c>
      <c r="C429" s="963" t="s">
        <v>316</v>
      </c>
      <c r="D429" s="963"/>
      <c r="E429" s="963"/>
      <c r="F429" s="963"/>
      <c r="G429" s="963"/>
      <c r="H429" s="963"/>
      <c r="I429" s="963"/>
      <c r="J429" s="963"/>
      <c r="K429" s="963"/>
      <c r="L429" s="964"/>
    </row>
    <row r="430" spans="1:12">
      <c r="A430" s="23"/>
      <c r="B430" s="280" t="s">
        <v>288</v>
      </c>
      <c r="C430" s="279" t="s">
        <v>289</v>
      </c>
      <c r="D430" s="271"/>
      <c r="E430" s="271"/>
      <c r="F430" s="271"/>
      <c r="G430" s="271"/>
      <c r="H430" s="271"/>
      <c r="I430" s="271"/>
      <c r="J430" s="271"/>
      <c r="K430" s="271"/>
      <c r="L430" s="290"/>
    </row>
    <row r="431" spans="1:12">
      <c r="A431" s="23"/>
      <c r="B431" s="223"/>
      <c r="C431" t="s">
        <v>317</v>
      </c>
      <c r="D431" s="337" t="e">
        <f>'4-22Master'!#REF!</f>
        <v>#REF!</v>
      </c>
      <c r="E431" s="4"/>
      <c r="F431" s="4"/>
      <c r="G431" s="4"/>
      <c r="L431" s="24"/>
    </row>
    <row r="432" spans="1:12">
      <c r="A432" s="23"/>
      <c r="C432" t="s">
        <v>290</v>
      </c>
      <c r="D432" t="s">
        <v>379</v>
      </c>
      <c r="J432" t="s">
        <v>318</v>
      </c>
      <c r="L432" s="24"/>
    </row>
    <row r="433" spans="1:12">
      <c r="A433" s="23"/>
      <c r="F433" s="269" t="s">
        <v>291</v>
      </c>
      <c r="L433" s="24"/>
    </row>
    <row r="434" spans="1:12">
      <c r="A434" s="23" t="s">
        <v>319</v>
      </c>
      <c r="B434" t="s">
        <v>292</v>
      </c>
      <c r="E434" s="272" t="e">
        <f>'4-22Master'!#REF!</f>
        <v>#REF!</v>
      </c>
      <c r="H434" s="965" t="s">
        <v>293</v>
      </c>
      <c r="I434" s="965"/>
      <c r="J434" s="273" t="e">
        <f>'4-22Master'!#REF!</f>
        <v>#REF!</v>
      </c>
      <c r="K434" t="s">
        <v>294</v>
      </c>
      <c r="L434" s="24"/>
    </row>
    <row r="435" spans="1:12">
      <c r="A435" s="23"/>
      <c r="B435" s="976" t="e">
        <f>'4-22Master'!#REF!</f>
        <v>#REF!</v>
      </c>
      <c r="C435" s="977"/>
      <c r="D435" s="270"/>
      <c r="E435" s="270"/>
      <c r="F435" s="270"/>
      <c r="G435" s="270"/>
      <c r="H435" s="270"/>
      <c r="I435" s="270"/>
      <c r="J435" s="270"/>
      <c r="K435" s="270"/>
      <c r="L435" s="291"/>
    </row>
    <row r="436" spans="1:12" ht="15" customHeight="1">
      <c r="A436" s="23" t="s">
        <v>321</v>
      </c>
      <c r="B436" s="270" t="s">
        <v>295</v>
      </c>
      <c r="C436" s="270"/>
      <c r="D436" s="270"/>
      <c r="E436" s="270"/>
      <c r="F436" s="270"/>
      <c r="G436" s="270"/>
      <c r="H436" s="270"/>
      <c r="I436" s="270"/>
      <c r="J436" s="270"/>
      <c r="K436" s="270"/>
      <c r="L436" s="291"/>
    </row>
    <row r="437" spans="1:12">
      <c r="A437" s="23"/>
      <c r="B437" s="270" t="s">
        <v>320</v>
      </c>
      <c r="C437" s="270"/>
      <c r="D437" s="270"/>
      <c r="E437" s="270"/>
      <c r="F437" s="270"/>
      <c r="G437" s="270"/>
      <c r="H437" s="270"/>
      <c r="I437" s="270"/>
      <c r="J437" s="270"/>
      <c r="K437" s="270"/>
      <c r="L437" s="291"/>
    </row>
    <row r="438" spans="1:12">
      <c r="A438" s="23"/>
      <c r="B438" t="s">
        <v>296</v>
      </c>
      <c r="L438" s="24"/>
    </row>
    <row r="439" spans="1:12" ht="18.75">
      <c r="A439" s="23"/>
      <c r="B439" s="4" t="s">
        <v>297</v>
      </c>
      <c r="F439" s="222"/>
      <c r="L439" s="24"/>
    </row>
    <row r="440" spans="1:12">
      <c r="A440" s="23"/>
      <c r="B440" s="4" t="s">
        <v>298</v>
      </c>
      <c r="L440" s="24"/>
    </row>
    <row r="441" spans="1:12">
      <c r="A441" s="23"/>
      <c r="B441" t="s">
        <v>299</v>
      </c>
      <c r="L441" s="24"/>
    </row>
    <row r="442" spans="1:12">
      <c r="A442" s="23"/>
      <c r="B442" t="s">
        <v>300</v>
      </c>
      <c r="L442" s="24"/>
    </row>
    <row r="443" spans="1:12">
      <c r="A443" s="23" t="s">
        <v>310</v>
      </c>
      <c r="B443" t="s">
        <v>301</v>
      </c>
      <c r="L443" s="24"/>
    </row>
    <row r="444" spans="1:12">
      <c r="A444" s="23"/>
      <c r="B444" s="282" t="s">
        <v>322</v>
      </c>
      <c r="L444" s="24"/>
    </row>
    <row r="445" spans="1:12">
      <c r="A445" s="23"/>
      <c r="B445" t="s">
        <v>296</v>
      </c>
      <c r="L445" s="24"/>
    </row>
    <row r="446" spans="1:12">
      <c r="A446" s="23"/>
      <c r="B446" t="s">
        <v>302</v>
      </c>
      <c r="L446" s="24"/>
    </row>
    <row r="447" spans="1:12">
      <c r="A447" s="23"/>
      <c r="B447" t="s">
        <v>303</v>
      </c>
      <c r="L447" s="24"/>
    </row>
    <row r="448" spans="1:12">
      <c r="A448" s="23"/>
      <c r="B448" s="978" t="s">
        <v>304</v>
      </c>
      <c r="C448" s="978"/>
      <c r="D448" s="978"/>
      <c r="E448" s="978"/>
      <c r="F448" s="978"/>
      <c r="G448" s="978"/>
      <c r="H448" s="978"/>
      <c r="I448" s="978"/>
      <c r="J448" s="978"/>
      <c r="K448" s="978"/>
      <c r="L448" s="979"/>
    </row>
    <row r="449" spans="1:12" ht="23.25">
      <c r="A449" s="23"/>
      <c r="B449" t="s">
        <v>216</v>
      </c>
      <c r="C449" s="332" t="e">
        <f>'4-22Master'!#REF!</f>
        <v>#REF!</v>
      </c>
      <c r="D449" s="252"/>
      <c r="E449" s="252"/>
      <c r="F449" s="252"/>
      <c r="G449" s="252"/>
      <c r="H449" s="252"/>
      <c r="I449" t="s">
        <v>323</v>
      </c>
      <c r="J449" s="252"/>
      <c r="K449" s="252"/>
      <c r="L449" s="283"/>
    </row>
    <row r="450" spans="1:12" ht="16.5" thickBot="1">
      <c r="A450" s="35"/>
      <c r="B450" s="802"/>
      <c r="C450" s="802"/>
      <c r="D450" s="802"/>
      <c r="E450" s="802"/>
      <c r="F450" s="802"/>
      <c r="G450" s="802"/>
      <c r="H450" s="802"/>
      <c r="I450" s="802"/>
      <c r="J450" s="802"/>
      <c r="K450" s="802"/>
      <c r="L450" s="803"/>
    </row>
    <row r="451" spans="1:12" ht="21.75" customHeight="1">
      <c r="A451" s="94"/>
      <c r="B451" s="95"/>
      <c r="C451" s="95"/>
      <c r="D451" s="95"/>
      <c r="E451" s="95"/>
      <c r="F451" s="95"/>
      <c r="G451" s="95"/>
      <c r="H451" s="95"/>
      <c r="I451" s="99" t="s">
        <v>250</v>
      </c>
      <c r="J451" s="95"/>
      <c r="K451" s="95"/>
      <c r="L451" s="96"/>
    </row>
    <row r="452" spans="1:12" ht="12" customHeight="1">
      <c r="A452" s="23"/>
      <c r="B452" s="966" t="s">
        <v>305</v>
      </c>
      <c r="C452" s="966"/>
      <c r="D452" s="966"/>
      <c r="E452" s="966"/>
      <c r="F452" s="966"/>
      <c r="G452" s="966"/>
      <c r="H452" s="966"/>
      <c r="I452" s="966"/>
      <c r="J452" s="966"/>
      <c r="K452" s="966"/>
      <c r="L452" s="967"/>
    </row>
    <row r="453" spans="1:12" ht="27.95" customHeight="1">
      <c r="A453" s="23"/>
      <c r="B453" s="252"/>
      <c r="C453" s="252"/>
      <c r="D453" s="260" t="s">
        <v>252</v>
      </c>
      <c r="E453" s="252"/>
      <c r="F453" s="252"/>
      <c r="G453" s="252"/>
      <c r="H453" s="252"/>
      <c r="I453" s="254" t="s">
        <v>306</v>
      </c>
      <c r="J453" s="255"/>
      <c r="K453" s="336" t="e">
        <f>'4-22Master'!#REF!</f>
        <v>#REF!</v>
      </c>
      <c r="L453" s="285"/>
    </row>
    <row r="454" spans="1:12" ht="27.95" customHeight="1">
      <c r="A454" s="23"/>
      <c r="B454" s="2"/>
      <c r="C454" s="2" t="s">
        <v>253</v>
      </c>
      <c r="E454" s="2"/>
      <c r="F454" s="2"/>
      <c r="G454" s="2"/>
      <c r="H454" s="2"/>
      <c r="I454" s="253" t="s">
        <v>307</v>
      </c>
      <c r="J454" s="274" t="str">
        <f>'4-22Master'!G5</f>
        <v>Burgeon IT Services Pvt.Ltd.</v>
      </c>
      <c r="K454" s="256"/>
      <c r="L454" s="286"/>
    </row>
    <row r="455" spans="1:12" ht="24" customHeight="1">
      <c r="A455" s="23"/>
      <c r="B455" s="261"/>
      <c r="C455" s="230" t="s">
        <v>254</v>
      </c>
      <c r="E455" s="261"/>
      <c r="F455" s="261"/>
      <c r="H455" s="231"/>
      <c r="I455" s="277" t="str">
        <f>'4-22Master'!G6</f>
        <v>Siri Mansion LIGB 436 Dr.A S Rao Nagar,Hyderabad</v>
      </c>
      <c r="J455" s="275"/>
      <c r="K455" s="276"/>
      <c r="L455" s="240"/>
    </row>
    <row r="456" spans="1:12" ht="27.95" customHeight="1">
      <c r="A456" s="23">
        <v>1</v>
      </c>
      <c r="B456" s="257" t="s">
        <v>255</v>
      </c>
      <c r="C456" s="77"/>
      <c r="D456" s="77"/>
      <c r="E456" s="77"/>
      <c r="F456" s="77"/>
      <c r="G456" s="78"/>
      <c r="H456" s="938" t="e">
        <f>'4-22Master'!#REF!</f>
        <v>#REF!</v>
      </c>
      <c r="I456" s="948"/>
      <c r="J456" s="948"/>
      <c r="K456" s="948"/>
      <c r="L456" s="949"/>
    </row>
    <row r="457" spans="1:12" ht="21" customHeight="1">
      <c r="A457" s="23">
        <v>2</v>
      </c>
      <c r="B457" s="968" t="s">
        <v>256</v>
      </c>
      <c r="C457" s="969"/>
      <c r="D457" s="969"/>
      <c r="E457" s="969"/>
      <c r="F457" s="258" t="s">
        <v>257</v>
      </c>
      <c r="G457" s="242"/>
      <c r="H457" s="970" t="e">
        <f>'4-22Master'!#REF!</f>
        <v>#REF!</v>
      </c>
      <c r="I457" s="971"/>
      <c r="J457" s="971"/>
      <c r="K457" s="971"/>
      <c r="L457" s="972"/>
    </row>
    <row r="458" spans="1:12" ht="12" customHeight="1">
      <c r="A458" s="23"/>
      <c r="B458" s="243" t="s">
        <v>258</v>
      </c>
      <c r="C458" s="244"/>
      <c r="D458" s="244"/>
      <c r="E458" s="244"/>
      <c r="F458" s="244" t="s">
        <v>251</v>
      </c>
      <c r="G458" s="245"/>
      <c r="H458" s="973"/>
      <c r="I458" s="974"/>
      <c r="J458" s="974"/>
      <c r="K458" s="974"/>
      <c r="L458" s="975"/>
    </row>
    <row r="459" spans="1:12" ht="27.95" customHeight="1">
      <c r="A459" s="23">
        <v>3</v>
      </c>
      <c r="B459" s="259" t="s">
        <v>259</v>
      </c>
      <c r="C459" s="249"/>
      <c r="D459" s="249"/>
      <c r="E459" s="249"/>
      <c r="F459" s="249"/>
      <c r="G459" s="250"/>
      <c r="H459" s="955" t="e">
        <f>'4-22Master'!#REF!</f>
        <v>#REF!</v>
      </c>
      <c r="I459" s="956"/>
      <c r="J459" s="956"/>
      <c r="K459" s="956"/>
      <c r="L459" s="957"/>
    </row>
    <row r="460" spans="1:12" ht="23.25" customHeight="1">
      <c r="A460" s="23">
        <v>4</v>
      </c>
      <c r="B460" s="235" t="s">
        <v>260</v>
      </c>
      <c r="C460" s="77"/>
      <c r="D460" s="77"/>
      <c r="E460" s="77"/>
      <c r="F460" s="77"/>
      <c r="G460" s="78"/>
      <c r="H460" s="936" t="e">
        <f>'4-22Master'!#REF!</f>
        <v>#REF!</v>
      </c>
      <c r="I460" s="943"/>
      <c r="J460" s="943"/>
      <c r="K460" s="943"/>
      <c r="L460" s="937"/>
    </row>
    <row r="461" spans="1:12" ht="27.95" customHeight="1">
      <c r="A461" s="23">
        <v>5</v>
      </c>
      <c r="B461" s="958" t="s">
        <v>308</v>
      </c>
      <c r="C461" s="959"/>
      <c r="D461" s="959"/>
      <c r="E461" s="959"/>
      <c r="F461" s="959"/>
      <c r="G461" s="78"/>
      <c r="H461" s="947" t="s">
        <v>387</v>
      </c>
      <c r="I461" s="948"/>
      <c r="J461" s="948"/>
      <c r="K461" s="948"/>
      <c r="L461" s="949"/>
    </row>
    <row r="462" spans="1:12" ht="27.95" customHeight="1">
      <c r="A462" s="23">
        <v>6</v>
      </c>
      <c r="B462" s="248" t="s">
        <v>261</v>
      </c>
      <c r="C462" s="249" t="s">
        <v>262</v>
      </c>
      <c r="D462" s="249"/>
      <c r="E462" s="249"/>
      <c r="F462" s="249"/>
      <c r="G462" s="250"/>
      <c r="H462" s="259"/>
      <c r="I462" s="249"/>
      <c r="J462" s="249"/>
      <c r="K462" s="249"/>
      <c r="L462" s="287"/>
    </row>
    <row r="463" spans="1:12" ht="27.95" customHeight="1">
      <c r="A463" s="23"/>
      <c r="B463" s="248" t="s">
        <v>263</v>
      </c>
      <c r="C463" s="249" t="s">
        <v>264</v>
      </c>
      <c r="D463" s="249"/>
      <c r="E463" s="249"/>
      <c r="F463" s="249"/>
      <c r="G463" s="250"/>
      <c r="H463" s="259"/>
      <c r="I463" s="241"/>
      <c r="J463" s="241"/>
      <c r="K463" s="249"/>
      <c r="L463" s="287"/>
    </row>
    <row r="464" spans="1:12" ht="27.95" customHeight="1">
      <c r="A464" s="23">
        <v>7</v>
      </c>
      <c r="B464" s="955" t="s">
        <v>265</v>
      </c>
      <c r="C464" s="956"/>
      <c r="D464" s="956"/>
      <c r="E464" s="956"/>
      <c r="F464" s="956"/>
      <c r="G464" s="960"/>
      <c r="H464" s="263" t="s">
        <v>266</v>
      </c>
      <c r="I464" s="264"/>
      <c r="J464" s="265"/>
      <c r="K464" s="263" t="s">
        <v>267</v>
      </c>
      <c r="L464" s="288"/>
    </row>
    <row r="465" spans="1:12" ht="27.95" customHeight="1">
      <c r="A465" s="23">
        <v>8</v>
      </c>
      <c r="B465" s="955" t="s">
        <v>309</v>
      </c>
      <c r="C465" s="956"/>
      <c r="D465" s="956"/>
      <c r="E465" s="956"/>
      <c r="F465" s="956"/>
      <c r="G465" s="960"/>
      <c r="H465" s="263" t="s">
        <v>266</v>
      </c>
      <c r="I465" s="264"/>
      <c r="J465" s="265"/>
      <c r="K465" s="263" t="s">
        <v>267</v>
      </c>
      <c r="L465" s="288"/>
    </row>
    <row r="466" spans="1:12" ht="27.95" customHeight="1">
      <c r="A466" s="23"/>
      <c r="B466" s="235"/>
      <c r="C466" s="267"/>
      <c r="D466" s="267"/>
      <c r="E466" s="267"/>
      <c r="F466" s="267" t="s">
        <v>268</v>
      </c>
      <c r="G466" s="267"/>
      <c r="H466" s="267"/>
      <c r="I466" s="267"/>
      <c r="J466" s="267"/>
      <c r="K466" s="267"/>
      <c r="L466" s="289"/>
    </row>
    <row r="467" spans="1:12" ht="27.95" customHeight="1">
      <c r="A467" s="23">
        <v>9</v>
      </c>
      <c r="B467" s="248" t="s">
        <v>269</v>
      </c>
      <c r="C467" s="249" t="s">
        <v>270</v>
      </c>
      <c r="D467" s="249"/>
      <c r="E467" s="249"/>
      <c r="F467" s="249"/>
      <c r="G467" s="250"/>
      <c r="H467" s="259"/>
      <c r="I467" s="249"/>
      <c r="J467" s="249"/>
      <c r="K467" s="249"/>
      <c r="L467" s="287"/>
    </row>
    <row r="468" spans="1:12">
      <c r="A468" s="105"/>
      <c r="B468" s="248" t="s">
        <v>271</v>
      </c>
      <c r="C468" s="249" t="s">
        <v>272</v>
      </c>
      <c r="D468" s="249"/>
      <c r="E468" s="249"/>
      <c r="F468" s="249"/>
      <c r="G468" s="250"/>
      <c r="H468" s="259"/>
      <c r="I468" s="249"/>
      <c r="J468" s="249"/>
      <c r="K468" s="249"/>
      <c r="L468" s="287"/>
    </row>
    <row r="469" spans="1:12">
      <c r="A469" s="105"/>
      <c r="B469" s="248" t="s">
        <v>310</v>
      </c>
      <c r="C469" s="249" t="s">
        <v>311</v>
      </c>
      <c r="D469" s="249"/>
      <c r="E469" s="249"/>
      <c r="F469" s="249"/>
      <c r="G469" s="250"/>
      <c r="H469" s="259"/>
      <c r="I469" s="249"/>
      <c r="J469" s="249"/>
      <c r="K469" s="249"/>
      <c r="L469" s="287"/>
    </row>
    <row r="470" spans="1:12">
      <c r="A470" s="105"/>
      <c r="B470" s="248" t="s">
        <v>274</v>
      </c>
      <c r="C470" s="249" t="s">
        <v>275</v>
      </c>
      <c r="D470" s="249"/>
      <c r="E470" s="249"/>
      <c r="F470" s="249"/>
      <c r="G470" s="250"/>
      <c r="H470" s="259"/>
      <c r="I470" s="249"/>
      <c r="J470" s="249"/>
      <c r="K470" s="249"/>
      <c r="L470" s="287"/>
    </row>
    <row r="471" spans="1:12">
      <c r="A471" s="105"/>
      <c r="B471" s="248" t="s">
        <v>276</v>
      </c>
      <c r="C471" s="249" t="s">
        <v>277</v>
      </c>
      <c r="D471" s="249"/>
      <c r="E471" s="249"/>
      <c r="F471" s="249"/>
      <c r="G471" s="250"/>
      <c r="H471" s="259"/>
      <c r="I471" s="249"/>
      <c r="J471" s="249"/>
      <c r="K471" s="249"/>
      <c r="L471" s="287"/>
    </row>
    <row r="472" spans="1:12">
      <c r="A472" s="105">
        <v>10</v>
      </c>
      <c r="B472" s="248" t="s">
        <v>269</v>
      </c>
      <c r="C472" s="249" t="s">
        <v>312</v>
      </c>
      <c r="D472" s="249"/>
      <c r="E472" s="249"/>
      <c r="F472" s="249"/>
      <c r="G472" s="250"/>
      <c r="H472" s="263" t="s">
        <v>266</v>
      </c>
      <c r="I472" s="264"/>
      <c r="J472" s="265"/>
      <c r="K472" s="263" t="s">
        <v>267</v>
      </c>
      <c r="L472" s="288"/>
    </row>
    <row r="473" spans="1:12" ht="15" customHeight="1">
      <c r="A473" s="105"/>
      <c r="B473" s="248" t="s">
        <v>271</v>
      </c>
      <c r="C473" s="249" t="s">
        <v>313</v>
      </c>
      <c r="D473" s="249"/>
      <c r="E473" s="249"/>
      <c r="F473" s="249"/>
      <c r="G473" s="250"/>
      <c r="H473" s="259"/>
      <c r="I473" s="249"/>
      <c r="J473" s="249"/>
      <c r="K473" s="249"/>
      <c r="L473" s="287"/>
    </row>
    <row r="474" spans="1:12">
      <c r="A474" s="105"/>
      <c r="B474" s="248" t="s">
        <v>310</v>
      </c>
      <c r="C474" s="249" t="s">
        <v>278</v>
      </c>
      <c r="D474" s="249"/>
      <c r="E474" s="249"/>
      <c r="F474" s="249"/>
      <c r="G474" s="250"/>
      <c r="H474" s="259"/>
      <c r="I474" s="249"/>
      <c r="J474" s="249"/>
      <c r="K474" s="249"/>
      <c r="L474" s="287"/>
    </row>
    <row r="475" spans="1:12">
      <c r="A475" s="105"/>
      <c r="B475" s="248" t="s">
        <v>274</v>
      </c>
      <c r="C475" s="249" t="s">
        <v>314</v>
      </c>
      <c r="D475" s="249"/>
      <c r="E475" s="249"/>
      <c r="F475" s="249"/>
      <c r="G475" s="250"/>
      <c r="H475" s="259"/>
      <c r="I475" s="249"/>
      <c r="J475" s="249"/>
      <c r="K475" s="249"/>
      <c r="L475" s="287"/>
    </row>
    <row r="476" spans="1:12">
      <c r="A476" s="23"/>
      <c r="B476" s="235"/>
      <c r="C476" s="267"/>
      <c r="D476" s="267"/>
      <c r="E476" s="267" t="s">
        <v>315</v>
      </c>
      <c r="F476" s="267"/>
      <c r="G476" s="267"/>
      <c r="H476" s="267"/>
      <c r="I476" s="267"/>
      <c r="J476" s="267"/>
      <c r="K476" s="267"/>
      <c r="L476" s="289"/>
    </row>
    <row r="477" spans="1:12">
      <c r="A477" s="23">
        <v>11</v>
      </c>
      <c r="B477" s="248" t="s">
        <v>269</v>
      </c>
      <c r="C477" s="249" t="s">
        <v>279</v>
      </c>
      <c r="D477" s="249"/>
      <c r="E477" s="249"/>
      <c r="F477" s="249"/>
      <c r="G477" s="250"/>
      <c r="H477" s="259"/>
      <c r="I477" s="249"/>
      <c r="J477" s="249"/>
      <c r="K477" s="249"/>
      <c r="L477" s="287"/>
    </row>
    <row r="478" spans="1:12">
      <c r="A478" s="23"/>
      <c r="B478" s="248" t="s">
        <v>271</v>
      </c>
      <c r="C478" s="249" t="s">
        <v>280</v>
      </c>
      <c r="D478" s="249"/>
      <c r="E478" s="249"/>
      <c r="F478" s="249"/>
      <c r="G478" s="250"/>
      <c r="H478" s="259"/>
      <c r="I478" s="249"/>
      <c r="J478" s="249"/>
      <c r="K478" s="249"/>
      <c r="L478" s="287"/>
    </row>
    <row r="479" spans="1:12">
      <c r="A479" s="23"/>
      <c r="B479" s="248" t="s">
        <v>273</v>
      </c>
      <c r="C479" s="249" t="s">
        <v>281</v>
      </c>
      <c r="D479" s="249"/>
      <c r="E479" s="249"/>
      <c r="F479" s="249"/>
      <c r="G479" s="250"/>
      <c r="H479" s="259"/>
      <c r="I479" s="249"/>
      <c r="J479" s="249"/>
      <c r="K479" s="249"/>
      <c r="L479" s="287"/>
    </row>
    <row r="480" spans="1:12">
      <c r="A480" s="23"/>
      <c r="B480" s="223"/>
      <c r="C480" s="219"/>
      <c r="D480" s="219"/>
      <c r="E480" s="219"/>
      <c r="F480" s="268" t="s">
        <v>282</v>
      </c>
      <c r="G480" s="219"/>
      <c r="H480" s="208"/>
      <c r="I480" s="208"/>
      <c r="J480" s="208"/>
      <c r="K480" s="208"/>
      <c r="L480" s="226"/>
    </row>
    <row r="481" spans="1:12">
      <c r="A481" s="23"/>
      <c r="B481" s="280" t="s">
        <v>283</v>
      </c>
      <c r="C481" s="279" t="s">
        <v>284</v>
      </c>
      <c r="D481" s="219"/>
      <c r="E481" s="219"/>
      <c r="F481" s="219"/>
      <c r="G481" s="219"/>
      <c r="H481" s="208"/>
      <c r="I481" s="208"/>
      <c r="J481" s="209"/>
      <c r="K481" s="208"/>
      <c r="L481" s="226"/>
    </row>
    <row r="482" spans="1:12">
      <c r="A482" s="23"/>
      <c r="B482" s="280" t="s">
        <v>285</v>
      </c>
      <c r="C482" s="278" t="s">
        <v>286</v>
      </c>
      <c r="D482" s="208"/>
      <c r="E482" s="209"/>
      <c r="G482" s="961"/>
      <c r="H482" s="961"/>
      <c r="I482" s="224"/>
      <c r="J482" s="225"/>
      <c r="K482" s="961"/>
      <c r="L482" s="962"/>
    </row>
    <row r="483" spans="1:12">
      <c r="A483" s="23"/>
      <c r="B483" s="281" t="s">
        <v>287</v>
      </c>
      <c r="C483" s="963" t="s">
        <v>316</v>
      </c>
      <c r="D483" s="963"/>
      <c r="E483" s="963"/>
      <c r="F483" s="963"/>
      <c r="G483" s="963"/>
      <c r="H483" s="963"/>
      <c r="I483" s="963"/>
      <c r="J483" s="963"/>
      <c r="K483" s="963"/>
      <c r="L483" s="964"/>
    </row>
    <row r="484" spans="1:12">
      <c r="A484" s="23"/>
      <c r="B484" s="280" t="s">
        <v>288</v>
      </c>
      <c r="C484" s="279" t="s">
        <v>289</v>
      </c>
      <c r="D484" s="271"/>
      <c r="E484" s="271"/>
      <c r="F484" s="271"/>
      <c r="G484" s="271"/>
      <c r="H484" s="271"/>
      <c r="I484" s="271"/>
      <c r="J484" s="271"/>
      <c r="K484" s="271"/>
      <c r="L484" s="290"/>
    </row>
    <row r="485" spans="1:12">
      <c r="A485" s="23"/>
      <c r="B485" s="223"/>
      <c r="C485" t="s">
        <v>317</v>
      </c>
      <c r="D485" s="337" t="e">
        <f>'4-22Master'!#REF!</f>
        <v>#REF!</v>
      </c>
      <c r="E485" s="4"/>
      <c r="F485" s="4"/>
      <c r="G485" s="4"/>
      <c r="L485" s="24"/>
    </row>
    <row r="486" spans="1:12">
      <c r="A486" s="23"/>
      <c r="C486" t="s">
        <v>290</v>
      </c>
      <c r="D486" t="s">
        <v>379</v>
      </c>
      <c r="J486" t="s">
        <v>318</v>
      </c>
      <c r="L486" s="24"/>
    </row>
    <row r="487" spans="1:12">
      <c r="A487" s="23"/>
      <c r="F487" s="269" t="s">
        <v>291</v>
      </c>
      <c r="L487" s="24"/>
    </row>
    <row r="488" spans="1:12" ht="27.95" customHeight="1">
      <c r="A488" s="23" t="s">
        <v>319</v>
      </c>
      <c r="B488" t="s">
        <v>292</v>
      </c>
      <c r="E488" s="272" t="e">
        <f>'4-22Master'!#REF!</f>
        <v>#REF!</v>
      </c>
      <c r="H488" s="965" t="s">
        <v>293</v>
      </c>
      <c r="I488" s="965"/>
      <c r="J488" s="273" t="e">
        <f>'4-22Master'!#REF!</f>
        <v>#REF!</v>
      </c>
      <c r="K488" t="s">
        <v>294</v>
      </c>
      <c r="L488" s="24"/>
    </row>
    <row r="489" spans="1:12" ht="15.75" customHeight="1">
      <c r="A489" s="23"/>
      <c r="B489" s="976" t="e">
        <f>'4-22Master'!#REF!</f>
        <v>#REF!</v>
      </c>
      <c r="C489" s="977"/>
      <c r="D489" s="270"/>
      <c r="E489" s="270"/>
      <c r="F489" s="270"/>
      <c r="G489" s="270"/>
      <c r="H489" s="270"/>
      <c r="I489" s="270"/>
      <c r="J489" s="270"/>
      <c r="K489" s="270"/>
      <c r="L489" s="291"/>
    </row>
    <row r="490" spans="1:12" ht="22.5" customHeight="1">
      <c r="A490" s="23" t="s">
        <v>321</v>
      </c>
      <c r="B490" s="270" t="s">
        <v>295</v>
      </c>
      <c r="C490" s="270"/>
      <c r="D490" s="270"/>
      <c r="E490" s="270"/>
      <c r="F490" s="270"/>
      <c r="G490" s="270"/>
      <c r="H490" s="270"/>
      <c r="I490" s="270"/>
      <c r="J490" s="270"/>
      <c r="K490" s="270"/>
      <c r="L490" s="291"/>
    </row>
    <row r="491" spans="1:12" ht="19.5" customHeight="1">
      <c r="A491" s="23"/>
      <c r="B491" s="270" t="s">
        <v>320</v>
      </c>
      <c r="C491" s="270"/>
      <c r="D491" s="270"/>
      <c r="E491" s="270"/>
      <c r="F491" s="270"/>
      <c r="G491" s="270"/>
      <c r="H491" s="270"/>
      <c r="I491" s="270"/>
      <c r="J491" s="270"/>
      <c r="K491" s="270"/>
      <c r="L491" s="291"/>
    </row>
    <row r="492" spans="1:12" ht="22.5" customHeight="1">
      <c r="A492" s="23"/>
      <c r="B492" t="s">
        <v>296</v>
      </c>
      <c r="L492" s="24"/>
    </row>
    <row r="493" spans="1:12" ht="18" customHeight="1">
      <c r="A493" s="23"/>
      <c r="B493" s="4" t="s">
        <v>297</v>
      </c>
      <c r="F493" s="222"/>
      <c r="L493" s="24"/>
    </row>
    <row r="494" spans="1:12" ht="16.5" customHeight="1">
      <c r="A494" s="23"/>
      <c r="B494" s="4" t="s">
        <v>298</v>
      </c>
      <c r="L494" s="24"/>
    </row>
    <row r="495" spans="1:12" ht="22.5" customHeight="1">
      <c r="A495" s="23"/>
      <c r="B495" t="s">
        <v>299</v>
      </c>
      <c r="L495" s="24"/>
    </row>
    <row r="496" spans="1:12" ht="19.5" customHeight="1">
      <c r="A496" s="23"/>
      <c r="B496" t="s">
        <v>300</v>
      </c>
      <c r="L496" s="24"/>
    </row>
    <row r="497" spans="1:12" ht="20.25" customHeight="1">
      <c r="A497" s="23" t="s">
        <v>310</v>
      </c>
      <c r="B497" t="s">
        <v>301</v>
      </c>
      <c r="L497" s="24"/>
    </row>
    <row r="498" spans="1:12" ht="20.25" customHeight="1">
      <c r="A498" s="23"/>
      <c r="B498" s="282" t="s">
        <v>322</v>
      </c>
      <c r="L498" s="24"/>
    </row>
    <row r="499" spans="1:12" ht="20.25" customHeight="1">
      <c r="A499" s="23"/>
      <c r="B499" t="s">
        <v>296</v>
      </c>
      <c r="L499" s="24"/>
    </row>
    <row r="500" spans="1:12" ht="20.25" customHeight="1">
      <c r="A500" s="23"/>
      <c r="B500" t="s">
        <v>302</v>
      </c>
      <c r="L500" s="24"/>
    </row>
    <row r="501" spans="1:12" ht="20.25" customHeight="1">
      <c r="A501" s="23"/>
      <c r="B501" t="s">
        <v>303</v>
      </c>
      <c r="L501" s="24"/>
    </row>
    <row r="502" spans="1:12" ht="21" customHeight="1">
      <c r="A502" s="23"/>
      <c r="B502" s="978" t="s">
        <v>304</v>
      </c>
      <c r="C502" s="978"/>
      <c r="D502" s="978"/>
      <c r="E502" s="978"/>
      <c r="F502" s="978"/>
      <c r="G502" s="978"/>
      <c r="H502" s="978"/>
      <c r="I502" s="978"/>
      <c r="J502" s="978"/>
      <c r="K502" s="978"/>
      <c r="L502" s="979"/>
    </row>
    <row r="503" spans="1:12" ht="27.95" customHeight="1">
      <c r="A503" s="23"/>
      <c r="B503" t="s">
        <v>216</v>
      </c>
      <c r="C503" s="332" t="e">
        <f>'4-22Master'!#REF!</f>
        <v>#REF!</v>
      </c>
      <c r="D503" s="252"/>
      <c r="E503" s="252"/>
      <c r="F503" s="252"/>
      <c r="G503" s="252"/>
      <c r="H503" s="252"/>
      <c r="I503" t="s">
        <v>323</v>
      </c>
      <c r="J503" s="252"/>
      <c r="K503" s="252"/>
      <c r="L503" s="283"/>
    </row>
    <row r="504" spans="1:12" ht="27.95" customHeight="1" thickBot="1">
      <c r="A504" s="35"/>
      <c r="B504" s="802"/>
      <c r="C504" s="802"/>
      <c r="D504" s="802"/>
      <c r="E504" s="802"/>
      <c r="F504" s="802"/>
      <c r="G504" s="802"/>
      <c r="H504" s="802"/>
      <c r="I504" s="802"/>
      <c r="J504" s="802"/>
      <c r="K504" s="802"/>
      <c r="L504" s="803"/>
    </row>
    <row r="505" spans="1:12" ht="27.95" customHeight="1">
      <c r="A505" s="94"/>
      <c r="B505" s="95"/>
      <c r="C505" s="95"/>
      <c r="D505" s="95"/>
      <c r="E505" s="95"/>
      <c r="F505" s="95"/>
      <c r="G505" s="95"/>
      <c r="H505" s="95"/>
      <c r="I505" s="99" t="s">
        <v>250</v>
      </c>
      <c r="J505" s="95"/>
      <c r="K505" s="95"/>
      <c r="L505" s="96"/>
    </row>
    <row r="506" spans="1:12">
      <c r="A506" s="23"/>
      <c r="B506" s="966" t="s">
        <v>305</v>
      </c>
      <c r="C506" s="966"/>
      <c r="D506" s="966"/>
      <c r="E506" s="966"/>
      <c r="F506" s="966"/>
      <c r="G506" s="966"/>
      <c r="H506" s="966"/>
      <c r="I506" s="966"/>
      <c r="J506" s="966"/>
      <c r="K506" s="966"/>
      <c r="L506" s="967"/>
    </row>
    <row r="507" spans="1:12" ht="23.25">
      <c r="A507" s="23"/>
      <c r="B507" s="252"/>
      <c r="C507" s="252"/>
      <c r="D507" s="260" t="s">
        <v>252</v>
      </c>
      <c r="E507" s="252"/>
      <c r="F507" s="252"/>
      <c r="G507" s="252"/>
      <c r="H507" s="252"/>
      <c r="I507" s="254" t="s">
        <v>306</v>
      </c>
      <c r="J507" s="255"/>
      <c r="K507" s="255"/>
      <c r="L507" s="285"/>
    </row>
    <row r="508" spans="1:12" ht="15.75">
      <c r="A508" s="23"/>
      <c r="B508" s="2"/>
      <c r="C508" s="2" t="s">
        <v>253</v>
      </c>
      <c r="E508" s="2"/>
      <c r="F508" s="2"/>
      <c r="G508" s="2"/>
      <c r="H508" s="2"/>
      <c r="I508" s="253" t="s">
        <v>307</v>
      </c>
      <c r="J508" s="274">
        <f>'4-22Master'!G435</f>
        <v>0</v>
      </c>
      <c r="K508" s="256"/>
      <c r="L508" s="286"/>
    </row>
    <row r="509" spans="1:12">
      <c r="A509" s="23"/>
      <c r="B509" s="261"/>
      <c r="C509" s="230" t="s">
        <v>254</v>
      </c>
      <c r="E509" s="261"/>
      <c r="F509" s="261"/>
      <c r="H509" s="231"/>
      <c r="I509" s="277">
        <f>'4-22Master'!G436</f>
        <v>0</v>
      </c>
      <c r="J509" s="275"/>
      <c r="K509" s="276"/>
      <c r="L509" s="240"/>
    </row>
    <row r="510" spans="1:12">
      <c r="A510" s="23">
        <v>1</v>
      </c>
      <c r="B510" s="257" t="s">
        <v>255</v>
      </c>
      <c r="C510" s="77"/>
      <c r="D510" s="77"/>
      <c r="E510" s="77"/>
      <c r="F510" s="77"/>
      <c r="G510" s="78"/>
      <c r="H510" s="947"/>
      <c r="I510" s="948"/>
      <c r="J510" s="948"/>
      <c r="K510" s="948"/>
      <c r="L510" s="949"/>
    </row>
    <row r="511" spans="1:12" ht="15" customHeight="1">
      <c r="A511" s="23">
        <v>2</v>
      </c>
      <c r="B511" s="968" t="s">
        <v>256</v>
      </c>
      <c r="C511" s="969"/>
      <c r="D511" s="969"/>
      <c r="E511" s="969"/>
      <c r="F511" s="258" t="s">
        <v>257</v>
      </c>
      <c r="G511" s="242"/>
      <c r="H511" s="970"/>
      <c r="I511" s="971"/>
      <c r="J511" s="971"/>
      <c r="K511" s="971"/>
      <c r="L511" s="972"/>
    </row>
    <row r="512" spans="1:12">
      <c r="A512" s="23"/>
      <c r="B512" s="243" t="s">
        <v>258</v>
      </c>
      <c r="C512" s="244"/>
      <c r="D512" s="244"/>
      <c r="E512" s="244"/>
      <c r="F512" s="244" t="s">
        <v>251</v>
      </c>
      <c r="G512" s="245"/>
      <c r="H512" s="973"/>
      <c r="I512" s="974"/>
      <c r="J512" s="974"/>
      <c r="K512" s="974"/>
      <c r="L512" s="975"/>
    </row>
    <row r="513" spans="1:12">
      <c r="A513" s="23">
        <v>3</v>
      </c>
      <c r="B513" s="259" t="s">
        <v>259</v>
      </c>
      <c r="C513" s="249"/>
      <c r="D513" s="249"/>
      <c r="E513" s="249"/>
      <c r="F513" s="249"/>
      <c r="G513" s="250"/>
      <c r="H513" s="955">
        <f>'4-22Master'!D166</f>
        <v>0</v>
      </c>
      <c r="I513" s="956"/>
      <c r="J513" s="956"/>
      <c r="K513" s="956"/>
      <c r="L513" s="957"/>
    </row>
    <row r="514" spans="1:12">
      <c r="A514" s="23">
        <v>4</v>
      </c>
      <c r="B514" s="235" t="s">
        <v>260</v>
      </c>
      <c r="C514" s="77"/>
      <c r="D514" s="77"/>
      <c r="E514" s="77"/>
      <c r="F514" s="77"/>
      <c r="G514" s="78"/>
      <c r="H514" s="936">
        <f>'4-22Master'!E166</f>
        <v>0</v>
      </c>
      <c r="I514" s="943"/>
      <c r="J514" s="943"/>
      <c r="K514" s="943"/>
      <c r="L514" s="937"/>
    </row>
    <row r="515" spans="1:12">
      <c r="A515" s="23">
        <v>5</v>
      </c>
      <c r="B515" s="958" t="s">
        <v>308</v>
      </c>
      <c r="C515" s="959"/>
      <c r="D515" s="959"/>
      <c r="E515" s="959"/>
      <c r="F515" s="959"/>
      <c r="G515" s="78"/>
      <c r="H515" s="947" t="s">
        <v>387</v>
      </c>
      <c r="I515" s="948"/>
      <c r="J515" s="948"/>
      <c r="K515" s="948"/>
      <c r="L515" s="949"/>
    </row>
    <row r="516" spans="1:12">
      <c r="A516" s="23">
        <v>6</v>
      </c>
      <c r="B516" s="248" t="s">
        <v>261</v>
      </c>
      <c r="C516" s="249" t="s">
        <v>262</v>
      </c>
      <c r="D516" s="249"/>
      <c r="E516" s="249"/>
      <c r="F516" s="249"/>
      <c r="G516" s="250"/>
      <c r="H516" s="259"/>
      <c r="I516" s="249"/>
      <c r="J516" s="249"/>
      <c r="K516" s="249"/>
      <c r="L516" s="287"/>
    </row>
    <row r="517" spans="1:12">
      <c r="A517" s="23"/>
      <c r="B517" s="248" t="s">
        <v>263</v>
      </c>
      <c r="C517" s="249" t="s">
        <v>264</v>
      </c>
      <c r="D517" s="249"/>
      <c r="E517" s="249"/>
      <c r="F517" s="249"/>
      <c r="G517" s="250"/>
      <c r="H517" s="259"/>
      <c r="I517" s="241"/>
      <c r="J517" s="241"/>
      <c r="K517" s="249"/>
      <c r="L517" s="287"/>
    </row>
    <row r="518" spans="1:12">
      <c r="A518" s="23">
        <v>7</v>
      </c>
      <c r="B518" s="955" t="s">
        <v>265</v>
      </c>
      <c r="C518" s="956"/>
      <c r="D518" s="956"/>
      <c r="E518" s="956"/>
      <c r="F518" s="956"/>
      <c r="G518" s="960"/>
      <c r="H518" s="263" t="s">
        <v>266</v>
      </c>
      <c r="I518" s="264"/>
      <c r="J518" s="265"/>
      <c r="K518" s="263" t="s">
        <v>267</v>
      </c>
      <c r="L518" s="288"/>
    </row>
    <row r="519" spans="1:12">
      <c r="A519" s="23">
        <v>8</v>
      </c>
      <c r="B519" s="955" t="s">
        <v>309</v>
      </c>
      <c r="C519" s="956"/>
      <c r="D519" s="956"/>
      <c r="E519" s="956"/>
      <c r="F519" s="956"/>
      <c r="G519" s="960"/>
      <c r="H519" s="263" t="s">
        <v>266</v>
      </c>
      <c r="I519" s="264"/>
      <c r="J519" s="265"/>
      <c r="K519" s="263" t="s">
        <v>267</v>
      </c>
      <c r="L519" s="288"/>
    </row>
    <row r="520" spans="1:12">
      <c r="A520" s="23"/>
      <c r="B520" s="235"/>
      <c r="C520" s="267"/>
      <c r="D520" s="267"/>
      <c r="E520" s="267"/>
      <c r="F520" s="267" t="s">
        <v>268</v>
      </c>
      <c r="G520" s="267"/>
      <c r="H520" s="267"/>
      <c r="I520" s="267"/>
      <c r="J520" s="267"/>
      <c r="K520" s="267"/>
      <c r="L520" s="289"/>
    </row>
    <row r="521" spans="1:12">
      <c r="A521" s="23">
        <v>9</v>
      </c>
      <c r="B521" s="248" t="s">
        <v>269</v>
      </c>
      <c r="C521" s="249" t="s">
        <v>270</v>
      </c>
      <c r="D521" s="249"/>
      <c r="E521" s="249"/>
      <c r="F521" s="249"/>
      <c r="G521" s="250"/>
      <c r="H521" s="259"/>
      <c r="I521" s="249"/>
      <c r="J521" s="249"/>
      <c r="K521" s="249"/>
      <c r="L521" s="287"/>
    </row>
    <row r="522" spans="1:12">
      <c r="A522" s="105"/>
      <c r="B522" s="248" t="s">
        <v>271</v>
      </c>
      <c r="C522" s="249" t="s">
        <v>272</v>
      </c>
      <c r="D522" s="249"/>
      <c r="E522" s="249"/>
      <c r="F522" s="249"/>
      <c r="G522" s="250"/>
      <c r="H522" s="259"/>
      <c r="I522" s="249"/>
      <c r="J522" s="249"/>
      <c r="K522" s="249"/>
      <c r="L522" s="287"/>
    </row>
    <row r="523" spans="1:12">
      <c r="A523" s="105"/>
      <c r="B523" s="248" t="s">
        <v>310</v>
      </c>
      <c r="C523" s="249" t="s">
        <v>311</v>
      </c>
      <c r="D523" s="249"/>
      <c r="E523" s="249"/>
      <c r="F523" s="249"/>
      <c r="G523" s="250"/>
      <c r="H523" s="259"/>
      <c r="I523" s="249"/>
      <c r="J523" s="249"/>
      <c r="K523" s="249"/>
      <c r="L523" s="287"/>
    </row>
    <row r="524" spans="1:12">
      <c r="A524" s="105"/>
      <c r="B524" s="248" t="s">
        <v>274</v>
      </c>
      <c r="C524" s="249" t="s">
        <v>275</v>
      </c>
      <c r="D524" s="249"/>
      <c r="E524" s="249"/>
      <c r="F524" s="249"/>
      <c r="G524" s="250"/>
      <c r="H524" s="259"/>
      <c r="I524" s="249"/>
      <c r="J524" s="249"/>
      <c r="K524" s="249"/>
      <c r="L524" s="287"/>
    </row>
    <row r="525" spans="1:12">
      <c r="A525" s="105"/>
      <c r="B525" s="248" t="s">
        <v>276</v>
      </c>
      <c r="C525" s="249" t="s">
        <v>277</v>
      </c>
      <c r="D525" s="249"/>
      <c r="E525" s="249"/>
      <c r="F525" s="249"/>
      <c r="G525" s="250"/>
      <c r="H525" s="259"/>
      <c r="I525" s="249"/>
      <c r="J525" s="249"/>
      <c r="K525" s="249"/>
      <c r="L525" s="287"/>
    </row>
    <row r="526" spans="1:12" ht="27.95" customHeight="1">
      <c r="A526" s="105">
        <v>10</v>
      </c>
      <c r="B526" s="248" t="s">
        <v>269</v>
      </c>
      <c r="C526" s="249" t="s">
        <v>312</v>
      </c>
      <c r="D526" s="249"/>
      <c r="E526" s="249"/>
      <c r="F526" s="249"/>
      <c r="G526" s="250"/>
      <c r="H526" s="263" t="s">
        <v>266</v>
      </c>
      <c r="I526" s="264"/>
      <c r="J526" s="265"/>
      <c r="K526" s="263" t="s">
        <v>267</v>
      </c>
      <c r="L526" s="288"/>
    </row>
    <row r="527" spans="1:12" ht="27.95" customHeight="1">
      <c r="A527" s="105"/>
      <c r="B527" s="248" t="s">
        <v>271</v>
      </c>
      <c r="C527" s="249" t="s">
        <v>313</v>
      </c>
      <c r="D527" s="249"/>
      <c r="E527" s="249"/>
      <c r="F527" s="249"/>
      <c r="G527" s="250"/>
      <c r="H527" s="259"/>
      <c r="I527" s="249"/>
      <c r="J527" s="249"/>
      <c r="K527" s="249"/>
      <c r="L527" s="287"/>
    </row>
    <row r="528" spans="1:12" ht="27.95" customHeight="1">
      <c r="A528" s="105"/>
      <c r="B528" s="248" t="s">
        <v>310</v>
      </c>
      <c r="C528" s="249" t="s">
        <v>278</v>
      </c>
      <c r="D528" s="249"/>
      <c r="E528" s="249"/>
      <c r="F528" s="249"/>
      <c r="G528" s="250"/>
      <c r="H528" s="259"/>
      <c r="I528" s="249"/>
      <c r="J528" s="249"/>
      <c r="K528" s="249"/>
      <c r="L528" s="287"/>
    </row>
    <row r="529" spans="1:12" ht="27.95" customHeight="1">
      <c r="A529" s="105"/>
      <c r="B529" s="248" t="s">
        <v>274</v>
      </c>
      <c r="C529" s="249" t="s">
        <v>314</v>
      </c>
      <c r="D529" s="249"/>
      <c r="E529" s="249"/>
      <c r="F529" s="249"/>
      <c r="G529" s="250"/>
      <c r="H529" s="259"/>
      <c r="I529" s="249"/>
      <c r="J529" s="249"/>
      <c r="K529" s="249"/>
      <c r="L529" s="287"/>
    </row>
    <row r="530" spans="1:12" ht="27.95" customHeight="1">
      <c r="A530" s="23"/>
      <c r="B530" s="235"/>
      <c r="C530" s="267"/>
      <c r="D530" s="267"/>
      <c r="E530" s="267" t="s">
        <v>315</v>
      </c>
      <c r="F530" s="267"/>
      <c r="G530" s="267"/>
      <c r="H530" s="267"/>
      <c r="I530" s="267"/>
      <c r="J530" s="267"/>
      <c r="K530" s="267"/>
      <c r="L530" s="289"/>
    </row>
    <row r="531" spans="1:12" ht="27.95" customHeight="1">
      <c r="A531" s="23">
        <v>11</v>
      </c>
      <c r="B531" s="248" t="s">
        <v>269</v>
      </c>
      <c r="C531" s="249" t="s">
        <v>279</v>
      </c>
      <c r="D531" s="249"/>
      <c r="E531" s="249"/>
      <c r="F531" s="249"/>
      <c r="G531" s="250"/>
      <c r="H531" s="259"/>
      <c r="I531" s="249"/>
      <c r="J531" s="249"/>
      <c r="K531" s="249"/>
      <c r="L531" s="287"/>
    </row>
    <row r="532" spans="1:12" ht="27.95" customHeight="1">
      <c r="A532" s="23"/>
      <c r="B532" s="248" t="s">
        <v>271</v>
      </c>
      <c r="C532" s="249" t="s">
        <v>280</v>
      </c>
      <c r="D532" s="249"/>
      <c r="E532" s="249"/>
      <c r="F532" s="249"/>
      <c r="G532" s="250"/>
      <c r="H532" s="259"/>
      <c r="I532" s="249"/>
      <c r="J532" s="249"/>
      <c r="K532" s="249"/>
      <c r="L532" s="287"/>
    </row>
    <row r="533" spans="1:12" ht="27.95" customHeight="1">
      <c r="A533" s="23"/>
      <c r="B533" s="248" t="s">
        <v>273</v>
      </c>
      <c r="C533" s="249" t="s">
        <v>281</v>
      </c>
      <c r="D533" s="249"/>
      <c r="E533" s="249"/>
      <c r="F533" s="249"/>
      <c r="G533" s="250"/>
      <c r="H533" s="259"/>
      <c r="I533" s="249"/>
      <c r="J533" s="249"/>
      <c r="K533" s="249"/>
      <c r="L533" s="287"/>
    </row>
    <row r="534" spans="1:12" ht="27.95" customHeight="1">
      <c r="A534" s="23"/>
      <c r="B534" s="223"/>
      <c r="C534" s="219"/>
      <c r="D534" s="219"/>
      <c r="E534" s="219"/>
      <c r="F534" s="268" t="s">
        <v>282</v>
      </c>
      <c r="G534" s="219"/>
      <c r="H534" s="208"/>
      <c r="I534" s="208"/>
      <c r="J534" s="208"/>
      <c r="K534" s="208"/>
      <c r="L534" s="226"/>
    </row>
    <row r="535" spans="1:12" ht="27.95" customHeight="1">
      <c r="A535" s="23"/>
      <c r="B535" s="280" t="s">
        <v>283</v>
      </c>
      <c r="C535" s="279" t="s">
        <v>284</v>
      </c>
      <c r="D535" s="219"/>
      <c r="E535" s="219"/>
      <c r="F535" s="219"/>
      <c r="G535" s="219"/>
      <c r="H535" s="208"/>
      <c r="I535" s="208"/>
      <c r="J535" s="209"/>
      <c r="K535" s="208"/>
      <c r="L535" s="226"/>
    </row>
    <row r="536" spans="1:12" ht="27.95" customHeight="1">
      <c r="A536" s="23"/>
      <c r="B536" s="280" t="s">
        <v>285</v>
      </c>
      <c r="C536" s="278" t="s">
        <v>286</v>
      </c>
      <c r="D536" s="208"/>
      <c r="E536" s="209"/>
      <c r="G536" s="961"/>
      <c r="H536" s="961"/>
      <c r="I536" s="224"/>
      <c r="J536" s="225"/>
      <c r="K536" s="961"/>
      <c r="L536" s="962"/>
    </row>
    <row r="537" spans="1:12" ht="27.95" customHeight="1">
      <c r="A537" s="23"/>
      <c r="B537" s="281" t="s">
        <v>287</v>
      </c>
      <c r="C537" s="963" t="s">
        <v>316</v>
      </c>
      <c r="D537" s="963"/>
      <c r="E537" s="963"/>
      <c r="F537" s="963"/>
      <c r="G537" s="963"/>
      <c r="H537" s="963"/>
      <c r="I537" s="963"/>
      <c r="J537" s="963"/>
      <c r="K537" s="963"/>
      <c r="L537" s="964"/>
    </row>
    <row r="538" spans="1:12" ht="27.95" customHeight="1">
      <c r="A538" s="23"/>
      <c r="B538" s="280" t="s">
        <v>288</v>
      </c>
      <c r="C538" s="279" t="s">
        <v>289</v>
      </c>
      <c r="D538" s="271"/>
      <c r="E538" s="271"/>
      <c r="F538" s="271"/>
      <c r="G538" s="271"/>
      <c r="H538" s="271"/>
      <c r="I538" s="271"/>
      <c r="J538" s="271"/>
      <c r="K538" s="271"/>
      <c r="L538" s="290"/>
    </row>
    <row r="539" spans="1:12" ht="27.95" customHeight="1">
      <c r="A539" s="23"/>
      <c r="B539" s="223"/>
      <c r="C539" t="s">
        <v>317</v>
      </c>
      <c r="D539" s="4"/>
      <c r="E539" s="4"/>
      <c r="F539" s="4"/>
      <c r="G539" s="4"/>
      <c r="L539" s="24"/>
    </row>
    <row r="540" spans="1:12" ht="27.95" customHeight="1">
      <c r="A540" s="23"/>
      <c r="C540" t="s">
        <v>290</v>
      </c>
      <c r="J540" t="s">
        <v>318</v>
      </c>
      <c r="L540" s="24"/>
    </row>
    <row r="541" spans="1:12" ht="27.95" customHeight="1">
      <c r="A541" s="23"/>
      <c r="F541" s="269" t="s">
        <v>291</v>
      </c>
      <c r="L541" s="24"/>
    </row>
    <row r="542" spans="1:12" ht="27.95" customHeight="1">
      <c r="A542" s="23" t="s">
        <v>319</v>
      </c>
      <c r="B542" t="s">
        <v>292</v>
      </c>
      <c r="E542" s="272">
        <f>'4-22Master'!C445</f>
        <v>0</v>
      </c>
      <c r="H542" s="965" t="s">
        <v>293</v>
      </c>
      <c r="I542" s="965"/>
      <c r="J542" s="273">
        <f>'4-22Master'!O445</f>
        <v>0</v>
      </c>
      <c r="K542" t="s">
        <v>294</v>
      </c>
      <c r="L542" s="24"/>
    </row>
    <row r="543" spans="1:12" ht="27.95" customHeight="1">
      <c r="A543" s="23"/>
      <c r="B543" s="976">
        <f>'4-22Master'!T445</f>
        <v>0</v>
      </c>
      <c r="C543" s="977"/>
      <c r="D543" s="270"/>
      <c r="E543" s="270"/>
      <c r="F543" s="270"/>
      <c r="G543" s="270"/>
      <c r="H543" s="270"/>
      <c r="I543" s="270"/>
      <c r="J543" s="270"/>
      <c r="K543" s="270"/>
      <c r="L543" s="291"/>
    </row>
    <row r="544" spans="1:12">
      <c r="A544" s="23" t="s">
        <v>321</v>
      </c>
      <c r="B544" s="270" t="s">
        <v>295</v>
      </c>
      <c r="C544" s="270"/>
      <c r="D544" s="270"/>
      <c r="E544" s="270"/>
      <c r="F544" s="270"/>
      <c r="G544" s="270"/>
      <c r="H544" s="270"/>
      <c r="I544" s="270"/>
      <c r="J544" s="270"/>
      <c r="K544" s="270"/>
      <c r="L544" s="291"/>
    </row>
    <row r="545" spans="1:12">
      <c r="A545" s="23"/>
      <c r="B545" s="270" t="s">
        <v>320</v>
      </c>
      <c r="C545" s="270"/>
      <c r="D545" s="270"/>
      <c r="E545" s="270"/>
      <c r="F545" s="270"/>
      <c r="G545" s="270"/>
      <c r="H545" s="270"/>
      <c r="I545" s="270"/>
      <c r="J545" s="270"/>
      <c r="K545" s="270"/>
      <c r="L545" s="291"/>
    </row>
    <row r="546" spans="1:12">
      <c r="A546" s="23"/>
      <c r="B546" t="s">
        <v>296</v>
      </c>
      <c r="L546" s="24"/>
    </row>
    <row r="547" spans="1:12" ht="18.75">
      <c r="A547" s="23"/>
      <c r="B547" s="4" t="s">
        <v>297</v>
      </c>
      <c r="F547" s="222"/>
      <c r="L547" s="24"/>
    </row>
    <row r="548" spans="1:12">
      <c r="A548" s="23"/>
      <c r="B548" s="4" t="s">
        <v>298</v>
      </c>
      <c r="L548" s="24"/>
    </row>
    <row r="549" spans="1:12" ht="15" customHeight="1">
      <c r="A549" s="23"/>
      <c r="B549" t="s">
        <v>299</v>
      </c>
      <c r="L549" s="24"/>
    </row>
    <row r="550" spans="1:12">
      <c r="A550" s="23"/>
      <c r="B550" t="s">
        <v>300</v>
      </c>
      <c r="L550" s="24"/>
    </row>
    <row r="551" spans="1:12">
      <c r="A551" s="23" t="s">
        <v>310</v>
      </c>
      <c r="B551" t="s">
        <v>301</v>
      </c>
      <c r="L551" s="24"/>
    </row>
    <row r="552" spans="1:12">
      <c r="A552" s="23"/>
      <c r="B552" s="282" t="s">
        <v>322</v>
      </c>
      <c r="L552" s="24"/>
    </row>
    <row r="553" spans="1:12">
      <c r="A553" s="23"/>
      <c r="B553" t="s">
        <v>296</v>
      </c>
      <c r="L553" s="24"/>
    </row>
    <row r="554" spans="1:12">
      <c r="A554" s="23"/>
      <c r="B554" t="s">
        <v>302</v>
      </c>
      <c r="L554" s="24"/>
    </row>
    <row r="555" spans="1:12">
      <c r="A555" s="23"/>
      <c r="B555" t="s">
        <v>303</v>
      </c>
      <c r="L555" s="24"/>
    </row>
    <row r="556" spans="1:12">
      <c r="A556" s="23"/>
      <c r="B556" s="978" t="s">
        <v>304</v>
      </c>
      <c r="C556" s="978"/>
      <c r="D556" s="978"/>
      <c r="E556" s="978"/>
      <c r="F556" s="978"/>
      <c r="G556" s="978"/>
      <c r="H556" s="978"/>
      <c r="I556" s="978"/>
      <c r="J556" s="978"/>
      <c r="K556" s="978"/>
      <c r="L556" s="979"/>
    </row>
    <row r="557" spans="1:12" ht="23.25">
      <c r="A557" s="23"/>
      <c r="B557" t="s">
        <v>216</v>
      </c>
      <c r="C557" s="252"/>
      <c r="D557" s="252"/>
      <c r="E557" s="252"/>
      <c r="F557" s="252"/>
      <c r="G557" s="252"/>
      <c r="H557" s="252"/>
      <c r="I557" t="s">
        <v>323</v>
      </c>
      <c r="J557" s="252"/>
      <c r="K557" s="252"/>
      <c r="L557" s="283"/>
    </row>
    <row r="558" spans="1:12" ht="16.5" thickBot="1">
      <c r="A558" s="35"/>
      <c r="B558" s="802"/>
      <c r="C558" s="802"/>
      <c r="D558" s="802"/>
      <c r="E558" s="802"/>
      <c r="F558" s="802"/>
      <c r="G558" s="802"/>
      <c r="H558" s="802"/>
      <c r="I558" s="802"/>
      <c r="J558" s="802"/>
      <c r="K558" s="802"/>
      <c r="L558" s="803"/>
    </row>
    <row r="559" spans="1:12">
      <c r="A559" s="94"/>
      <c r="B559" s="95"/>
      <c r="C559" s="95"/>
      <c r="D559" s="95"/>
      <c r="E559" s="95"/>
      <c r="F559" s="95"/>
      <c r="G559" s="95"/>
      <c r="H559" s="95"/>
      <c r="I559" s="99" t="s">
        <v>250</v>
      </c>
      <c r="J559" s="95"/>
      <c r="K559" s="95"/>
      <c r="L559" s="96"/>
    </row>
    <row r="560" spans="1:12">
      <c r="A560" s="23"/>
      <c r="B560" s="966" t="s">
        <v>305</v>
      </c>
      <c r="C560" s="966"/>
      <c r="D560" s="966"/>
      <c r="E560" s="966"/>
      <c r="F560" s="966"/>
      <c r="G560" s="966"/>
      <c r="H560" s="966"/>
      <c r="I560" s="966"/>
      <c r="J560" s="966"/>
      <c r="K560" s="966"/>
      <c r="L560" s="967"/>
    </row>
    <row r="561" spans="1:12" ht="23.25">
      <c r="A561" s="23"/>
      <c r="B561" s="252"/>
      <c r="C561" s="252"/>
      <c r="D561" s="260" t="s">
        <v>252</v>
      </c>
      <c r="E561" s="252"/>
      <c r="F561" s="252"/>
      <c r="G561" s="252"/>
      <c r="H561" s="252"/>
      <c r="I561" s="254" t="s">
        <v>306</v>
      </c>
      <c r="J561" s="255"/>
      <c r="K561" s="255"/>
      <c r="L561" s="285"/>
    </row>
    <row r="562" spans="1:12" ht="15.75">
      <c r="A562" s="23"/>
      <c r="B562" s="2"/>
      <c r="C562" s="2" t="s">
        <v>253</v>
      </c>
      <c r="E562" s="2"/>
      <c r="F562" s="2"/>
      <c r="G562" s="2"/>
      <c r="H562" s="2"/>
      <c r="I562" s="253" t="s">
        <v>307</v>
      </c>
      <c r="J562" s="274">
        <f>'4-22Master'!G489</f>
        <v>0</v>
      </c>
      <c r="K562" s="256"/>
      <c r="L562" s="286"/>
    </row>
    <row r="563" spans="1:12">
      <c r="A563" s="23"/>
      <c r="B563" s="261"/>
      <c r="C563" s="230" t="s">
        <v>254</v>
      </c>
      <c r="E563" s="261"/>
      <c r="F563" s="261"/>
      <c r="H563" s="231"/>
      <c r="I563" s="277">
        <f>'4-22Master'!G490</f>
        <v>0</v>
      </c>
      <c r="J563" s="275"/>
      <c r="K563" s="276"/>
      <c r="L563" s="240"/>
    </row>
    <row r="564" spans="1:12" ht="23.25" customHeight="1">
      <c r="A564" s="23">
        <v>1</v>
      </c>
      <c r="B564" s="257" t="s">
        <v>255</v>
      </c>
      <c r="C564" s="77"/>
      <c r="D564" s="77"/>
      <c r="E564" s="77"/>
      <c r="F564" s="77"/>
      <c r="G564" s="78"/>
      <c r="H564" s="947"/>
      <c r="I564" s="948"/>
      <c r="J564" s="948"/>
      <c r="K564" s="948"/>
      <c r="L564" s="949"/>
    </row>
    <row r="565" spans="1:12" ht="22.5" customHeight="1">
      <c r="A565" s="23">
        <v>2</v>
      </c>
      <c r="B565" s="968" t="s">
        <v>256</v>
      </c>
      <c r="C565" s="969"/>
      <c r="D565" s="969"/>
      <c r="E565" s="969"/>
      <c r="F565" s="258" t="s">
        <v>257</v>
      </c>
      <c r="G565" s="242"/>
      <c r="H565" s="970"/>
      <c r="I565" s="971"/>
      <c r="J565" s="971"/>
      <c r="K565" s="971"/>
      <c r="L565" s="972"/>
    </row>
    <row r="566" spans="1:12" ht="10.5" customHeight="1">
      <c r="A566" s="23"/>
      <c r="B566" s="243" t="s">
        <v>258</v>
      </c>
      <c r="C566" s="244"/>
      <c r="D566" s="244"/>
      <c r="E566" s="244"/>
      <c r="F566" s="244" t="s">
        <v>251</v>
      </c>
      <c r="G566" s="245"/>
      <c r="H566" s="973"/>
      <c r="I566" s="974"/>
      <c r="J566" s="974"/>
      <c r="K566" s="974"/>
      <c r="L566" s="975"/>
    </row>
    <row r="567" spans="1:12" ht="24" customHeight="1">
      <c r="A567" s="23">
        <v>3</v>
      </c>
      <c r="B567" s="259" t="s">
        <v>259</v>
      </c>
      <c r="C567" s="249"/>
      <c r="D567" s="249"/>
      <c r="E567" s="249"/>
      <c r="F567" s="249"/>
      <c r="G567" s="250"/>
      <c r="H567" s="259"/>
      <c r="I567" s="249"/>
      <c r="J567" s="249"/>
      <c r="K567" s="249"/>
      <c r="L567" s="287"/>
    </row>
    <row r="568" spans="1:12" ht="27.95" customHeight="1">
      <c r="A568" s="23">
        <v>4</v>
      </c>
      <c r="B568" s="235" t="s">
        <v>260</v>
      </c>
      <c r="C568" s="77"/>
      <c r="D568" s="77"/>
      <c r="E568" s="77"/>
      <c r="F568" s="77"/>
      <c r="G568" s="78"/>
      <c r="H568" s="235"/>
      <c r="I568" s="77"/>
      <c r="J568" s="77"/>
      <c r="K568" s="77"/>
      <c r="L568" s="240"/>
    </row>
    <row r="569" spans="1:12" ht="27.95" customHeight="1">
      <c r="A569" s="23">
        <v>5</v>
      </c>
      <c r="B569" s="958" t="s">
        <v>308</v>
      </c>
      <c r="C569" s="959"/>
      <c r="D569" s="959"/>
      <c r="E569" s="959"/>
      <c r="F569" s="959"/>
      <c r="G569" s="78"/>
      <c r="H569" s="980"/>
      <c r="I569" s="981"/>
      <c r="J569" s="981"/>
      <c r="K569" s="981"/>
      <c r="L569" s="982"/>
    </row>
    <row r="570" spans="1:12" ht="27.95" customHeight="1">
      <c r="A570" s="23">
        <v>6</v>
      </c>
      <c r="B570" s="248" t="s">
        <v>261</v>
      </c>
      <c r="C570" s="249" t="s">
        <v>262</v>
      </c>
      <c r="D570" s="249"/>
      <c r="E570" s="249"/>
      <c r="F570" s="249"/>
      <c r="G570" s="250"/>
      <c r="H570" s="259"/>
      <c r="I570" s="249"/>
      <c r="J570" s="249"/>
      <c r="K570" s="249"/>
      <c r="L570" s="287"/>
    </row>
    <row r="571" spans="1:12" ht="27.95" customHeight="1">
      <c r="A571" s="23"/>
      <c r="B571" s="248" t="s">
        <v>263</v>
      </c>
      <c r="C571" s="249" t="s">
        <v>264</v>
      </c>
      <c r="D571" s="249"/>
      <c r="E571" s="249"/>
      <c r="F571" s="249"/>
      <c r="G571" s="250"/>
      <c r="H571" s="259"/>
      <c r="I571" s="241"/>
      <c r="J571" s="241"/>
      <c r="K571" s="249"/>
      <c r="L571" s="287"/>
    </row>
    <row r="572" spans="1:12" ht="27.95" customHeight="1">
      <c r="A572" s="23">
        <v>7</v>
      </c>
      <c r="B572" s="955" t="s">
        <v>265</v>
      </c>
      <c r="C572" s="956"/>
      <c r="D572" s="956"/>
      <c r="E572" s="956"/>
      <c r="F572" s="956"/>
      <c r="G572" s="960"/>
      <c r="H572" s="263" t="s">
        <v>266</v>
      </c>
      <c r="I572" s="264"/>
      <c r="J572" s="265"/>
      <c r="K572" s="263" t="s">
        <v>267</v>
      </c>
      <c r="L572" s="288"/>
    </row>
    <row r="573" spans="1:12" ht="27.95" customHeight="1">
      <c r="A573" s="23">
        <v>8</v>
      </c>
      <c r="B573" s="955" t="s">
        <v>309</v>
      </c>
      <c r="C573" s="956"/>
      <c r="D573" s="956"/>
      <c r="E573" s="956"/>
      <c r="F573" s="956"/>
      <c r="G573" s="960"/>
      <c r="H573" s="263" t="s">
        <v>266</v>
      </c>
      <c r="I573" s="264"/>
      <c r="J573" s="265"/>
      <c r="K573" s="263" t="s">
        <v>267</v>
      </c>
      <c r="L573" s="288"/>
    </row>
    <row r="574" spans="1:12" ht="27.95" customHeight="1">
      <c r="A574" s="23"/>
      <c r="B574" s="235"/>
      <c r="C574" s="267"/>
      <c r="D574" s="267"/>
      <c r="E574" s="267"/>
      <c r="F574" s="267" t="s">
        <v>268</v>
      </c>
      <c r="G574" s="267"/>
      <c r="H574" s="267"/>
      <c r="I574" s="267"/>
      <c r="J574" s="267"/>
      <c r="K574" s="267"/>
      <c r="L574" s="289"/>
    </row>
    <row r="575" spans="1:12" ht="27.95" customHeight="1">
      <c r="A575" s="23">
        <v>9</v>
      </c>
      <c r="B575" s="248" t="s">
        <v>269</v>
      </c>
      <c r="C575" s="249" t="s">
        <v>270</v>
      </c>
      <c r="D575" s="249"/>
      <c r="E575" s="249"/>
      <c r="F575" s="249"/>
      <c r="G575" s="250"/>
      <c r="H575" s="259"/>
      <c r="I575" s="249"/>
      <c r="J575" s="249"/>
      <c r="K575" s="249"/>
      <c r="L575" s="287"/>
    </row>
    <row r="576" spans="1:12" ht="24" customHeight="1">
      <c r="A576" s="105"/>
      <c r="B576" s="248" t="s">
        <v>271</v>
      </c>
      <c r="C576" s="249" t="s">
        <v>272</v>
      </c>
      <c r="D576" s="249"/>
      <c r="E576" s="249"/>
      <c r="F576" s="249"/>
      <c r="G576" s="250"/>
      <c r="H576" s="259"/>
      <c r="I576" s="249"/>
      <c r="J576" s="249"/>
      <c r="K576" s="249"/>
      <c r="L576" s="287"/>
    </row>
    <row r="577" spans="1:12" ht="24" customHeight="1">
      <c r="A577" s="105"/>
      <c r="B577" s="248" t="s">
        <v>310</v>
      </c>
      <c r="C577" s="249" t="s">
        <v>311</v>
      </c>
      <c r="D577" s="249"/>
      <c r="E577" s="249"/>
      <c r="F577" s="249"/>
      <c r="G577" s="250"/>
      <c r="H577" s="259"/>
      <c r="I577" s="249"/>
      <c r="J577" s="249"/>
      <c r="K577" s="249"/>
      <c r="L577" s="287"/>
    </row>
    <row r="578" spans="1:12" ht="22.5" customHeight="1">
      <c r="A578" s="105"/>
      <c r="B578" s="248" t="s">
        <v>274</v>
      </c>
      <c r="C578" s="249" t="s">
        <v>275</v>
      </c>
      <c r="D578" s="249"/>
      <c r="E578" s="249"/>
      <c r="F578" s="249"/>
      <c r="G578" s="250"/>
      <c r="H578" s="259"/>
      <c r="I578" s="249"/>
      <c r="J578" s="249"/>
      <c r="K578" s="249"/>
      <c r="L578" s="287"/>
    </row>
    <row r="579" spans="1:12" ht="27.95" customHeight="1">
      <c r="A579" s="105"/>
      <c r="B579" s="248" t="s">
        <v>276</v>
      </c>
      <c r="C579" s="249" t="s">
        <v>277</v>
      </c>
      <c r="D579" s="249"/>
      <c r="E579" s="249"/>
      <c r="F579" s="249"/>
      <c r="G579" s="250"/>
      <c r="H579" s="259"/>
      <c r="I579" s="249"/>
      <c r="J579" s="249"/>
      <c r="K579" s="249"/>
      <c r="L579" s="287"/>
    </row>
    <row r="580" spans="1:12" ht="27.95" customHeight="1">
      <c r="A580" s="105">
        <v>10</v>
      </c>
      <c r="B580" s="248" t="s">
        <v>269</v>
      </c>
      <c r="C580" s="249" t="s">
        <v>312</v>
      </c>
      <c r="D580" s="249"/>
      <c r="E580" s="249"/>
      <c r="F580" s="249"/>
      <c r="G580" s="250"/>
      <c r="H580" s="263" t="s">
        <v>266</v>
      </c>
      <c r="I580" s="264"/>
      <c r="J580" s="265"/>
      <c r="K580" s="263" t="s">
        <v>267</v>
      </c>
      <c r="L580" s="288"/>
    </row>
    <row r="581" spans="1:12" ht="27.95" customHeight="1">
      <c r="A581" s="105"/>
      <c r="B581" s="248" t="s">
        <v>271</v>
      </c>
      <c r="C581" s="249" t="s">
        <v>313</v>
      </c>
      <c r="D581" s="249"/>
      <c r="E581" s="249"/>
      <c r="F581" s="249"/>
      <c r="G581" s="250"/>
      <c r="H581" s="259"/>
      <c r="I581" s="249"/>
      <c r="J581" s="249"/>
      <c r="K581" s="249"/>
      <c r="L581" s="287"/>
    </row>
    <row r="582" spans="1:12">
      <c r="A582" s="105"/>
      <c r="B582" s="248" t="s">
        <v>310</v>
      </c>
      <c r="C582" s="249" t="s">
        <v>278</v>
      </c>
      <c r="D582" s="249"/>
      <c r="E582" s="249"/>
      <c r="F582" s="249"/>
      <c r="G582" s="250"/>
      <c r="H582" s="259"/>
      <c r="I582" s="249"/>
      <c r="J582" s="249"/>
      <c r="K582" s="249"/>
      <c r="L582" s="287"/>
    </row>
    <row r="583" spans="1:12">
      <c r="A583" s="105"/>
      <c r="B583" s="248" t="s">
        <v>274</v>
      </c>
      <c r="C583" s="249" t="s">
        <v>314</v>
      </c>
      <c r="D583" s="249"/>
      <c r="E583" s="249"/>
      <c r="F583" s="249"/>
      <c r="G583" s="250"/>
      <c r="H583" s="259"/>
      <c r="I583" s="249"/>
      <c r="J583" s="249"/>
      <c r="K583" s="249"/>
      <c r="L583" s="287"/>
    </row>
    <row r="584" spans="1:12">
      <c r="A584" s="23"/>
      <c r="B584" s="235"/>
      <c r="C584" s="267"/>
      <c r="D584" s="267"/>
      <c r="E584" s="267" t="s">
        <v>315</v>
      </c>
      <c r="F584" s="267"/>
      <c r="G584" s="267"/>
      <c r="H584" s="267"/>
      <c r="I584" s="267"/>
      <c r="J584" s="267"/>
      <c r="K584" s="267"/>
      <c r="L584" s="289"/>
    </row>
    <row r="585" spans="1:12">
      <c r="A585" s="23">
        <v>11</v>
      </c>
      <c r="B585" s="248" t="s">
        <v>269</v>
      </c>
      <c r="C585" s="249" t="s">
        <v>279</v>
      </c>
      <c r="D585" s="249"/>
      <c r="E585" s="249"/>
      <c r="F585" s="249"/>
      <c r="G585" s="250"/>
      <c r="H585" s="259"/>
      <c r="I585" s="249"/>
      <c r="J585" s="249"/>
      <c r="K585" s="249"/>
      <c r="L585" s="287"/>
    </row>
    <row r="586" spans="1:12">
      <c r="A586" s="23"/>
      <c r="B586" s="248" t="s">
        <v>271</v>
      </c>
      <c r="C586" s="249" t="s">
        <v>280</v>
      </c>
      <c r="D586" s="249"/>
      <c r="E586" s="249"/>
      <c r="F586" s="249"/>
      <c r="G586" s="250"/>
      <c r="H586" s="259"/>
      <c r="I586" s="249"/>
      <c r="J586" s="249"/>
      <c r="K586" s="249"/>
      <c r="L586" s="287"/>
    </row>
    <row r="587" spans="1:12">
      <c r="A587" s="23"/>
      <c r="B587" s="248" t="s">
        <v>273</v>
      </c>
      <c r="C587" s="249" t="s">
        <v>281</v>
      </c>
      <c r="D587" s="249"/>
      <c r="E587" s="249"/>
      <c r="F587" s="249"/>
      <c r="G587" s="250"/>
      <c r="H587" s="259"/>
      <c r="I587" s="249"/>
      <c r="J587" s="249"/>
      <c r="K587" s="249"/>
      <c r="L587" s="287"/>
    </row>
    <row r="588" spans="1:12" ht="15" customHeight="1">
      <c r="A588" s="23"/>
      <c r="B588" s="223"/>
      <c r="C588" s="219"/>
      <c r="D588" s="219"/>
      <c r="E588" s="219"/>
      <c r="F588" s="268" t="s">
        <v>282</v>
      </c>
      <c r="G588" s="219"/>
      <c r="H588" s="208"/>
      <c r="I588" s="208"/>
      <c r="J588" s="208"/>
      <c r="K588" s="208"/>
      <c r="L588" s="226"/>
    </row>
    <row r="589" spans="1:12">
      <c r="A589" s="23"/>
      <c r="B589" s="280" t="s">
        <v>283</v>
      </c>
      <c r="C589" s="279" t="s">
        <v>284</v>
      </c>
      <c r="D589" s="219"/>
      <c r="E589" s="219"/>
      <c r="F589" s="219"/>
      <c r="G589" s="219"/>
      <c r="H589" s="208"/>
      <c r="I589" s="208"/>
      <c r="J589" s="209"/>
      <c r="K589" s="208"/>
      <c r="L589" s="226"/>
    </row>
    <row r="590" spans="1:12">
      <c r="A590" s="23"/>
      <c r="B590" s="280" t="s">
        <v>285</v>
      </c>
      <c r="C590" s="278" t="s">
        <v>286</v>
      </c>
      <c r="D590" s="208"/>
      <c r="E590" s="209"/>
      <c r="G590" s="961"/>
      <c r="H590" s="961"/>
      <c r="I590" s="224"/>
      <c r="J590" s="225"/>
      <c r="K590" s="961"/>
      <c r="L590" s="962"/>
    </row>
    <row r="591" spans="1:12">
      <c r="A591" s="23"/>
      <c r="B591" s="281" t="s">
        <v>287</v>
      </c>
      <c r="C591" s="963" t="s">
        <v>316</v>
      </c>
      <c r="D591" s="963"/>
      <c r="E591" s="963"/>
      <c r="F591" s="963"/>
      <c r="G591" s="963"/>
      <c r="H591" s="963"/>
      <c r="I591" s="963"/>
      <c r="J591" s="963"/>
      <c r="K591" s="963"/>
      <c r="L591" s="964"/>
    </row>
    <row r="592" spans="1:12">
      <c r="A592" s="23"/>
      <c r="B592" s="280" t="s">
        <v>288</v>
      </c>
      <c r="C592" s="279" t="s">
        <v>289</v>
      </c>
      <c r="D592" s="271"/>
      <c r="E592" s="271"/>
      <c r="F592" s="271"/>
      <c r="G592" s="271"/>
      <c r="H592" s="271"/>
      <c r="I592" s="271"/>
      <c r="J592" s="271"/>
      <c r="K592" s="271"/>
      <c r="L592" s="290"/>
    </row>
    <row r="593" spans="1:12">
      <c r="A593" s="23"/>
      <c r="B593" s="223"/>
      <c r="C593" t="s">
        <v>317</v>
      </c>
      <c r="D593" s="4"/>
      <c r="E593" s="4"/>
      <c r="F593" s="4"/>
      <c r="G593" s="4"/>
      <c r="L593" s="24"/>
    </row>
    <row r="594" spans="1:12">
      <c r="A594" s="23"/>
      <c r="C594" t="s">
        <v>290</v>
      </c>
      <c r="J594" t="s">
        <v>318</v>
      </c>
      <c r="L594" s="24"/>
    </row>
    <row r="595" spans="1:12">
      <c r="A595" s="23"/>
      <c r="F595" s="269" t="s">
        <v>291</v>
      </c>
      <c r="L595" s="24"/>
    </row>
    <row r="596" spans="1:12">
      <c r="A596" s="23" t="s">
        <v>319</v>
      </c>
      <c r="B596" t="s">
        <v>292</v>
      </c>
      <c r="E596" s="272">
        <f>'4-22Master'!C499</f>
        <v>0</v>
      </c>
      <c r="H596" s="965" t="s">
        <v>293</v>
      </c>
      <c r="I596" s="965"/>
      <c r="J596" s="273">
        <f>'4-22Master'!O499</f>
        <v>0</v>
      </c>
      <c r="K596" t="s">
        <v>294</v>
      </c>
      <c r="L596" s="24"/>
    </row>
    <row r="597" spans="1:12">
      <c r="A597" s="23"/>
      <c r="B597" s="976">
        <f>'4-22Master'!T499</f>
        <v>0</v>
      </c>
      <c r="C597" s="977"/>
      <c r="D597" s="270"/>
      <c r="E597" s="270"/>
      <c r="F597" s="270"/>
      <c r="G597" s="270"/>
      <c r="H597" s="270"/>
      <c r="I597" s="270"/>
      <c r="J597" s="270"/>
      <c r="K597" s="270"/>
      <c r="L597" s="291"/>
    </row>
    <row r="598" spans="1:12">
      <c r="A598" s="23" t="s">
        <v>321</v>
      </c>
      <c r="B598" s="270" t="s">
        <v>295</v>
      </c>
      <c r="C598" s="270"/>
      <c r="D598" s="270"/>
      <c r="E598" s="270"/>
      <c r="F598" s="270"/>
      <c r="G598" s="270"/>
      <c r="H598" s="270"/>
      <c r="I598" s="270"/>
      <c r="J598" s="270"/>
      <c r="K598" s="270"/>
      <c r="L598" s="291"/>
    </row>
    <row r="599" spans="1:12">
      <c r="A599" s="23"/>
      <c r="B599" s="270" t="s">
        <v>320</v>
      </c>
      <c r="C599" s="270"/>
      <c r="D599" s="270"/>
      <c r="E599" s="270"/>
      <c r="F599" s="270"/>
      <c r="G599" s="270"/>
      <c r="H599" s="270"/>
      <c r="I599" s="270"/>
      <c r="J599" s="270"/>
      <c r="K599" s="270"/>
      <c r="L599" s="291"/>
    </row>
    <row r="600" spans="1:12">
      <c r="A600" s="23"/>
      <c r="B600" t="s">
        <v>296</v>
      </c>
      <c r="L600" s="24"/>
    </row>
    <row r="601" spans="1:12" ht="18.75">
      <c r="A601" s="23"/>
      <c r="B601" s="4" t="s">
        <v>297</v>
      </c>
      <c r="F601" s="222"/>
      <c r="L601" s="24"/>
    </row>
    <row r="602" spans="1:12">
      <c r="A602" s="23"/>
      <c r="B602" s="4" t="s">
        <v>298</v>
      </c>
      <c r="L602" s="24"/>
    </row>
    <row r="603" spans="1:12" ht="21.75" customHeight="1">
      <c r="A603" s="23"/>
      <c r="B603" t="s">
        <v>299</v>
      </c>
      <c r="L603" s="24"/>
    </row>
    <row r="604" spans="1:12" ht="18" customHeight="1">
      <c r="A604" s="23"/>
      <c r="B604" t="s">
        <v>300</v>
      </c>
      <c r="L604" s="24"/>
    </row>
    <row r="605" spans="1:12" ht="17.25" customHeight="1">
      <c r="A605" s="23" t="s">
        <v>310</v>
      </c>
      <c r="B605" t="s">
        <v>301</v>
      </c>
      <c r="L605" s="24"/>
    </row>
    <row r="606" spans="1:12" ht="19.5" customHeight="1">
      <c r="A606" s="23"/>
      <c r="B606" s="282" t="s">
        <v>322</v>
      </c>
      <c r="L606" s="24"/>
    </row>
    <row r="607" spans="1:12" ht="18.75" customHeight="1">
      <c r="A607" s="23"/>
      <c r="B607" t="s">
        <v>296</v>
      </c>
      <c r="L607" s="24"/>
    </row>
    <row r="608" spans="1:12" ht="15" customHeight="1">
      <c r="A608" s="23"/>
      <c r="B608" t="s">
        <v>302</v>
      </c>
      <c r="L608" s="24"/>
    </row>
    <row r="609" spans="1:12" ht="20.25" customHeight="1">
      <c r="A609" s="23"/>
      <c r="B609" t="s">
        <v>303</v>
      </c>
      <c r="L609" s="24"/>
    </row>
    <row r="610" spans="1:12" ht="21" customHeight="1">
      <c r="A610" s="23"/>
      <c r="B610" s="978" t="s">
        <v>304</v>
      </c>
      <c r="C610" s="978"/>
      <c r="D610" s="978"/>
      <c r="E610" s="978"/>
      <c r="F610" s="978"/>
      <c r="G610" s="978"/>
      <c r="H610" s="978"/>
      <c r="I610" s="978"/>
      <c r="J610" s="978"/>
      <c r="K610" s="978"/>
      <c r="L610" s="979"/>
    </row>
    <row r="611" spans="1:12" ht="27.95" customHeight="1">
      <c r="A611" s="23"/>
      <c r="B611" t="s">
        <v>216</v>
      </c>
      <c r="C611" s="252"/>
      <c r="D611" s="252"/>
      <c r="E611" s="252"/>
      <c r="F611" s="252"/>
      <c r="G611" s="252"/>
      <c r="H611" s="252"/>
      <c r="I611" t="s">
        <v>323</v>
      </c>
      <c r="J611" s="252"/>
      <c r="K611" s="252"/>
      <c r="L611" s="283"/>
    </row>
    <row r="612" spans="1:12" ht="27.95" customHeight="1" thickBot="1">
      <c r="A612" s="35"/>
      <c r="B612" s="802"/>
      <c r="C612" s="802"/>
      <c r="D612" s="802"/>
      <c r="E612" s="802"/>
      <c r="F612" s="802"/>
      <c r="G612" s="802"/>
      <c r="H612" s="802"/>
      <c r="I612" s="802"/>
      <c r="J612" s="802"/>
      <c r="K612" s="802"/>
      <c r="L612" s="803"/>
    </row>
    <row r="613" spans="1:12" ht="27.95" customHeight="1">
      <c r="B613" s="223"/>
      <c r="C613" s="219"/>
      <c r="D613" s="219"/>
      <c r="E613" s="219"/>
      <c r="F613" s="219"/>
      <c r="G613" s="219"/>
      <c r="H613" s="208"/>
      <c r="I613" s="208"/>
      <c r="J613" s="208"/>
      <c r="K613" s="208"/>
      <c r="L613" s="208"/>
    </row>
    <row r="614" spans="1:12" ht="27.95" customHeight="1">
      <c r="B614" s="223"/>
      <c r="C614" s="219"/>
      <c r="D614" s="219"/>
      <c r="E614" s="219"/>
      <c r="F614" s="219"/>
      <c r="G614" s="219"/>
      <c r="H614" s="208"/>
      <c r="I614" s="208"/>
      <c r="J614" s="209"/>
      <c r="K614" s="208"/>
      <c r="L614" s="208"/>
    </row>
    <row r="615" spans="1:12" ht="27.95" customHeight="1">
      <c r="B615" s="223"/>
      <c r="C615" s="219"/>
      <c r="D615" s="219"/>
      <c r="E615" s="219"/>
      <c r="F615" s="219"/>
      <c r="G615" s="219"/>
      <c r="H615" s="208"/>
      <c r="I615" s="208"/>
      <c r="J615" s="208"/>
      <c r="K615" s="208"/>
      <c r="L615" s="208"/>
    </row>
    <row r="616" spans="1:12" ht="27.95" customHeight="1">
      <c r="B616" s="223"/>
      <c r="C616" s="219"/>
      <c r="D616" s="219"/>
      <c r="E616" s="219"/>
      <c r="F616" s="219"/>
      <c r="G616" s="219"/>
      <c r="H616" s="208"/>
      <c r="I616" s="208"/>
      <c r="J616" s="209"/>
      <c r="K616" s="208"/>
      <c r="L616" s="208"/>
    </row>
    <row r="617" spans="1:12" ht="27.95" customHeight="1">
      <c r="B617" s="223"/>
      <c r="C617" s="219"/>
      <c r="D617" s="208"/>
      <c r="E617" s="209"/>
      <c r="F617" s="208"/>
      <c r="G617" s="209"/>
      <c r="H617" s="208"/>
      <c r="I617" s="209"/>
      <c r="J617" s="208"/>
      <c r="K617" s="209"/>
      <c r="L617" s="209"/>
    </row>
    <row r="618" spans="1:12" ht="27.95" customHeight="1">
      <c r="B618" s="223"/>
      <c r="C618" s="219"/>
      <c r="D618" s="219"/>
      <c r="E618" s="219"/>
      <c r="F618" s="219"/>
      <c r="G618" s="219"/>
      <c r="H618" s="208"/>
      <c r="I618" s="208"/>
      <c r="J618" s="293"/>
      <c r="K618" s="208"/>
      <c r="L618" s="208"/>
    </row>
    <row r="619" spans="1:12" ht="27.95" customHeight="1">
      <c r="B619" s="223"/>
      <c r="C619" s="4"/>
      <c r="D619" s="4"/>
      <c r="E619" s="4"/>
      <c r="F619" s="4"/>
      <c r="G619" s="4"/>
    </row>
    <row r="620" spans="1:12" ht="27.95" customHeight="1">
      <c r="B620" s="223"/>
      <c r="C620" s="4"/>
      <c r="D620" s="4"/>
      <c r="E620" s="4"/>
      <c r="F620" s="4"/>
      <c r="G620" s="4"/>
    </row>
    <row r="623" spans="1:12" ht="32.25">
      <c r="B623" s="928"/>
      <c r="C623" s="929"/>
      <c r="D623" s="929"/>
      <c r="E623" s="929"/>
      <c r="F623" s="929"/>
      <c r="G623" s="929"/>
      <c r="H623" s="929"/>
      <c r="I623" s="929"/>
      <c r="J623" s="929"/>
      <c r="K623" s="929"/>
      <c r="L623" s="929"/>
    </row>
    <row r="624" spans="1:12" ht="23.25">
      <c r="B624" s="800"/>
      <c r="C624" s="800"/>
      <c r="D624" s="800"/>
      <c r="E624" s="800"/>
      <c r="F624" s="800"/>
      <c r="G624" s="800"/>
      <c r="H624" s="800"/>
      <c r="I624" s="800"/>
      <c r="J624" s="800"/>
      <c r="K624" s="800"/>
      <c r="L624" s="800"/>
    </row>
    <row r="625" spans="2:12" ht="15.75">
      <c r="B625" s="927"/>
      <c r="C625" s="927"/>
      <c r="D625" s="927"/>
      <c r="E625" s="927"/>
      <c r="F625" s="927"/>
      <c r="G625" s="927"/>
      <c r="H625" s="927"/>
      <c r="I625" s="927"/>
      <c r="J625" s="927"/>
      <c r="K625" s="927"/>
      <c r="L625" s="927"/>
    </row>
    <row r="626" spans="2:12" ht="15" customHeight="1">
      <c r="B626" s="804"/>
      <c r="C626" s="804"/>
      <c r="D626" s="804"/>
      <c r="E626" s="804"/>
      <c r="F626" s="804"/>
      <c r="H626" s="805"/>
      <c r="I626" s="805"/>
      <c r="J626" s="805"/>
      <c r="K626" s="805"/>
      <c r="L626" s="805"/>
    </row>
    <row r="627" spans="2:12">
      <c r="B627" s="804"/>
      <c r="C627" s="804"/>
      <c r="D627" s="804"/>
      <c r="E627" s="804"/>
      <c r="F627" s="804"/>
      <c r="H627" s="805"/>
      <c r="I627" s="805"/>
      <c r="J627" s="805"/>
      <c r="K627" s="805"/>
      <c r="L627" s="805"/>
    </row>
    <row r="629" spans="2:12">
      <c r="B629" s="4"/>
      <c r="H629" s="4"/>
    </row>
    <row r="631" spans="2:12">
      <c r="B631" s="4"/>
      <c r="H631" s="4"/>
    </row>
    <row r="634" spans="2:12">
      <c r="B634" s="725"/>
      <c r="C634" s="725"/>
      <c r="D634" s="725"/>
      <c r="E634" s="725"/>
      <c r="F634" s="725"/>
      <c r="H634" s="725"/>
      <c r="I634" s="725"/>
      <c r="J634" s="725"/>
      <c r="K634" s="725"/>
      <c r="L634" s="725"/>
    </row>
    <row r="636" spans="2:12">
      <c r="H636" s="4"/>
      <c r="I636" s="4"/>
      <c r="J636" s="4"/>
      <c r="K636" s="4"/>
      <c r="L636" s="4"/>
    </row>
    <row r="637" spans="2:12">
      <c r="H637" s="4"/>
      <c r="I637" s="4"/>
      <c r="J637" s="4"/>
      <c r="K637" s="4"/>
      <c r="L637" s="4"/>
    </row>
    <row r="638" spans="2:12">
      <c r="B638" s="4"/>
      <c r="H638" s="4"/>
      <c r="I638" s="4"/>
      <c r="J638" s="4"/>
      <c r="K638" s="4"/>
      <c r="L638" s="4"/>
    </row>
    <row r="639" spans="2:12">
      <c r="H639" s="4"/>
      <c r="I639" s="4"/>
      <c r="J639" s="4"/>
      <c r="K639" s="4"/>
      <c r="L639" s="4"/>
    </row>
    <row r="640" spans="2:12">
      <c r="H640" s="4"/>
      <c r="I640" s="4"/>
      <c r="J640" s="4"/>
      <c r="K640" s="4"/>
      <c r="L640" s="4"/>
    </row>
    <row r="641" spans="1:12" ht="27.95" customHeight="1">
      <c r="A641" s="18"/>
      <c r="B641" s="924"/>
      <c r="C641" s="924"/>
      <c r="D641" s="924"/>
      <c r="E641" s="924"/>
      <c r="F641" s="924"/>
      <c r="G641" s="924"/>
      <c r="H641" s="922"/>
      <c r="I641" s="923"/>
      <c r="J641" s="923"/>
      <c r="K641" s="923"/>
      <c r="L641" s="923"/>
    </row>
    <row r="642" spans="1:12" ht="27.95" customHeight="1">
      <c r="A642" s="18"/>
      <c r="B642" s="805"/>
      <c r="C642" s="805"/>
      <c r="D642" s="805"/>
      <c r="E642" s="805"/>
      <c r="F642" s="805"/>
      <c r="G642" s="805"/>
      <c r="H642" s="922"/>
      <c r="I642" s="923"/>
      <c r="J642" s="923"/>
      <c r="K642" s="923"/>
      <c r="L642" s="923"/>
    </row>
    <row r="643" spans="1:12" ht="27.95" customHeight="1">
      <c r="A643" s="18"/>
      <c r="B643" s="924"/>
      <c r="C643" s="924"/>
      <c r="D643" s="924"/>
      <c r="E643" s="924"/>
      <c r="F643" s="924"/>
      <c r="G643" s="924"/>
      <c r="H643" s="922"/>
      <c r="I643" s="923"/>
      <c r="J643" s="923"/>
      <c r="K643" s="923"/>
      <c r="L643" s="923"/>
    </row>
    <row r="644" spans="1:12" ht="27.95" customHeight="1">
      <c r="A644" s="18"/>
      <c r="B644" s="924"/>
      <c r="C644" s="924"/>
      <c r="D644" s="924"/>
      <c r="E644" s="924"/>
      <c r="F644" s="924"/>
      <c r="G644" s="924"/>
      <c r="H644" s="926"/>
      <c r="I644" s="923"/>
      <c r="J644" s="923"/>
      <c r="K644" s="923"/>
      <c r="L644" s="923"/>
    </row>
    <row r="645" spans="1:12" ht="27.95" customHeight="1">
      <c r="A645" s="18"/>
      <c r="B645" s="223"/>
      <c r="C645" s="219"/>
      <c r="D645" s="219"/>
      <c r="E645" s="219"/>
      <c r="F645" s="219"/>
      <c r="G645" s="219"/>
      <c r="H645" s="208"/>
      <c r="I645" s="18"/>
      <c r="J645" s="292"/>
      <c r="K645" s="208"/>
      <c r="L645" s="208"/>
    </row>
    <row r="646" spans="1:12" ht="27.95" customHeight="1">
      <c r="A646" s="18"/>
      <c r="B646" s="223"/>
      <c r="C646" s="219"/>
      <c r="D646" s="219"/>
      <c r="E646" s="219"/>
      <c r="F646" s="219"/>
      <c r="G646" s="219"/>
      <c r="H646" s="208"/>
      <c r="I646" s="208"/>
      <c r="J646" s="292"/>
      <c r="K646" s="208"/>
      <c r="L646" s="208"/>
    </row>
    <row r="647" spans="1:12" ht="27.95" customHeight="1">
      <c r="A647" s="18"/>
      <c r="B647" s="805"/>
      <c r="C647" s="805"/>
      <c r="D647" s="805"/>
      <c r="E647" s="805"/>
      <c r="F647" s="805"/>
      <c r="G647" s="805"/>
      <c r="H647" s="922"/>
      <c r="I647" s="923"/>
      <c r="J647" s="923"/>
      <c r="K647" s="923"/>
      <c r="L647" s="923"/>
    </row>
    <row r="648" spans="1:12" ht="27.95" customHeight="1">
      <c r="A648" s="18"/>
      <c r="B648" s="924"/>
      <c r="C648" s="924"/>
      <c r="D648" s="924"/>
      <c r="E648" s="924"/>
      <c r="F648" s="924"/>
      <c r="G648" s="924"/>
      <c r="H648" s="925"/>
      <c r="I648" s="923"/>
      <c r="J648" s="923"/>
      <c r="K648" s="923"/>
      <c r="L648" s="923"/>
    </row>
    <row r="649" spans="1:12" ht="27.95" customHeight="1">
      <c r="B649" s="924"/>
      <c r="C649" s="924"/>
      <c r="D649" s="924"/>
      <c r="E649" s="924"/>
      <c r="F649" s="924"/>
      <c r="G649" s="924"/>
      <c r="H649" s="923"/>
      <c r="I649" s="923"/>
      <c r="J649" s="923"/>
      <c r="K649" s="923"/>
      <c r="L649" s="923"/>
    </row>
    <row r="650" spans="1:12" ht="27.95" customHeight="1">
      <c r="B650" s="223"/>
      <c r="C650" s="219"/>
      <c r="D650" s="219"/>
      <c r="E650" s="219"/>
      <c r="F650" s="219"/>
      <c r="G650" s="219"/>
      <c r="H650" s="208"/>
      <c r="I650" s="208"/>
      <c r="J650" s="208"/>
      <c r="K650" s="208"/>
      <c r="L650" s="208"/>
    </row>
    <row r="651" spans="1:12" ht="27.95" customHeight="1">
      <c r="B651" s="223"/>
      <c r="C651" s="219"/>
      <c r="D651" s="219"/>
      <c r="E651" s="219"/>
      <c r="F651" s="219"/>
      <c r="G651" s="219"/>
      <c r="H651" s="208"/>
      <c r="I651" s="208"/>
      <c r="J651" s="208"/>
      <c r="K651" s="208"/>
      <c r="L651" s="208"/>
    </row>
    <row r="652" spans="1:12" ht="27.95" customHeight="1">
      <c r="B652" s="223"/>
      <c r="C652" s="219"/>
      <c r="D652" s="219"/>
      <c r="E652" s="219"/>
      <c r="F652" s="219"/>
      <c r="G652" s="219"/>
      <c r="H652" s="208"/>
      <c r="I652" s="208"/>
      <c r="J652" s="209"/>
      <c r="K652" s="208"/>
      <c r="L652" s="208"/>
    </row>
    <row r="653" spans="1:12" ht="27.95" customHeight="1">
      <c r="B653" s="223"/>
      <c r="C653" s="219"/>
      <c r="D653" s="219"/>
      <c r="E653" s="219"/>
      <c r="F653" s="219"/>
      <c r="G653" s="219"/>
      <c r="H653" s="208"/>
      <c r="I653" s="208"/>
      <c r="J653" s="208"/>
      <c r="K653" s="208"/>
      <c r="L653" s="208"/>
    </row>
    <row r="654" spans="1:12" ht="27.95" customHeight="1">
      <c r="B654" s="223"/>
      <c r="C654" s="219"/>
      <c r="D654" s="219"/>
      <c r="E654" s="219"/>
      <c r="F654" s="219"/>
      <c r="G654" s="219"/>
      <c r="H654" s="208"/>
      <c r="I654" s="208"/>
      <c r="J654" s="209"/>
      <c r="K654" s="208"/>
      <c r="L654" s="208"/>
    </row>
    <row r="655" spans="1:12" ht="27.95" customHeight="1">
      <c r="B655" s="223"/>
      <c r="C655" s="219"/>
      <c r="D655" s="208"/>
      <c r="E655" s="209"/>
      <c r="F655" s="208"/>
      <c r="G655" s="209"/>
      <c r="H655" s="208"/>
      <c r="I655" s="209"/>
      <c r="J655" s="208"/>
      <c r="K655" s="209"/>
      <c r="L655" s="209"/>
    </row>
    <row r="656" spans="1:12" ht="27.95" customHeight="1">
      <c r="B656" s="223"/>
      <c r="C656" s="219"/>
      <c r="D656" s="219"/>
      <c r="E656" s="219"/>
      <c r="F656" s="219"/>
      <c r="G656" s="219"/>
      <c r="H656" s="208"/>
      <c r="I656" s="208"/>
      <c r="J656" s="293"/>
      <c r="K656" s="208"/>
      <c r="L656" s="208"/>
    </row>
    <row r="657" spans="2:12" ht="27.95" customHeight="1">
      <c r="B657" s="223"/>
      <c r="C657" s="4"/>
      <c r="D657" s="4"/>
      <c r="E657" s="4"/>
      <c r="F657" s="4"/>
      <c r="G657" s="4"/>
    </row>
    <row r="658" spans="2:12" ht="27.95" customHeight="1">
      <c r="B658" s="223"/>
      <c r="C658" s="4"/>
      <c r="D658" s="4"/>
      <c r="E658" s="4"/>
      <c r="F658" s="4"/>
      <c r="G658" s="4"/>
    </row>
    <row r="662" spans="2:12" ht="32.25">
      <c r="B662" s="928"/>
      <c r="C662" s="929"/>
      <c r="D662" s="929"/>
      <c r="E662" s="929"/>
      <c r="F662" s="929"/>
      <c r="G662" s="929"/>
      <c r="H662" s="929"/>
      <c r="I662" s="929"/>
      <c r="J662" s="929"/>
      <c r="K662" s="929"/>
      <c r="L662" s="929"/>
    </row>
    <row r="663" spans="2:12" ht="23.25">
      <c r="B663" s="800"/>
      <c r="C663" s="800"/>
      <c r="D663" s="800"/>
      <c r="E663" s="800"/>
      <c r="F663" s="800"/>
      <c r="G663" s="800"/>
      <c r="H663" s="800"/>
      <c r="I663" s="800"/>
      <c r="J663" s="800"/>
      <c r="K663" s="800"/>
      <c r="L663" s="800"/>
    </row>
    <row r="664" spans="2:12" ht="15.75">
      <c r="B664" s="927"/>
      <c r="C664" s="927"/>
      <c r="D664" s="927"/>
      <c r="E664" s="927"/>
      <c r="F664" s="927"/>
      <c r="G664" s="927"/>
      <c r="H664" s="927"/>
      <c r="I664" s="927"/>
      <c r="J664" s="927"/>
      <c r="K664" s="927"/>
      <c r="L664" s="927"/>
    </row>
    <row r="665" spans="2:12" ht="15" customHeight="1">
      <c r="B665" s="804"/>
      <c r="C665" s="804"/>
      <c r="D665" s="804"/>
      <c r="E665" s="804"/>
      <c r="F665" s="804"/>
      <c r="H665" s="805"/>
      <c r="I665" s="805"/>
      <c r="J665" s="805"/>
      <c r="K665" s="805"/>
      <c r="L665" s="805"/>
    </row>
    <row r="666" spans="2:12">
      <c r="B666" s="804"/>
      <c r="C666" s="804"/>
      <c r="D666" s="804"/>
      <c r="E666" s="804"/>
      <c r="F666" s="804"/>
      <c r="H666" s="805"/>
      <c r="I666" s="805"/>
      <c r="J666" s="805"/>
      <c r="K666" s="805"/>
      <c r="L666" s="805"/>
    </row>
    <row r="668" spans="2:12">
      <c r="B668" s="4"/>
      <c r="H668" s="4"/>
    </row>
    <row r="670" spans="2:12">
      <c r="B670" s="4"/>
      <c r="H670" s="4"/>
    </row>
    <row r="673" spans="1:12">
      <c r="B673" s="725"/>
      <c r="C673" s="725"/>
      <c r="D673" s="725"/>
      <c r="E673" s="725"/>
      <c r="F673" s="725"/>
      <c r="H673" s="725"/>
      <c r="I673" s="725"/>
      <c r="J673" s="725"/>
      <c r="K673" s="725"/>
      <c r="L673" s="725"/>
    </row>
    <row r="675" spans="1:12">
      <c r="H675" s="4"/>
      <c r="I675" s="4"/>
      <c r="J675" s="4"/>
      <c r="K675" s="4"/>
      <c r="L675" s="4"/>
    </row>
    <row r="676" spans="1:12">
      <c r="H676" s="4"/>
      <c r="I676" s="4"/>
      <c r="J676" s="4"/>
      <c r="K676" s="4"/>
      <c r="L676" s="4"/>
    </row>
    <row r="677" spans="1:12">
      <c r="B677" s="4"/>
      <c r="H677" s="4"/>
      <c r="I677" s="4"/>
      <c r="J677" s="4"/>
      <c r="K677" s="4"/>
      <c r="L677" s="4"/>
    </row>
    <row r="678" spans="1:12">
      <c r="H678" s="4"/>
      <c r="I678" s="4"/>
      <c r="J678" s="4"/>
      <c r="K678" s="4"/>
      <c r="L678" s="4"/>
    </row>
    <row r="679" spans="1:12">
      <c r="H679" s="4"/>
      <c r="I679" s="4"/>
      <c r="J679" s="4"/>
      <c r="K679" s="4"/>
      <c r="L679" s="4"/>
    </row>
    <row r="680" spans="1:12" ht="27.95" customHeight="1">
      <c r="A680" s="18"/>
      <c r="B680" s="924"/>
      <c r="C680" s="924"/>
      <c r="D680" s="924"/>
      <c r="E680" s="924"/>
      <c r="F680" s="924"/>
      <c r="G680" s="924"/>
      <c r="H680" s="922"/>
      <c r="I680" s="923"/>
      <c r="J680" s="923"/>
      <c r="K680" s="923"/>
      <c r="L680" s="923"/>
    </row>
    <row r="681" spans="1:12" ht="27.95" customHeight="1">
      <c r="A681" s="18"/>
      <c r="B681" s="805"/>
      <c r="C681" s="805"/>
      <c r="D681" s="805"/>
      <c r="E681" s="805"/>
      <c r="F681" s="805"/>
      <c r="G681" s="805"/>
      <c r="H681" s="922"/>
      <c r="I681" s="923"/>
      <c r="J681" s="923"/>
      <c r="K681" s="923"/>
      <c r="L681" s="923"/>
    </row>
    <row r="682" spans="1:12" ht="27.95" customHeight="1">
      <c r="A682" s="18"/>
      <c r="B682" s="924"/>
      <c r="C682" s="924"/>
      <c r="D682" s="924"/>
      <c r="E682" s="924"/>
      <c r="F682" s="924"/>
      <c r="G682" s="924"/>
      <c r="H682" s="922"/>
      <c r="I682" s="923"/>
      <c r="J682" s="923"/>
      <c r="K682" s="923"/>
      <c r="L682" s="923"/>
    </row>
    <row r="683" spans="1:12" ht="27.95" customHeight="1">
      <c r="A683" s="18"/>
      <c r="B683" s="924"/>
      <c r="C683" s="924"/>
      <c r="D683" s="924"/>
      <c r="E683" s="924"/>
      <c r="F683" s="924"/>
      <c r="G683" s="924"/>
      <c r="H683" s="926"/>
      <c r="I683" s="923"/>
      <c r="J683" s="923"/>
      <c r="K683" s="923"/>
      <c r="L683" s="923"/>
    </row>
    <row r="684" spans="1:12" ht="27.95" customHeight="1">
      <c r="A684" s="18"/>
      <c r="B684" s="223"/>
      <c r="C684" s="219"/>
      <c r="D684" s="219"/>
      <c r="E684" s="219"/>
      <c r="F684" s="219"/>
      <c r="G684" s="219"/>
      <c r="H684" s="208"/>
      <c r="I684" s="18"/>
      <c r="J684" s="292"/>
      <c r="K684" s="208"/>
      <c r="L684" s="208"/>
    </row>
    <row r="685" spans="1:12" ht="27.95" customHeight="1">
      <c r="A685" s="18"/>
      <c r="B685" s="223"/>
      <c r="C685" s="219"/>
      <c r="D685" s="219"/>
      <c r="E685" s="219"/>
      <c r="F685" s="219"/>
      <c r="G685" s="219"/>
      <c r="H685" s="208"/>
      <c r="I685" s="208"/>
      <c r="J685" s="292"/>
      <c r="K685" s="208"/>
      <c r="L685" s="208"/>
    </row>
    <row r="686" spans="1:12" ht="27.95" customHeight="1">
      <c r="A686" s="18"/>
      <c r="B686" s="805"/>
      <c r="C686" s="805"/>
      <c r="D686" s="805"/>
      <c r="E686" s="805"/>
      <c r="F686" s="805"/>
      <c r="G686" s="805"/>
      <c r="H686" s="922"/>
      <c r="I686" s="923"/>
      <c r="J686" s="923"/>
      <c r="K686" s="923"/>
      <c r="L686" s="923"/>
    </row>
    <row r="687" spans="1:12" ht="27.95" customHeight="1">
      <c r="A687" s="18"/>
      <c r="B687" s="924"/>
      <c r="C687" s="924"/>
      <c r="D687" s="924"/>
      <c r="E687" s="924"/>
      <c r="F687" s="924"/>
      <c r="G687" s="924"/>
      <c r="H687" s="925"/>
      <c r="I687" s="923"/>
      <c r="J687" s="923"/>
      <c r="K687" s="923"/>
      <c r="L687" s="923"/>
    </row>
    <row r="688" spans="1:12" ht="27.95" customHeight="1">
      <c r="B688" s="924"/>
      <c r="C688" s="924"/>
      <c r="D688" s="924"/>
      <c r="E688" s="924"/>
      <c r="F688" s="924"/>
      <c r="G688" s="924"/>
      <c r="H688" s="923"/>
      <c r="I688" s="923"/>
      <c r="J688" s="923"/>
      <c r="K688" s="923"/>
      <c r="L688" s="923"/>
    </row>
    <row r="689" spans="2:12" ht="27.95" customHeight="1">
      <c r="B689" s="223"/>
      <c r="C689" s="219"/>
      <c r="D689" s="219"/>
      <c r="E689" s="219"/>
      <c r="F689" s="219"/>
      <c r="G689" s="219"/>
      <c r="H689" s="208"/>
      <c r="I689" s="208"/>
      <c r="J689" s="208"/>
      <c r="K689" s="208"/>
      <c r="L689" s="208"/>
    </row>
    <row r="690" spans="2:12" ht="27.95" customHeight="1">
      <c r="B690" s="223"/>
      <c r="C690" s="219"/>
      <c r="D690" s="219"/>
      <c r="E690" s="219"/>
      <c r="F690" s="219"/>
      <c r="G690" s="219"/>
      <c r="H690" s="208"/>
      <c r="I690" s="208"/>
      <c r="J690" s="208"/>
      <c r="K690" s="208"/>
      <c r="L690" s="208"/>
    </row>
    <row r="691" spans="2:12" ht="27.95" customHeight="1">
      <c r="B691" s="223"/>
      <c r="C691" s="219"/>
      <c r="D691" s="219"/>
      <c r="E691" s="219"/>
      <c r="F691" s="219"/>
      <c r="G691" s="219"/>
      <c r="H691" s="208"/>
      <c r="I691" s="208"/>
      <c r="J691" s="209"/>
      <c r="K691" s="208"/>
      <c r="L691" s="208"/>
    </row>
    <row r="692" spans="2:12" ht="27.95" customHeight="1">
      <c r="B692" s="223"/>
      <c r="C692" s="219"/>
      <c r="D692" s="219"/>
      <c r="E692" s="219"/>
      <c r="F692" s="219"/>
      <c r="G692" s="219"/>
      <c r="H692" s="208"/>
      <c r="I692" s="208"/>
      <c r="J692" s="208"/>
      <c r="K692" s="208"/>
      <c r="L692" s="208"/>
    </row>
    <row r="693" spans="2:12" ht="27.95" customHeight="1">
      <c r="B693" s="223"/>
      <c r="C693" s="219"/>
      <c r="D693" s="219"/>
      <c r="E693" s="219"/>
      <c r="F693" s="219"/>
      <c r="G693" s="219"/>
      <c r="H693" s="208"/>
      <c r="I693" s="208"/>
      <c r="J693" s="209"/>
      <c r="K693" s="208"/>
      <c r="L693" s="208"/>
    </row>
    <row r="694" spans="2:12" ht="27.95" customHeight="1">
      <c r="B694" s="223"/>
      <c r="C694" s="219"/>
      <c r="D694" s="208"/>
      <c r="E694" s="209"/>
      <c r="F694" s="208"/>
      <c r="G694" s="209"/>
      <c r="H694" s="208"/>
      <c r="I694" s="209"/>
      <c r="J694" s="208"/>
      <c r="K694" s="209"/>
      <c r="L694" s="209"/>
    </row>
    <row r="695" spans="2:12" ht="27.95" customHeight="1">
      <c r="B695" s="223"/>
      <c r="C695" s="219"/>
      <c r="D695" s="219"/>
      <c r="E695" s="219"/>
      <c r="F695" s="219"/>
      <c r="G695" s="219"/>
      <c r="H695" s="208"/>
      <c r="I695" s="208"/>
      <c r="J695" s="293"/>
      <c r="K695" s="208"/>
      <c r="L695" s="208"/>
    </row>
    <row r="696" spans="2:12" ht="27.95" customHeight="1">
      <c r="B696" s="223"/>
      <c r="C696" s="4"/>
      <c r="D696" s="4"/>
      <c r="E696" s="4"/>
      <c r="F696" s="4"/>
      <c r="G696" s="4"/>
    </row>
    <row r="697" spans="2:12" ht="27.95" customHeight="1">
      <c r="B697" s="223"/>
      <c r="C697" s="4"/>
      <c r="D697" s="4"/>
      <c r="E697" s="4"/>
      <c r="F697" s="4"/>
      <c r="G697" s="4"/>
    </row>
    <row r="701" spans="2:12" ht="32.25">
      <c r="B701" s="928"/>
      <c r="C701" s="929"/>
      <c r="D701" s="929"/>
      <c r="E701" s="929"/>
      <c r="F701" s="929"/>
      <c r="G701" s="929"/>
      <c r="H701" s="929"/>
      <c r="I701" s="929"/>
      <c r="J701" s="929"/>
      <c r="K701" s="929"/>
      <c r="L701" s="929"/>
    </row>
    <row r="702" spans="2:12" ht="23.25">
      <c r="B702" s="800"/>
      <c r="C702" s="800"/>
      <c r="D702" s="800"/>
      <c r="E702" s="800"/>
      <c r="F702" s="800"/>
      <c r="G702" s="800"/>
      <c r="H702" s="800"/>
      <c r="I702" s="800"/>
      <c r="J702" s="800"/>
      <c r="K702" s="800"/>
      <c r="L702" s="800"/>
    </row>
    <row r="703" spans="2:12" ht="15.75">
      <c r="B703" s="927"/>
      <c r="C703" s="927"/>
      <c r="D703" s="927"/>
      <c r="E703" s="927"/>
      <c r="F703" s="927"/>
      <c r="G703" s="927"/>
      <c r="H703" s="927"/>
      <c r="I703" s="927"/>
      <c r="J703" s="927"/>
      <c r="K703" s="927"/>
      <c r="L703" s="927"/>
    </row>
    <row r="704" spans="2:12" ht="15" customHeight="1">
      <c r="B704" s="804"/>
      <c r="C704" s="804"/>
      <c r="D704" s="804"/>
      <c r="E704" s="804"/>
      <c r="F704" s="804"/>
      <c r="H704" s="805"/>
      <c r="I704" s="805"/>
      <c r="J704" s="805"/>
      <c r="K704" s="805"/>
      <c r="L704" s="805"/>
    </row>
    <row r="705" spans="1:12">
      <c r="B705" s="804"/>
      <c r="C705" s="804"/>
      <c r="D705" s="804"/>
      <c r="E705" s="804"/>
      <c r="F705" s="804"/>
      <c r="H705" s="805"/>
      <c r="I705" s="805"/>
      <c r="J705" s="805"/>
      <c r="K705" s="805"/>
      <c r="L705" s="805"/>
    </row>
    <row r="707" spans="1:12">
      <c r="B707" s="4"/>
      <c r="H707" s="4"/>
    </row>
    <row r="709" spans="1:12">
      <c r="B709" s="4"/>
      <c r="H709" s="4"/>
    </row>
    <row r="712" spans="1:12">
      <c r="B712" s="725"/>
      <c r="C712" s="725"/>
      <c r="D712" s="725"/>
      <c r="E712" s="725"/>
      <c r="F712" s="725"/>
      <c r="H712" s="725"/>
      <c r="I712" s="725"/>
      <c r="J712" s="725"/>
      <c r="K712" s="725"/>
      <c r="L712" s="725"/>
    </row>
    <row r="714" spans="1:12">
      <c r="H714" s="4"/>
      <c r="I714" s="4"/>
      <c r="J714" s="4"/>
      <c r="K714" s="4"/>
      <c r="L714" s="4"/>
    </row>
    <row r="715" spans="1:12">
      <c r="H715" s="4"/>
      <c r="I715" s="4"/>
      <c r="J715" s="4"/>
      <c r="K715" s="4"/>
      <c r="L715" s="4"/>
    </row>
    <row r="716" spans="1:12">
      <c r="B716" s="4"/>
      <c r="H716" s="4"/>
      <c r="I716" s="4"/>
      <c r="J716" s="4"/>
      <c r="K716" s="4"/>
      <c r="L716" s="4"/>
    </row>
    <row r="717" spans="1:12">
      <c r="H717" s="4"/>
      <c r="I717" s="4"/>
      <c r="J717" s="4"/>
      <c r="K717" s="4"/>
      <c r="L717" s="4"/>
    </row>
    <row r="718" spans="1:12">
      <c r="H718" s="4"/>
      <c r="I718" s="4"/>
      <c r="J718" s="4"/>
      <c r="K718" s="4"/>
      <c r="L718" s="4"/>
    </row>
    <row r="719" spans="1:12" ht="27.95" customHeight="1">
      <c r="A719" s="18"/>
      <c r="B719" s="924"/>
      <c r="C719" s="924"/>
      <c r="D719" s="924"/>
      <c r="E719" s="924"/>
      <c r="F719" s="924"/>
      <c r="G719" s="924"/>
      <c r="H719" s="922"/>
      <c r="I719" s="923"/>
      <c r="J719" s="923"/>
      <c r="K719" s="923"/>
      <c r="L719" s="923"/>
    </row>
    <row r="720" spans="1:12" ht="27.95" customHeight="1">
      <c r="A720" s="18"/>
      <c r="B720" s="805"/>
      <c r="C720" s="805"/>
      <c r="D720" s="805"/>
      <c r="E720" s="805"/>
      <c r="F720" s="805"/>
      <c r="G720" s="805"/>
      <c r="H720" s="922"/>
      <c r="I720" s="923"/>
      <c r="J720" s="923"/>
      <c r="K720" s="923"/>
      <c r="L720" s="923"/>
    </row>
    <row r="721" spans="1:12" ht="27.95" customHeight="1">
      <c r="A721" s="18"/>
      <c r="B721" s="924"/>
      <c r="C721" s="924"/>
      <c r="D721" s="924"/>
      <c r="E721" s="924"/>
      <c r="F721" s="924"/>
      <c r="G721" s="924"/>
      <c r="H721" s="922"/>
      <c r="I721" s="923"/>
      <c r="J721" s="923"/>
      <c r="K721" s="923"/>
      <c r="L721" s="923"/>
    </row>
    <row r="722" spans="1:12" ht="27.95" customHeight="1">
      <c r="A722" s="18"/>
      <c r="B722" s="924"/>
      <c r="C722" s="924"/>
      <c r="D722" s="924"/>
      <c r="E722" s="924"/>
      <c r="F722" s="924"/>
      <c r="G722" s="924"/>
      <c r="H722" s="926"/>
      <c r="I722" s="923"/>
      <c r="J722" s="923"/>
      <c r="K722" s="923"/>
      <c r="L722" s="923"/>
    </row>
    <row r="723" spans="1:12" ht="27.95" customHeight="1">
      <c r="A723" s="18"/>
      <c r="B723" s="223"/>
      <c r="C723" s="219"/>
      <c r="D723" s="219"/>
      <c r="E723" s="219"/>
      <c r="F723" s="219"/>
      <c r="G723" s="219"/>
      <c r="H723" s="208"/>
      <c r="I723" s="18"/>
      <c r="J723" s="292"/>
      <c r="K723" s="208"/>
      <c r="L723" s="208"/>
    </row>
    <row r="724" spans="1:12" ht="27.95" customHeight="1">
      <c r="A724" s="18"/>
      <c r="B724" s="223"/>
      <c r="C724" s="219"/>
      <c r="D724" s="219"/>
      <c r="E724" s="219"/>
      <c r="F724" s="219"/>
      <c r="G724" s="219"/>
      <c r="H724" s="208"/>
      <c r="I724" s="208"/>
      <c r="J724" s="292"/>
      <c r="K724" s="208"/>
      <c r="L724" s="208"/>
    </row>
    <row r="725" spans="1:12" ht="27.95" customHeight="1">
      <c r="A725" s="18"/>
      <c r="B725" s="805"/>
      <c r="C725" s="805"/>
      <c r="D725" s="805"/>
      <c r="E725" s="805"/>
      <c r="F725" s="805"/>
      <c r="G725" s="805"/>
      <c r="H725" s="922"/>
      <c r="I725" s="923"/>
      <c r="J725" s="923"/>
      <c r="K725" s="923"/>
      <c r="L725" s="923"/>
    </row>
    <row r="726" spans="1:12" ht="27.95" customHeight="1">
      <c r="A726" s="18"/>
      <c r="B726" s="924"/>
      <c r="C726" s="924"/>
      <c r="D726" s="924"/>
      <c r="E726" s="924"/>
      <c r="F726" s="924"/>
      <c r="G726" s="924"/>
      <c r="H726" s="925"/>
      <c r="I726" s="923"/>
      <c r="J726" s="923"/>
      <c r="K726" s="923"/>
      <c r="L726" s="923"/>
    </row>
    <row r="727" spans="1:12" ht="27.95" customHeight="1">
      <c r="B727" s="924"/>
      <c r="C727" s="924"/>
      <c r="D727" s="924"/>
      <c r="E727" s="924"/>
      <c r="F727" s="924"/>
      <c r="G727" s="924"/>
      <c r="H727" s="923"/>
      <c r="I727" s="923"/>
      <c r="J727" s="923"/>
      <c r="K727" s="923"/>
      <c r="L727" s="923"/>
    </row>
    <row r="728" spans="1:12" ht="27.95" customHeight="1">
      <c r="B728" s="223"/>
      <c r="C728" s="219"/>
      <c r="D728" s="219"/>
      <c r="E728" s="219"/>
      <c r="F728" s="219"/>
      <c r="G728" s="219"/>
      <c r="H728" s="208"/>
      <c r="I728" s="208"/>
      <c r="J728" s="208"/>
      <c r="K728" s="208"/>
      <c r="L728" s="208"/>
    </row>
    <row r="729" spans="1:12" ht="27.95" customHeight="1">
      <c r="B729" s="223"/>
      <c r="C729" s="219"/>
      <c r="D729" s="219"/>
      <c r="E729" s="219"/>
      <c r="F729" s="219"/>
      <c r="G729" s="219"/>
      <c r="H729" s="208"/>
      <c r="I729" s="208"/>
      <c r="J729" s="208"/>
      <c r="K729" s="208"/>
      <c r="L729" s="208"/>
    </row>
    <row r="730" spans="1:12" ht="27.95" customHeight="1">
      <c r="B730" s="223"/>
      <c r="C730" s="219"/>
      <c r="D730" s="219"/>
      <c r="E730" s="219"/>
      <c r="F730" s="219"/>
      <c r="G730" s="219"/>
      <c r="H730" s="208"/>
      <c r="I730" s="208"/>
      <c r="J730" s="209"/>
      <c r="K730" s="208"/>
      <c r="L730" s="208"/>
    </row>
    <row r="731" spans="1:12" ht="27.95" customHeight="1">
      <c r="B731" s="223"/>
      <c r="C731" s="219"/>
      <c r="D731" s="219"/>
      <c r="E731" s="219"/>
      <c r="F731" s="219"/>
      <c r="G731" s="219"/>
      <c r="H731" s="208"/>
      <c r="I731" s="208"/>
      <c r="J731" s="208"/>
      <c r="K731" s="208"/>
      <c r="L731" s="208"/>
    </row>
    <row r="732" spans="1:12" ht="27.95" customHeight="1">
      <c r="B732" s="223"/>
      <c r="C732" s="219"/>
      <c r="D732" s="219"/>
      <c r="E732" s="219"/>
      <c r="F732" s="219"/>
      <c r="G732" s="219"/>
      <c r="H732" s="208"/>
      <c r="I732" s="208"/>
      <c r="J732" s="209"/>
      <c r="K732" s="208"/>
      <c r="L732" s="208"/>
    </row>
    <row r="733" spans="1:12" ht="27.95" customHeight="1">
      <c r="B733" s="223"/>
      <c r="C733" s="219"/>
      <c r="D733" s="208"/>
      <c r="E733" s="209"/>
      <c r="F733" s="208"/>
      <c r="G733" s="209"/>
      <c r="H733" s="208"/>
      <c r="I733" s="209"/>
      <c r="J733" s="208"/>
      <c r="K733" s="209"/>
      <c r="L733" s="209"/>
    </row>
    <row r="734" spans="1:12" ht="27.95" customHeight="1">
      <c r="B734" s="223"/>
      <c r="C734" s="219"/>
      <c r="D734" s="219"/>
      <c r="E734" s="219"/>
      <c r="F734" s="219"/>
      <c r="G734" s="219"/>
      <c r="H734" s="208"/>
      <c r="I734" s="208"/>
      <c r="J734" s="293"/>
      <c r="K734" s="208"/>
      <c r="L734" s="208"/>
    </row>
    <row r="735" spans="1:12" ht="27.95" customHeight="1">
      <c r="B735" s="223"/>
      <c r="C735" s="4"/>
      <c r="D735" s="4"/>
      <c r="E735" s="4"/>
      <c r="F735" s="4"/>
      <c r="G735" s="4"/>
    </row>
    <row r="736" spans="1:12" ht="27.95" customHeight="1">
      <c r="B736" s="223"/>
      <c r="C736" s="4"/>
      <c r="D736" s="4"/>
      <c r="E736" s="4"/>
      <c r="F736" s="4"/>
      <c r="G736" s="4"/>
    </row>
    <row r="740" spans="2:12" ht="32.25">
      <c r="B740" s="928"/>
      <c r="C740" s="929"/>
      <c r="D740" s="929"/>
      <c r="E740" s="929"/>
      <c r="F740" s="929"/>
      <c r="G740" s="929"/>
      <c r="H740" s="929"/>
      <c r="I740" s="929"/>
      <c r="J740" s="929"/>
      <c r="K740" s="929"/>
      <c r="L740" s="929"/>
    </row>
    <row r="741" spans="2:12" ht="23.25">
      <c r="B741" s="800"/>
      <c r="C741" s="800"/>
      <c r="D741" s="800"/>
      <c r="E741" s="800"/>
      <c r="F741" s="800"/>
      <c r="G741" s="800"/>
      <c r="H741" s="800"/>
      <c r="I741" s="800"/>
      <c r="J741" s="800"/>
      <c r="K741" s="800"/>
      <c r="L741" s="800"/>
    </row>
    <row r="742" spans="2:12" ht="15.75">
      <c r="B742" s="927"/>
      <c r="C742" s="927"/>
      <c r="D742" s="927"/>
      <c r="E742" s="927"/>
      <c r="F742" s="927"/>
      <c r="G742" s="927"/>
      <c r="H742" s="927"/>
      <c r="I742" s="927"/>
      <c r="J742" s="927"/>
      <c r="K742" s="927"/>
      <c r="L742" s="927"/>
    </row>
    <row r="743" spans="2:12" ht="15" customHeight="1">
      <c r="B743" s="804"/>
      <c r="C743" s="804"/>
      <c r="D743" s="804"/>
      <c r="E743" s="804"/>
      <c r="F743" s="804"/>
      <c r="H743" s="805"/>
      <c r="I743" s="805"/>
      <c r="J743" s="805"/>
      <c r="K743" s="805"/>
      <c r="L743" s="805"/>
    </row>
    <row r="744" spans="2:12">
      <c r="B744" s="804"/>
      <c r="C744" s="804"/>
      <c r="D744" s="804"/>
      <c r="E744" s="804"/>
      <c r="F744" s="804"/>
      <c r="H744" s="805"/>
      <c r="I744" s="805"/>
      <c r="J744" s="805"/>
      <c r="K744" s="805"/>
      <c r="L744" s="805"/>
    </row>
    <row r="746" spans="2:12">
      <c r="B746" s="4"/>
      <c r="H746" s="4"/>
    </row>
    <row r="748" spans="2:12">
      <c r="B748" s="4"/>
      <c r="H748" s="4"/>
    </row>
    <row r="749" spans="2:12" ht="15" customHeight="1"/>
    <row r="751" spans="2:12">
      <c r="B751" s="725"/>
      <c r="C751" s="725"/>
      <c r="D751" s="725"/>
      <c r="E751" s="725"/>
      <c r="F751" s="725"/>
      <c r="H751" s="725"/>
      <c r="I751" s="725"/>
      <c r="J751" s="725"/>
      <c r="K751" s="725"/>
      <c r="L751" s="725"/>
    </row>
    <row r="753" spans="1:12">
      <c r="H753" s="4"/>
      <c r="I753" s="4"/>
      <c r="J753" s="4"/>
      <c r="K753" s="4"/>
      <c r="L753" s="4"/>
    </row>
    <row r="754" spans="1:12">
      <c r="H754" s="4"/>
      <c r="I754" s="4"/>
      <c r="J754" s="4"/>
      <c r="K754" s="4"/>
      <c r="L754" s="4"/>
    </row>
    <row r="755" spans="1:12">
      <c r="B755" s="4"/>
      <c r="H755" s="4"/>
      <c r="I755" s="4"/>
      <c r="J755" s="4"/>
      <c r="K755" s="4"/>
      <c r="L755" s="4"/>
    </row>
    <row r="756" spans="1:12">
      <c r="H756" s="4"/>
      <c r="I756" s="4"/>
      <c r="J756" s="4"/>
      <c r="K756" s="4"/>
      <c r="L756" s="4"/>
    </row>
    <row r="757" spans="1:12">
      <c r="H757" s="4"/>
      <c r="I757" s="4"/>
      <c r="J757" s="4"/>
      <c r="K757" s="4"/>
      <c r="L757" s="4"/>
    </row>
    <row r="758" spans="1:12" ht="27.95" customHeight="1">
      <c r="A758" s="18"/>
      <c r="B758" s="924"/>
      <c r="C758" s="924"/>
      <c r="D758" s="924"/>
      <c r="E758" s="924"/>
      <c r="F758" s="924"/>
      <c r="G758" s="924"/>
      <c r="H758" s="922"/>
      <c r="I758" s="923"/>
      <c r="J758" s="923"/>
      <c r="K758" s="923"/>
      <c r="L758" s="923"/>
    </row>
    <row r="759" spans="1:12" ht="27.95" customHeight="1">
      <c r="A759" s="18"/>
      <c r="B759" s="805"/>
      <c r="C759" s="805"/>
      <c r="D759" s="805"/>
      <c r="E759" s="805"/>
      <c r="F759" s="805"/>
      <c r="G759" s="805"/>
      <c r="H759" s="922"/>
      <c r="I759" s="923"/>
      <c r="J759" s="923"/>
      <c r="K759" s="923"/>
      <c r="L759" s="923"/>
    </row>
    <row r="760" spans="1:12" ht="27.95" customHeight="1">
      <c r="A760" s="18"/>
      <c r="B760" s="924"/>
      <c r="C760" s="924"/>
      <c r="D760" s="924"/>
      <c r="E760" s="924"/>
      <c r="F760" s="924"/>
      <c r="G760" s="924"/>
      <c r="H760" s="922"/>
      <c r="I760" s="923"/>
      <c r="J760" s="923"/>
      <c r="K760" s="923"/>
      <c r="L760" s="923"/>
    </row>
    <row r="761" spans="1:12" ht="27.95" customHeight="1">
      <c r="A761" s="18"/>
      <c r="B761" s="924"/>
      <c r="C761" s="924"/>
      <c r="D761" s="924"/>
      <c r="E761" s="924"/>
      <c r="F761" s="924"/>
      <c r="G761" s="924"/>
      <c r="H761" s="926"/>
      <c r="I761" s="923"/>
      <c r="J761" s="923"/>
      <c r="K761" s="923"/>
      <c r="L761" s="923"/>
    </row>
    <row r="762" spans="1:12" ht="27.95" customHeight="1">
      <c r="A762" s="18"/>
      <c r="B762" s="223"/>
      <c r="C762" s="219"/>
      <c r="D762" s="219"/>
      <c r="E762" s="219"/>
      <c r="F762" s="219"/>
      <c r="G762" s="219"/>
      <c r="H762" s="208"/>
      <c r="I762" s="18"/>
      <c r="J762" s="292"/>
      <c r="K762" s="208"/>
      <c r="L762" s="208"/>
    </row>
    <row r="763" spans="1:12" ht="27.95" customHeight="1">
      <c r="A763" s="18"/>
      <c r="B763" s="223"/>
      <c r="C763" s="219"/>
      <c r="D763" s="219"/>
      <c r="E763" s="219"/>
      <c r="F763" s="219"/>
      <c r="G763" s="219"/>
      <c r="H763" s="208"/>
      <c r="I763" s="208"/>
      <c r="J763" s="292"/>
      <c r="K763" s="208"/>
      <c r="L763" s="208"/>
    </row>
    <row r="764" spans="1:12" ht="27.95" customHeight="1">
      <c r="A764" s="18"/>
      <c r="B764" s="805"/>
      <c r="C764" s="805"/>
      <c r="D764" s="805"/>
      <c r="E764" s="805"/>
      <c r="F764" s="805"/>
      <c r="G764" s="805"/>
      <c r="H764" s="922"/>
      <c r="I764" s="923"/>
      <c r="J764" s="923"/>
      <c r="K764" s="923"/>
      <c r="L764" s="923"/>
    </row>
    <row r="765" spans="1:12" ht="27.95" customHeight="1">
      <c r="A765" s="18"/>
      <c r="B765" s="924"/>
      <c r="C765" s="924"/>
      <c r="D765" s="924"/>
      <c r="E765" s="924"/>
      <c r="F765" s="924"/>
      <c r="G765" s="924"/>
      <c r="H765" s="925"/>
      <c r="I765" s="923"/>
      <c r="J765" s="923"/>
      <c r="K765" s="923"/>
      <c r="L765" s="923"/>
    </row>
    <row r="766" spans="1:12" ht="27.95" customHeight="1">
      <c r="B766" s="924"/>
      <c r="C766" s="924"/>
      <c r="D766" s="924"/>
      <c r="E766" s="924"/>
      <c r="F766" s="924"/>
      <c r="G766" s="924"/>
      <c r="H766" s="923"/>
      <c r="I766" s="923"/>
      <c r="J766" s="923"/>
      <c r="K766" s="923"/>
      <c r="L766" s="923"/>
    </row>
    <row r="767" spans="1:12" ht="27.95" customHeight="1">
      <c r="B767" s="223"/>
      <c r="C767" s="219"/>
      <c r="D767" s="219"/>
      <c r="E767" s="219"/>
      <c r="F767" s="219"/>
      <c r="G767" s="219"/>
      <c r="H767" s="208"/>
      <c r="I767" s="208"/>
      <c r="J767" s="208"/>
      <c r="K767" s="208"/>
      <c r="L767" s="208"/>
    </row>
    <row r="768" spans="1:12" ht="27.95" customHeight="1">
      <c r="B768" s="223"/>
      <c r="C768" s="219"/>
      <c r="D768" s="219"/>
      <c r="E768" s="219"/>
      <c r="F768" s="219"/>
      <c r="G768" s="219"/>
      <c r="H768" s="208"/>
      <c r="I768" s="208"/>
      <c r="J768" s="208"/>
      <c r="K768" s="208"/>
      <c r="L768" s="208"/>
    </row>
    <row r="769" spans="2:12" ht="27.95" customHeight="1">
      <c r="B769" s="223"/>
      <c r="C769" s="219"/>
      <c r="D769" s="219"/>
      <c r="E769" s="219"/>
      <c r="F769" s="219"/>
      <c r="G769" s="219"/>
      <c r="H769" s="208"/>
      <c r="I769" s="208"/>
      <c r="J769" s="209"/>
      <c r="K769" s="208"/>
      <c r="L769" s="208"/>
    </row>
    <row r="770" spans="2:12" ht="27.95" customHeight="1">
      <c r="B770" s="223"/>
      <c r="C770" s="219"/>
      <c r="D770" s="219"/>
      <c r="E770" s="219"/>
      <c r="F770" s="219"/>
      <c r="G770" s="219"/>
      <c r="H770" s="208"/>
      <c r="I770" s="208"/>
      <c r="J770" s="208"/>
      <c r="K770" s="208"/>
      <c r="L770" s="208"/>
    </row>
    <row r="771" spans="2:12" ht="27.95" customHeight="1">
      <c r="B771" s="223"/>
      <c r="C771" s="219"/>
      <c r="D771" s="219"/>
      <c r="E771" s="219"/>
      <c r="F771" s="219"/>
      <c r="G771" s="219"/>
      <c r="H771" s="208"/>
      <c r="I771" s="208"/>
      <c r="J771" s="209"/>
      <c r="K771" s="208"/>
      <c r="L771" s="208"/>
    </row>
    <row r="772" spans="2:12" ht="27.95" customHeight="1">
      <c r="B772" s="223"/>
      <c r="C772" s="219"/>
      <c r="D772" s="208"/>
      <c r="E772" s="209"/>
      <c r="F772" s="208"/>
      <c r="G772" s="209"/>
      <c r="H772" s="208"/>
      <c r="I772" s="209"/>
      <c r="J772" s="208"/>
      <c r="K772" s="209"/>
      <c r="L772" s="209"/>
    </row>
    <row r="773" spans="2:12" ht="27.95" customHeight="1">
      <c r="B773" s="223"/>
      <c r="C773" s="219"/>
      <c r="D773" s="219"/>
      <c r="E773" s="219"/>
      <c r="F773" s="219"/>
      <c r="G773" s="219"/>
      <c r="H773" s="208"/>
      <c r="I773" s="208"/>
      <c r="J773" s="293"/>
      <c r="K773" s="208"/>
      <c r="L773" s="208"/>
    </row>
    <row r="774" spans="2:12" ht="27.95" customHeight="1">
      <c r="B774" s="223"/>
      <c r="C774" s="4"/>
      <c r="D774" s="4"/>
      <c r="E774" s="4"/>
      <c r="F774" s="4"/>
      <c r="G774" s="4"/>
    </row>
    <row r="775" spans="2:12" ht="27.95" customHeight="1">
      <c r="B775" s="223"/>
      <c r="C775" s="4"/>
      <c r="D775" s="4"/>
      <c r="E775" s="4"/>
      <c r="F775" s="4"/>
      <c r="G775" s="4"/>
    </row>
  </sheetData>
  <mergeCells count="274">
    <mergeCell ref="H125:L125"/>
    <mergeCell ref="H126:L126"/>
    <mergeCell ref="H181:L181"/>
    <mergeCell ref="H182:L182"/>
    <mergeCell ref="B569:F569"/>
    <mergeCell ref="H569:L569"/>
    <mergeCell ref="B573:G573"/>
    <mergeCell ref="G590:H590"/>
    <mergeCell ref="K590:L590"/>
    <mergeCell ref="G372:H372"/>
    <mergeCell ref="K372:L372"/>
    <mergeCell ref="C373:L373"/>
    <mergeCell ref="H378:I378"/>
    <mergeCell ref="B379:C379"/>
    <mergeCell ref="B392:L392"/>
    <mergeCell ref="B397:L397"/>
    <mergeCell ref="H402:L402"/>
    <mergeCell ref="B403:E403"/>
    <mergeCell ref="H403:L404"/>
    <mergeCell ref="B268:C268"/>
    <mergeCell ref="B281:L281"/>
    <mergeCell ref="B283:L283"/>
    <mergeCell ref="B285:L285"/>
    <mergeCell ref="H290:L290"/>
    <mergeCell ref="C591:L591"/>
    <mergeCell ref="H596:I596"/>
    <mergeCell ref="B597:C597"/>
    <mergeCell ref="B610:L610"/>
    <mergeCell ref="G482:H482"/>
    <mergeCell ref="K482:L482"/>
    <mergeCell ref="C483:L483"/>
    <mergeCell ref="H488:I488"/>
    <mergeCell ref="B489:C489"/>
    <mergeCell ref="B502:L502"/>
    <mergeCell ref="B504:L504"/>
    <mergeCell ref="B506:L506"/>
    <mergeCell ref="G536:H536"/>
    <mergeCell ref="K536:L536"/>
    <mergeCell ref="C537:L537"/>
    <mergeCell ref="H542:I542"/>
    <mergeCell ref="B543:C543"/>
    <mergeCell ref="H564:L564"/>
    <mergeCell ref="B556:L556"/>
    <mergeCell ref="B558:L558"/>
    <mergeCell ref="B560:L560"/>
    <mergeCell ref="B565:E565"/>
    <mergeCell ref="H565:L566"/>
    <mergeCell ref="B572:G572"/>
    <mergeCell ref="B291:E291"/>
    <mergeCell ref="H291:L292"/>
    <mergeCell ref="B295:F295"/>
    <mergeCell ref="H295:L295"/>
    <mergeCell ref="B187:G187"/>
    <mergeCell ref="G204:H204"/>
    <mergeCell ref="K204:L204"/>
    <mergeCell ref="C205:L205"/>
    <mergeCell ref="H211:I211"/>
    <mergeCell ref="B212:C212"/>
    <mergeCell ref="B225:L225"/>
    <mergeCell ref="B227:L227"/>
    <mergeCell ref="B229:L229"/>
    <mergeCell ref="H234:L234"/>
    <mergeCell ref="B235:E235"/>
    <mergeCell ref="H235:L236"/>
    <mergeCell ref="B239:F239"/>
    <mergeCell ref="H239:L239"/>
    <mergeCell ref="B242:G242"/>
    <mergeCell ref="B243:G243"/>
    <mergeCell ref="G260:H260"/>
    <mergeCell ref="K260:L260"/>
    <mergeCell ref="C261:L261"/>
    <mergeCell ref="H267:I267"/>
    <mergeCell ref="B127:F127"/>
    <mergeCell ref="H127:L127"/>
    <mergeCell ref="B130:G130"/>
    <mergeCell ref="B131:G131"/>
    <mergeCell ref="G148:H148"/>
    <mergeCell ref="K148:L148"/>
    <mergeCell ref="C149:L149"/>
    <mergeCell ref="H155:I155"/>
    <mergeCell ref="B156:C156"/>
    <mergeCell ref="B2:L2"/>
    <mergeCell ref="B60:L60"/>
    <mergeCell ref="B66:E66"/>
    <mergeCell ref="H66:L67"/>
    <mergeCell ref="B70:F70"/>
    <mergeCell ref="H70:L70"/>
    <mergeCell ref="B73:G73"/>
    <mergeCell ref="B74:G74"/>
    <mergeCell ref="G91:H91"/>
    <mergeCell ref="K91:L91"/>
    <mergeCell ref="H11:L11"/>
    <mergeCell ref="H12:L12"/>
    <mergeCell ref="H69:L69"/>
    <mergeCell ref="H68:L68"/>
    <mergeCell ref="H8:L8"/>
    <mergeCell ref="H9:L10"/>
    <mergeCell ref="B9:E9"/>
    <mergeCell ref="B16:G16"/>
    <mergeCell ref="B17:G17"/>
    <mergeCell ref="C35:L35"/>
    <mergeCell ref="H41:I41"/>
    <mergeCell ref="G34:H34"/>
    <mergeCell ref="K34:L34"/>
    <mergeCell ref="B58:G58"/>
    <mergeCell ref="H58:L58"/>
    <mergeCell ref="B13:F13"/>
    <mergeCell ref="H13:L13"/>
    <mergeCell ref="B55:L55"/>
    <mergeCell ref="B57:L57"/>
    <mergeCell ref="B42:C42"/>
    <mergeCell ref="H65:L65"/>
    <mergeCell ref="C92:L92"/>
    <mergeCell ref="H98:I98"/>
    <mergeCell ref="B99:C99"/>
    <mergeCell ref="B115:G115"/>
    <mergeCell ref="H115:L115"/>
    <mergeCell ref="B112:L112"/>
    <mergeCell ref="B114:L114"/>
    <mergeCell ref="B117:L117"/>
    <mergeCell ref="H122:L122"/>
    <mergeCell ref="B123:E123"/>
    <mergeCell ref="H123:L124"/>
    <mergeCell ref="B169:L169"/>
    <mergeCell ref="B171:L171"/>
    <mergeCell ref="B173:L173"/>
    <mergeCell ref="H178:L178"/>
    <mergeCell ref="B179:E179"/>
    <mergeCell ref="H179:L180"/>
    <mergeCell ref="B183:F183"/>
    <mergeCell ref="H183:L183"/>
    <mergeCell ref="B186:G186"/>
    <mergeCell ref="B354:G354"/>
    <mergeCell ref="B355:G355"/>
    <mergeCell ref="B394:L394"/>
    <mergeCell ref="B298:G298"/>
    <mergeCell ref="B299:G299"/>
    <mergeCell ref="G316:H316"/>
    <mergeCell ref="K316:L316"/>
    <mergeCell ref="C317:L317"/>
    <mergeCell ref="H323:I323"/>
    <mergeCell ref="B324:C324"/>
    <mergeCell ref="B337:L337"/>
    <mergeCell ref="B339:L339"/>
    <mergeCell ref="B435:C435"/>
    <mergeCell ref="B448:L448"/>
    <mergeCell ref="B450:L450"/>
    <mergeCell ref="B452:L452"/>
    <mergeCell ref="H456:L456"/>
    <mergeCell ref="B457:E457"/>
    <mergeCell ref="H457:L458"/>
    <mergeCell ref="B461:F461"/>
    <mergeCell ref="H461:L461"/>
    <mergeCell ref="H460:L460"/>
    <mergeCell ref="B464:G464"/>
    <mergeCell ref="B465:G465"/>
    <mergeCell ref="H511:L512"/>
    <mergeCell ref="H510:L510"/>
    <mergeCell ref="B511:E511"/>
    <mergeCell ref="B515:F515"/>
    <mergeCell ref="H515:L515"/>
    <mergeCell ref="B518:G518"/>
    <mergeCell ref="B519:G519"/>
    <mergeCell ref="H513:L513"/>
    <mergeCell ref="H514:L514"/>
    <mergeCell ref="B612:L612"/>
    <mergeCell ref="B648:G648"/>
    <mergeCell ref="H648:L648"/>
    <mergeCell ref="B649:G649"/>
    <mergeCell ref="H649:L649"/>
    <mergeCell ref="B662:L662"/>
    <mergeCell ref="B663:L663"/>
    <mergeCell ref="B643:G643"/>
    <mergeCell ref="H643:L643"/>
    <mergeCell ref="B644:G644"/>
    <mergeCell ref="H644:L644"/>
    <mergeCell ref="B647:G647"/>
    <mergeCell ref="H647:L647"/>
    <mergeCell ref="B634:F634"/>
    <mergeCell ref="H634:L634"/>
    <mergeCell ref="B641:G641"/>
    <mergeCell ref="H641:L641"/>
    <mergeCell ref="B642:G642"/>
    <mergeCell ref="H642:L642"/>
    <mergeCell ref="B623:L623"/>
    <mergeCell ref="B624:L624"/>
    <mergeCell ref="B625:L625"/>
    <mergeCell ref="B626:F627"/>
    <mergeCell ref="H626:L627"/>
    <mergeCell ref="B681:G681"/>
    <mergeCell ref="H681:L681"/>
    <mergeCell ref="B682:G682"/>
    <mergeCell ref="H682:L682"/>
    <mergeCell ref="B683:G683"/>
    <mergeCell ref="H683:L683"/>
    <mergeCell ref="B664:L664"/>
    <mergeCell ref="B665:F666"/>
    <mergeCell ref="H665:L666"/>
    <mergeCell ref="B673:F673"/>
    <mergeCell ref="H673:L673"/>
    <mergeCell ref="B680:G680"/>
    <mergeCell ref="H680:L680"/>
    <mergeCell ref="B701:L701"/>
    <mergeCell ref="B702:L702"/>
    <mergeCell ref="B703:L703"/>
    <mergeCell ref="B704:F705"/>
    <mergeCell ref="H704:L705"/>
    <mergeCell ref="B712:F712"/>
    <mergeCell ref="H712:L712"/>
    <mergeCell ref="B686:G686"/>
    <mergeCell ref="H686:L686"/>
    <mergeCell ref="B687:G687"/>
    <mergeCell ref="H687:L687"/>
    <mergeCell ref="B688:G688"/>
    <mergeCell ref="H688:L688"/>
    <mergeCell ref="B722:G722"/>
    <mergeCell ref="H722:L722"/>
    <mergeCell ref="B725:G725"/>
    <mergeCell ref="H725:L725"/>
    <mergeCell ref="B726:G726"/>
    <mergeCell ref="H726:L726"/>
    <mergeCell ref="B719:G719"/>
    <mergeCell ref="H719:L719"/>
    <mergeCell ref="B720:G720"/>
    <mergeCell ref="H720:L720"/>
    <mergeCell ref="B721:G721"/>
    <mergeCell ref="H721:L721"/>
    <mergeCell ref="B751:F751"/>
    <mergeCell ref="H751:L751"/>
    <mergeCell ref="B758:G758"/>
    <mergeCell ref="H758:L758"/>
    <mergeCell ref="B759:G759"/>
    <mergeCell ref="H759:L759"/>
    <mergeCell ref="B727:G727"/>
    <mergeCell ref="H727:L727"/>
    <mergeCell ref="B740:L740"/>
    <mergeCell ref="B741:L741"/>
    <mergeCell ref="B742:L742"/>
    <mergeCell ref="B743:F744"/>
    <mergeCell ref="H743:L744"/>
    <mergeCell ref="B765:G765"/>
    <mergeCell ref="H765:L765"/>
    <mergeCell ref="B766:G766"/>
    <mergeCell ref="H766:L766"/>
    <mergeCell ref="B760:G760"/>
    <mergeCell ref="H760:L760"/>
    <mergeCell ref="B761:G761"/>
    <mergeCell ref="H761:L761"/>
    <mergeCell ref="B764:G764"/>
    <mergeCell ref="H764:L764"/>
    <mergeCell ref="H237:L237"/>
    <mergeCell ref="H238:L238"/>
    <mergeCell ref="H293:L293"/>
    <mergeCell ref="H294:L294"/>
    <mergeCell ref="H349:L349"/>
    <mergeCell ref="H350:L350"/>
    <mergeCell ref="H405:L405"/>
    <mergeCell ref="H406:L406"/>
    <mergeCell ref="H459:L459"/>
    <mergeCell ref="B395:L395"/>
    <mergeCell ref="B407:F407"/>
    <mergeCell ref="H407:L407"/>
    <mergeCell ref="B410:G410"/>
    <mergeCell ref="B411:G411"/>
    <mergeCell ref="G428:H428"/>
    <mergeCell ref="K428:L428"/>
    <mergeCell ref="C429:L429"/>
    <mergeCell ref="H434:I434"/>
    <mergeCell ref="B341:L341"/>
    <mergeCell ref="H346:L346"/>
    <mergeCell ref="B347:E347"/>
    <mergeCell ref="H347:L348"/>
    <mergeCell ref="B351:F351"/>
    <mergeCell ref="H351:L351"/>
  </mergeCells>
  <pageMargins left="0.70866141732283472" right="0.70866141732283472" top="0.74803149606299213" bottom="0.74803149606299213" header="0.31496062992125984" footer="0.31496062992125984"/>
  <pageSetup scale="65" orientation="portrait" horizontalDpi="300" verticalDpi="300"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744"/>
  <sheetViews>
    <sheetView topLeftCell="A22" workbookViewId="0">
      <selection activeCell="E30" sqref="E30"/>
    </sheetView>
  </sheetViews>
  <sheetFormatPr defaultRowHeight="15"/>
  <cols>
    <col min="1" max="1" width="20.140625" customWidth="1"/>
    <col min="2" max="2" width="30.42578125" customWidth="1"/>
    <col min="3" max="3" width="19.7109375" customWidth="1"/>
    <col min="4" max="4" width="63.28515625" customWidth="1"/>
  </cols>
  <sheetData>
    <row r="1" spans="1:4" ht="20.25">
      <c r="A1" s="1005" t="s">
        <v>324</v>
      </c>
      <c r="B1" s="1006"/>
      <c r="C1" s="1006"/>
      <c r="D1" s="1007"/>
    </row>
    <row r="2" spans="1:4">
      <c r="A2" s="1008" t="s">
        <v>325</v>
      </c>
      <c r="B2" s="1009"/>
      <c r="C2" s="1009"/>
      <c r="D2" s="1010"/>
    </row>
    <row r="3" spans="1:4" ht="18">
      <c r="A3" s="1011" t="s">
        <v>326</v>
      </c>
      <c r="B3" s="1012"/>
      <c r="C3" s="1012"/>
      <c r="D3" s="1013"/>
    </row>
    <row r="4" spans="1:4">
      <c r="A4" s="23" t="s">
        <v>151</v>
      </c>
      <c r="D4" s="24"/>
    </row>
    <row r="5" spans="1:4" ht="18">
      <c r="A5" s="317" t="str">
        <f>'4-22Master'!G5</f>
        <v>Burgeon IT Services Pvt.Ltd.</v>
      </c>
      <c r="B5" s="294"/>
      <c r="D5" s="24"/>
    </row>
    <row r="6" spans="1:4" ht="18">
      <c r="A6" s="317" t="str">
        <f>'4-22Master'!G6</f>
        <v>Siri Mansion LIGB 436 Dr.A S Rao Nagar,Hyderabad</v>
      </c>
      <c r="B6" s="294"/>
      <c r="D6" s="24"/>
    </row>
    <row r="7" spans="1:4" ht="18">
      <c r="A7" s="296"/>
      <c r="B7" s="8"/>
      <c r="D7" s="24"/>
    </row>
    <row r="8" spans="1:4" ht="15.75">
      <c r="A8" s="295" t="s">
        <v>327</v>
      </c>
      <c r="B8" s="318"/>
      <c r="C8" s="319" t="e">
        <f>'4-22Master'!#REF!</f>
        <v>#REF!</v>
      </c>
      <c r="D8" s="101"/>
    </row>
    <row r="9" spans="1:4">
      <c r="A9" s="1014" t="s">
        <v>328</v>
      </c>
      <c r="B9" s="1015"/>
      <c r="C9" s="1015"/>
      <c r="D9" s="1016"/>
    </row>
    <row r="10" spans="1:4">
      <c r="A10" s="23"/>
      <c r="D10" s="24"/>
    </row>
    <row r="11" spans="1:4">
      <c r="A11" s="1014" t="s">
        <v>329</v>
      </c>
      <c r="B11" s="1015"/>
      <c r="C11" s="1015"/>
      <c r="D11" s="1016"/>
    </row>
    <row r="12" spans="1:4">
      <c r="A12" s="297"/>
      <c r="B12" s="298"/>
      <c r="C12" s="298"/>
      <c r="D12" s="299"/>
    </row>
    <row r="13" spans="1:4">
      <c r="A13" s="997" t="s">
        <v>330</v>
      </c>
      <c r="B13" s="998"/>
      <c r="C13" s="998"/>
      <c r="D13" s="999"/>
    </row>
    <row r="14" spans="1:4">
      <c r="A14" s="23"/>
      <c r="D14" s="24"/>
    </row>
    <row r="15" spans="1:4">
      <c r="A15" s="997" t="s">
        <v>331</v>
      </c>
      <c r="B15" s="998"/>
      <c r="C15" s="998"/>
      <c r="D15" s="999"/>
    </row>
    <row r="16" spans="1:4">
      <c r="A16" s="997" t="s">
        <v>332</v>
      </c>
      <c r="B16" s="998"/>
      <c r="C16" s="998"/>
      <c r="D16" s="999"/>
    </row>
    <row r="17" spans="1:4">
      <c r="A17" s="295"/>
      <c r="B17" s="300"/>
      <c r="C17" s="300"/>
      <c r="D17" s="301"/>
    </row>
    <row r="18" spans="1:4">
      <c r="A18" s="1014" t="s">
        <v>333</v>
      </c>
      <c r="B18" s="1015"/>
      <c r="C18" s="1015"/>
      <c r="D18" s="1016"/>
    </row>
    <row r="19" spans="1:4">
      <c r="A19" s="295"/>
      <c r="B19" s="300"/>
      <c r="C19" s="300"/>
      <c r="D19" s="301"/>
    </row>
    <row r="20" spans="1:4">
      <c r="A20" s="997" t="s">
        <v>334</v>
      </c>
      <c r="B20" s="998"/>
      <c r="C20" s="998"/>
      <c r="D20" s="999"/>
    </row>
    <row r="21" spans="1:4">
      <c r="A21" s="23"/>
      <c r="D21" s="24"/>
    </row>
    <row r="22" spans="1:4">
      <c r="A22" s="994" t="s">
        <v>335</v>
      </c>
      <c r="B22" s="995"/>
      <c r="C22" s="995"/>
      <c r="D22" s="996"/>
    </row>
    <row r="23" spans="1:4" ht="42.75">
      <c r="A23" s="302" t="s">
        <v>336</v>
      </c>
      <c r="B23" s="303" t="s">
        <v>337</v>
      </c>
      <c r="C23" s="303" t="s">
        <v>338</v>
      </c>
      <c r="D23" s="304" t="s">
        <v>339</v>
      </c>
    </row>
    <row r="24" spans="1:4">
      <c r="A24" s="305">
        <v>1</v>
      </c>
      <c r="B24" s="306">
        <v>2</v>
      </c>
      <c r="C24" s="306">
        <v>3</v>
      </c>
      <c r="D24" s="307">
        <v>4</v>
      </c>
    </row>
    <row r="25" spans="1:4">
      <c r="A25" s="23" t="e">
        <f>'4-22Master'!#REF!</f>
        <v>#REF!</v>
      </c>
      <c r="B25" s="19" t="s">
        <v>381</v>
      </c>
      <c r="C25" s="19" t="s">
        <v>388</v>
      </c>
      <c r="D25" s="339">
        <v>1</v>
      </c>
    </row>
    <row r="26" spans="1:4">
      <c r="A26" s="323"/>
      <c r="B26" s="19"/>
      <c r="C26" s="19"/>
      <c r="D26" s="308"/>
    </row>
    <row r="27" spans="1:4">
      <c r="A27" s="320"/>
      <c r="B27" s="19"/>
      <c r="C27" s="19"/>
      <c r="D27" s="308"/>
    </row>
    <row r="28" spans="1:4">
      <c r="A28" s="23"/>
      <c r="D28" s="24"/>
    </row>
    <row r="29" spans="1:4">
      <c r="A29" s="994" t="s">
        <v>340</v>
      </c>
      <c r="B29" s="995"/>
      <c r="C29" s="995"/>
      <c r="D29" s="996"/>
    </row>
    <row r="30" spans="1:4">
      <c r="A30" s="211"/>
      <c r="B30" s="9"/>
      <c r="C30" s="9"/>
      <c r="D30" s="212"/>
    </row>
    <row r="31" spans="1:4">
      <c r="A31" s="983" t="s">
        <v>341</v>
      </c>
      <c r="B31" s="984"/>
      <c r="C31" s="985" t="e">
        <f>'4-22Master'!#REF!</f>
        <v>#REF!</v>
      </c>
      <c r="D31" s="986"/>
    </row>
    <row r="32" spans="1:4">
      <c r="A32" s="983" t="s">
        <v>342</v>
      </c>
      <c r="B32" s="984"/>
      <c r="C32" s="1004" t="e">
        <f>'4-22Master'!#REF!</f>
        <v>#REF!</v>
      </c>
      <c r="D32" s="986"/>
    </row>
    <row r="33" spans="1:4">
      <c r="A33" s="983" t="s">
        <v>343</v>
      </c>
      <c r="B33" s="984"/>
      <c r="C33" s="1004" t="s">
        <v>390</v>
      </c>
      <c r="D33" s="986"/>
    </row>
    <row r="34" spans="1:4">
      <c r="A34" s="983" t="s">
        <v>344</v>
      </c>
      <c r="B34" s="984"/>
      <c r="C34" s="1004" t="s">
        <v>387</v>
      </c>
      <c r="D34" s="986"/>
    </row>
    <row r="35" spans="1:4">
      <c r="A35" s="983" t="s">
        <v>345</v>
      </c>
      <c r="B35" s="984"/>
      <c r="C35" s="985" t="e">
        <f>'4-22Master'!#REF!</f>
        <v>#REF!</v>
      </c>
      <c r="D35" s="986"/>
    </row>
    <row r="36" spans="1:4">
      <c r="A36" s="983" t="s">
        <v>346</v>
      </c>
      <c r="B36" s="984"/>
      <c r="C36" s="985" t="e">
        <f>'4-22Master'!#REF!</f>
        <v>#REF!</v>
      </c>
      <c r="D36" s="986"/>
    </row>
    <row r="37" spans="1:4">
      <c r="A37" s="983" t="s">
        <v>347</v>
      </c>
      <c r="B37" s="984"/>
      <c r="C37" s="1003" t="e">
        <f>'4-22Master'!#REF!</f>
        <v>#REF!</v>
      </c>
      <c r="D37" s="986"/>
    </row>
    <row r="38" spans="1:4">
      <c r="A38" s="983" t="s">
        <v>348</v>
      </c>
      <c r="B38" s="984"/>
      <c r="C38" s="1004"/>
      <c r="D38" s="986"/>
    </row>
    <row r="39" spans="1:4">
      <c r="A39" s="983"/>
      <c r="B39" s="984"/>
      <c r="C39" s="985" t="e">
        <f>'4-22Master'!#REF!</f>
        <v>#REF!</v>
      </c>
      <c r="D39" s="986"/>
    </row>
    <row r="40" spans="1:4">
      <c r="A40" s="983"/>
      <c r="B40" s="984"/>
      <c r="C40" s="985" t="e">
        <f>'4-22Master'!#REF!</f>
        <v>#REF!</v>
      </c>
      <c r="D40" s="986"/>
    </row>
    <row r="41" spans="1:4">
      <c r="A41" s="983"/>
      <c r="B41" s="984"/>
      <c r="C41" s="985" t="e">
        <f>'4-22Master'!#REF!</f>
        <v>#REF!</v>
      </c>
      <c r="D41" s="986"/>
    </row>
    <row r="42" spans="1:4">
      <c r="A42" s="295" t="s">
        <v>290</v>
      </c>
      <c r="B42" s="300" t="s">
        <v>379</v>
      </c>
      <c r="C42" s="300"/>
      <c r="D42" s="301"/>
    </row>
    <row r="43" spans="1:4">
      <c r="A43" s="295" t="s">
        <v>349</v>
      </c>
      <c r="B43" s="340" t="e">
        <f>'4-22Master'!#REF!</f>
        <v>#REF!</v>
      </c>
      <c r="C43" s="309" t="s">
        <v>350</v>
      </c>
      <c r="D43" s="301"/>
    </row>
    <row r="44" spans="1:4">
      <c r="A44" s="295"/>
      <c r="B44" s="300"/>
      <c r="C44" s="300"/>
      <c r="D44" s="301"/>
    </row>
    <row r="45" spans="1:4">
      <c r="A45" s="994" t="s">
        <v>351</v>
      </c>
      <c r="B45" s="995"/>
      <c r="C45" s="995"/>
      <c r="D45" s="996"/>
    </row>
    <row r="46" spans="1:4">
      <c r="A46" s="295" t="s">
        <v>352</v>
      </c>
      <c r="B46" s="300"/>
      <c r="C46" s="300"/>
      <c r="D46" s="301"/>
    </row>
    <row r="47" spans="1:4">
      <c r="A47" s="295"/>
      <c r="B47" s="300"/>
      <c r="C47" s="300"/>
      <c r="D47" s="301"/>
    </row>
    <row r="48" spans="1:4">
      <c r="A48" s="997" t="s">
        <v>353</v>
      </c>
      <c r="B48" s="998"/>
      <c r="C48" s="998" t="s">
        <v>354</v>
      </c>
      <c r="D48" s="999"/>
    </row>
    <row r="49" spans="1:4">
      <c r="A49" s="1000">
        <v>1</v>
      </c>
      <c r="B49" s="1001"/>
      <c r="C49" s="1001">
        <v>1</v>
      </c>
      <c r="D49" s="1002"/>
    </row>
    <row r="50" spans="1:4">
      <c r="A50" s="1000">
        <v>2</v>
      </c>
      <c r="B50" s="1001"/>
      <c r="C50" s="1001">
        <v>2</v>
      </c>
      <c r="D50" s="1002"/>
    </row>
    <row r="51" spans="1:4">
      <c r="A51" s="310"/>
      <c r="C51" s="990" t="s">
        <v>359</v>
      </c>
      <c r="D51" s="991"/>
    </row>
    <row r="52" spans="1:4">
      <c r="A52" s="987" t="s">
        <v>355</v>
      </c>
      <c r="B52" s="988"/>
      <c r="C52" s="988"/>
      <c r="D52" s="989"/>
    </row>
    <row r="53" spans="1:4">
      <c r="A53" s="313" t="s">
        <v>356</v>
      </c>
      <c r="B53" s="314"/>
      <c r="C53" s="314"/>
      <c r="D53" s="315"/>
    </row>
    <row r="54" spans="1:4">
      <c r="A54" s="313"/>
      <c r="B54" s="314"/>
      <c r="C54" s="314"/>
      <c r="D54" s="315"/>
    </row>
    <row r="55" spans="1:4">
      <c r="A55" s="313"/>
      <c r="B55" s="314"/>
      <c r="C55" s="314" t="s">
        <v>357</v>
      </c>
      <c r="D55" s="315"/>
    </row>
    <row r="56" spans="1:4">
      <c r="A56" s="310"/>
      <c r="B56" s="311"/>
      <c r="C56" s="210" t="s">
        <v>161</v>
      </c>
      <c r="D56" s="312"/>
    </row>
    <row r="57" spans="1:4">
      <c r="A57" s="310"/>
      <c r="C57" t="s">
        <v>358</v>
      </c>
      <c r="D57" s="316"/>
    </row>
    <row r="58" spans="1:4" ht="25.5" customHeight="1">
      <c r="A58" s="310"/>
      <c r="C58" s="992" t="str">
        <f>'4-22Master'!G5</f>
        <v>Burgeon IT Services Pvt.Ltd.</v>
      </c>
      <c r="D58" s="993"/>
    </row>
    <row r="59" spans="1:4">
      <c r="A59" s="295" t="s">
        <v>290</v>
      </c>
      <c r="B59" t="str">
        <f>B42</f>
        <v>Hyderabad</v>
      </c>
      <c r="C59" s="4" t="str">
        <f>'4-22Master'!G6</f>
        <v>Siri Mansion LIGB 436 Dr.A S Rao Nagar,Hyderabad</v>
      </c>
      <c r="D59" s="24"/>
    </row>
    <row r="60" spans="1:4" ht="15.75" thickBot="1">
      <c r="A60" s="295" t="s">
        <v>349</v>
      </c>
      <c r="B60" s="332" t="e">
        <f>B43</f>
        <v>#REF!</v>
      </c>
      <c r="C60" s="4"/>
      <c r="D60" s="24"/>
    </row>
    <row r="61" spans="1:4" ht="15.75" thickBot="1">
      <c r="A61" s="321"/>
      <c r="B61" s="322" t="s">
        <v>362</v>
      </c>
      <c r="C61" s="322"/>
      <c r="D61" s="39"/>
    </row>
    <row r="62" spans="1:4">
      <c r="A62" s="295" t="s">
        <v>360</v>
      </c>
      <c r="C62" s="4"/>
      <c r="D62" s="24"/>
    </row>
    <row r="63" spans="1:4">
      <c r="A63" s="295" t="s">
        <v>349</v>
      </c>
      <c r="B63" s="332" t="e">
        <f>B60</f>
        <v>#REF!</v>
      </c>
      <c r="C63" s="4"/>
      <c r="D63" s="24"/>
    </row>
    <row r="64" spans="1:4" ht="15.75" thickBot="1">
      <c r="A64" s="324" t="s">
        <v>361</v>
      </c>
      <c r="B64" s="33"/>
      <c r="C64" s="33"/>
      <c r="D64" s="34" t="s">
        <v>152</v>
      </c>
    </row>
    <row r="68" spans="1:4" ht="15.75" thickBot="1"/>
    <row r="69" spans="1:4" ht="20.25">
      <c r="A69" s="1005" t="s">
        <v>324</v>
      </c>
      <c r="B69" s="1006"/>
      <c r="C69" s="1006"/>
      <c r="D69" s="1007"/>
    </row>
    <row r="70" spans="1:4">
      <c r="A70" s="1008" t="s">
        <v>325</v>
      </c>
      <c r="B70" s="1009"/>
      <c r="C70" s="1009"/>
      <c r="D70" s="1010"/>
    </row>
    <row r="71" spans="1:4" ht="18">
      <c r="A71" s="1011" t="s">
        <v>326</v>
      </c>
      <c r="B71" s="1012"/>
      <c r="C71" s="1012"/>
      <c r="D71" s="1013"/>
    </row>
    <row r="72" spans="1:4">
      <c r="A72" s="23" t="s">
        <v>151</v>
      </c>
      <c r="D72" s="24"/>
    </row>
    <row r="73" spans="1:4" ht="18">
      <c r="A73" s="317" t="str">
        <f>'4-22Master'!G5</f>
        <v>Burgeon IT Services Pvt.Ltd.</v>
      </c>
      <c r="B73" s="294"/>
      <c r="D73" s="24"/>
    </row>
    <row r="74" spans="1:4" ht="18">
      <c r="A74" s="317" t="str">
        <f>'4-22Master'!G6</f>
        <v>Siri Mansion LIGB 436 Dr.A S Rao Nagar,Hyderabad</v>
      </c>
      <c r="B74" s="294"/>
      <c r="D74" s="24"/>
    </row>
    <row r="75" spans="1:4" ht="18">
      <c r="A75" s="296"/>
      <c r="B75" s="8"/>
      <c r="D75" s="24"/>
    </row>
    <row r="76" spans="1:4" ht="15.75">
      <c r="A76" s="295" t="s">
        <v>327</v>
      </c>
      <c r="B76" s="318"/>
      <c r="C76" s="319" t="e">
        <f>'4-22Master'!#REF!</f>
        <v>#REF!</v>
      </c>
      <c r="D76" s="101"/>
    </row>
    <row r="77" spans="1:4">
      <c r="A77" s="1014" t="s">
        <v>328</v>
      </c>
      <c r="B77" s="1015"/>
      <c r="C77" s="1015"/>
      <c r="D77" s="1016"/>
    </row>
    <row r="78" spans="1:4">
      <c r="A78" s="23"/>
      <c r="D78" s="24"/>
    </row>
    <row r="79" spans="1:4">
      <c r="A79" s="1014" t="s">
        <v>329</v>
      </c>
      <c r="B79" s="1015"/>
      <c r="C79" s="1015"/>
      <c r="D79" s="1016"/>
    </row>
    <row r="80" spans="1:4">
      <c r="A80" s="297"/>
      <c r="B80" s="298"/>
      <c r="C80" s="298"/>
      <c r="D80" s="299"/>
    </row>
    <row r="81" spans="1:4">
      <c r="A81" s="997" t="s">
        <v>330</v>
      </c>
      <c r="B81" s="998"/>
      <c r="C81" s="998"/>
      <c r="D81" s="999"/>
    </row>
    <row r="82" spans="1:4">
      <c r="A82" s="23"/>
      <c r="D82" s="24"/>
    </row>
    <row r="83" spans="1:4">
      <c r="A83" s="997" t="s">
        <v>331</v>
      </c>
      <c r="B83" s="998"/>
      <c r="C83" s="998"/>
      <c r="D83" s="999"/>
    </row>
    <row r="84" spans="1:4">
      <c r="A84" s="997" t="s">
        <v>332</v>
      </c>
      <c r="B84" s="998"/>
      <c r="C84" s="998"/>
      <c r="D84" s="999"/>
    </row>
    <row r="85" spans="1:4">
      <c r="A85" s="295"/>
      <c r="B85" s="300"/>
      <c r="C85" s="300"/>
      <c r="D85" s="301"/>
    </row>
    <row r="86" spans="1:4">
      <c r="A86" s="1014" t="s">
        <v>333</v>
      </c>
      <c r="B86" s="1015"/>
      <c r="C86" s="1015"/>
      <c r="D86" s="1016"/>
    </row>
    <row r="87" spans="1:4">
      <c r="A87" s="295"/>
      <c r="B87" s="300"/>
      <c r="C87" s="300"/>
      <c r="D87" s="301"/>
    </row>
    <row r="88" spans="1:4">
      <c r="A88" s="997" t="s">
        <v>334</v>
      </c>
      <c r="B88" s="998"/>
      <c r="C88" s="998"/>
      <c r="D88" s="999"/>
    </row>
    <row r="89" spans="1:4">
      <c r="A89" s="23"/>
      <c r="D89" s="24"/>
    </row>
    <row r="90" spans="1:4">
      <c r="A90" s="994" t="s">
        <v>335</v>
      </c>
      <c r="B90" s="995"/>
      <c r="C90" s="995"/>
      <c r="D90" s="996"/>
    </row>
    <row r="91" spans="1:4" ht="42.75">
      <c r="A91" s="302" t="s">
        <v>336</v>
      </c>
      <c r="B91" s="303" t="s">
        <v>337</v>
      </c>
      <c r="C91" s="303" t="s">
        <v>338</v>
      </c>
      <c r="D91" s="304" t="s">
        <v>339</v>
      </c>
    </row>
    <row r="92" spans="1:4">
      <c r="A92" s="305">
        <v>1</v>
      </c>
      <c r="B92" s="306">
        <v>2</v>
      </c>
      <c r="C92" s="306">
        <v>3</v>
      </c>
      <c r="D92" s="307">
        <v>4</v>
      </c>
    </row>
    <row r="93" spans="1:4">
      <c r="A93" s="23" t="e">
        <f>'4-22Master'!#REF!</f>
        <v>#REF!</v>
      </c>
      <c r="B93" s="19" t="s">
        <v>381</v>
      </c>
      <c r="C93" s="19" t="s">
        <v>388</v>
      </c>
      <c r="D93" s="339">
        <v>1</v>
      </c>
    </row>
    <row r="94" spans="1:4">
      <c r="A94" s="323"/>
      <c r="B94" s="19"/>
      <c r="C94" s="19"/>
      <c r="D94" s="308"/>
    </row>
    <row r="95" spans="1:4">
      <c r="A95" s="320"/>
      <c r="B95" s="19"/>
      <c r="C95" s="19"/>
      <c r="D95" s="308"/>
    </row>
    <row r="96" spans="1:4">
      <c r="A96" s="23"/>
      <c r="D96" s="24"/>
    </row>
    <row r="97" spans="1:4">
      <c r="A97" s="994" t="s">
        <v>340</v>
      </c>
      <c r="B97" s="995"/>
      <c r="C97" s="995"/>
      <c r="D97" s="996"/>
    </row>
    <row r="98" spans="1:4">
      <c r="A98" s="211"/>
      <c r="B98" s="9"/>
      <c r="C98" s="9"/>
      <c r="D98" s="212"/>
    </row>
    <row r="99" spans="1:4">
      <c r="A99" s="983" t="s">
        <v>341</v>
      </c>
      <c r="B99" s="984"/>
      <c r="C99" s="985" t="e">
        <f>'4-22Master'!#REF!</f>
        <v>#REF!</v>
      </c>
      <c r="D99" s="986"/>
    </row>
    <row r="100" spans="1:4">
      <c r="A100" s="983" t="s">
        <v>342</v>
      </c>
      <c r="B100" s="984"/>
      <c r="C100" s="1004" t="e">
        <f>'4-22Master'!#REF!</f>
        <v>#REF!</v>
      </c>
      <c r="D100" s="986"/>
    </row>
    <row r="101" spans="1:4">
      <c r="A101" s="983" t="s">
        <v>343</v>
      </c>
      <c r="B101" s="984"/>
      <c r="C101" s="1004" t="s">
        <v>389</v>
      </c>
      <c r="D101" s="986"/>
    </row>
    <row r="102" spans="1:4">
      <c r="A102" s="983" t="s">
        <v>344</v>
      </c>
      <c r="B102" s="984"/>
      <c r="C102" s="1004" t="s">
        <v>387</v>
      </c>
      <c r="D102" s="986"/>
    </row>
    <row r="103" spans="1:4">
      <c r="A103" s="983" t="s">
        <v>345</v>
      </c>
      <c r="B103" s="984"/>
      <c r="C103" s="985" t="e">
        <f>'4-22Master'!#REF!</f>
        <v>#REF!</v>
      </c>
      <c r="D103" s="986"/>
    </row>
    <row r="104" spans="1:4">
      <c r="A104" s="983" t="s">
        <v>346</v>
      </c>
      <c r="B104" s="984"/>
      <c r="C104" s="985" t="e">
        <f>'4-22Master'!#REF!</f>
        <v>#REF!</v>
      </c>
      <c r="D104" s="986"/>
    </row>
    <row r="105" spans="1:4">
      <c r="A105" s="983" t="s">
        <v>347</v>
      </c>
      <c r="B105" s="984"/>
      <c r="C105" s="1003" t="e">
        <f>'4-22Master'!#REF!</f>
        <v>#REF!</v>
      </c>
      <c r="D105" s="986"/>
    </row>
    <row r="106" spans="1:4">
      <c r="A106" s="983" t="s">
        <v>348</v>
      </c>
      <c r="B106" s="984"/>
      <c r="C106" s="1004"/>
      <c r="D106" s="986"/>
    </row>
    <row r="107" spans="1:4">
      <c r="A107" s="983"/>
      <c r="B107" s="984"/>
      <c r="C107" s="985" t="e">
        <f>'4-22Master'!#REF!</f>
        <v>#REF!</v>
      </c>
      <c r="D107" s="986"/>
    </row>
    <row r="108" spans="1:4">
      <c r="A108" s="983"/>
      <c r="B108" s="984"/>
      <c r="C108" s="985" t="e">
        <f>'4-22Master'!#REF!</f>
        <v>#REF!</v>
      </c>
      <c r="D108" s="986"/>
    </row>
    <row r="109" spans="1:4">
      <c r="A109" s="983"/>
      <c r="B109" s="984"/>
      <c r="C109" s="985" t="e">
        <f>'4-22Master'!#REF!</f>
        <v>#REF!</v>
      </c>
      <c r="D109" s="986"/>
    </row>
    <row r="110" spans="1:4">
      <c r="A110" s="295" t="s">
        <v>290</v>
      </c>
      <c r="B110" s="300" t="s">
        <v>379</v>
      </c>
      <c r="C110" s="300"/>
      <c r="D110" s="301"/>
    </row>
    <row r="111" spans="1:4">
      <c r="A111" s="295" t="s">
        <v>349</v>
      </c>
      <c r="B111" s="340" t="e">
        <f>'4-22Master'!#REF!</f>
        <v>#REF!</v>
      </c>
      <c r="C111" s="309" t="s">
        <v>350</v>
      </c>
      <c r="D111" s="301"/>
    </row>
    <row r="112" spans="1:4">
      <c r="A112" s="295"/>
      <c r="B112" s="300"/>
      <c r="C112" s="300"/>
      <c r="D112" s="301"/>
    </row>
    <row r="113" spans="1:4">
      <c r="A113" s="994" t="s">
        <v>351</v>
      </c>
      <c r="B113" s="995"/>
      <c r="C113" s="995"/>
      <c r="D113" s="996"/>
    </row>
    <row r="114" spans="1:4">
      <c r="A114" s="295" t="s">
        <v>352</v>
      </c>
      <c r="B114" s="300"/>
      <c r="C114" s="300"/>
      <c r="D114" s="301"/>
    </row>
    <row r="115" spans="1:4">
      <c r="A115" s="295"/>
      <c r="B115" s="300"/>
      <c r="C115" s="300"/>
      <c r="D115" s="301"/>
    </row>
    <row r="116" spans="1:4">
      <c r="A116" s="997" t="s">
        <v>353</v>
      </c>
      <c r="B116" s="998"/>
      <c r="C116" s="998" t="s">
        <v>354</v>
      </c>
      <c r="D116" s="999"/>
    </row>
    <row r="117" spans="1:4">
      <c r="A117" s="1000">
        <v>1</v>
      </c>
      <c r="B117" s="1001"/>
      <c r="C117" s="1001">
        <v>1</v>
      </c>
      <c r="D117" s="1002"/>
    </row>
    <row r="118" spans="1:4">
      <c r="A118" s="1000">
        <v>2</v>
      </c>
      <c r="B118" s="1001"/>
      <c r="C118" s="1001">
        <v>2</v>
      </c>
      <c r="D118" s="1002"/>
    </row>
    <row r="119" spans="1:4">
      <c r="A119" s="310"/>
      <c r="C119" s="990" t="s">
        <v>359</v>
      </c>
      <c r="D119" s="991"/>
    </row>
    <row r="120" spans="1:4">
      <c r="A120" s="987" t="s">
        <v>355</v>
      </c>
      <c r="B120" s="988"/>
      <c r="C120" s="988"/>
      <c r="D120" s="989"/>
    </row>
    <row r="121" spans="1:4">
      <c r="A121" s="313" t="s">
        <v>356</v>
      </c>
      <c r="B121" s="314"/>
      <c r="C121" s="314"/>
      <c r="D121" s="315"/>
    </row>
    <row r="122" spans="1:4">
      <c r="A122" s="313"/>
      <c r="B122" s="314"/>
      <c r="C122" s="314"/>
      <c r="D122" s="315"/>
    </row>
    <row r="123" spans="1:4">
      <c r="A123" s="313"/>
      <c r="B123" s="314"/>
      <c r="C123" s="314" t="s">
        <v>357</v>
      </c>
      <c r="D123" s="315"/>
    </row>
    <row r="124" spans="1:4">
      <c r="A124" s="310"/>
      <c r="B124" s="311"/>
      <c r="C124" s="210" t="s">
        <v>161</v>
      </c>
      <c r="D124" s="312"/>
    </row>
    <row r="125" spans="1:4">
      <c r="A125" s="310"/>
      <c r="C125" t="s">
        <v>358</v>
      </c>
      <c r="D125" s="316"/>
    </row>
    <row r="126" spans="1:4">
      <c r="A126" s="310"/>
      <c r="C126" s="992" t="str">
        <f>'4-22Master'!G5</f>
        <v>Burgeon IT Services Pvt.Ltd.</v>
      </c>
      <c r="D126" s="993"/>
    </row>
    <row r="127" spans="1:4">
      <c r="A127" s="295" t="s">
        <v>290</v>
      </c>
      <c r="B127" t="str">
        <f>B110</f>
        <v>Hyderabad</v>
      </c>
      <c r="C127" s="4" t="str">
        <f>'4-22Master'!G6</f>
        <v>Siri Mansion LIGB 436 Dr.A S Rao Nagar,Hyderabad</v>
      </c>
      <c r="D127" s="24"/>
    </row>
    <row r="128" spans="1:4" ht="15.75" thickBot="1">
      <c r="A128" s="295" t="s">
        <v>349</v>
      </c>
      <c r="B128" s="332" t="e">
        <f>B111</f>
        <v>#REF!</v>
      </c>
      <c r="C128" s="4"/>
      <c r="D128" s="24"/>
    </row>
    <row r="129" spans="1:4" ht="15.75" thickBot="1">
      <c r="A129" s="321"/>
      <c r="B129" s="322" t="s">
        <v>362</v>
      </c>
      <c r="C129" s="322"/>
      <c r="D129" s="39"/>
    </row>
    <row r="130" spans="1:4">
      <c r="A130" s="295" t="s">
        <v>360</v>
      </c>
      <c r="C130" s="4"/>
      <c r="D130" s="24"/>
    </row>
    <row r="131" spans="1:4">
      <c r="A131" s="295" t="s">
        <v>349</v>
      </c>
      <c r="B131" s="332" t="e">
        <f>B128</f>
        <v>#REF!</v>
      </c>
      <c r="C131" s="4"/>
      <c r="D131" s="24"/>
    </row>
    <row r="132" spans="1:4" ht="15.75" thickBot="1">
      <c r="A132" s="324" t="s">
        <v>361</v>
      </c>
      <c r="B132" s="33"/>
      <c r="C132" s="33"/>
      <c r="D132" s="34" t="s">
        <v>152</v>
      </c>
    </row>
    <row r="136" spans="1:4" ht="15.75" thickBot="1"/>
    <row r="137" spans="1:4" ht="20.25">
      <c r="A137" s="1005" t="s">
        <v>324</v>
      </c>
      <c r="B137" s="1006"/>
      <c r="C137" s="1006"/>
      <c r="D137" s="1007"/>
    </row>
    <row r="138" spans="1:4">
      <c r="A138" s="1008" t="s">
        <v>325</v>
      </c>
      <c r="B138" s="1009"/>
      <c r="C138" s="1009"/>
      <c r="D138" s="1010"/>
    </row>
    <row r="139" spans="1:4" ht="18">
      <c r="A139" s="1011" t="s">
        <v>326</v>
      </c>
      <c r="B139" s="1012"/>
      <c r="C139" s="1012"/>
      <c r="D139" s="1013"/>
    </row>
    <row r="140" spans="1:4">
      <c r="A140" s="23" t="s">
        <v>151</v>
      </c>
      <c r="D140" s="24"/>
    </row>
    <row r="141" spans="1:4" ht="18">
      <c r="A141" s="317" t="str">
        <f>'4-22Master'!G5</f>
        <v>Burgeon IT Services Pvt.Ltd.</v>
      </c>
      <c r="B141" s="294"/>
      <c r="D141" s="24"/>
    </row>
    <row r="142" spans="1:4" ht="18">
      <c r="A142" s="317" t="str">
        <f>'4-22Master'!G6</f>
        <v>Siri Mansion LIGB 436 Dr.A S Rao Nagar,Hyderabad</v>
      </c>
      <c r="B142" s="294"/>
      <c r="D142" s="24"/>
    </row>
    <row r="143" spans="1:4" ht="18">
      <c r="A143" s="296"/>
      <c r="B143" s="8"/>
      <c r="D143" s="24"/>
    </row>
    <row r="144" spans="1:4" ht="15.75">
      <c r="A144" s="295" t="s">
        <v>327</v>
      </c>
      <c r="B144" s="318"/>
      <c r="C144" s="319" t="e">
        <f>'4-22Master'!#REF!</f>
        <v>#REF!</v>
      </c>
      <c r="D144" s="101"/>
    </row>
    <row r="145" spans="1:4">
      <c r="A145" s="1014" t="s">
        <v>328</v>
      </c>
      <c r="B145" s="1015"/>
      <c r="C145" s="1015"/>
      <c r="D145" s="1016"/>
    </row>
    <row r="146" spans="1:4">
      <c r="A146" s="23"/>
      <c r="D146" s="24"/>
    </row>
    <row r="147" spans="1:4">
      <c r="A147" s="1014" t="s">
        <v>329</v>
      </c>
      <c r="B147" s="1015"/>
      <c r="C147" s="1015"/>
      <c r="D147" s="1016"/>
    </row>
    <row r="148" spans="1:4">
      <c r="A148" s="297"/>
      <c r="B148" s="298"/>
      <c r="C148" s="298"/>
      <c r="D148" s="299"/>
    </row>
    <row r="149" spans="1:4">
      <c r="A149" s="997" t="s">
        <v>330</v>
      </c>
      <c r="B149" s="998"/>
      <c r="C149" s="998"/>
      <c r="D149" s="999"/>
    </row>
    <row r="150" spans="1:4">
      <c r="A150" s="23"/>
      <c r="D150" s="24"/>
    </row>
    <row r="151" spans="1:4">
      <c r="A151" s="997" t="s">
        <v>331</v>
      </c>
      <c r="B151" s="998"/>
      <c r="C151" s="998"/>
      <c r="D151" s="999"/>
    </row>
    <row r="152" spans="1:4">
      <c r="A152" s="997" t="s">
        <v>332</v>
      </c>
      <c r="B152" s="998"/>
      <c r="C152" s="998"/>
      <c r="D152" s="999"/>
    </row>
    <row r="153" spans="1:4">
      <c r="A153" s="295"/>
      <c r="B153" s="300"/>
      <c r="C153" s="300"/>
      <c r="D153" s="301"/>
    </row>
    <row r="154" spans="1:4">
      <c r="A154" s="1014" t="s">
        <v>333</v>
      </c>
      <c r="B154" s="1015"/>
      <c r="C154" s="1015"/>
      <c r="D154" s="1016"/>
    </row>
    <row r="155" spans="1:4">
      <c r="A155" s="295"/>
      <c r="B155" s="300"/>
      <c r="C155" s="300"/>
      <c r="D155" s="301"/>
    </row>
    <row r="156" spans="1:4">
      <c r="A156" s="997" t="s">
        <v>334</v>
      </c>
      <c r="B156" s="998"/>
      <c r="C156" s="998"/>
      <c r="D156" s="999"/>
    </row>
    <row r="157" spans="1:4">
      <c r="A157" s="23"/>
      <c r="D157" s="24"/>
    </row>
    <row r="158" spans="1:4">
      <c r="A158" s="994" t="s">
        <v>335</v>
      </c>
      <c r="B158" s="995"/>
      <c r="C158" s="995"/>
      <c r="D158" s="996"/>
    </row>
    <row r="159" spans="1:4" ht="42.75">
      <c r="A159" s="302" t="s">
        <v>336</v>
      </c>
      <c r="B159" s="303" t="s">
        <v>337</v>
      </c>
      <c r="C159" s="303" t="s">
        <v>338</v>
      </c>
      <c r="D159" s="304" t="s">
        <v>339</v>
      </c>
    </row>
    <row r="160" spans="1:4">
      <c r="A160" s="305">
        <v>1</v>
      </c>
      <c r="B160" s="306">
        <v>2</v>
      </c>
      <c r="C160" s="306">
        <v>3</v>
      </c>
      <c r="D160" s="307">
        <v>4</v>
      </c>
    </row>
    <row r="161" spans="1:4">
      <c r="A161" s="341" t="e">
        <f>'4-22Master'!#REF!</f>
        <v>#REF!</v>
      </c>
      <c r="B161" s="19" t="s">
        <v>381</v>
      </c>
      <c r="C161" s="19" t="s">
        <v>388</v>
      </c>
      <c r="D161" s="339">
        <v>1</v>
      </c>
    </row>
    <row r="162" spans="1:4">
      <c r="A162" s="323"/>
      <c r="B162" s="19"/>
      <c r="C162" s="19"/>
      <c r="D162" s="308"/>
    </row>
    <row r="163" spans="1:4">
      <c r="A163" s="320"/>
      <c r="B163" s="19"/>
      <c r="C163" s="19"/>
      <c r="D163" s="308"/>
    </row>
    <row r="164" spans="1:4">
      <c r="A164" s="23"/>
      <c r="D164" s="24"/>
    </row>
    <row r="165" spans="1:4">
      <c r="A165" s="994" t="s">
        <v>340</v>
      </c>
      <c r="B165" s="995"/>
      <c r="C165" s="995"/>
      <c r="D165" s="996"/>
    </row>
    <row r="166" spans="1:4">
      <c r="A166" s="211"/>
      <c r="B166" s="9"/>
      <c r="C166" s="9"/>
      <c r="D166" s="212"/>
    </row>
    <row r="167" spans="1:4">
      <c r="A167" s="983" t="s">
        <v>341</v>
      </c>
      <c r="B167" s="984"/>
      <c r="C167" s="985" t="e">
        <f>'4-22Master'!#REF!</f>
        <v>#REF!</v>
      </c>
      <c r="D167" s="986"/>
    </row>
    <row r="168" spans="1:4">
      <c r="A168" s="983" t="s">
        <v>342</v>
      </c>
      <c r="B168" s="984"/>
      <c r="C168" s="1004" t="e">
        <f>'4-22Master'!#REF!</f>
        <v>#REF!</v>
      </c>
      <c r="D168" s="986"/>
    </row>
    <row r="169" spans="1:4">
      <c r="A169" s="983" t="s">
        <v>343</v>
      </c>
      <c r="B169" s="984"/>
      <c r="C169" s="1004" t="s">
        <v>390</v>
      </c>
      <c r="D169" s="986"/>
    </row>
    <row r="170" spans="1:4">
      <c r="A170" s="983" t="s">
        <v>344</v>
      </c>
      <c r="B170" s="984"/>
      <c r="C170" s="1004" t="s">
        <v>387</v>
      </c>
      <c r="D170" s="986"/>
    </row>
    <row r="171" spans="1:4">
      <c r="A171" s="983" t="s">
        <v>345</v>
      </c>
      <c r="B171" s="984"/>
      <c r="C171" s="985" t="e">
        <f>'4-22Master'!#REF!</f>
        <v>#REF!</v>
      </c>
      <c r="D171" s="986"/>
    </row>
    <row r="172" spans="1:4">
      <c r="A172" s="983" t="s">
        <v>346</v>
      </c>
      <c r="B172" s="984"/>
      <c r="C172" s="985" t="e">
        <f>'4-22Master'!#REF!</f>
        <v>#REF!</v>
      </c>
      <c r="D172" s="986"/>
    </row>
    <row r="173" spans="1:4">
      <c r="A173" s="983" t="s">
        <v>347</v>
      </c>
      <c r="B173" s="984"/>
      <c r="C173" s="1003" t="e">
        <f>'4-22Master'!#REF!</f>
        <v>#REF!</v>
      </c>
      <c r="D173" s="986"/>
    </row>
    <row r="174" spans="1:4">
      <c r="A174" s="983" t="s">
        <v>348</v>
      </c>
      <c r="B174" s="984"/>
      <c r="C174" s="1004"/>
      <c r="D174" s="986"/>
    </row>
    <row r="175" spans="1:4">
      <c r="A175" s="983"/>
      <c r="B175" s="984"/>
      <c r="C175" s="985" t="e">
        <f>'4-22Master'!#REF!</f>
        <v>#REF!</v>
      </c>
      <c r="D175" s="986"/>
    </row>
    <row r="176" spans="1:4">
      <c r="A176" s="983"/>
      <c r="B176" s="984"/>
      <c r="C176" s="985" t="e">
        <f>'4-22Master'!#REF!</f>
        <v>#REF!</v>
      </c>
      <c r="D176" s="986"/>
    </row>
    <row r="177" spans="1:4">
      <c r="A177" s="983"/>
      <c r="B177" s="984"/>
      <c r="C177" s="985" t="e">
        <f>'4-22Master'!#REF!</f>
        <v>#REF!</v>
      </c>
      <c r="D177" s="986"/>
    </row>
    <row r="178" spans="1:4">
      <c r="A178" s="295" t="s">
        <v>290</v>
      </c>
      <c r="B178" s="300" t="s">
        <v>379</v>
      </c>
      <c r="C178" s="300"/>
      <c r="D178" s="301"/>
    </row>
    <row r="179" spans="1:4">
      <c r="A179" s="295" t="s">
        <v>349</v>
      </c>
      <c r="B179" s="340" t="e">
        <f>'4-22Master'!#REF!</f>
        <v>#REF!</v>
      </c>
      <c r="C179" s="309" t="s">
        <v>350</v>
      </c>
      <c r="D179" s="301"/>
    </row>
    <row r="180" spans="1:4">
      <c r="A180" s="295"/>
      <c r="B180" s="300"/>
      <c r="C180" s="300"/>
      <c r="D180" s="301"/>
    </row>
    <row r="181" spans="1:4">
      <c r="A181" s="994" t="s">
        <v>351</v>
      </c>
      <c r="B181" s="995"/>
      <c r="C181" s="995"/>
      <c r="D181" s="996"/>
    </row>
    <row r="182" spans="1:4">
      <c r="A182" s="295" t="s">
        <v>352</v>
      </c>
      <c r="B182" s="300"/>
      <c r="C182" s="300"/>
      <c r="D182" s="301"/>
    </row>
    <row r="183" spans="1:4">
      <c r="A183" s="295"/>
      <c r="B183" s="300"/>
      <c r="C183" s="300"/>
      <c r="D183" s="301"/>
    </row>
    <row r="184" spans="1:4">
      <c r="A184" s="997" t="s">
        <v>353</v>
      </c>
      <c r="B184" s="998"/>
      <c r="C184" s="998" t="s">
        <v>354</v>
      </c>
      <c r="D184" s="999"/>
    </row>
    <row r="185" spans="1:4">
      <c r="A185" s="1000">
        <v>1</v>
      </c>
      <c r="B185" s="1001"/>
      <c r="C185" s="1001">
        <v>1</v>
      </c>
      <c r="D185" s="1002"/>
    </row>
    <row r="186" spans="1:4">
      <c r="A186" s="1000">
        <v>2</v>
      </c>
      <c r="B186" s="1001"/>
      <c r="C186" s="1001">
        <v>2</v>
      </c>
      <c r="D186" s="1002"/>
    </row>
    <row r="187" spans="1:4">
      <c r="A187" s="310"/>
      <c r="C187" s="990" t="s">
        <v>359</v>
      </c>
      <c r="D187" s="991"/>
    </row>
    <row r="188" spans="1:4">
      <c r="A188" s="987" t="s">
        <v>355</v>
      </c>
      <c r="B188" s="988"/>
      <c r="C188" s="988"/>
      <c r="D188" s="989"/>
    </row>
    <row r="189" spans="1:4">
      <c r="A189" s="313" t="s">
        <v>356</v>
      </c>
      <c r="B189" s="314"/>
      <c r="C189" s="314"/>
      <c r="D189" s="315"/>
    </row>
    <row r="190" spans="1:4">
      <c r="A190" s="313"/>
      <c r="B190" s="314"/>
      <c r="C190" s="314"/>
      <c r="D190" s="315"/>
    </row>
    <row r="191" spans="1:4">
      <c r="A191" s="313"/>
      <c r="B191" s="314"/>
      <c r="C191" s="314" t="s">
        <v>357</v>
      </c>
      <c r="D191" s="315"/>
    </row>
    <row r="192" spans="1:4">
      <c r="A192" s="310"/>
      <c r="B192" s="311"/>
      <c r="C192" s="210" t="s">
        <v>161</v>
      </c>
      <c r="D192" s="312"/>
    </row>
    <row r="193" spans="1:4">
      <c r="A193" s="310"/>
      <c r="C193" t="s">
        <v>358</v>
      </c>
      <c r="D193" s="316"/>
    </row>
    <row r="194" spans="1:4">
      <c r="A194" s="310"/>
      <c r="C194" s="992" t="str">
        <f>'4-22Master'!G5</f>
        <v>Burgeon IT Services Pvt.Ltd.</v>
      </c>
      <c r="D194" s="993"/>
    </row>
    <row r="195" spans="1:4">
      <c r="A195" s="295" t="s">
        <v>290</v>
      </c>
      <c r="B195" t="str">
        <f>B178</f>
        <v>Hyderabad</v>
      </c>
      <c r="C195" s="4" t="str">
        <f>'4-22Master'!G6</f>
        <v>Siri Mansion LIGB 436 Dr.A S Rao Nagar,Hyderabad</v>
      </c>
      <c r="D195" s="24"/>
    </row>
    <row r="196" spans="1:4" ht="15.75" thickBot="1">
      <c r="A196" s="295" t="s">
        <v>349</v>
      </c>
      <c r="B196" s="332" t="e">
        <f>B179</f>
        <v>#REF!</v>
      </c>
      <c r="C196" s="4"/>
      <c r="D196" s="24"/>
    </row>
    <row r="197" spans="1:4" ht="15.75" thickBot="1">
      <c r="A197" s="321"/>
      <c r="B197" s="322" t="s">
        <v>362</v>
      </c>
      <c r="C197" s="322"/>
      <c r="D197" s="39"/>
    </row>
    <row r="198" spans="1:4">
      <c r="A198" s="295" t="s">
        <v>360</v>
      </c>
      <c r="C198" s="4"/>
      <c r="D198" s="24"/>
    </row>
    <row r="199" spans="1:4">
      <c r="A199" s="295" t="s">
        <v>349</v>
      </c>
      <c r="B199" s="332" t="e">
        <f>B196</f>
        <v>#REF!</v>
      </c>
      <c r="C199" s="4"/>
      <c r="D199" s="24"/>
    </row>
    <row r="200" spans="1:4" ht="15.75" thickBot="1">
      <c r="A200" s="324" t="s">
        <v>361</v>
      </c>
      <c r="B200" s="33"/>
      <c r="C200" s="33"/>
      <c r="D200" s="34" t="s">
        <v>152</v>
      </c>
    </row>
    <row r="204" spans="1:4" ht="15.75" thickBot="1"/>
    <row r="205" spans="1:4" ht="20.25">
      <c r="A205" s="1005" t="s">
        <v>324</v>
      </c>
      <c r="B205" s="1006"/>
      <c r="C205" s="1006"/>
      <c r="D205" s="1007"/>
    </row>
    <row r="206" spans="1:4">
      <c r="A206" s="1008" t="s">
        <v>325</v>
      </c>
      <c r="B206" s="1009"/>
      <c r="C206" s="1009"/>
      <c r="D206" s="1010"/>
    </row>
    <row r="207" spans="1:4" ht="18">
      <c r="A207" s="1011" t="s">
        <v>326</v>
      </c>
      <c r="B207" s="1012"/>
      <c r="C207" s="1012"/>
      <c r="D207" s="1013"/>
    </row>
    <row r="208" spans="1:4">
      <c r="A208" s="23" t="s">
        <v>151</v>
      </c>
      <c r="D208" s="24"/>
    </row>
    <row r="209" spans="1:4" ht="18">
      <c r="A209" s="317" t="str">
        <f>'4-22Master'!G5</f>
        <v>Burgeon IT Services Pvt.Ltd.</v>
      </c>
      <c r="B209" s="294"/>
      <c r="D209" s="24"/>
    </row>
    <row r="210" spans="1:4" ht="18">
      <c r="A210" s="317" t="str">
        <f>'4-22Master'!G6</f>
        <v>Siri Mansion LIGB 436 Dr.A S Rao Nagar,Hyderabad</v>
      </c>
      <c r="B210" s="294"/>
      <c r="D210" s="24"/>
    </row>
    <row r="211" spans="1:4" ht="18">
      <c r="A211" s="296"/>
      <c r="B211" s="8"/>
      <c r="D211" s="24"/>
    </row>
    <row r="212" spans="1:4" ht="15.75">
      <c r="A212" s="295" t="s">
        <v>327</v>
      </c>
      <c r="B212" s="318"/>
      <c r="C212" s="319" t="e">
        <f>'4-22Master'!#REF!</f>
        <v>#REF!</v>
      </c>
      <c r="D212" s="101"/>
    </row>
    <row r="213" spans="1:4">
      <c r="A213" s="1014" t="s">
        <v>328</v>
      </c>
      <c r="B213" s="1015"/>
      <c r="C213" s="1015"/>
      <c r="D213" s="1016"/>
    </row>
    <row r="214" spans="1:4">
      <c r="A214" s="23"/>
      <c r="D214" s="24"/>
    </row>
    <row r="215" spans="1:4">
      <c r="A215" s="1014" t="s">
        <v>329</v>
      </c>
      <c r="B215" s="1015"/>
      <c r="C215" s="1015"/>
      <c r="D215" s="1016"/>
    </row>
    <row r="216" spans="1:4">
      <c r="A216" s="297"/>
      <c r="B216" s="298"/>
      <c r="C216" s="298"/>
      <c r="D216" s="299"/>
    </row>
    <row r="217" spans="1:4">
      <c r="A217" s="997" t="s">
        <v>330</v>
      </c>
      <c r="B217" s="998"/>
      <c r="C217" s="998"/>
      <c r="D217" s="999"/>
    </row>
    <row r="218" spans="1:4">
      <c r="A218" s="23"/>
      <c r="D218" s="24"/>
    </row>
    <row r="219" spans="1:4">
      <c r="A219" s="997" t="s">
        <v>331</v>
      </c>
      <c r="B219" s="998"/>
      <c r="C219" s="998"/>
      <c r="D219" s="999"/>
    </row>
    <row r="220" spans="1:4">
      <c r="A220" s="997" t="s">
        <v>332</v>
      </c>
      <c r="B220" s="998"/>
      <c r="C220" s="998"/>
      <c r="D220" s="999"/>
    </row>
    <row r="221" spans="1:4">
      <c r="A221" s="295"/>
      <c r="B221" s="300"/>
      <c r="C221" s="300"/>
      <c r="D221" s="301"/>
    </row>
    <row r="222" spans="1:4">
      <c r="A222" s="1014" t="s">
        <v>333</v>
      </c>
      <c r="B222" s="1015"/>
      <c r="C222" s="1015"/>
      <c r="D222" s="1016"/>
    </row>
    <row r="223" spans="1:4">
      <c r="A223" s="295"/>
      <c r="B223" s="300"/>
      <c r="C223" s="300"/>
      <c r="D223" s="301"/>
    </row>
    <row r="224" spans="1:4">
      <c r="A224" s="997" t="s">
        <v>334</v>
      </c>
      <c r="B224" s="998"/>
      <c r="C224" s="998"/>
      <c r="D224" s="999"/>
    </row>
    <row r="225" spans="1:4">
      <c r="A225" s="23"/>
      <c r="D225" s="24"/>
    </row>
    <row r="226" spans="1:4">
      <c r="A226" s="994" t="s">
        <v>335</v>
      </c>
      <c r="B226" s="995"/>
      <c r="C226" s="995"/>
      <c r="D226" s="996"/>
    </row>
    <row r="227" spans="1:4" ht="42.75">
      <c r="A227" s="302" t="s">
        <v>336</v>
      </c>
      <c r="B227" s="303" t="s">
        <v>337</v>
      </c>
      <c r="C227" s="303" t="s">
        <v>338</v>
      </c>
      <c r="D227" s="304" t="s">
        <v>339</v>
      </c>
    </row>
    <row r="228" spans="1:4">
      <c r="A228" s="305">
        <v>1</v>
      </c>
      <c r="B228" s="306">
        <v>2</v>
      </c>
      <c r="C228" s="306">
        <v>3</v>
      </c>
      <c r="D228" s="307">
        <v>4</v>
      </c>
    </row>
    <row r="229" spans="1:4">
      <c r="A229" s="23" t="e">
        <f>'4-22Master'!#REF!</f>
        <v>#REF!</v>
      </c>
      <c r="B229" s="19" t="s">
        <v>381</v>
      </c>
      <c r="C229" s="19" t="s">
        <v>388</v>
      </c>
      <c r="D229" s="339">
        <v>1</v>
      </c>
    </row>
    <row r="230" spans="1:4">
      <c r="A230" s="323"/>
      <c r="B230" s="19"/>
      <c r="C230" s="19"/>
      <c r="D230" s="308"/>
    </row>
    <row r="231" spans="1:4">
      <c r="A231" s="320"/>
      <c r="B231" s="19"/>
      <c r="C231" s="19"/>
      <c r="D231" s="308"/>
    </row>
    <row r="232" spans="1:4">
      <c r="A232" s="23"/>
      <c r="D232" s="24"/>
    </row>
    <row r="233" spans="1:4">
      <c r="A233" s="994" t="s">
        <v>340</v>
      </c>
      <c r="B233" s="995"/>
      <c r="C233" s="995"/>
      <c r="D233" s="996"/>
    </row>
    <row r="234" spans="1:4">
      <c r="A234" s="211"/>
      <c r="B234" s="9"/>
      <c r="C234" s="9"/>
      <c r="D234" s="212"/>
    </row>
    <row r="235" spans="1:4">
      <c r="A235" s="983" t="s">
        <v>341</v>
      </c>
      <c r="B235" s="984"/>
      <c r="C235" s="985" t="e">
        <f>'4-22Master'!#REF!</f>
        <v>#REF!</v>
      </c>
      <c r="D235" s="986"/>
    </row>
    <row r="236" spans="1:4">
      <c r="A236" s="983" t="s">
        <v>342</v>
      </c>
      <c r="B236" s="984"/>
      <c r="C236" s="1004" t="e">
        <f>'4-22Master'!#REF!</f>
        <v>#REF!</v>
      </c>
      <c r="D236" s="986"/>
    </row>
    <row r="237" spans="1:4">
      <c r="A237" s="983" t="s">
        <v>343</v>
      </c>
      <c r="B237" s="984"/>
      <c r="C237" s="1004" t="s">
        <v>389</v>
      </c>
      <c r="D237" s="986"/>
    </row>
    <row r="238" spans="1:4">
      <c r="A238" s="983" t="s">
        <v>344</v>
      </c>
      <c r="B238" s="984"/>
      <c r="C238" s="1004" t="s">
        <v>387</v>
      </c>
      <c r="D238" s="986"/>
    </row>
    <row r="239" spans="1:4">
      <c r="A239" s="983" t="s">
        <v>345</v>
      </c>
      <c r="B239" s="984"/>
      <c r="C239" s="985" t="e">
        <f>'4-22Master'!#REF!</f>
        <v>#REF!</v>
      </c>
      <c r="D239" s="986"/>
    </row>
    <row r="240" spans="1:4">
      <c r="A240" s="983" t="s">
        <v>346</v>
      </c>
      <c r="B240" s="984"/>
      <c r="C240" s="985" t="e">
        <f>'4-22Master'!#REF!</f>
        <v>#REF!</v>
      </c>
      <c r="D240" s="986"/>
    </row>
    <row r="241" spans="1:4">
      <c r="A241" s="983" t="s">
        <v>347</v>
      </c>
      <c r="B241" s="984"/>
      <c r="C241" s="1003" t="e">
        <f>'4-22Master'!#REF!</f>
        <v>#REF!</v>
      </c>
      <c r="D241" s="986"/>
    </row>
    <row r="242" spans="1:4">
      <c r="A242" s="983" t="s">
        <v>348</v>
      </c>
      <c r="B242" s="984"/>
      <c r="C242" s="1004"/>
      <c r="D242" s="986"/>
    </row>
    <row r="243" spans="1:4">
      <c r="A243" s="983"/>
      <c r="B243" s="984"/>
      <c r="C243" s="985" t="e">
        <f>'4-22Master'!#REF!</f>
        <v>#REF!</v>
      </c>
      <c r="D243" s="986"/>
    </row>
    <row r="244" spans="1:4">
      <c r="A244" s="983"/>
      <c r="B244" s="984"/>
      <c r="C244" s="985" t="e">
        <f>'4-22Master'!#REF!</f>
        <v>#REF!</v>
      </c>
      <c r="D244" s="986"/>
    </row>
    <row r="245" spans="1:4">
      <c r="A245" s="983"/>
      <c r="B245" s="984"/>
      <c r="C245" s="985" t="e">
        <f>'4-22Master'!#REF!</f>
        <v>#REF!</v>
      </c>
      <c r="D245" s="986"/>
    </row>
    <row r="246" spans="1:4">
      <c r="A246" s="295" t="s">
        <v>290</v>
      </c>
      <c r="B246" s="300" t="s">
        <v>379</v>
      </c>
      <c r="C246" s="300"/>
      <c r="D246" s="301"/>
    </row>
    <row r="247" spans="1:4">
      <c r="A247" s="295" t="s">
        <v>349</v>
      </c>
      <c r="B247" s="340" t="e">
        <f>'4-22Master'!#REF!</f>
        <v>#REF!</v>
      </c>
      <c r="C247" s="309" t="s">
        <v>350</v>
      </c>
      <c r="D247" s="301"/>
    </row>
    <row r="248" spans="1:4">
      <c r="A248" s="295"/>
      <c r="B248" s="300"/>
      <c r="C248" s="300"/>
      <c r="D248" s="301"/>
    </row>
    <row r="249" spans="1:4">
      <c r="A249" s="994" t="s">
        <v>351</v>
      </c>
      <c r="B249" s="995"/>
      <c r="C249" s="995"/>
      <c r="D249" s="996"/>
    </row>
    <row r="250" spans="1:4">
      <c r="A250" s="295" t="s">
        <v>352</v>
      </c>
      <c r="B250" s="300"/>
      <c r="C250" s="300"/>
      <c r="D250" s="301"/>
    </row>
    <row r="251" spans="1:4">
      <c r="A251" s="295"/>
      <c r="B251" s="300"/>
      <c r="C251" s="300"/>
      <c r="D251" s="301"/>
    </row>
    <row r="252" spans="1:4">
      <c r="A252" s="997" t="s">
        <v>353</v>
      </c>
      <c r="B252" s="998"/>
      <c r="C252" s="998" t="s">
        <v>354</v>
      </c>
      <c r="D252" s="999"/>
    </row>
    <row r="253" spans="1:4">
      <c r="A253" s="1000">
        <v>1</v>
      </c>
      <c r="B253" s="1001"/>
      <c r="C253" s="1001">
        <v>1</v>
      </c>
      <c r="D253" s="1002"/>
    </row>
    <row r="254" spans="1:4">
      <c r="A254" s="1000">
        <v>2</v>
      </c>
      <c r="B254" s="1001"/>
      <c r="C254" s="1001">
        <v>2</v>
      </c>
      <c r="D254" s="1002"/>
    </row>
    <row r="255" spans="1:4">
      <c r="A255" s="310"/>
      <c r="C255" s="990" t="s">
        <v>359</v>
      </c>
      <c r="D255" s="991"/>
    </row>
    <row r="256" spans="1:4">
      <c r="A256" s="987" t="s">
        <v>355</v>
      </c>
      <c r="B256" s="988"/>
      <c r="C256" s="988"/>
      <c r="D256" s="989"/>
    </row>
    <row r="257" spans="1:4">
      <c r="A257" s="313" t="s">
        <v>356</v>
      </c>
      <c r="B257" s="314"/>
      <c r="C257" s="314"/>
      <c r="D257" s="315"/>
    </row>
    <row r="258" spans="1:4">
      <c r="A258" s="313"/>
      <c r="B258" s="314"/>
      <c r="C258" s="314"/>
      <c r="D258" s="315"/>
    </row>
    <row r="259" spans="1:4">
      <c r="A259" s="313"/>
      <c r="B259" s="314"/>
      <c r="C259" s="314" t="s">
        <v>357</v>
      </c>
      <c r="D259" s="315"/>
    </row>
    <row r="260" spans="1:4">
      <c r="A260" s="310"/>
      <c r="B260" s="311"/>
      <c r="C260" s="210" t="s">
        <v>161</v>
      </c>
      <c r="D260" s="312"/>
    </row>
    <row r="261" spans="1:4">
      <c r="A261" s="310"/>
      <c r="C261" t="s">
        <v>358</v>
      </c>
      <c r="D261" s="316"/>
    </row>
    <row r="262" spans="1:4">
      <c r="A262" s="310"/>
      <c r="C262" s="992" t="str">
        <f>'4-22Master'!G5</f>
        <v>Burgeon IT Services Pvt.Ltd.</v>
      </c>
      <c r="D262" s="993"/>
    </row>
    <row r="263" spans="1:4">
      <c r="A263" s="295" t="s">
        <v>290</v>
      </c>
      <c r="B263" t="str">
        <f>B246</f>
        <v>Hyderabad</v>
      </c>
      <c r="C263" s="4" t="str">
        <f>'4-22Master'!G6</f>
        <v>Siri Mansion LIGB 436 Dr.A S Rao Nagar,Hyderabad</v>
      </c>
      <c r="D263" s="24"/>
    </row>
    <row r="264" spans="1:4" ht="15.75" thickBot="1">
      <c r="A264" s="295" t="s">
        <v>349</v>
      </c>
      <c r="B264" s="332" t="e">
        <f>B247</f>
        <v>#REF!</v>
      </c>
      <c r="C264" s="4"/>
      <c r="D264" s="24"/>
    </row>
    <row r="265" spans="1:4" ht="15.75" thickBot="1">
      <c r="A265" s="321"/>
      <c r="B265" s="322" t="s">
        <v>362</v>
      </c>
      <c r="C265" s="322"/>
      <c r="D265" s="39"/>
    </row>
    <row r="266" spans="1:4">
      <c r="A266" s="295" t="s">
        <v>360</v>
      </c>
      <c r="C266" s="4"/>
      <c r="D266" s="24"/>
    </row>
    <row r="267" spans="1:4">
      <c r="A267" s="295" t="s">
        <v>349</v>
      </c>
      <c r="B267" s="332" t="e">
        <f>B264</f>
        <v>#REF!</v>
      </c>
      <c r="C267" s="4"/>
      <c r="D267" s="24"/>
    </row>
    <row r="268" spans="1:4" ht="15.75" thickBot="1">
      <c r="A268" s="324" t="s">
        <v>361</v>
      </c>
      <c r="B268" s="33"/>
      <c r="C268" s="33"/>
      <c r="D268" s="34" t="s">
        <v>152</v>
      </c>
    </row>
    <row r="272" spans="1:4" ht="15.75" thickBot="1"/>
    <row r="273" spans="1:4" ht="20.25">
      <c r="A273" s="1005" t="s">
        <v>324</v>
      </c>
      <c r="B273" s="1006"/>
      <c r="C273" s="1006"/>
      <c r="D273" s="1007"/>
    </row>
    <row r="274" spans="1:4">
      <c r="A274" s="1008" t="s">
        <v>325</v>
      </c>
      <c r="B274" s="1009"/>
      <c r="C274" s="1009"/>
      <c r="D274" s="1010"/>
    </row>
    <row r="275" spans="1:4" ht="18">
      <c r="A275" s="1011" t="s">
        <v>326</v>
      </c>
      <c r="B275" s="1012"/>
      <c r="C275" s="1012"/>
      <c r="D275" s="1013"/>
    </row>
    <row r="276" spans="1:4">
      <c r="A276" s="23" t="s">
        <v>151</v>
      </c>
      <c r="D276" s="24"/>
    </row>
    <row r="277" spans="1:4" ht="18">
      <c r="A277" s="317" t="str">
        <f>'4-22Master'!G5</f>
        <v>Burgeon IT Services Pvt.Ltd.</v>
      </c>
      <c r="B277" s="294"/>
      <c r="D277" s="24"/>
    </row>
    <row r="278" spans="1:4" ht="18">
      <c r="A278" s="317" t="str">
        <f>'4-22Master'!G6</f>
        <v>Siri Mansion LIGB 436 Dr.A S Rao Nagar,Hyderabad</v>
      </c>
      <c r="B278" s="294"/>
      <c r="D278" s="24"/>
    </row>
    <row r="279" spans="1:4" ht="18">
      <c r="A279" s="296"/>
      <c r="B279" s="8"/>
      <c r="D279" s="24"/>
    </row>
    <row r="280" spans="1:4" ht="15.75">
      <c r="A280" s="295" t="s">
        <v>327</v>
      </c>
      <c r="B280" s="318"/>
      <c r="C280" s="319" t="e">
        <f>'4-22Master'!#REF!</f>
        <v>#REF!</v>
      </c>
      <c r="D280" s="101"/>
    </row>
    <row r="281" spans="1:4">
      <c r="A281" s="1014" t="s">
        <v>328</v>
      </c>
      <c r="B281" s="1015"/>
      <c r="C281" s="1015"/>
      <c r="D281" s="1016"/>
    </row>
    <row r="282" spans="1:4">
      <c r="A282" s="23"/>
      <c r="D282" s="24"/>
    </row>
    <row r="283" spans="1:4">
      <c r="A283" s="1014" t="s">
        <v>329</v>
      </c>
      <c r="B283" s="1015"/>
      <c r="C283" s="1015"/>
      <c r="D283" s="1016"/>
    </row>
    <row r="284" spans="1:4">
      <c r="A284" s="297"/>
      <c r="B284" s="298"/>
      <c r="C284" s="298"/>
      <c r="D284" s="299"/>
    </row>
    <row r="285" spans="1:4">
      <c r="A285" s="997" t="s">
        <v>330</v>
      </c>
      <c r="B285" s="998"/>
      <c r="C285" s="998"/>
      <c r="D285" s="999"/>
    </row>
    <row r="286" spans="1:4">
      <c r="A286" s="23"/>
      <c r="D286" s="24"/>
    </row>
    <row r="287" spans="1:4">
      <c r="A287" s="997" t="s">
        <v>331</v>
      </c>
      <c r="B287" s="998"/>
      <c r="C287" s="998"/>
      <c r="D287" s="999"/>
    </row>
    <row r="288" spans="1:4">
      <c r="A288" s="997" t="s">
        <v>332</v>
      </c>
      <c r="B288" s="998"/>
      <c r="C288" s="998"/>
      <c r="D288" s="999"/>
    </row>
    <row r="289" spans="1:4">
      <c r="A289" s="295"/>
      <c r="B289" s="300"/>
      <c r="C289" s="300"/>
      <c r="D289" s="301"/>
    </row>
    <row r="290" spans="1:4">
      <c r="A290" s="1014" t="s">
        <v>333</v>
      </c>
      <c r="B290" s="1015"/>
      <c r="C290" s="1015"/>
      <c r="D290" s="1016"/>
    </row>
    <row r="291" spans="1:4">
      <c r="A291" s="295"/>
      <c r="B291" s="300"/>
      <c r="C291" s="300"/>
      <c r="D291" s="301"/>
    </row>
    <row r="292" spans="1:4">
      <c r="A292" s="997" t="s">
        <v>334</v>
      </c>
      <c r="B292" s="998"/>
      <c r="C292" s="998"/>
      <c r="D292" s="999"/>
    </row>
    <row r="293" spans="1:4">
      <c r="A293" s="23"/>
      <c r="D293" s="24"/>
    </row>
    <row r="294" spans="1:4">
      <c r="A294" s="994" t="s">
        <v>335</v>
      </c>
      <c r="B294" s="995"/>
      <c r="C294" s="995"/>
      <c r="D294" s="996"/>
    </row>
    <row r="295" spans="1:4" ht="42.75">
      <c r="A295" s="302" t="s">
        <v>336</v>
      </c>
      <c r="B295" s="303" t="s">
        <v>337</v>
      </c>
      <c r="C295" s="303" t="s">
        <v>338</v>
      </c>
      <c r="D295" s="304" t="s">
        <v>339</v>
      </c>
    </row>
    <row r="296" spans="1:4">
      <c r="A296" s="305">
        <v>1</v>
      </c>
      <c r="B296" s="306">
        <v>2</v>
      </c>
      <c r="C296" s="306">
        <v>3</v>
      </c>
      <c r="D296" s="307">
        <v>4</v>
      </c>
    </row>
    <row r="297" spans="1:4">
      <c r="A297" s="23" t="e">
        <f>'4-22Master'!#REF!</f>
        <v>#REF!</v>
      </c>
      <c r="B297" s="19" t="s">
        <v>381</v>
      </c>
      <c r="C297" s="19" t="s">
        <v>388</v>
      </c>
      <c r="D297" s="339">
        <v>1</v>
      </c>
    </row>
    <row r="298" spans="1:4">
      <c r="A298" s="323"/>
      <c r="B298" s="19"/>
      <c r="C298" s="19"/>
      <c r="D298" s="308"/>
    </row>
    <row r="299" spans="1:4">
      <c r="A299" s="320"/>
      <c r="B299" s="19"/>
      <c r="C299" s="19"/>
      <c r="D299" s="308"/>
    </row>
    <row r="300" spans="1:4">
      <c r="A300" s="23"/>
      <c r="D300" s="24"/>
    </row>
    <row r="301" spans="1:4">
      <c r="A301" s="994" t="s">
        <v>340</v>
      </c>
      <c r="B301" s="995"/>
      <c r="C301" s="995"/>
      <c r="D301" s="996"/>
    </row>
    <row r="302" spans="1:4">
      <c r="A302" s="211"/>
      <c r="B302" s="9"/>
      <c r="C302" s="9"/>
      <c r="D302" s="212"/>
    </row>
    <row r="303" spans="1:4">
      <c r="A303" s="983" t="s">
        <v>341</v>
      </c>
      <c r="B303" s="984"/>
      <c r="C303" s="985" t="e">
        <f>'4-22Master'!#REF!</f>
        <v>#REF!</v>
      </c>
      <c r="D303" s="986"/>
    </row>
    <row r="304" spans="1:4">
      <c r="A304" s="983" t="s">
        <v>342</v>
      </c>
      <c r="B304" s="984"/>
      <c r="C304" s="1004" t="e">
        <f>'4-22Master'!#REF!</f>
        <v>#REF!</v>
      </c>
      <c r="D304" s="986"/>
    </row>
    <row r="305" spans="1:4">
      <c r="A305" s="983" t="s">
        <v>343</v>
      </c>
      <c r="B305" s="984"/>
      <c r="C305" s="1004" t="s">
        <v>389</v>
      </c>
      <c r="D305" s="986"/>
    </row>
    <row r="306" spans="1:4">
      <c r="A306" s="983" t="s">
        <v>344</v>
      </c>
      <c r="B306" s="984"/>
      <c r="C306" s="1004" t="s">
        <v>387</v>
      </c>
      <c r="D306" s="986"/>
    </row>
    <row r="307" spans="1:4">
      <c r="A307" s="983" t="s">
        <v>345</v>
      </c>
      <c r="B307" s="984"/>
      <c r="C307" s="985" t="e">
        <f>'4-22Master'!#REF!</f>
        <v>#REF!</v>
      </c>
      <c r="D307" s="986"/>
    </row>
    <row r="308" spans="1:4">
      <c r="A308" s="983" t="s">
        <v>346</v>
      </c>
      <c r="B308" s="984"/>
      <c r="C308" s="985" t="e">
        <f>'4-22Master'!#REF!</f>
        <v>#REF!</v>
      </c>
      <c r="D308" s="986"/>
    </row>
    <row r="309" spans="1:4">
      <c r="A309" s="983" t="s">
        <v>347</v>
      </c>
      <c r="B309" s="984"/>
      <c r="C309" s="1003" t="e">
        <f>'4-22Master'!#REF!</f>
        <v>#REF!</v>
      </c>
      <c r="D309" s="986"/>
    </row>
    <row r="310" spans="1:4">
      <c r="A310" s="983" t="s">
        <v>348</v>
      </c>
      <c r="B310" s="984"/>
      <c r="C310" s="1004"/>
      <c r="D310" s="986"/>
    </row>
    <row r="311" spans="1:4">
      <c r="A311" s="983"/>
      <c r="B311" s="984"/>
      <c r="C311" s="985" t="e">
        <f>'4-22Master'!#REF!</f>
        <v>#REF!</v>
      </c>
      <c r="D311" s="986"/>
    </row>
    <row r="312" spans="1:4">
      <c r="A312" s="983"/>
      <c r="B312" s="984"/>
      <c r="C312" s="985" t="e">
        <f>'4-22Master'!#REF!</f>
        <v>#REF!</v>
      </c>
      <c r="D312" s="986"/>
    </row>
    <row r="313" spans="1:4">
      <c r="A313" s="983"/>
      <c r="B313" s="984"/>
      <c r="C313" s="985" t="e">
        <f>'4-22Master'!#REF!</f>
        <v>#REF!</v>
      </c>
      <c r="D313" s="986"/>
    </row>
    <row r="314" spans="1:4">
      <c r="A314" s="295" t="s">
        <v>290</v>
      </c>
      <c r="B314" s="300" t="s">
        <v>379</v>
      </c>
      <c r="C314" s="300"/>
      <c r="D314" s="301"/>
    </row>
    <row r="315" spans="1:4">
      <c r="A315" s="295" t="s">
        <v>349</v>
      </c>
      <c r="B315" s="340" t="e">
        <f>'4-22Master'!#REF!</f>
        <v>#REF!</v>
      </c>
      <c r="C315" s="309" t="s">
        <v>350</v>
      </c>
      <c r="D315" s="301"/>
    </row>
    <row r="316" spans="1:4">
      <c r="A316" s="295"/>
      <c r="B316" s="300"/>
      <c r="C316" s="300"/>
      <c r="D316" s="301"/>
    </row>
    <row r="317" spans="1:4">
      <c r="A317" s="994" t="s">
        <v>351</v>
      </c>
      <c r="B317" s="995"/>
      <c r="C317" s="995"/>
      <c r="D317" s="996"/>
    </row>
    <row r="318" spans="1:4">
      <c r="A318" s="295" t="s">
        <v>352</v>
      </c>
      <c r="B318" s="300"/>
      <c r="C318" s="300"/>
      <c r="D318" s="301"/>
    </row>
    <row r="319" spans="1:4">
      <c r="A319" s="295"/>
      <c r="B319" s="300"/>
      <c r="C319" s="300"/>
      <c r="D319" s="301"/>
    </row>
    <row r="320" spans="1:4">
      <c r="A320" s="997" t="s">
        <v>353</v>
      </c>
      <c r="B320" s="998"/>
      <c r="C320" s="998" t="s">
        <v>354</v>
      </c>
      <c r="D320" s="999"/>
    </row>
    <row r="321" spans="1:4">
      <c r="A321" s="1000">
        <v>1</v>
      </c>
      <c r="B321" s="1001"/>
      <c r="C321" s="1001">
        <v>1</v>
      </c>
      <c r="D321" s="1002"/>
    </row>
    <row r="322" spans="1:4">
      <c r="A322" s="1000">
        <v>2</v>
      </c>
      <c r="B322" s="1001"/>
      <c r="C322" s="1001">
        <v>2</v>
      </c>
      <c r="D322" s="1002"/>
    </row>
    <row r="323" spans="1:4">
      <c r="A323" s="310"/>
      <c r="C323" s="990" t="s">
        <v>359</v>
      </c>
      <c r="D323" s="991"/>
    </row>
    <row r="324" spans="1:4">
      <c r="A324" s="987" t="s">
        <v>355</v>
      </c>
      <c r="B324" s="988"/>
      <c r="C324" s="988"/>
      <c r="D324" s="989"/>
    </row>
    <row r="325" spans="1:4">
      <c r="A325" s="313" t="s">
        <v>356</v>
      </c>
      <c r="B325" s="314"/>
      <c r="C325" s="314"/>
      <c r="D325" s="315"/>
    </row>
    <row r="326" spans="1:4">
      <c r="A326" s="313"/>
      <c r="B326" s="314"/>
      <c r="C326" s="314"/>
      <c r="D326" s="315"/>
    </row>
    <row r="327" spans="1:4">
      <c r="A327" s="313"/>
      <c r="B327" s="314"/>
      <c r="C327" s="314" t="s">
        <v>357</v>
      </c>
      <c r="D327" s="315"/>
    </row>
    <row r="328" spans="1:4">
      <c r="A328" s="310"/>
      <c r="B328" s="311"/>
      <c r="C328" s="210" t="s">
        <v>161</v>
      </c>
      <c r="D328" s="312"/>
    </row>
    <row r="329" spans="1:4">
      <c r="A329" s="310"/>
      <c r="C329" t="s">
        <v>358</v>
      </c>
      <c r="D329" s="316"/>
    </row>
    <row r="330" spans="1:4">
      <c r="A330" s="310"/>
      <c r="C330" s="992" t="str">
        <f>'4-22Master'!G5</f>
        <v>Burgeon IT Services Pvt.Ltd.</v>
      </c>
      <c r="D330" s="993"/>
    </row>
    <row r="331" spans="1:4">
      <c r="A331" s="295" t="s">
        <v>290</v>
      </c>
      <c r="B331" t="str">
        <f>B314</f>
        <v>Hyderabad</v>
      </c>
      <c r="C331" s="4" t="str">
        <f>'4-22Master'!G6</f>
        <v>Siri Mansion LIGB 436 Dr.A S Rao Nagar,Hyderabad</v>
      </c>
      <c r="D331" s="24"/>
    </row>
    <row r="332" spans="1:4" ht="15.75" thickBot="1">
      <c r="A332" s="295" t="s">
        <v>349</v>
      </c>
      <c r="B332" s="332" t="e">
        <f>B315</f>
        <v>#REF!</v>
      </c>
      <c r="C332" s="4"/>
      <c r="D332" s="24"/>
    </row>
    <row r="333" spans="1:4" ht="15.75" thickBot="1">
      <c r="A333" s="321"/>
      <c r="B333" s="322" t="s">
        <v>362</v>
      </c>
      <c r="C333" s="322"/>
      <c r="D333" s="39"/>
    </row>
    <row r="334" spans="1:4">
      <c r="A334" s="295" t="s">
        <v>360</v>
      </c>
      <c r="C334" s="4"/>
      <c r="D334" s="24"/>
    </row>
    <row r="335" spans="1:4">
      <c r="A335" s="295" t="s">
        <v>349</v>
      </c>
      <c r="B335" s="332" t="e">
        <f>B332</f>
        <v>#REF!</v>
      </c>
      <c r="C335" s="4"/>
      <c r="D335" s="24"/>
    </row>
    <row r="336" spans="1:4" ht="15.75" thickBot="1">
      <c r="A336" s="324" t="s">
        <v>361</v>
      </c>
      <c r="B336" s="33"/>
      <c r="C336" s="33"/>
      <c r="D336" s="34" t="s">
        <v>152</v>
      </c>
    </row>
    <row r="340" spans="1:4" ht="15.75" thickBot="1"/>
    <row r="341" spans="1:4" ht="20.25">
      <c r="A341" s="1005" t="s">
        <v>324</v>
      </c>
      <c r="B341" s="1006"/>
      <c r="C341" s="1006"/>
      <c r="D341" s="1007"/>
    </row>
    <row r="342" spans="1:4">
      <c r="A342" s="1008" t="s">
        <v>325</v>
      </c>
      <c r="B342" s="1009"/>
      <c r="C342" s="1009"/>
      <c r="D342" s="1010"/>
    </row>
    <row r="343" spans="1:4" ht="18">
      <c r="A343" s="1011" t="s">
        <v>326</v>
      </c>
      <c r="B343" s="1012"/>
      <c r="C343" s="1012"/>
      <c r="D343" s="1013"/>
    </row>
    <row r="344" spans="1:4">
      <c r="A344" s="23" t="s">
        <v>151</v>
      </c>
      <c r="D344" s="24"/>
    </row>
    <row r="345" spans="1:4" ht="18">
      <c r="A345" s="317" t="str">
        <f>'4-22Master'!G5</f>
        <v>Burgeon IT Services Pvt.Ltd.</v>
      </c>
      <c r="B345" s="294"/>
      <c r="D345" s="24"/>
    </row>
    <row r="346" spans="1:4" ht="18">
      <c r="A346" s="317" t="str">
        <f>'4-22Master'!G6</f>
        <v>Siri Mansion LIGB 436 Dr.A S Rao Nagar,Hyderabad</v>
      </c>
      <c r="B346" s="294"/>
      <c r="D346" s="24"/>
    </row>
    <row r="347" spans="1:4" ht="18">
      <c r="A347" s="296"/>
      <c r="B347" s="8"/>
      <c r="D347" s="24"/>
    </row>
    <row r="348" spans="1:4" ht="15.75">
      <c r="A348" s="295" t="s">
        <v>327</v>
      </c>
      <c r="B348" s="318"/>
      <c r="C348" s="319" t="e">
        <f>'4-22Master'!#REF!</f>
        <v>#REF!</v>
      </c>
      <c r="D348" s="101"/>
    </row>
    <row r="349" spans="1:4">
      <c r="A349" s="1014" t="s">
        <v>328</v>
      </c>
      <c r="B349" s="1015"/>
      <c r="C349" s="1015"/>
      <c r="D349" s="1016"/>
    </row>
    <row r="350" spans="1:4">
      <c r="A350" s="23"/>
      <c r="D350" s="24"/>
    </row>
    <row r="351" spans="1:4">
      <c r="A351" s="1014" t="s">
        <v>329</v>
      </c>
      <c r="B351" s="1015"/>
      <c r="C351" s="1015"/>
      <c r="D351" s="1016"/>
    </row>
    <row r="352" spans="1:4">
      <c r="A352" s="297"/>
      <c r="B352" s="298"/>
      <c r="C352" s="298"/>
      <c r="D352" s="299"/>
    </row>
    <row r="353" spans="1:4">
      <c r="A353" s="997" t="s">
        <v>330</v>
      </c>
      <c r="B353" s="998"/>
      <c r="C353" s="998"/>
      <c r="D353" s="999"/>
    </row>
    <row r="354" spans="1:4">
      <c r="A354" s="23"/>
      <c r="D354" s="24"/>
    </row>
    <row r="355" spans="1:4">
      <c r="A355" s="997" t="s">
        <v>331</v>
      </c>
      <c r="B355" s="998"/>
      <c r="C355" s="998"/>
      <c r="D355" s="999"/>
    </row>
    <row r="356" spans="1:4">
      <c r="A356" s="997" t="s">
        <v>332</v>
      </c>
      <c r="B356" s="998"/>
      <c r="C356" s="998"/>
      <c r="D356" s="999"/>
    </row>
    <row r="357" spans="1:4">
      <c r="A357" s="295"/>
      <c r="B357" s="300"/>
      <c r="C357" s="300"/>
      <c r="D357" s="301"/>
    </row>
    <row r="358" spans="1:4">
      <c r="A358" s="1014" t="s">
        <v>333</v>
      </c>
      <c r="B358" s="1015"/>
      <c r="C358" s="1015"/>
      <c r="D358" s="1016"/>
    </row>
    <row r="359" spans="1:4">
      <c r="A359" s="295"/>
      <c r="B359" s="300"/>
      <c r="C359" s="300"/>
      <c r="D359" s="301"/>
    </row>
    <row r="360" spans="1:4">
      <c r="A360" s="997" t="s">
        <v>334</v>
      </c>
      <c r="B360" s="998"/>
      <c r="C360" s="998"/>
      <c r="D360" s="999"/>
    </row>
    <row r="361" spans="1:4">
      <c r="A361" s="23"/>
      <c r="D361" s="24"/>
    </row>
    <row r="362" spans="1:4">
      <c r="A362" s="994" t="s">
        <v>335</v>
      </c>
      <c r="B362" s="995"/>
      <c r="C362" s="995"/>
      <c r="D362" s="996"/>
    </row>
    <row r="363" spans="1:4" ht="42.75">
      <c r="A363" s="302" t="s">
        <v>336</v>
      </c>
      <c r="B363" s="303" t="s">
        <v>337</v>
      </c>
      <c r="C363" s="303" t="s">
        <v>338</v>
      </c>
      <c r="D363" s="304" t="s">
        <v>339</v>
      </c>
    </row>
    <row r="364" spans="1:4">
      <c r="A364" s="305">
        <v>1</v>
      </c>
      <c r="B364" s="306">
        <v>2</v>
      </c>
      <c r="C364" s="306">
        <v>3</v>
      </c>
      <c r="D364" s="307">
        <v>4</v>
      </c>
    </row>
    <row r="365" spans="1:4">
      <c r="A365" s="23" t="e">
        <f>'4-22Master'!#REF!</f>
        <v>#REF!</v>
      </c>
      <c r="B365" s="19" t="s">
        <v>381</v>
      </c>
      <c r="C365" s="19" t="s">
        <v>388</v>
      </c>
      <c r="D365" s="339">
        <v>1</v>
      </c>
    </row>
    <row r="366" spans="1:4">
      <c r="A366" s="323"/>
      <c r="B366" s="19"/>
      <c r="C366" s="19"/>
      <c r="D366" s="308"/>
    </row>
    <row r="367" spans="1:4">
      <c r="A367" s="320"/>
      <c r="B367" s="19"/>
      <c r="C367" s="19"/>
      <c r="D367" s="308"/>
    </row>
    <row r="368" spans="1:4">
      <c r="A368" s="23"/>
      <c r="D368" s="24"/>
    </row>
    <row r="369" spans="1:4">
      <c r="A369" s="994" t="s">
        <v>340</v>
      </c>
      <c r="B369" s="995"/>
      <c r="C369" s="995"/>
      <c r="D369" s="996"/>
    </row>
    <row r="370" spans="1:4">
      <c r="A370" s="211"/>
      <c r="B370" s="9"/>
      <c r="C370" s="9"/>
      <c r="D370" s="212"/>
    </row>
    <row r="371" spans="1:4">
      <c r="A371" s="983" t="s">
        <v>341</v>
      </c>
      <c r="B371" s="984"/>
      <c r="C371" s="985" t="e">
        <f>'4-22Master'!#REF!</f>
        <v>#REF!</v>
      </c>
      <c r="D371" s="986"/>
    </row>
    <row r="372" spans="1:4">
      <c r="A372" s="983" t="s">
        <v>342</v>
      </c>
      <c r="B372" s="984"/>
      <c r="C372" s="1004" t="e">
        <f>'4-22Master'!#REF!</f>
        <v>#REF!</v>
      </c>
      <c r="D372" s="986"/>
    </row>
    <row r="373" spans="1:4">
      <c r="A373" s="983" t="s">
        <v>343</v>
      </c>
      <c r="B373" s="984"/>
      <c r="C373" s="1004" t="s">
        <v>389</v>
      </c>
      <c r="D373" s="986"/>
    </row>
    <row r="374" spans="1:4">
      <c r="A374" s="983" t="s">
        <v>344</v>
      </c>
      <c r="B374" s="984"/>
      <c r="C374" s="1004" t="s">
        <v>387</v>
      </c>
      <c r="D374" s="986"/>
    </row>
    <row r="375" spans="1:4">
      <c r="A375" s="983" t="s">
        <v>345</v>
      </c>
      <c r="B375" s="984"/>
      <c r="C375" s="985" t="e">
        <f>'4-22Master'!#REF!</f>
        <v>#REF!</v>
      </c>
      <c r="D375" s="986"/>
    </row>
    <row r="376" spans="1:4">
      <c r="A376" s="983" t="s">
        <v>346</v>
      </c>
      <c r="B376" s="984"/>
      <c r="C376" s="985" t="e">
        <f>'4-22Master'!#REF!</f>
        <v>#REF!</v>
      </c>
      <c r="D376" s="986"/>
    </row>
    <row r="377" spans="1:4">
      <c r="A377" s="983" t="s">
        <v>347</v>
      </c>
      <c r="B377" s="984"/>
      <c r="C377" s="1003" t="e">
        <f>'4-22Master'!#REF!</f>
        <v>#REF!</v>
      </c>
      <c r="D377" s="986"/>
    </row>
    <row r="378" spans="1:4">
      <c r="A378" s="983" t="s">
        <v>348</v>
      </c>
      <c r="B378" s="984"/>
      <c r="C378" s="1004"/>
      <c r="D378" s="986"/>
    </row>
    <row r="379" spans="1:4">
      <c r="A379" s="983"/>
      <c r="B379" s="984"/>
      <c r="C379" s="985" t="e">
        <f>'4-22Master'!#REF!</f>
        <v>#REF!</v>
      </c>
      <c r="D379" s="986"/>
    </row>
    <row r="380" spans="1:4">
      <c r="A380" s="983"/>
      <c r="B380" s="984"/>
      <c r="C380" s="985" t="e">
        <f>'4-22Master'!#REF!</f>
        <v>#REF!</v>
      </c>
      <c r="D380" s="986"/>
    </row>
    <row r="381" spans="1:4">
      <c r="A381" s="983"/>
      <c r="B381" s="984"/>
      <c r="C381" s="985" t="e">
        <f>'4-22Master'!#REF!</f>
        <v>#REF!</v>
      </c>
      <c r="D381" s="986"/>
    </row>
    <row r="382" spans="1:4">
      <c r="A382" s="295" t="s">
        <v>290</v>
      </c>
      <c r="B382" s="300" t="s">
        <v>379</v>
      </c>
      <c r="C382" s="300"/>
      <c r="D382" s="301"/>
    </row>
    <row r="383" spans="1:4">
      <c r="A383" s="295" t="s">
        <v>349</v>
      </c>
      <c r="B383" s="340" t="e">
        <f>'4-22Master'!#REF!</f>
        <v>#REF!</v>
      </c>
      <c r="C383" s="309" t="s">
        <v>350</v>
      </c>
      <c r="D383" s="301"/>
    </row>
    <row r="384" spans="1:4">
      <c r="A384" s="295"/>
      <c r="B384" s="300"/>
      <c r="C384" s="300"/>
      <c r="D384" s="301"/>
    </row>
    <row r="385" spans="1:4">
      <c r="A385" s="994" t="s">
        <v>351</v>
      </c>
      <c r="B385" s="995"/>
      <c r="C385" s="995"/>
      <c r="D385" s="996"/>
    </row>
    <row r="386" spans="1:4">
      <c r="A386" s="295" t="s">
        <v>352</v>
      </c>
      <c r="B386" s="300"/>
      <c r="C386" s="300"/>
      <c r="D386" s="301"/>
    </row>
    <row r="387" spans="1:4">
      <c r="A387" s="295"/>
      <c r="B387" s="300"/>
      <c r="C387" s="300"/>
      <c r="D387" s="301"/>
    </row>
    <row r="388" spans="1:4">
      <c r="A388" s="997" t="s">
        <v>353</v>
      </c>
      <c r="B388" s="998"/>
      <c r="C388" s="998" t="s">
        <v>354</v>
      </c>
      <c r="D388" s="999"/>
    </row>
    <row r="389" spans="1:4">
      <c r="A389" s="1000">
        <v>1</v>
      </c>
      <c r="B389" s="1001"/>
      <c r="C389" s="1001">
        <v>1</v>
      </c>
      <c r="D389" s="1002"/>
    </row>
    <row r="390" spans="1:4">
      <c r="A390" s="1000">
        <v>2</v>
      </c>
      <c r="B390" s="1001"/>
      <c r="C390" s="1001">
        <v>2</v>
      </c>
      <c r="D390" s="1002"/>
    </row>
    <row r="391" spans="1:4">
      <c r="A391" s="310"/>
      <c r="C391" s="990" t="s">
        <v>359</v>
      </c>
      <c r="D391" s="991"/>
    </row>
    <row r="392" spans="1:4">
      <c r="A392" s="987" t="s">
        <v>355</v>
      </c>
      <c r="B392" s="988"/>
      <c r="C392" s="988"/>
      <c r="D392" s="989"/>
    </row>
    <row r="393" spans="1:4">
      <c r="A393" s="313" t="s">
        <v>356</v>
      </c>
      <c r="B393" s="314"/>
      <c r="C393" s="314"/>
      <c r="D393" s="315"/>
    </row>
    <row r="394" spans="1:4">
      <c r="A394" s="313"/>
      <c r="B394" s="314"/>
      <c r="C394" s="314"/>
      <c r="D394" s="315"/>
    </row>
    <row r="395" spans="1:4">
      <c r="A395" s="313"/>
      <c r="B395" s="314"/>
      <c r="C395" s="314" t="s">
        <v>357</v>
      </c>
      <c r="D395" s="315"/>
    </row>
    <row r="396" spans="1:4">
      <c r="A396" s="310"/>
      <c r="B396" s="311"/>
      <c r="C396" s="210" t="s">
        <v>161</v>
      </c>
      <c r="D396" s="312"/>
    </row>
    <row r="397" spans="1:4">
      <c r="A397" s="310"/>
      <c r="C397" t="s">
        <v>358</v>
      </c>
      <c r="D397" s="316"/>
    </row>
    <row r="398" spans="1:4">
      <c r="A398" s="310"/>
      <c r="C398" s="992" t="str">
        <f>'4-22Master'!G5</f>
        <v>Burgeon IT Services Pvt.Ltd.</v>
      </c>
      <c r="D398" s="993"/>
    </row>
    <row r="399" spans="1:4">
      <c r="A399" s="295" t="s">
        <v>290</v>
      </c>
      <c r="B399" t="str">
        <f>B382</f>
        <v>Hyderabad</v>
      </c>
      <c r="C399" s="4" t="str">
        <f>'4-22Master'!G6</f>
        <v>Siri Mansion LIGB 436 Dr.A S Rao Nagar,Hyderabad</v>
      </c>
      <c r="D399" s="24"/>
    </row>
    <row r="400" spans="1:4" ht="15.75" thickBot="1">
      <c r="A400" s="295" t="s">
        <v>349</v>
      </c>
      <c r="B400" s="332" t="e">
        <f>B383</f>
        <v>#REF!</v>
      </c>
      <c r="C400" s="4"/>
      <c r="D400" s="24"/>
    </row>
    <row r="401" spans="1:4" ht="15.75" thickBot="1">
      <c r="A401" s="321"/>
      <c r="B401" s="322" t="s">
        <v>362</v>
      </c>
      <c r="C401" s="322"/>
      <c r="D401" s="39"/>
    </row>
    <row r="402" spans="1:4">
      <c r="A402" s="295" t="s">
        <v>360</v>
      </c>
      <c r="C402" s="4"/>
      <c r="D402" s="24"/>
    </row>
    <row r="403" spans="1:4">
      <c r="A403" s="295" t="s">
        <v>349</v>
      </c>
      <c r="B403" s="332" t="e">
        <f>B400</f>
        <v>#REF!</v>
      </c>
      <c r="C403" s="4"/>
      <c r="D403" s="24"/>
    </row>
    <row r="404" spans="1:4" ht="15.75" thickBot="1">
      <c r="A404" s="324" t="s">
        <v>361</v>
      </c>
      <c r="B404" s="33"/>
      <c r="C404" s="33"/>
      <c r="D404" s="34" t="s">
        <v>152</v>
      </c>
    </row>
    <row r="408" spans="1:4" ht="15.75" thickBot="1"/>
    <row r="409" spans="1:4" ht="20.25">
      <c r="A409" s="1005" t="s">
        <v>324</v>
      </c>
      <c r="B409" s="1006"/>
      <c r="C409" s="1006"/>
      <c r="D409" s="1007"/>
    </row>
    <row r="410" spans="1:4">
      <c r="A410" s="1008" t="s">
        <v>325</v>
      </c>
      <c r="B410" s="1009"/>
      <c r="C410" s="1009"/>
      <c r="D410" s="1010"/>
    </row>
    <row r="411" spans="1:4" ht="18">
      <c r="A411" s="1011" t="s">
        <v>326</v>
      </c>
      <c r="B411" s="1012"/>
      <c r="C411" s="1012"/>
      <c r="D411" s="1013"/>
    </row>
    <row r="412" spans="1:4">
      <c r="A412" s="23" t="s">
        <v>151</v>
      </c>
      <c r="D412" s="24"/>
    </row>
    <row r="413" spans="1:4" ht="18">
      <c r="A413" s="317" t="str">
        <f>'4-22Master'!G5</f>
        <v>Burgeon IT Services Pvt.Ltd.</v>
      </c>
      <c r="B413" s="294"/>
      <c r="D413" s="24"/>
    </row>
    <row r="414" spans="1:4" ht="18">
      <c r="A414" s="317" t="str">
        <f>'4-22Master'!G6</f>
        <v>Siri Mansion LIGB 436 Dr.A S Rao Nagar,Hyderabad</v>
      </c>
      <c r="B414" s="294"/>
      <c r="D414" s="24"/>
    </row>
    <row r="415" spans="1:4" ht="18">
      <c r="A415" s="296"/>
      <c r="B415" s="8"/>
      <c r="D415" s="24"/>
    </row>
    <row r="416" spans="1:4" ht="15.75">
      <c r="A416" s="295" t="s">
        <v>327</v>
      </c>
      <c r="B416" s="318"/>
      <c r="C416" s="319" t="str">
        <f>'4-22Master'!C18</f>
        <v>Amith a</v>
      </c>
      <c r="D416" s="101"/>
    </row>
    <row r="417" spans="1:4">
      <c r="A417" s="1014" t="s">
        <v>328</v>
      </c>
      <c r="B417" s="1015"/>
      <c r="C417" s="1015"/>
      <c r="D417" s="1016"/>
    </row>
    <row r="418" spans="1:4">
      <c r="A418" s="23"/>
      <c r="D418" s="24"/>
    </row>
    <row r="419" spans="1:4">
      <c r="A419" s="1014" t="s">
        <v>329</v>
      </c>
      <c r="B419" s="1015"/>
      <c r="C419" s="1015"/>
      <c r="D419" s="1016"/>
    </row>
    <row r="420" spans="1:4">
      <c r="A420" s="297"/>
      <c r="B420" s="298"/>
      <c r="C420" s="298"/>
      <c r="D420" s="299"/>
    </row>
    <row r="421" spans="1:4">
      <c r="A421" s="997" t="s">
        <v>330</v>
      </c>
      <c r="B421" s="998"/>
      <c r="C421" s="998"/>
      <c r="D421" s="999"/>
    </row>
    <row r="422" spans="1:4">
      <c r="A422" s="23"/>
      <c r="D422" s="24"/>
    </row>
    <row r="423" spans="1:4">
      <c r="A423" s="997" t="s">
        <v>331</v>
      </c>
      <c r="B423" s="998"/>
      <c r="C423" s="998"/>
      <c r="D423" s="999"/>
    </row>
    <row r="424" spans="1:4">
      <c r="A424" s="997" t="s">
        <v>332</v>
      </c>
      <c r="B424" s="998"/>
      <c r="C424" s="998"/>
      <c r="D424" s="999"/>
    </row>
    <row r="425" spans="1:4">
      <c r="A425" s="295"/>
      <c r="B425" s="300"/>
      <c r="C425" s="300"/>
      <c r="D425" s="301"/>
    </row>
    <row r="426" spans="1:4">
      <c r="A426" s="1014" t="s">
        <v>333</v>
      </c>
      <c r="B426" s="1015"/>
      <c r="C426" s="1015"/>
      <c r="D426" s="1016"/>
    </row>
    <row r="427" spans="1:4">
      <c r="A427" s="295"/>
      <c r="B427" s="300"/>
      <c r="C427" s="300"/>
      <c r="D427" s="301"/>
    </row>
    <row r="428" spans="1:4">
      <c r="A428" s="997" t="s">
        <v>334</v>
      </c>
      <c r="B428" s="998"/>
      <c r="C428" s="998"/>
      <c r="D428" s="999"/>
    </row>
    <row r="429" spans="1:4">
      <c r="A429" s="23"/>
      <c r="D429" s="24"/>
    </row>
    <row r="430" spans="1:4">
      <c r="A430" s="994" t="s">
        <v>335</v>
      </c>
      <c r="B430" s="995"/>
      <c r="C430" s="995"/>
      <c r="D430" s="996"/>
    </row>
    <row r="431" spans="1:4" ht="42.75">
      <c r="A431" s="302" t="s">
        <v>336</v>
      </c>
      <c r="B431" s="303" t="s">
        <v>337</v>
      </c>
      <c r="C431" s="303" t="s">
        <v>338</v>
      </c>
      <c r="D431" s="304" t="s">
        <v>339</v>
      </c>
    </row>
    <row r="432" spans="1:4">
      <c r="A432" s="305">
        <v>1</v>
      </c>
      <c r="B432" s="306">
        <v>2</v>
      </c>
      <c r="C432" s="306">
        <v>3</v>
      </c>
      <c r="D432" s="307">
        <v>4</v>
      </c>
    </row>
    <row r="433" spans="1:4">
      <c r="A433" s="23" t="str">
        <f>'4-22Master'!F18</f>
        <v>N.Ananda</v>
      </c>
      <c r="B433" s="19" t="s">
        <v>381</v>
      </c>
      <c r="C433" s="19" t="s">
        <v>388</v>
      </c>
      <c r="D433" s="339">
        <v>1</v>
      </c>
    </row>
    <row r="434" spans="1:4">
      <c r="A434" s="323"/>
      <c r="B434" s="19"/>
      <c r="C434" s="19"/>
      <c r="D434" s="308"/>
    </row>
    <row r="435" spans="1:4">
      <c r="A435" s="320"/>
      <c r="B435" s="19"/>
      <c r="C435" s="19"/>
      <c r="D435" s="308"/>
    </row>
    <row r="436" spans="1:4">
      <c r="A436" s="23"/>
      <c r="D436" s="24"/>
    </row>
    <row r="437" spans="1:4">
      <c r="A437" s="994" t="s">
        <v>340</v>
      </c>
      <c r="B437" s="995"/>
      <c r="C437" s="995"/>
      <c r="D437" s="996"/>
    </row>
    <row r="438" spans="1:4">
      <c r="A438" s="211"/>
      <c r="B438" s="9"/>
      <c r="C438" s="9"/>
      <c r="D438" s="212"/>
    </row>
    <row r="439" spans="1:4">
      <c r="A439" s="983" t="s">
        <v>341</v>
      </c>
      <c r="B439" s="984"/>
      <c r="C439" s="985" t="str">
        <f>'4-22Master'!C18</f>
        <v>Amith a</v>
      </c>
      <c r="D439" s="986"/>
    </row>
    <row r="440" spans="1:4">
      <c r="A440" s="983" t="s">
        <v>342</v>
      </c>
      <c r="B440" s="984"/>
      <c r="C440" s="1004" t="str">
        <f>'4-22Master'!E18</f>
        <v>Male</v>
      </c>
      <c r="D440" s="986"/>
    </row>
    <row r="441" spans="1:4">
      <c r="A441" s="983" t="s">
        <v>343</v>
      </c>
      <c r="B441" s="984"/>
      <c r="C441" s="1004" t="s">
        <v>389</v>
      </c>
      <c r="D441" s="986"/>
    </row>
    <row r="442" spans="1:4">
      <c r="A442" s="983" t="s">
        <v>344</v>
      </c>
      <c r="B442" s="984"/>
      <c r="C442" s="1004" t="s">
        <v>387</v>
      </c>
      <c r="D442" s="986"/>
    </row>
    <row r="443" spans="1:4">
      <c r="A443" s="983" t="s">
        <v>345</v>
      </c>
      <c r="B443" s="984"/>
      <c r="C443" s="985" t="str">
        <f>'4-22Master'!G18</f>
        <v>Technology Consultant</v>
      </c>
      <c r="D443" s="986"/>
    </row>
    <row r="444" spans="1:4">
      <c r="A444" s="983" t="s">
        <v>346</v>
      </c>
      <c r="B444" s="984"/>
      <c r="C444" s="985">
        <f>'4-22Master'!A18</f>
        <v>10</v>
      </c>
      <c r="D444" s="986"/>
    </row>
    <row r="445" spans="1:4">
      <c r="A445" s="983" t="s">
        <v>347</v>
      </c>
      <c r="B445" s="984"/>
      <c r="C445" s="1003">
        <f>'4-22Master'!O18</f>
        <v>44326</v>
      </c>
      <c r="D445" s="986"/>
    </row>
    <row r="446" spans="1:4">
      <c r="A446" s="983" t="s">
        <v>348</v>
      </c>
      <c r="B446" s="984"/>
      <c r="C446" s="1004"/>
      <c r="D446" s="986"/>
    </row>
    <row r="447" spans="1:4">
      <c r="A447" s="983"/>
      <c r="B447" s="984"/>
      <c r="C447" s="985" t="str">
        <f>'4-22Master'!H18</f>
        <v>Door no - 3-3/33, 1st main road, Prasantha Nagara, Derabail, Mangaluru- 575006</v>
      </c>
      <c r="D447" s="986"/>
    </row>
    <row r="448" spans="1:4">
      <c r="A448" s="983"/>
      <c r="B448" s="984"/>
      <c r="C448" s="985" t="str">
        <f>'4-22Master'!I18</f>
        <v>OOO</v>
      </c>
      <c r="D448" s="986"/>
    </row>
    <row r="449" spans="1:4">
      <c r="A449" s="983"/>
      <c r="B449" s="984"/>
      <c r="C449" s="985" t="str">
        <f>'4-22Master'!J18</f>
        <v>OOO</v>
      </c>
      <c r="D449" s="986"/>
    </row>
    <row r="450" spans="1:4">
      <c r="A450" s="295" t="s">
        <v>290</v>
      </c>
      <c r="B450" s="300" t="s">
        <v>379</v>
      </c>
      <c r="C450" s="300"/>
      <c r="D450" s="301"/>
    </row>
    <row r="451" spans="1:4">
      <c r="A451" s="295" t="s">
        <v>349</v>
      </c>
      <c r="B451" s="340">
        <f>'4-22Master'!O18</f>
        <v>44326</v>
      </c>
      <c r="C451" s="309" t="s">
        <v>350</v>
      </c>
      <c r="D451" s="301"/>
    </row>
    <row r="452" spans="1:4">
      <c r="A452" s="295"/>
      <c r="B452" s="300"/>
      <c r="C452" s="300"/>
      <c r="D452" s="301"/>
    </row>
    <row r="453" spans="1:4">
      <c r="A453" s="994" t="s">
        <v>351</v>
      </c>
      <c r="B453" s="995"/>
      <c r="C453" s="995"/>
      <c r="D453" s="996"/>
    </row>
    <row r="454" spans="1:4">
      <c r="A454" s="295" t="s">
        <v>352</v>
      </c>
      <c r="B454" s="300"/>
      <c r="C454" s="300"/>
      <c r="D454" s="301"/>
    </row>
    <row r="455" spans="1:4">
      <c r="A455" s="295"/>
      <c r="B455" s="300"/>
      <c r="C455" s="300"/>
      <c r="D455" s="301"/>
    </row>
    <row r="456" spans="1:4">
      <c r="A456" s="997" t="s">
        <v>353</v>
      </c>
      <c r="B456" s="998"/>
      <c r="C456" s="998" t="s">
        <v>354</v>
      </c>
      <c r="D456" s="999"/>
    </row>
    <row r="457" spans="1:4">
      <c r="A457" s="1000">
        <v>1</v>
      </c>
      <c r="B457" s="1001"/>
      <c r="C457" s="1001">
        <v>1</v>
      </c>
      <c r="D457" s="1002"/>
    </row>
    <row r="458" spans="1:4">
      <c r="A458" s="1000">
        <v>2</v>
      </c>
      <c r="B458" s="1001"/>
      <c r="C458" s="1001">
        <v>2</v>
      </c>
      <c r="D458" s="1002"/>
    </row>
    <row r="459" spans="1:4">
      <c r="A459" s="310"/>
      <c r="C459" s="990" t="s">
        <v>359</v>
      </c>
      <c r="D459" s="991"/>
    </row>
    <row r="460" spans="1:4">
      <c r="A460" s="987" t="s">
        <v>355</v>
      </c>
      <c r="B460" s="988"/>
      <c r="C460" s="988"/>
      <c r="D460" s="989"/>
    </row>
    <row r="461" spans="1:4">
      <c r="A461" s="313" t="s">
        <v>356</v>
      </c>
      <c r="B461" s="314"/>
      <c r="C461" s="314"/>
      <c r="D461" s="315"/>
    </row>
    <row r="462" spans="1:4">
      <c r="A462" s="313"/>
      <c r="B462" s="314"/>
      <c r="C462" s="314"/>
      <c r="D462" s="315"/>
    </row>
    <row r="463" spans="1:4">
      <c r="A463" s="313"/>
      <c r="B463" s="314"/>
      <c r="C463" s="314" t="s">
        <v>357</v>
      </c>
      <c r="D463" s="315"/>
    </row>
    <row r="464" spans="1:4">
      <c r="A464" s="310"/>
      <c r="B464" s="311"/>
      <c r="C464" s="210" t="s">
        <v>161</v>
      </c>
      <c r="D464" s="312"/>
    </row>
    <row r="465" spans="1:4">
      <c r="A465" s="310"/>
      <c r="C465" t="s">
        <v>358</v>
      </c>
      <c r="D465" s="316"/>
    </row>
    <row r="466" spans="1:4">
      <c r="A466" s="310"/>
      <c r="C466" s="992" t="str">
        <f>'4-22Master'!G5</f>
        <v>Burgeon IT Services Pvt.Ltd.</v>
      </c>
      <c r="D466" s="993"/>
    </row>
    <row r="467" spans="1:4">
      <c r="A467" s="295" t="s">
        <v>290</v>
      </c>
      <c r="B467" t="str">
        <f>B450</f>
        <v>Hyderabad</v>
      </c>
      <c r="C467" s="4" t="str">
        <f>'4-22Master'!G6</f>
        <v>Siri Mansion LIGB 436 Dr.A S Rao Nagar,Hyderabad</v>
      </c>
      <c r="D467" s="24"/>
    </row>
    <row r="468" spans="1:4" ht="15.75" thickBot="1">
      <c r="A468" s="295" t="s">
        <v>349</v>
      </c>
      <c r="B468" s="332">
        <f>B451</f>
        <v>44326</v>
      </c>
      <c r="C468" s="4"/>
      <c r="D468" s="24"/>
    </row>
    <row r="469" spans="1:4" ht="15.75" thickBot="1">
      <c r="A469" s="321"/>
      <c r="B469" s="322" t="s">
        <v>362</v>
      </c>
      <c r="C469" s="322"/>
      <c r="D469" s="39"/>
    </row>
    <row r="470" spans="1:4">
      <c r="A470" s="295" t="s">
        <v>360</v>
      </c>
      <c r="C470" s="4"/>
      <c r="D470" s="24"/>
    </row>
    <row r="471" spans="1:4">
      <c r="A471" s="295" t="s">
        <v>349</v>
      </c>
      <c r="B471" s="332">
        <f>B468</f>
        <v>44326</v>
      </c>
      <c r="C471" s="4"/>
      <c r="D471" s="24"/>
    </row>
    <row r="472" spans="1:4" ht="15.75" thickBot="1">
      <c r="A472" s="324" t="s">
        <v>361</v>
      </c>
      <c r="B472" s="33"/>
      <c r="C472" s="33"/>
      <c r="D472" s="34" t="s">
        <v>152</v>
      </c>
    </row>
    <row r="476" spans="1:4" ht="15.75" thickBot="1"/>
    <row r="477" spans="1:4" ht="20.25">
      <c r="A477" s="1005" t="s">
        <v>324</v>
      </c>
      <c r="B477" s="1006"/>
      <c r="C477" s="1006"/>
      <c r="D477" s="1007"/>
    </row>
    <row r="478" spans="1:4">
      <c r="A478" s="1008" t="s">
        <v>325</v>
      </c>
      <c r="B478" s="1009"/>
      <c r="C478" s="1009"/>
      <c r="D478" s="1010"/>
    </row>
    <row r="479" spans="1:4" ht="18">
      <c r="A479" s="1011" t="s">
        <v>326</v>
      </c>
      <c r="B479" s="1012"/>
      <c r="C479" s="1012"/>
      <c r="D479" s="1013"/>
    </row>
    <row r="480" spans="1:4">
      <c r="A480" s="23" t="s">
        <v>151</v>
      </c>
      <c r="D480" s="24"/>
    </row>
    <row r="481" spans="1:4" ht="18">
      <c r="A481" s="317" t="str">
        <f>'4-22Master'!G5</f>
        <v>Burgeon IT Services Pvt.Ltd.</v>
      </c>
      <c r="B481" s="294"/>
      <c r="D481" s="24"/>
    </row>
    <row r="482" spans="1:4" ht="18">
      <c r="A482" s="317" t="str">
        <f>'4-22Master'!G6</f>
        <v>Siri Mansion LIGB 436 Dr.A S Rao Nagar,Hyderabad</v>
      </c>
      <c r="B482" s="294"/>
      <c r="D482" s="24"/>
    </row>
    <row r="483" spans="1:4" ht="18">
      <c r="A483" s="296"/>
      <c r="B483" s="8"/>
      <c r="D483" s="24"/>
    </row>
    <row r="484" spans="1:4" ht="15.75">
      <c r="A484" s="295" t="s">
        <v>327</v>
      </c>
      <c r="B484" s="318"/>
      <c r="C484" s="319" t="e">
        <f>'4-22Master'!#REF!</f>
        <v>#REF!</v>
      </c>
      <c r="D484" s="101"/>
    </row>
    <row r="485" spans="1:4">
      <c r="A485" s="1014" t="s">
        <v>328</v>
      </c>
      <c r="B485" s="1015"/>
      <c r="C485" s="1015"/>
      <c r="D485" s="1016"/>
    </row>
    <row r="486" spans="1:4">
      <c r="A486" s="23"/>
      <c r="D486" s="24"/>
    </row>
    <row r="487" spans="1:4">
      <c r="A487" s="1014" t="s">
        <v>329</v>
      </c>
      <c r="B487" s="1015"/>
      <c r="C487" s="1015"/>
      <c r="D487" s="1016"/>
    </row>
    <row r="488" spans="1:4">
      <c r="A488" s="297"/>
      <c r="B488" s="298"/>
      <c r="C488" s="298"/>
      <c r="D488" s="299"/>
    </row>
    <row r="489" spans="1:4">
      <c r="A489" s="997" t="s">
        <v>330</v>
      </c>
      <c r="B489" s="998"/>
      <c r="C489" s="998"/>
      <c r="D489" s="999"/>
    </row>
    <row r="490" spans="1:4">
      <c r="A490" s="23"/>
      <c r="D490" s="24"/>
    </row>
    <row r="491" spans="1:4">
      <c r="A491" s="997" t="s">
        <v>331</v>
      </c>
      <c r="B491" s="998"/>
      <c r="C491" s="998"/>
      <c r="D491" s="999"/>
    </row>
    <row r="492" spans="1:4">
      <c r="A492" s="997" t="s">
        <v>332</v>
      </c>
      <c r="B492" s="998"/>
      <c r="C492" s="998"/>
      <c r="D492" s="999"/>
    </row>
    <row r="493" spans="1:4">
      <c r="A493" s="295"/>
      <c r="B493" s="300"/>
      <c r="C493" s="300"/>
      <c r="D493" s="301"/>
    </row>
    <row r="494" spans="1:4">
      <c r="A494" s="1014" t="s">
        <v>333</v>
      </c>
      <c r="B494" s="1015"/>
      <c r="C494" s="1015"/>
      <c r="D494" s="1016"/>
    </row>
    <row r="495" spans="1:4">
      <c r="A495" s="295"/>
      <c r="B495" s="300"/>
      <c r="C495" s="300"/>
      <c r="D495" s="301"/>
    </row>
    <row r="496" spans="1:4">
      <c r="A496" s="997" t="s">
        <v>334</v>
      </c>
      <c r="B496" s="998"/>
      <c r="C496" s="998"/>
      <c r="D496" s="999"/>
    </row>
    <row r="497" spans="1:4">
      <c r="A497" s="23"/>
      <c r="D497" s="24"/>
    </row>
    <row r="498" spans="1:4">
      <c r="A498" s="994" t="s">
        <v>335</v>
      </c>
      <c r="B498" s="995"/>
      <c r="C498" s="995"/>
      <c r="D498" s="996"/>
    </row>
    <row r="499" spans="1:4" ht="42.75">
      <c r="A499" s="302" t="s">
        <v>336</v>
      </c>
      <c r="B499" s="303" t="s">
        <v>337</v>
      </c>
      <c r="C499" s="303" t="s">
        <v>338</v>
      </c>
      <c r="D499" s="304" t="s">
        <v>339</v>
      </c>
    </row>
    <row r="500" spans="1:4">
      <c r="A500" s="305">
        <v>1</v>
      </c>
      <c r="B500" s="306">
        <v>2</v>
      </c>
      <c r="C500" s="306">
        <v>3</v>
      </c>
      <c r="D500" s="307">
        <v>4</v>
      </c>
    </row>
    <row r="501" spans="1:4">
      <c r="A501" s="23" t="e">
        <f>'4-22Master'!#REF!</f>
        <v>#REF!</v>
      </c>
      <c r="B501" s="19" t="s">
        <v>381</v>
      </c>
      <c r="C501" s="19" t="s">
        <v>388</v>
      </c>
      <c r="D501" s="339">
        <v>1</v>
      </c>
    </row>
    <row r="502" spans="1:4">
      <c r="A502" s="323"/>
      <c r="B502" s="19"/>
      <c r="C502" s="19"/>
      <c r="D502" s="308"/>
    </row>
    <row r="503" spans="1:4">
      <c r="A503" s="320"/>
      <c r="B503" s="19"/>
      <c r="C503" s="19"/>
      <c r="D503" s="308"/>
    </row>
    <row r="504" spans="1:4">
      <c r="A504" s="23"/>
      <c r="D504" s="24"/>
    </row>
    <row r="505" spans="1:4">
      <c r="A505" s="994" t="s">
        <v>340</v>
      </c>
      <c r="B505" s="995"/>
      <c r="C505" s="995"/>
      <c r="D505" s="996"/>
    </row>
    <row r="506" spans="1:4">
      <c r="A506" s="211"/>
      <c r="B506" s="9"/>
      <c r="C506" s="9"/>
      <c r="D506" s="212"/>
    </row>
    <row r="507" spans="1:4">
      <c r="A507" s="983" t="s">
        <v>341</v>
      </c>
      <c r="B507" s="984"/>
      <c r="C507" s="985" t="e">
        <f>'4-22Master'!#REF!</f>
        <v>#REF!</v>
      </c>
      <c r="D507" s="986"/>
    </row>
    <row r="508" spans="1:4">
      <c r="A508" s="983" t="s">
        <v>342</v>
      </c>
      <c r="B508" s="984"/>
      <c r="C508" s="1004" t="e">
        <f>'4-22Master'!#REF!</f>
        <v>#REF!</v>
      </c>
      <c r="D508" s="986"/>
    </row>
    <row r="509" spans="1:4">
      <c r="A509" s="983" t="s">
        <v>343</v>
      </c>
      <c r="B509" s="984"/>
      <c r="C509" s="1004" t="s">
        <v>389</v>
      </c>
      <c r="D509" s="986"/>
    </row>
    <row r="510" spans="1:4">
      <c r="A510" s="983" t="s">
        <v>344</v>
      </c>
      <c r="B510" s="984"/>
      <c r="C510" s="1004" t="s">
        <v>387</v>
      </c>
      <c r="D510" s="986"/>
    </row>
    <row r="511" spans="1:4">
      <c r="A511" s="983" t="s">
        <v>345</v>
      </c>
      <c r="B511" s="984"/>
      <c r="C511" s="985" t="e">
        <f>'4-22Master'!#REF!</f>
        <v>#REF!</v>
      </c>
      <c r="D511" s="986"/>
    </row>
    <row r="512" spans="1:4">
      <c r="A512" s="983" t="s">
        <v>346</v>
      </c>
      <c r="B512" s="984"/>
      <c r="C512" s="985" t="e">
        <f>'4-22Master'!#REF!</f>
        <v>#REF!</v>
      </c>
      <c r="D512" s="986"/>
    </row>
    <row r="513" spans="1:4">
      <c r="A513" s="983" t="s">
        <v>347</v>
      </c>
      <c r="B513" s="984"/>
      <c r="C513" s="1003" t="e">
        <f>'4-22Master'!#REF!</f>
        <v>#REF!</v>
      </c>
      <c r="D513" s="986"/>
    </row>
    <row r="514" spans="1:4">
      <c r="A514" s="983" t="s">
        <v>348</v>
      </c>
      <c r="B514" s="984"/>
      <c r="C514" s="1004"/>
      <c r="D514" s="986"/>
    </row>
    <row r="515" spans="1:4">
      <c r="A515" s="983"/>
      <c r="B515" s="984"/>
      <c r="C515" s="985" t="e">
        <f>'4-22Master'!#REF!</f>
        <v>#REF!</v>
      </c>
      <c r="D515" s="986"/>
    </row>
    <row r="516" spans="1:4">
      <c r="A516" s="983"/>
      <c r="B516" s="984"/>
      <c r="C516" s="985" t="e">
        <f>'4-22Master'!#REF!</f>
        <v>#REF!</v>
      </c>
      <c r="D516" s="986"/>
    </row>
    <row r="517" spans="1:4">
      <c r="A517" s="983"/>
      <c r="B517" s="984"/>
      <c r="C517" s="985" t="e">
        <f>'4-22Master'!#REF!</f>
        <v>#REF!</v>
      </c>
      <c r="D517" s="986"/>
    </row>
    <row r="518" spans="1:4">
      <c r="A518" s="295" t="s">
        <v>290</v>
      </c>
      <c r="B518" s="300" t="s">
        <v>379</v>
      </c>
      <c r="C518" s="300"/>
      <c r="D518" s="301"/>
    </row>
    <row r="519" spans="1:4">
      <c r="A519" s="295" t="s">
        <v>349</v>
      </c>
      <c r="B519" s="340" t="e">
        <f>'4-22Master'!#REF!</f>
        <v>#REF!</v>
      </c>
      <c r="C519" s="309" t="s">
        <v>350</v>
      </c>
      <c r="D519" s="301"/>
    </row>
    <row r="520" spans="1:4">
      <c r="A520" s="295"/>
      <c r="B520" s="300"/>
      <c r="C520" s="300"/>
      <c r="D520" s="301"/>
    </row>
    <row r="521" spans="1:4">
      <c r="A521" s="994" t="s">
        <v>351</v>
      </c>
      <c r="B521" s="995"/>
      <c r="C521" s="995"/>
      <c r="D521" s="996"/>
    </row>
    <row r="522" spans="1:4">
      <c r="A522" s="295" t="s">
        <v>352</v>
      </c>
      <c r="B522" s="300"/>
      <c r="C522" s="300"/>
      <c r="D522" s="301"/>
    </row>
    <row r="523" spans="1:4">
      <c r="A523" s="295"/>
      <c r="B523" s="300"/>
      <c r="C523" s="300"/>
      <c r="D523" s="301"/>
    </row>
    <row r="524" spans="1:4">
      <c r="A524" s="997" t="s">
        <v>353</v>
      </c>
      <c r="B524" s="998"/>
      <c r="C524" s="998" t="s">
        <v>354</v>
      </c>
      <c r="D524" s="999"/>
    </row>
    <row r="525" spans="1:4">
      <c r="A525" s="1000">
        <v>1</v>
      </c>
      <c r="B525" s="1001"/>
      <c r="C525" s="1001">
        <v>1</v>
      </c>
      <c r="D525" s="1002"/>
    </row>
    <row r="526" spans="1:4">
      <c r="A526" s="1000">
        <v>2</v>
      </c>
      <c r="B526" s="1001"/>
      <c r="C526" s="1001">
        <v>2</v>
      </c>
      <c r="D526" s="1002"/>
    </row>
    <row r="527" spans="1:4">
      <c r="A527" s="310"/>
      <c r="C527" s="990" t="s">
        <v>359</v>
      </c>
      <c r="D527" s="991"/>
    </row>
    <row r="528" spans="1:4">
      <c r="A528" s="987" t="s">
        <v>355</v>
      </c>
      <c r="B528" s="988"/>
      <c r="C528" s="988"/>
      <c r="D528" s="989"/>
    </row>
    <row r="529" spans="1:4">
      <c r="A529" s="313" t="s">
        <v>356</v>
      </c>
      <c r="B529" s="314"/>
      <c r="C529" s="314"/>
      <c r="D529" s="315"/>
    </row>
    <row r="530" spans="1:4">
      <c r="A530" s="313"/>
      <c r="B530" s="314"/>
      <c r="C530" s="314"/>
      <c r="D530" s="315"/>
    </row>
    <row r="531" spans="1:4">
      <c r="A531" s="313"/>
      <c r="B531" s="314"/>
      <c r="C531" s="314" t="s">
        <v>357</v>
      </c>
      <c r="D531" s="315"/>
    </row>
    <row r="532" spans="1:4">
      <c r="A532" s="310"/>
      <c r="B532" s="311"/>
      <c r="C532" s="210" t="s">
        <v>161</v>
      </c>
      <c r="D532" s="312"/>
    </row>
    <row r="533" spans="1:4">
      <c r="A533" s="310"/>
      <c r="C533" t="s">
        <v>358</v>
      </c>
      <c r="D533" s="316"/>
    </row>
    <row r="534" spans="1:4">
      <c r="A534" s="310"/>
      <c r="C534" s="992" t="str">
        <f>'4-22Master'!G5</f>
        <v>Burgeon IT Services Pvt.Ltd.</v>
      </c>
      <c r="D534" s="993"/>
    </row>
    <row r="535" spans="1:4">
      <c r="A535" s="295" t="s">
        <v>290</v>
      </c>
      <c r="B535" t="str">
        <f>B518</f>
        <v>Hyderabad</v>
      </c>
      <c r="C535" s="4" t="str">
        <f>'4-22Master'!G6</f>
        <v>Siri Mansion LIGB 436 Dr.A S Rao Nagar,Hyderabad</v>
      </c>
      <c r="D535" s="24"/>
    </row>
    <row r="536" spans="1:4" ht="15.75" thickBot="1">
      <c r="A536" s="295" t="s">
        <v>349</v>
      </c>
      <c r="B536" s="332" t="e">
        <f>B519</f>
        <v>#REF!</v>
      </c>
      <c r="C536" s="4"/>
      <c r="D536" s="24"/>
    </row>
    <row r="537" spans="1:4" ht="15.75" thickBot="1">
      <c r="A537" s="321"/>
      <c r="B537" s="322" t="s">
        <v>362</v>
      </c>
      <c r="C537" s="322"/>
      <c r="D537" s="39"/>
    </row>
    <row r="538" spans="1:4">
      <c r="A538" s="295" t="s">
        <v>360</v>
      </c>
      <c r="C538" s="4"/>
      <c r="D538" s="24"/>
    </row>
    <row r="539" spans="1:4">
      <c r="A539" s="295" t="s">
        <v>349</v>
      </c>
      <c r="B539" s="332" t="e">
        <f>B536</f>
        <v>#REF!</v>
      </c>
      <c r="C539" s="4"/>
      <c r="D539" s="24"/>
    </row>
    <row r="540" spans="1:4" ht="15.75" thickBot="1">
      <c r="A540" s="324" t="s">
        <v>361</v>
      </c>
      <c r="B540" s="33"/>
      <c r="C540" s="33"/>
      <c r="D540" s="34" t="s">
        <v>152</v>
      </c>
    </row>
    <row r="544" spans="1:4" ht="15.75" thickBot="1"/>
    <row r="545" spans="1:4" ht="20.25">
      <c r="A545" s="1005" t="s">
        <v>324</v>
      </c>
      <c r="B545" s="1006"/>
      <c r="C545" s="1006"/>
      <c r="D545" s="1007"/>
    </row>
    <row r="546" spans="1:4">
      <c r="A546" s="1008" t="s">
        <v>325</v>
      </c>
      <c r="B546" s="1009"/>
      <c r="C546" s="1009"/>
      <c r="D546" s="1010"/>
    </row>
    <row r="547" spans="1:4" ht="18">
      <c r="A547" s="1011" t="s">
        <v>326</v>
      </c>
      <c r="B547" s="1012"/>
      <c r="C547" s="1012"/>
      <c r="D547" s="1013"/>
    </row>
    <row r="548" spans="1:4">
      <c r="A548" s="23" t="s">
        <v>151</v>
      </c>
      <c r="D548" s="24"/>
    </row>
    <row r="549" spans="1:4" ht="18">
      <c r="A549" s="317" t="str">
        <f>'4-22Master'!G5</f>
        <v>Burgeon IT Services Pvt.Ltd.</v>
      </c>
      <c r="B549" s="294"/>
      <c r="D549" s="24"/>
    </row>
    <row r="550" spans="1:4" ht="18">
      <c r="A550" s="317" t="str">
        <f>'4-22Master'!G6</f>
        <v>Siri Mansion LIGB 436 Dr.A S Rao Nagar,Hyderabad</v>
      </c>
      <c r="B550" s="294"/>
      <c r="D550" s="24"/>
    </row>
    <row r="551" spans="1:4" ht="18">
      <c r="A551" s="296"/>
      <c r="B551" s="8"/>
      <c r="D551" s="24"/>
    </row>
    <row r="552" spans="1:4" ht="15.75">
      <c r="A552" s="295" t="s">
        <v>327</v>
      </c>
      <c r="B552" s="318"/>
      <c r="C552" s="319" t="e">
        <f>'4-22Master'!#REF!</f>
        <v>#REF!</v>
      </c>
      <c r="D552" s="101"/>
    </row>
    <row r="553" spans="1:4">
      <c r="A553" s="1014" t="s">
        <v>328</v>
      </c>
      <c r="B553" s="1015"/>
      <c r="C553" s="1015"/>
      <c r="D553" s="1016"/>
    </row>
    <row r="554" spans="1:4">
      <c r="A554" s="23"/>
      <c r="D554" s="24"/>
    </row>
    <row r="555" spans="1:4">
      <c r="A555" s="1014" t="s">
        <v>329</v>
      </c>
      <c r="B555" s="1015"/>
      <c r="C555" s="1015"/>
      <c r="D555" s="1016"/>
    </row>
    <row r="556" spans="1:4">
      <c r="A556" s="297"/>
      <c r="B556" s="298"/>
      <c r="C556" s="298"/>
      <c r="D556" s="299"/>
    </row>
    <row r="557" spans="1:4">
      <c r="A557" s="997" t="s">
        <v>330</v>
      </c>
      <c r="B557" s="998"/>
      <c r="C557" s="998"/>
      <c r="D557" s="999"/>
    </row>
    <row r="558" spans="1:4">
      <c r="A558" s="23"/>
      <c r="D558" s="24"/>
    </row>
    <row r="559" spans="1:4">
      <c r="A559" s="997" t="s">
        <v>331</v>
      </c>
      <c r="B559" s="998"/>
      <c r="C559" s="998"/>
      <c r="D559" s="999"/>
    </row>
    <row r="560" spans="1:4">
      <c r="A560" s="997" t="s">
        <v>332</v>
      </c>
      <c r="B560" s="998"/>
      <c r="C560" s="998"/>
      <c r="D560" s="999"/>
    </row>
    <row r="561" spans="1:4">
      <c r="A561" s="295"/>
      <c r="B561" s="300"/>
      <c r="C561" s="300"/>
      <c r="D561" s="301"/>
    </row>
    <row r="562" spans="1:4">
      <c r="A562" s="1014" t="s">
        <v>333</v>
      </c>
      <c r="B562" s="1015"/>
      <c r="C562" s="1015"/>
      <c r="D562" s="1016"/>
    </row>
    <row r="563" spans="1:4">
      <c r="A563" s="295"/>
      <c r="B563" s="300"/>
      <c r="C563" s="300"/>
      <c r="D563" s="301"/>
    </row>
    <row r="564" spans="1:4">
      <c r="A564" s="997" t="s">
        <v>334</v>
      </c>
      <c r="B564" s="998"/>
      <c r="C564" s="998"/>
      <c r="D564" s="999"/>
    </row>
    <row r="565" spans="1:4">
      <c r="A565" s="23"/>
      <c r="D565" s="24"/>
    </row>
    <row r="566" spans="1:4">
      <c r="A566" s="994" t="s">
        <v>335</v>
      </c>
      <c r="B566" s="995"/>
      <c r="C566" s="995"/>
      <c r="D566" s="996"/>
    </row>
    <row r="567" spans="1:4" ht="42.75">
      <c r="A567" s="302" t="s">
        <v>336</v>
      </c>
      <c r="B567" s="303" t="s">
        <v>337</v>
      </c>
      <c r="C567" s="303" t="s">
        <v>338</v>
      </c>
      <c r="D567" s="304" t="s">
        <v>339</v>
      </c>
    </row>
    <row r="568" spans="1:4">
      <c r="A568" s="305">
        <v>1</v>
      </c>
      <c r="B568" s="306">
        <v>2</v>
      </c>
      <c r="C568" s="306">
        <v>3</v>
      </c>
      <c r="D568" s="307">
        <v>4</v>
      </c>
    </row>
    <row r="569" spans="1:4">
      <c r="A569" s="23" t="e">
        <f>'4-22Master'!#REF!</f>
        <v>#REF!</v>
      </c>
      <c r="B569" s="19" t="s">
        <v>381</v>
      </c>
      <c r="C569" s="19" t="s">
        <v>388</v>
      </c>
      <c r="D569" s="339">
        <v>1</v>
      </c>
    </row>
    <row r="570" spans="1:4">
      <c r="A570" s="323"/>
      <c r="B570" s="19"/>
      <c r="C570" s="19"/>
      <c r="D570" s="308"/>
    </row>
    <row r="571" spans="1:4">
      <c r="A571" s="320"/>
      <c r="B571" s="19"/>
      <c r="C571" s="19"/>
      <c r="D571" s="308"/>
    </row>
    <row r="572" spans="1:4">
      <c r="A572" s="23"/>
      <c r="D572" s="24"/>
    </row>
    <row r="573" spans="1:4">
      <c r="A573" s="994" t="s">
        <v>340</v>
      </c>
      <c r="B573" s="995"/>
      <c r="C573" s="995"/>
      <c r="D573" s="996"/>
    </row>
    <row r="574" spans="1:4">
      <c r="A574" s="211"/>
      <c r="B574" s="9"/>
      <c r="C574" s="9"/>
      <c r="D574" s="212"/>
    </row>
    <row r="575" spans="1:4">
      <c r="A575" s="983" t="s">
        <v>341</v>
      </c>
      <c r="B575" s="984"/>
      <c r="C575" s="985" t="e">
        <f>'4-22Master'!#REF!</f>
        <v>#REF!</v>
      </c>
      <c r="D575" s="986"/>
    </row>
    <row r="576" spans="1:4">
      <c r="A576" s="983" t="s">
        <v>342</v>
      </c>
      <c r="B576" s="984"/>
      <c r="C576" s="1004" t="e">
        <f>'4-22Master'!#REF!</f>
        <v>#REF!</v>
      </c>
      <c r="D576" s="986"/>
    </row>
    <row r="577" spans="1:4">
      <c r="A577" s="983" t="s">
        <v>343</v>
      </c>
      <c r="B577" s="984"/>
      <c r="C577" s="1004" t="s">
        <v>389</v>
      </c>
      <c r="D577" s="986"/>
    </row>
    <row r="578" spans="1:4">
      <c r="A578" s="983" t="s">
        <v>344</v>
      </c>
      <c r="B578" s="984"/>
      <c r="C578" s="1004" t="s">
        <v>387</v>
      </c>
      <c r="D578" s="986"/>
    </row>
    <row r="579" spans="1:4">
      <c r="A579" s="983" t="s">
        <v>345</v>
      </c>
      <c r="B579" s="984"/>
      <c r="C579" s="985" t="e">
        <f>'4-22Master'!#REF!</f>
        <v>#REF!</v>
      </c>
      <c r="D579" s="986"/>
    </row>
    <row r="580" spans="1:4">
      <c r="A580" s="983" t="s">
        <v>346</v>
      </c>
      <c r="B580" s="984"/>
      <c r="C580" s="985" t="e">
        <f>'4-22Master'!#REF!</f>
        <v>#REF!</v>
      </c>
      <c r="D580" s="986"/>
    </row>
    <row r="581" spans="1:4">
      <c r="A581" s="983" t="s">
        <v>347</v>
      </c>
      <c r="B581" s="984"/>
      <c r="C581" s="1003" t="e">
        <f>'4-22Master'!#REF!</f>
        <v>#REF!</v>
      </c>
      <c r="D581" s="986"/>
    </row>
    <row r="582" spans="1:4">
      <c r="A582" s="983" t="s">
        <v>348</v>
      </c>
      <c r="B582" s="984"/>
      <c r="C582" s="1004"/>
      <c r="D582" s="986"/>
    </row>
    <row r="583" spans="1:4">
      <c r="A583" s="983"/>
      <c r="B583" s="984"/>
      <c r="C583" s="985" t="e">
        <f>'4-22Master'!#REF!</f>
        <v>#REF!</v>
      </c>
      <c r="D583" s="986"/>
    </row>
    <row r="584" spans="1:4">
      <c r="A584" s="983"/>
      <c r="B584" s="984"/>
      <c r="C584" s="985" t="e">
        <f>'4-22Master'!#REF!</f>
        <v>#REF!</v>
      </c>
      <c r="D584" s="986"/>
    </row>
    <row r="585" spans="1:4">
      <c r="A585" s="983"/>
      <c r="B585" s="984"/>
      <c r="C585" s="985" t="e">
        <f>'4-22Master'!#REF!</f>
        <v>#REF!</v>
      </c>
      <c r="D585" s="986"/>
    </row>
    <row r="586" spans="1:4">
      <c r="A586" s="295" t="s">
        <v>290</v>
      </c>
      <c r="B586" s="300" t="s">
        <v>379</v>
      </c>
      <c r="C586" s="300"/>
      <c r="D586" s="301"/>
    </row>
    <row r="587" spans="1:4">
      <c r="A587" s="295" t="s">
        <v>349</v>
      </c>
      <c r="B587" s="340" t="e">
        <f>'4-22Master'!#REF!</f>
        <v>#REF!</v>
      </c>
      <c r="C587" s="309" t="s">
        <v>350</v>
      </c>
      <c r="D587" s="301"/>
    </row>
    <row r="588" spans="1:4">
      <c r="A588" s="295"/>
      <c r="B588" s="300"/>
      <c r="C588" s="300"/>
      <c r="D588" s="301"/>
    </row>
    <row r="589" spans="1:4">
      <c r="A589" s="994" t="s">
        <v>351</v>
      </c>
      <c r="B589" s="995"/>
      <c r="C589" s="995"/>
      <c r="D589" s="996"/>
    </row>
    <row r="590" spans="1:4">
      <c r="A590" s="295" t="s">
        <v>352</v>
      </c>
      <c r="B590" s="300"/>
      <c r="C590" s="300"/>
      <c r="D590" s="301"/>
    </row>
    <row r="591" spans="1:4">
      <c r="A591" s="295"/>
      <c r="B591" s="300"/>
      <c r="C591" s="300"/>
      <c r="D591" s="301"/>
    </row>
    <row r="592" spans="1:4">
      <c r="A592" s="997" t="s">
        <v>353</v>
      </c>
      <c r="B592" s="998"/>
      <c r="C592" s="998" t="s">
        <v>354</v>
      </c>
      <c r="D592" s="999"/>
    </row>
    <row r="593" spans="1:4">
      <c r="A593" s="1000">
        <v>1</v>
      </c>
      <c r="B593" s="1001"/>
      <c r="C593" s="1001">
        <v>1</v>
      </c>
      <c r="D593" s="1002"/>
    </row>
    <row r="594" spans="1:4">
      <c r="A594" s="1000">
        <v>2</v>
      </c>
      <c r="B594" s="1001"/>
      <c r="C594" s="1001">
        <v>2</v>
      </c>
      <c r="D594" s="1002"/>
    </row>
    <row r="595" spans="1:4">
      <c r="A595" s="310"/>
      <c r="C595" s="990" t="s">
        <v>359</v>
      </c>
      <c r="D595" s="991"/>
    </row>
    <row r="596" spans="1:4">
      <c r="A596" s="987" t="s">
        <v>355</v>
      </c>
      <c r="B596" s="988"/>
      <c r="C596" s="988"/>
      <c r="D596" s="989"/>
    </row>
    <row r="597" spans="1:4">
      <c r="A597" s="313" t="s">
        <v>356</v>
      </c>
      <c r="B597" s="314"/>
      <c r="C597" s="314"/>
      <c r="D597" s="315"/>
    </row>
    <row r="598" spans="1:4">
      <c r="A598" s="313"/>
      <c r="B598" s="314"/>
      <c r="C598" s="314"/>
      <c r="D598" s="315"/>
    </row>
    <row r="599" spans="1:4">
      <c r="A599" s="313"/>
      <c r="B599" s="314"/>
      <c r="C599" s="314" t="s">
        <v>357</v>
      </c>
      <c r="D599" s="315"/>
    </row>
    <row r="600" spans="1:4">
      <c r="A600" s="310"/>
      <c r="B600" s="311"/>
      <c r="C600" s="210" t="s">
        <v>161</v>
      </c>
      <c r="D600" s="312"/>
    </row>
    <row r="601" spans="1:4">
      <c r="A601" s="310"/>
      <c r="C601" t="s">
        <v>358</v>
      </c>
      <c r="D601" s="316"/>
    </row>
    <row r="602" spans="1:4">
      <c r="A602" s="310"/>
      <c r="C602" s="992">
        <f>'4-22Master'!G475</f>
        <v>0</v>
      </c>
      <c r="D602" s="993"/>
    </row>
    <row r="603" spans="1:4">
      <c r="A603" s="295" t="s">
        <v>290</v>
      </c>
      <c r="B603" t="str">
        <f>B586</f>
        <v>Hyderabad</v>
      </c>
      <c r="C603" s="4">
        <f>'4-22Master'!G476</f>
        <v>0</v>
      </c>
      <c r="D603" s="24"/>
    </row>
    <row r="604" spans="1:4" ht="15.75" thickBot="1">
      <c r="A604" s="295" t="s">
        <v>349</v>
      </c>
      <c r="B604" s="332" t="e">
        <f>B587</f>
        <v>#REF!</v>
      </c>
      <c r="C604" s="4"/>
      <c r="D604" s="24"/>
    </row>
    <row r="605" spans="1:4" ht="15.75" thickBot="1">
      <c r="A605" s="321"/>
      <c r="B605" s="322" t="s">
        <v>362</v>
      </c>
      <c r="C605" s="322"/>
      <c r="D605" s="39"/>
    </row>
    <row r="606" spans="1:4">
      <c r="A606" s="295" t="s">
        <v>360</v>
      </c>
      <c r="C606" s="4"/>
      <c r="D606" s="24"/>
    </row>
    <row r="607" spans="1:4">
      <c r="A607" s="295" t="s">
        <v>349</v>
      </c>
      <c r="B607" s="332" t="e">
        <f>B604</f>
        <v>#REF!</v>
      </c>
      <c r="C607" s="4"/>
      <c r="D607" s="24"/>
    </row>
    <row r="608" spans="1:4" ht="15.75" thickBot="1">
      <c r="A608" s="324" t="s">
        <v>361</v>
      </c>
      <c r="B608" s="33"/>
      <c r="C608" s="33"/>
      <c r="D608" s="34" t="s">
        <v>152</v>
      </c>
    </row>
    <row r="612" spans="1:4" ht="15.75" thickBot="1"/>
    <row r="613" spans="1:4" ht="20.25">
      <c r="A613" s="1005" t="s">
        <v>324</v>
      </c>
      <c r="B613" s="1006"/>
      <c r="C613" s="1006"/>
      <c r="D613" s="1007"/>
    </row>
    <row r="614" spans="1:4">
      <c r="A614" s="1008" t="s">
        <v>325</v>
      </c>
      <c r="B614" s="1009"/>
      <c r="C614" s="1009"/>
      <c r="D614" s="1010"/>
    </row>
    <row r="615" spans="1:4" ht="18">
      <c r="A615" s="1011" t="s">
        <v>326</v>
      </c>
      <c r="B615" s="1012"/>
      <c r="C615" s="1012"/>
      <c r="D615" s="1013"/>
    </row>
    <row r="616" spans="1:4">
      <c r="A616" s="23" t="s">
        <v>151</v>
      </c>
      <c r="D616" s="24"/>
    </row>
    <row r="617" spans="1:4" ht="18">
      <c r="A617" s="317">
        <f>'4-22Master'!G543</f>
        <v>0</v>
      </c>
      <c r="B617" s="294"/>
      <c r="D617" s="24"/>
    </row>
    <row r="618" spans="1:4" ht="18">
      <c r="A618" s="317">
        <f>'4-22Master'!G544</f>
        <v>0</v>
      </c>
      <c r="B618" s="294"/>
      <c r="D618" s="24"/>
    </row>
    <row r="619" spans="1:4" ht="18">
      <c r="A619" s="296"/>
      <c r="B619" s="8"/>
      <c r="D619" s="24"/>
    </row>
    <row r="620" spans="1:4" ht="15.75">
      <c r="A620" s="295" t="s">
        <v>327</v>
      </c>
      <c r="B620" s="318"/>
      <c r="C620" s="319">
        <f>'4-22Master'!C553</f>
        <v>0</v>
      </c>
      <c r="D620" s="101"/>
    </row>
    <row r="621" spans="1:4">
      <c r="A621" s="1014" t="s">
        <v>328</v>
      </c>
      <c r="B621" s="1015"/>
      <c r="C621" s="1015"/>
      <c r="D621" s="1016"/>
    </row>
    <row r="622" spans="1:4">
      <c r="A622" s="23"/>
      <c r="D622" s="24"/>
    </row>
    <row r="623" spans="1:4">
      <c r="A623" s="1014" t="s">
        <v>329</v>
      </c>
      <c r="B623" s="1015"/>
      <c r="C623" s="1015"/>
      <c r="D623" s="1016"/>
    </row>
    <row r="624" spans="1:4">
      <c r="A624" s="297"/>
      <c r="B624" s="298"/>
      <c r="C624" s="298"/>
      <c r="D624" s="299"/>
    </row>
    <row r="625" spans="1:4">
      <c r="A625" s="997" t="s">
        <v>330</v>
      </c>
      <c r="B625" s="998"/>
      <c r="C625" s="998"/>
      <c r="D625" s="999"/>
    </row>
    <row r="626" spans="1:4">
      <c r="A626" s="23"/>
      <c r="D626" s="24"/>
    </row>
    <row r="627" spans="1:4">
      <c r="A627" s="997" t="s">
        <v>331</v>
      </c>
      <c r="B627" s="998"/>
      <c r="C627" s="998"/>
      <c r="D627" s="999"/>
    </row>
    <row r="628" spans="1:4">
      <c r="A628" s="997" t="s">
        <v>332</v>
      </c>
      <c r="B628" s="998"/>
      <c r="C628" s="998"/>
      <c r="D628" s="999"/>
    </row>
    <row r="629" spans="1:4">
      <c r="A629" s="295"/>
      <c r="B629" s="300"/>
      <c r="C629" s="300"/>
      <c r="D629" s="301"/>
    </row>
    <row r="630" spans="1:4">
      <c r="A630" s="1014" t="s">
        <v>333</v>
      </c>
      <c r="B630" s="1015"/>
      <c r="C630" s="1015"/>
      <c r="D630" s="1016"/>
    </row>
    <row r="631" spans="1:4">
      <c r="A631" s="295"/>
      <c r="B631" s="300"/>
      <c r="C631" s="300"/>
      <c r="D631" s="301"/>
    </row>
    <row r="632" spans="1:4">
      <c r="A632" s="997" t="s">
        <v>334</v>
      </c>
      <c r="B632" s="998"/>
      <c r="C632" s="998"/>
      <c r="D632" s="999"/>
    </row>
    <row r="633" spans="1:4">
      <c r="A633" s="23"/>
      <c r="D633" s="24"/>
    </row>
    <row r="634" spans="1:4">
      <c r="A634" s="994" t="s">
        <v>335</v>
      </c>
      <c r="B634" s="995"/>
      <c r="C634" s="995"/>
      <c r="D634" s="996"/>
    </row>
    <row r="635" spans="1:4" ht="42.75">
      <c r="A635" s="302" t="s">
        <v>336</v>
      </c>
      <c r="B635" s="303" t="s">
        <v>337</v>
      </c>
      <c r="C635" s="303" t="s">
        <v>338</v>
      </c>
      <c r="D635" s="304" t="s">
        <v>339</v>
      </c>
    </row>
    <row r="636" spans="1:4">
      <c r="A636" s="305">
        <v>1</v>
      </c>
      <c r="B636" s="306">
        <v>2</v>
      </c>
      <c r="C636" s="306">
        <v>3</v>
      </c>
      <c r="D636" s="307">
        <v>4</v>
      </c>
    </row>
    <row r="637" spans="1:4">
      <c r="A637" s="23"/>
      <c r="B637" s="19" t="s">
        <v>381</v>
      </c>
      <c r="C637" s="19" t="s">
        <v>388</v>
      </c>
      <c r="D637" s="339">
        <v>1</v>
      </c>
    </row>
    <row r="638" spans="1:4">
      <c r="A638" s="323"/>
      <c r="B638" s="19"/>
      <c r="C638" s="19"/>
      <c r="D638" s="308"/>
    </row>
    <row r="639" spans="1:4">
      <c r="A639" s="320"/>
      <c r="B639" s="19"/>
      <c r="C639" s="19"/>
      <c r="D639" s="308"/>
    </row>
    <row r="640" spans="1:4">
      <c r="A640" s="23"/>
      <c r="D640" s="24"/>
    </row>
    <row r="641" spans="1:4">
      <c r="A641" s="994" t="s">
        <v>340</v>
      </c>
      <c r="B641" s="995"/>
      <c r="C641" s="995"/>
      <c r="D641" s="996"/>
    </row>
    <row r="642" spans="1:4">
      <c r="A642" s="211"/>
      <c r="B642" s="9"/>
      <c r="C642" s="9"/>
      <c r="D642" s="212"/>
    </row>
    <row r="643" spans="1:4">
      <c r="A643" s="983" t="s">
        <v>341</v>
      </c>
      <c r="B643" s="984"/>
      <c r="C643" s="1004"/>
      <c r="D643" s="986"/>
    </row>
    <row r="644" spans="1:4">
      <c r="A644" s="983" t="s">
        <v>342</v>
      </c>
      <c r="B644" s="984"/>
      <c r="C644" s="1004"/>
      <c r="D644" s="986"/>
    </row>
    <row r="645" spans="1:4">
      <c r="A645" s="983" t="s">
        <v>343</v>
      </c>
      <c r="B645" s="984"/>
      <c r="C645" s="1004"/>
      <c r="D645" s="986"/>
    </row>
    <row r="646" spans="1:4">
      <c r="A646" s="983" t="s">
        <v>344</v>
      </c>
      <c r="B646" s="984"/>
      <c r="C646" s="1004"/>
      <c r="D646" s="986"/>
    </row>
    <row r="647" spans="1:4">
      <c r="A647" s="983" t="s">
        <v>345</v>
      </c>
      <c r="B647" s="984"/>
      <c r="C647" s="1004"/>
      <c r="D647" s="986"/>
    </row>
    <row r="648" spans="1:4">
      <c r="A648" s="983" t="s">
        <v>346</v>
      </c>
      <c r="B648" s="984"/>
      <c r="C648" s="1004"/>
      <c r="D648" s="986"/>
    </row>
    <row r="649" spans="1:4">
      <c r="A649" s="983" t="s">
        <v>347</v>
      </c>
      <c r="B649" s="984"/>
      <c r="C649" s="1004"/>
      <c r="D649" s="986"/>
    </row>
    <row r="650" spans="1:4">
      <c r="A650" s="983" t="s">
        <v>348</v>
      </c>
      <c r="B650" s="984"/>
      <c r="C650" s="1004"/>
      <c r="D650" s="986"/>
    </row>
    <row r="651" spans="1:4">
      <c r="A651" s="983"/>
      <c r="B651" s="984"/>
      <c r="C651" s="1004"/>
      <c r="D651" s="986"/>
    </row>
    <row r="652" spans="1:4">
      <c r="A652" s="983"/>
      <c r="B652" s="984"/>
      <c r="C652" s="1004"/>
      <c r="D652" s="986"/>
    </row>
    <row r="653" spans="1:4">
      <c r="A653" s="983"/>
      <c r="B653" s="984"/>
      <c r="C653" s="1004"/>
      <c r="D653" s="986"/>
    </row>
    <row r="654" spans="1:4">
      <c r="A654" s="295" t="s">
        <v>290</v>
      </c>
      <c r="B654" s="300"/>
      <c r="C654" s="300"/>
      <c r="D654" s="301"/>
    </row>
    <row r="655" spans="1:4">
      <c r="A655" s="295" t="s">
        <v>349</v>
      </c>
      <c r="B655" s="300"/>
      <c r="C655" s="309" t="s">
        <v>350</v>
      </c>
      <c r="D655" s="301"/>
    </row>
    <row r="656" spans="1:4">
      <c r="A656" s="295"/>
      <c r="B656" s="300"/>
      <c r="C656" s="300"/>
      <c r="D656" s="301"/>
    </row>
    <row r="657" spans="1:4">
      <c r="A657" s="994" t="s">
        <v>351</v>
      </c>
      <c r="B657" s="995"/>
      <c r="C657" s="995"/>
      <c r="D657" s="996"/>
    </row>
    <row r="658" spans="1:4">
      <c r="A658" s="295" t="s">
        <v>352</v>
      </c>
      <c r="B658" s="300"/>
      <c r="C658" s="300"/>
      <c r="D658" s="301"/>
    </row>
    <row r="659" spans="1:4">
      <c r="A659" s="295"/>
      <c r="B659" s="300"/>
      <c r="C659" s="300"/>
      <c r="D659" s="301"/>
    </row>
    <row r="660" spans="1:4">
      <c r="A660" s="997" t="s">
        <v>353</v>
      </c>
      <c r="B660" s="998"/>
      <c r="C660" s="998" t="s">
        <v>354</v>
      </c>
      <c r="D660" s="999"/>
    </row>
    <row r="661" spans="1:4">
      <c r="A661" s="1000">
        <v>1</v>
      </c>
      <c r="B661" s="1001"/>
      <c r="C661" s="1001">
        <v>1</v>
      </c>
      <c r="D661" s="1002"/>
    </row>
    <row r="662" spans="1:4">
      <c r="A662" s="1000">
        <v>2</v>
      </c>
      <c r="B662" s="1001"/>
      <c r="C662" s="1001">
        <v>2</v>
      </c>
      <c r="D662" s="1002"/>
    </row>
    <row r="663" spans="1:4">
      <c r="A663" s="310"/>
      <c r="C663" s="990" t="s">
        <v>359</v>
      </c>
      <c r="D663" s="991"/>
    </row>
    <row r="664" spans="1:4">
      <c r="A664" s="987" t="s">
        <v>355</v>
      </c>
      <c r="B664" s="988"/>
      <c r="C664" s="988"/>
      <c r="D664" s="989"/>
    </row>
    <row r="665" spans="1:4">
      <c r="A665" s="313" t="s">
        <v>356</v>
      </c>
      <c r="B665" s="314"/>
      <c r="C665" s="314"/>
      <c r="D665" s="315"/>
    </row>
    <row r="666" spans="1:4">
      <c r="A666" s="313"/>
      <c r="B666" s="314"/>
      <c r="C666" s="314"/>
      <c r="D666" s="315"/>
    </row>
    <row r="667" spans="1:4">
      <c r="A667" s="313"/>
      <c r="B667" s="314"/>
      <c r="C667" s="314" t="s">
        <v>357</v>
      </c>
      <c r="D667" s="315"/>
    </row>
    <row r="668" spans="1:4">
      <c r="A668" s="310"/>
      <c r="B668" s="311"/>
      <c r="C668" s="210" t="s">
        <v>161</v>
      </c>
      <c r="D668" s="312"/>
    </row>
    <row r="669" spans="1:4">
      <c r="A669" s="310"/>
      <c r="C669" t="s">
        <v>358</v>
      </c>
      <c r="D669" s="316"/>
    </row>
    <row r="670" spans="1:4">
      <c r="A670" s="310"/>
      <c r="C670" s="992">
        <f>'4-22Master'!G543</f>
        <v>0</v>
      </c>
      <c r="D670" s="993"/>
    </row>
    <row r="671" spans="1:4">
      <c r="A671" s="295" t="s">
        <v>290</v>
      </c>
      <c r="C671" s="4">
        <f>'4-22Master'!G544</f>
        <v>0</v>
      </c>
      <c r="D671" s="24"/>
    </row>
    <row r="672" spans="1:4" ht="15.75" thickBot="1">
      <c r="A672" s="295" t="s">
        <v>349</v>
      </c>
      <c r="C672" s="4"/>
      <c r="D672" s="24"/>
    </row>
    <row r="673" spans="1:4" ht="15.75" thickBot="1">
      <c r="A673" s="321"/>
      <c r="B673" s="322" t="s">
        <v>362</v>
      </c>
      <c r="C673" s="322"/>
      <c r="D673" s="39"/>
    </row>
    <row r="674" spans="1:4">
      <c r="A674" s="295" t="s">
        <v>360</v>
      </c>
      <c r="C674" s="4"/>
      <c r="D674" s="24"/>
    </row>
    <row r="675" spans="1:4">
      <c r="A675" s="295" t="s">
        <v>349</v>
      </c>
      <c r="C675" s="4"/>
      <c r="D675" s="24"/>
    </row>
    <row r="676" spans="1:4" ht="15.75" thickBot="1">
      <c r="A676" s="324" t="s">
        <v>361</v>
      </c>
      <c r="B676" s="33"/>
      <c r="C676" s="33"/>
      <c r="D676" s="34" t="s">
        <v>152</v>
      </c>
    </row>
    <row r="680" spans="1:4" ht="15.75" thickBot="1"/>
    <row r="681" spans="1:4" ht="20.25">
      <c r="A681" s="1005" t="s">
        <v>324</v>
      </c>
      <c r="B681" s="1006"/>
      <c r="C681" s="1006"/>
      <c r="D681" s="1007"/>
    </row>
    <row r="682" spans="1:4">
      <c r="A682" s="1008" t="s">
        <v>325</v>
      </c>
      <c r="B682" s="1009"/>
      <c r="C682" s="1009"/>
      <c r="D682" s="1010"/>
    </row>
    <row r="683" spans="1:4" ht="18">
      <c r="A683" s="1011" t="s">
        <v>326</v>
      </c>
      <c r="B683" s="1012"/>
      <c r="C683" s="1012"/>
      <c r="D683" s="1013"/>
    </row>
    <row r="684" spans="1:4">
      <c r="A684" s="23" t="s">
        <v>151</v>
      </c>
      <c r="D684" s="24"/>
    </row>
    <row r="685" spans="1:4" ht="18">
      <c r="A685" s="317">
        <f>'4-22Master'!G611</f>
        <v>0</v>
      </c>
      <c r="B685" s="294"/>
      <c r="D685" s="24"/>
    </row>
    <row r="686" spans="1:4" ht="18">
      <c r="A686" s="317">
        <f>'4-22Master'!G612</f>
        <v>0</v>
      </c>
      <c r="B686" s="294"/>
      <c r="D686" s="24"/>
    </row>
    <row r="687" spans="1:4" ht="18">
      <c r="A687" s="296"/>
      <c r="B687" s="8"/>
      <c r="D687" s="24"/>
    </row>
    <row r="688" spans="1:4" ht="15.75">
      <c r="A688" s="295" t="s">
        <v>327</v>
      </c>
      <c r="B688" s="318"/>
      <c r="C688" s="319">
        <f>'4-22Master'!C621</f>
        <v>0</v>
      </c>
      <c r="D688" s="101"/>
    </row>
    <row r="689" spans="1:4">
      <c r="A689" s="1014" t="s">
        <v>328</v>
      </c>
      <c r="B689" s="1015"/>
      <c r="C689" s="1015"/>
      <c r="D689" s="1016"/>
    </row>
    <row r="690" spans="1:4">
      <c r="A690" s="23"/>
      <c r="D690" s="24"/>
    </row>
    <row r="691" spans="1:4">
      <c r="A691" s="1014" t="s">
        <v>329</v>
      </c>
      <c r="B691" s="1015"/>
      <c r="C691" s="1015"/>
      <c r="D691" s="1016"/>
    </row>
    <row r="692" spans="1:4">
      <c r="A692" s="297"/>
      <c r="B692" s="298"/>
      <c r="C692" s="298"/>
      <c r="D692" s="299"/>
    </row>
    <row r="693" spans="1:4">
      <c r="A693" s="997" t="s">
        <v>330</v>
      </c>
      <c r="B693" s="998"/>
      <c r="C693" s="998"/>
      <c r="D693" s="999"/>
    </row>
    <row r="694" spans="1:4">
      <c r="A694" s="23"/>
      <c r="D694" s="24"/>
    </row>
    <row r="695" spans="1:4">
      <c r="A695" s="997" t="s">
        <v>331</v>
      </c>
      <c r="B695" s="998"/>
      <c r="C695" s="998"/>
      <c r="D695" s="999"/>
    </row>
    <row r="696" spans="1:4">
      <c r="A696" s="997" t="s">
        <v>332</v>
      </c>
      <c r="B696" s="998"/>
      <c r="C696" s="998"/>
      <c r="D696" s="999"/>
    </row>
    <row r="697" spans="1:4">
      <c r="A697" s="295"/>
      <c r="B697" s="300"/>
      <c r="C697" s="300"/>
      <c r="D697" s="301"/>
    </row>
    <row r="698" spans="1:4">
      <c r="A698" s="1014" t="s">
        <v>333</v>
      </c>
      <c r="B698" s="1015"/>
      <c r="C698" s="1015"/>
      <c r="D698" s="1016"/>
    </row>
    <row r="699" spans="1:4">
      <c r="A699" s="295"/>
      <c r="B699" s="300"/>
      <c r="C699" s="300"/>
      <c r="D699" s="301"/>
    </row>
    <row r="700" spans="1:4">
      <c r="A700" s="997" t="s">
        <v>334</v>
      </c>
      <c r="B700" s="998"/>
      <c r="C700" s="998"/>
      <c r="D700" s="999"/>
    </row>
    <row r="701" spans="1:4">
      <c r="A701" s="23"/>
      <c r="D701" s="24"/>
    </row>
    <row r="702" spans="1:4">
      <c r="A702" s="994" t="s">
        <v>335</v>
      </c>
      <c r="B702" s="995"/>
      <c r="C702" s="995"/>
      <c r="D702" s="996"/>
    </row>
    <row r="703" spans="1:4" ht="42.75">
      <c r="A703" s="302" t="s">
        <v>336</v>
      </c>
      <c r="B703" s="303" t="s">
        <v>337</v>
      </c>
      <c r="C703" s="303" t="s">
        <v>338</v>
      </c>
      <c r="D703" s="304" t="s">
        <v>339</v>
      </c>
    </row>
    <row r="704" spans="1:4">
      <c r="A704" s="305">
        <v>1</v>
      </c>
      <c r="B704" s="306">
        <v>2</v>
      </c>
      <c r="C704" s="306">
        <v>3</v>
      </c>
      <c r="D704" s="307">
        <v>4</v>
      </c>
    </row>
    <row r="705" spans="1:4">
      <c r="A705" s="23"/>
      <c r="B705" s="19" t="s">
        <v>381</v>
      </c>
      <c r="C705" s="19" t="s">
        <v>388</v>
      </c>
      <c r="D705" s="339">
        <v>1</v>
      </c>
    </row>
    <row r="706" spans="1:4">
      <c r="A706" s="323"/>
      <c r="B706" s="19"/>
      <c r="C706" s="19"/>
      <c r="D706" s="308"/>
    </row>
    <row r="707" spans="1:4">
      <c r="A707" s="320"/>
      <c r="B707" s="19"/>
      <c r="C707" s="19"/>
      <c r="D707" s="308"/>
    </row>
    <row r="708" spans="1:4">
      <c r="A708" s="23"/>
      <c r="D708" s="24"/>
    </row>
    <row r="709" spans="1:4">
      <c r="A709" s="994" t="s">
        <v>340</v>
      </c>
      <c r="B709" s="995"/>
      <c r="C709" s="995"/>
      <c r="D709" s="996"/>
    </row>
    <row r="710" spans="1:4">
      <c r="A710" s="211"/>
      <c r="B710" s="9"/>
      <c r="C710" s="9"/>
      <c r="D710" s="212"/>
    </row>
    <row r="711" spans="1:4">
      <c r="A711" s="983" t="s">
        <v>341</v>
      </c>
      <c r="B711" s="984"/>
      <c r="C711" s="1004"/>
      <c r="D711" s="986"/>
    </row>
    <row r="712" spans="1:4">
      <c r="A712" s="983" t="s">
        <v>342</v>
      </c>
      <c r="B712" s="984"/>
      <c r="C712" s="1004"/>
      <c r="D712" s="986"/>
    </row>
    <row r="713" spans="1:4">
      <c r="A713" s="983" t="s">
        <v>343</v>
      </c>
      <c r="B713" s="984"/>
      <c r="C713" s="1004"/>
      <c r="D713" s="986"/>
    </row>
    <row r="714" spans="1:4">
      <c r="A714" s="983" t="s">
        <v>344</v>
      </c>
      <c r="B714" s="984"/>
      <c r="C714" s="1004"/>
      <c r="D714" s="986"/>
    </row>
    <row r="715" spans="1:4">
      <c r="A715" s="983" t="s">
        <v>345</v>
      </c>
      <c r="B715" s="984"/>
      <c r="C715" s="1004"/>
      <c r="D715" s="986"/>
    </row>
    <row r="716" spans="1:4">
      <c r="A716" s="983" t="s">
        <v>346</v>
      </c>
      <c r="B716" s="984"/>
      <c r="C716" s="1004"/>
      <c r="D716" s="986"/>
    </row>
    <row r="717" spans="1:4">
      <c r="A717" s="983" t="s">
        <v>347</v>
      </c>
      <c r="B717" s="984"/>
      <c r="C717" s="1004"/>
      <c r="D717" s="986"/>
    </row>
    <row r="718" spans="1:4">
      <c r="A718" s="983" t="s">
        <v>348</v>
      </c>
      <c r="B718" s="984"/>
      <c r="C718" s="1004"/>
      <c r="D718" s="986"/>
    </row>
    <row r="719" spans="1:4">
      <c r="A719" s="983"/>
      <c r="B719" s="984"/>
      <c r="C719" s="1004"/>
      <c r="D719" s="986"/>
    </row>
    <row r="720" spans="1:4">
      <c r="A720" s="983"/>
      <c r="B720" s="984"/>
      <c r="C720" s="1004"/>
      <c r="D720" s="986"/>
    </row>
    <row r="721" spans="1:4">
      <c r="A721" s="983"/>
      <c r="B721" s="984"/>
      <c r="C721" s="1004"/>
      <c r="D721" s="986"/>
    </row>
    <row r="722" spans="1:4">
      <c r="A722" s="295" t="s">
        <v>290</v>
      </c>
      <c r="B722" s="300"/>
      <c r="C722" s="300"/>
      <c r="D722" s="301"/>
    </row>
    <row r="723" spans="1:4">
      <c r="A723" s="295" t="s">
        <v>349</v>
      </c>
      <c r="B723" s="300"/>
      <c r="C723" s="309" t="s">
        <v>350</v>
      </c>
      <c r="D723" s="301"/>
    </row>
    <row r="724" spans="1:4">
      <c r="A724" s="295"/>
      <c r="B724" s="300"/>
      <c r="C724" s="300"/>
      <c r="D724" s="301"/>
    </row>
    <row r="725" spans="1:4">
      <c r="A725" s="994" t="s">
        <v>351</v>
      </c>
      <c r="B725" s="995"/>
      <c r="C725" s="995"/>
      <c r="D725" s="996"/>
    </row>
    <row r="726" spans="1:4">
      <c r="A726" s="295" t="s">
        <v>352</v>
      </c>
      <c r="B726" s="300"/>
      <c r="C726" s="300"/>
      <c r="D726" s="301"/>
    </row>
    <row r="727" spans="1:4">
      <c r="A727" s="295"/>
      <c r="B727" s="300"/>
      <c r="C727" s="300"/>
      <c r="D727" s="301"/>
    </row>
    <row r="728" spans="1:4">
      <c r="A728" s="997" t="s">
        <v>353</v>
      </c>
      <c r="B728" s="998"/>
      <c r="C728" s="998" t="s">
        <v>354</v>
      </c>
      <c r="D728" s="999"/>
    </row>
    <row r="729" spans="1:4">
      <c r="A729" s="1000">
        <v>1</v>
      </c>
      <c r="B729" s="1001"/>
      <c r="C729" s="1001">
        <v>1</v>
      </c>
      <c r="D729" s="1002"/>
    </row>
    <row r="730" spans="1:4">
      <c r="A730" s="1000">
        <v>2</v>
      </c>
      <c r="B730" s="1001"/>
      <c r="C730" s="1001">
        <v>2</v>
      </c>
      <c r="D730" s="1002"/>
    </row>
    <row r="731" spans="1:4">
      <c r="A731" s="310"/>
      <c r="C731" s="990" t="s">
        <v>359</v>
      </c>
      <c r="D731" s="991"/>
    </row>
    <row r="732" spans="1:4">
      <c r="A732" s="987" t="s">
        <v>355</v>
      </c>
      <c r="B732" s="988"/>
      <c r="C732" s="988"/>
      <c r="D732" s="989"/>
    </row>
    <row r="733" spans="1:4">
      <c r="A733" s="313" t="s">
        <v>356</v>
      </c>
      <c r="B733" s="314"/>
      <c r="C733" s="314"/>
      <c r="D733" s="315"/>
    </row>
    <row r="734" spans="1:4">
      <c r="A734" s="313"/>
      <c r="B734" s="314"/>
      <c r="C734" s="314"/>
      <c r="D734" s="315"/>
    </row>
    <row r="735" spans="1:4">
      <c r="A735" s="313"/>
      <c r="B735" s="314"/>
      <c r="C735" s="314" t="s">
        <v>357</v>
      </c>
      <c r="D735" s="315"/>
    </row>
    <row r="736" spans="1:4">
      <c r="A736" s="310"/>
      <c r="B736" s="311"/>
      <c r="C736" s="210" t="s">
        <v>161</v>
      </c>
      <c r="D736" s="312"/>
    </row>
    <row r="737" spans="1:4">
      <c r="A737" s="310"/>
      <c r="C737" t="s">
        <v>358</v>
      </c>
      <c r="D737" s="316"/>
    </row>
    <row r="738" spans="1:4">
      <c r="A738" s="310"/>
      <c r="C738" s="992">
        <f>'4-22Master'!G611</f>
        <v>0</v>
      </c>
      <c r="D738" s="993"/>
    </row>
    <row r="739" spans="1:4">
      <c r="A739" s="295" t="s">
        <v>290</v>
      </c>
      <c r="C739" s="4">
        <f>'4-22Master'!G612</f>
        <v>0</v>
      </c>
      <c r="D739" s="24"/>
    </row>
    <row r="740" spans="1:4" ht="15.75" thickBot="1">
      <c r="A740" s="295" t="s">
        <v>349</v>
      </c>
      <c r="C740" s="4"/>
      <c r="D740" s="24"/>
    </row>
    <row r="741" spans="1:4" ht="15.75" thickBot="1">
      <c r="A741" s="321"/>
      <c r="B741" s="322" t="s">
        <v>362</v>
      </c>
      <c r="C741" s="322"/>
      <c r="D741" s="39"/>
    </row>
    <row r="742" spans="1:4">
      <c r="A742" s="295" t="s">
        <v>360</v>
      </c>
      <c r="C742" s="4"/>
      <c r="D742" s="24"/>
    </row>
    <row r="743" spans="1:4">
      <c r="A743" s="295" t="s">
        <v>349</v>
      </c>
      <c r="C743" s="4"/>
      <c r="D743" s="24"/>
    </row>
    <row r="744" spans="1:4" ht="15.75" thickBot="1">
      <c r="A744" s="324" t="s">
        <v>361</v>
      </c>
      <c r="B744" s="33"/>
      <c r="C744" s="33"/>
      <c r="D744" s="34" t="s">
        <v>152</v>
      </c>
    </row>
  </sheetData>
  <mergeCells count="484">
    <mergeCell ref="A730:B730"/>
    <mergeCell ref="C730:D730"/>
    <mergeCell ref="C731:D731"/>
    <mergeCell ref="A732:D732"/>
    <mergeCell ref="C738:D738"/>
    <mergeCell ref="A725:D725"/>
    <mergeCell ref="A728:B728"/>
    <mergeCell ref="C728:D728"/>
    <mergeCell ref="A729:B729"/>
    <mergeCell ref="C729:D729"/>
    <mergeCell ref="A719:B719"/>
    <mergeCell ref="C719:D719"/>
    <mergeCell ref="A720:B720"/>
    <mergeCell ref="C720:D720"/>
    <mergeCell ref="A721:B721"/>
    <mergeCell ref="C721:D721"/>
    <mergeCell ref="A716:B716"/>
    <mergeCell ref="C716:D716"/>
    <mergeCell ref="A717:B717"/>
    <mergeCell ref="C717:D717"/>
    <mergeCell ref="A718:B718"/>
    <mergeCell ref="C718:D718"/>
    <mergeCell ref="A713:B713"/>
    <mergeCell ref="C713:D713"/>
    <mergeCell ref="A714:B714"/>
    <mergeCell ref="C714:D714"/>
    <mergeCell ref="A715:B715"/>
    <mergeCell ref="C715:D715"/>
    <mergeCell ref="A702:D702"/>
    <mergeCell ref="A709:D709"/>
    <mergeCell ref="A711:B711"/>
    <mergeCell ref="C711:D711"/>
    <mergeCell ref="A712:B712"/>
    <mergeCell ref="C712:D712"/>
    <mergeCell ref="A693:D693"/>
    <mergeCell ref="A695:D695"/>
    <mergeCell ref="A696:D696"/>
    <mergeCell ref="A698:D698"/>
    <mergeCell ref="A700:D700"/>
    <mergeCell ref="A681:D681"/>
    <mergeCell ref="A682:D682"/>
    <mergeCell ref="A683:D683"/>
    <mergeCell ref="A689:D689"/>
    <mergeCell ref="A691:D691"/>
    <mergeCell ref="A662:B662"/>
    <mergeCell ref="C662:D662"/>
    <mergeCell ref="C663:D663"/>
    <mergeCell ref="A664:D664"/>
    <mergeCell ref="C670:D670"/>
    <mergeCell ref="A657:D657"/>
    <mergeCell ref="A660:B660"/>
    <mergeCell ref="C660:D660"/>
    <mergeCell ref="A661:B661"/>
    <mergeCell ref="C661:D661"/>
    <mergeCell ref="A651:B651"/>
    <mergeCell ref="C651:D651"/>
    <mergeCell ref="A652:B652"/>
    <mergeCell ref="C652:D652"/>
    <mergeCell ref="A653:B653"/>
    <mergeCell ref="C653:D653"/>
    <mergeCell ref="A648:B648"/>
    <mergeCell ref="C648:D648"/>
    <mergeCell ref="A649:B649"/>
    <mergeCell ref="C649:D649"/>
    <mergeCell ref="A650:B650"/>
    <mergeCell ref="C650:D650"/>
    <mergeCell ref="A645:B645"/>
    <mergeCell ref="C645:D645"/>
    <mergeCell ref="A646:B646"/>
    <mergeCell ref="C646:D646"/>
    <mergeCell ref="A647:B647"/>
    <mergeCell ref="C647:D647"/>
    <mergeCell ref="A634:D634"/>
    <mergeCell ref="A641:D641"/>
    <mergeCell ref="A643:B643"/>
    <mergeCell ref="C643:D643"/>
    <mergeCell ref="A644:B644"/>
    <mergeCell ref="C644:D644"/>
    <mergeCell ref="A625:D625"/>
    <mergeCell ref="A627:D627"/>
    <mergeCell ref="A628:D628"/>
    <mergeCell ref="A630:D630"/>
    <mergeCell ref="A632:D632"/>
    <mergeCell ref="A613:D613"/>
    <mergeCell ref="A614:D614"/>
    <mergeCell ref="A615:D615"/>
    <mergeCell ref="A621:D621"/>
    <mergeCell ref="A623:D623"/>
    <mergeCell ref="A594:B594"/>
    <mergeCell ref="C594:D594"/>
    <mergeCell ref="C595:D595"/>
    <mergeCell ref="A596:D596"/>
    <mergeCell ref="C602:D602"/>
    <mergeCell ref="A589:D589"/>
    <mergeCell ref="A592:B592"/>
    <mergeCell ref="C592:D592"/>
    <mergeCell ref="A593:B593"/>
    <mergeCell ref="C593:D593"/>
    <mergeCell ref="A583:B583"/>
    <mergeCell ref="C583:D583"/>
    <mergeCell ref="A584:B584"/>
    <mergeCell ref="C584:D584"/>
    <mergeCell ref="A585:B585"/>
    <mergeCell ref="C585:D585"/>
    <mergeCell ref="A580:B580"/>
    <mergeCell ref="C580:D580"/>
    <mergeCell ref="A581:B581"/>
    <mergeCell ref="C581:D581"/>
    <mergeCell ref="A582:B582"/>
    <mergeCell ref="C582:D582"/>
    <mergeCell ref="A577:B577"/>
    <mergeCell ref="C577:D577"/>
    <mergeCell ref="A578:B578"/>
    <mergeCell ref="C578:D578"/>
    <mergeCell ref="A579:B579"/>
    <mergeCell ref="C579:D579"/>
    <mergeCell ref="A566:D566"/>
    <mergeCell ref="A573:D573"/>
    <mergeCell ref="A575:B575"/>
    <mergeCell ref="C575:D575"/>
    <mergeCell ref="A576:B576"/>
    <mergeCell ref="C576:D576"/>
    <mergeCell ref="A557:D557"/>
    <mergeCell ref="A559:D559"/>
    <mergeCell ref="A560:D560"/>
    <mergeCell ref="A562:D562"/>
    <mergeCell ref="A564:D564"/>
    <mergeCell ref="A545:D545"/>
    <mergeCell ref="A546:D546"/>
    <mergeCell ref="A547:D547"/>
    <mergeCell ref="A553:D553"/>
    <mergeCell ref="A555:D555"/>
    <mergeCell ref="A526:B526"/>
    <mergeCell ref="C526:D526"/>
    <mergeCell ref="C527:D527"/>
    <mergeCell ref="A528:D528"/>
    <mergeCell ref="C534:D534"/>
    <mergeCell ref="A521:D521"/>
    <mergeCell ref="A524:B524"/>
    <mergeCell ref="C524:D524"/>
    <mergeCell ref="A525:B525"/>
    <mergeCell ref="C525:D525"/>
    <mergeCell ref="A515:B515"/>
    <mergeCell ref="C515:D515"/>
    <mergeCell ref="A516:B516"/>
    <mergeCell ref="C516:D516"/>
    <mergeCell ref="A517:B517"/>
    <mergeCell ref="C517:D517"/>
    <mergeCell ref="A512:B512"/>
    <mergeCell ref="C512:D512"/>
    <mergeCell ref="A513:B513"/>
    <mergeCell ref="C513:D513"/>
    <mergeCell ref="A514:B514"/>
    <mergeCell ref="C514:D514"/>
    <mergeCell ref="A509:B509"/>
    <mergeCell ref="C509:D509"/>
    <mergeCell ref="A510:B510"/>
    <mergeCell ref="C510:D510"/>
    <mergeCell ref="A511:B511"/>
    <mergeCell ref="C511:D511"/>
    <mergeCell ref="A498:D498"/>
    <mergeCell ref="A505:D505"/>
    <mergeCell ref="A507:B507"/>
    <mergeCell ref="C507:D507"/>
    <mergeCell ref="A508:B508"/>
    <mergeCell ref="C508:D508"/>
    <mergeCell ref="A489:D489"/>
    <mergeCell ref="A491:D491"/>
    <mergeCell ref="A492:D492"/>
    <mergeCell ref="A494:D494"/>
    <mergeCell ref="A496:D496"/>
    <mergeCell ref="A477:D477"/>
    <mergeCell ref="A478:D478"/>
    <mergeCell ref="A479:D479"/>
    <mergeCell ref="A485:D485"/>
    <mergeCell ref="A487:D487"/>
    <mergeCell ref="A458:B458"/>
    <mergeCell ref="C458:D458"/>
    <mergeCell ref="C459:D459"/>
    <mergeCell ref="A460:D460"/>
    <mergeCell ref="C466:D466"/>
    <mergeCell ref="A453:D453"/>
    <mergeCell ref="A456:B456"/>
    <mergeCell ref="C456:D456"/>
    <mergeCell ref="A457:B457"/>
    <mergeCell ref="C457:D457"/>
    <mergeCell ref="A447:B447"/>
    <mergeCell ref="C447:D447"/>
    <mergeCell ref="A448:B448"/>
    <mergeCell ref="C448:D448"/>
    <mergeCell ref="A449:B449"/>
    <mergeCell ref="C449:D449"/>
    <mergeCell ref="A444:B444"/>
    <mergeCell ref="C444:D444"/>
    <mergeCell ref="A445:B445"/>
    <mergeCell ref="C445:D445"/>
    <mergeCell ref="A446:B446"/>
    <mergeCell ref="C446:D446"/>
    <mergeCell ref="A441:B441"/>
    <mergeCell ref="C441:D441"/>
    <mergeCell ref="A442:B442"/>
    <mergeCell ref="C442:D442"/>
    <mergeCell ref="A443:B443"/>
    <mergeCell ref="C443:D443"/>
    <mergeCell ref="A430:D430"/>
    <mergeCell ref="A437:D437"/>
    <mergeCell ref="A439:B439"/>
    <mergeCell ref="C439:D439"/>
    <mergeCell ref="A440:B440"/>
    <mergeCell ref="C440:D440"/>
    <mergeCell ref="A421:D421"/>
    <mergeCell ref="A423:D423"/>
    <mergeCell ref="A424:D424"/>
    <mergeCell ref="A426:D426"/>
    <mergeCell ref="A428:D428"/>
    <mergeCell ref="A409:D409"/>
    <mergeCell ref="A410:D410"/>
    <mergeCell ref="A411:D411"/>
    <mergeCell ref="A417:D417"/>
    <mergeCell ref="A419:D419"/>
    <mergeCell ref="A390:B390"/>
    <mergeCell ref="C390:D390"/>
    <mergeCell ref="C391:D391"/>
    <mergeCell ref="A392:D392"/>
    <mergeCell ref="C398:D398"/>
    <mergeCell ref="A385:D385"/>
    <mergeCell ref="A388:B388"/>
    <mergeCell ref="C388:D388"/>
    <mergeCell ref="A389:B389"/>
    <mergeCell ref="C389:D389"/>
    <mergeCell ref="A379:B379"/>
    <mergeCell ref="C379:D379"/>
    <mergeCell ref="A380:B380"/>
    <mergeCell ref="C380:D380"/>
    <mergeCell ref="A381:B381"/>
    <mergeCell ref="C381:D381"/>
    <mergeCell ref="A376:B376"/>
    <mergeCell ref="C376:D376"/>
    <mergeCell ref="A377:B377"/>
    <mergeCell ref="C377:D377"/>
    <mergeCell ref="A378:B378"/>
    <mergeCell ref="C378:D378"/>
    <mergeCell ref="A373:B373"/>
    <mergeCell ref="C373:D373"/>
    <mergeCell ref="A374:B374"/>
    <mergeCell ref="C374:D374"/>
    <mergeCell ref="A375:B375"/>
    <mergeCell ref="C375:D375"/>
    <mergeCell ref="A362:D362"/>
    <mergeCell ref="A369:D369"/>
    <mergeCell ref="A371:B371"/>
    <mergeCell ref="C371:D371"/>
    <mergeCell ref="A372:B372"/>
    <mergeCell ref="C372:D372"/>
    <mergeCell ref="A353:D353"/>
    <mergeCell ref="A355:D355"/>
    <mergeCell ref="A356:D356"/>
    <mergeCell ref="A358:D358"/>
    <mergeCell ref="A360:D360"/>
    <mergeCell ref="A341:D341"/>
    <mergeCell ref="A342:D342"/>
    <mergeCell ref="A343:D343"/>
    <mergeCell ref="A349:D349"/>
    <mergeCell ref="A351:D351"/>
    <mergeCell ref="A322:B322"/>
    <mergeCell ref="C322:D322"/>
    <mergeCell ref="C323:D323"/>
    <mergeCell ref="A324:D324"/>
    <mergeCell ref="C330:D330"/>
    <mergeCell ref="A317:D317"/>
    <mergeCell ref="A320:B320"/>
    <mergeCell ref="C320:D320"/>
    <mergeCell ref="A321:B321"/>
    <mergeCell ref="C321:D321"/>
    <mergeCell ref="A311:B311"/>
    <mergeCell ref="C311:D311"/>
    <mergeCell ref="A312:B312"/>
    <mergeCell ref="C312:D312"/>
    <mergeCell ref="A313:B313"/>
    <mergeCell ref="C313:D313"/>
    <mergeCell ref="A308:B308"/>
    <mergeCell ref="C308:D308"/>
    <mergeCell ref="A309:B309"/>
    <mergeCell ref="C309:D309"/>
    <mergeCell ref="A310:B310"/>
    <mergeCell ref="C310:D310"/>
    <mergeCell ref="A305:B305"/>
    <mergeCell ref="C305:D305"/>
    <mergeCell ref="A306:B306"/>
    <mergeCell ref="C306:D306"/>
    <mergeCell ref="A307:B307"/>
    <mergeCell ref="C307:D307"/>
    <mergeCell ref="A294:D294"/>
    <mergeCell ref="A301:D301"/>
    <mergeCell ref="A303:B303"/>
    <mergeCell ref="C303:D303"/>
    <mergeCell ref="A304:B304"/>
    <mergeCell ref="C304:D304"/>
    <mergeCell ref="A285:D285"/>
    <mergeCell ref="A287:D287"/>
    <mergeCell ref="A288:D288"/>
    <mergeCell ref="A290:D290"/>
    <mergeCell ref="A292:D292"/>
    <mergeCell ref="A273:D273"/>
    <mergeCell ref="A274:D274"/>
    <mergeCell ref="A275:D275"/>
    <mergeCell ref="A281:D281"/>
    <mergeCell ref="A283:D283"/>
    <mergeCell ref="A254:B254"/>
    <mergeCell ref="C254:D254"/>
    <mergeCell ref="C255:D255"/>
    <mergeCell ref="A256:D256"/>
    <mergeCell ref="C262:D262"/>
    <mergeCell ref="A249:D249"/>
    <mergeCell ref="A252:B252"/>
    <mergeCell ref="C252:D252"/>
    <mergeCell ref="A253:B253"/>
    <mergeCell ref="C253:D253"/>
    <mergeCell ref="A243:B243"/>
    <mergeCell ref="C243:D243"/>
    <mergeCell ref="A244:B244"/>
    <mergeCell ref="C244:D244"/>
    <mergeCell ref="A245:B245"/>
    <mergeCell ref="C245:D245"/>
    <mergeCell ref="A240:B240"/>
    <mergeCell ref="C240:D240"/>
    <mergeCell ref="A241:B241"/>
    <mergeCell ref="C241:D241"/>
    <mergeCell ref="A242:B242"/>
    <mergeCell ref="C242:D242"/>
    <mergeCell ref="A237:B237"/>
    <mergeCell ref="C237:D237"/>
    <mergeCell ref="A238:B238"/>
    <mergeCell ref="C238:D238"/>
    <mergeCell ref="A239:B239"/>
    <mergeCell ref="C239:D239"/>
    <mergeCell ref="A226:D226"/>
    <mergeCell ref="A233:D233"/>
    <mergeCell ref="A235:B235"/>
    <mergeCell ref="C235:D235"/>
    <mergeCell ref="A236:B236"/>
    <mergeCell ref="C236:D236"/>
    <mergeCell ref="A217:D217"/>
    <mergeCell ref="A219:D219"/>
    <mergeCell ref="A220:D220"/>
    <mergeCell ref="A222:D222"/>
    <mergeCell ref="A224:D224"/>
    <mergeCell ref="A205:D205"/>
    <mergeCell ref="A206:D206"/>
    <mergeCell ref="A207:D207"/>
    <mergeCell ref="A213:D213"/>
    <mergeCell ref="A215:D215"/>
    <mergeCell ref="A186:B186"/>
    <mergeCell ref="C186:D186"/>
    <mergeCell ref="C187:D187"/>
    <mergeCell ref="A188:D188"/>
    <mergeCell ref="C194:D194"/>
    <mergeCell ref="A181:D181"/>
    <mergeCell ref="A184:B184"/>
    <mergeCell ref="C184:D184"/>
    <mergeCell ref="A185:B185"/>
    <mergeCell ref="C185:D185"/>
    <mergeCell ref="A175:B175"/>
    <mergeCell ref="C175:D175"/>
    <mergeCell ref="A176:B176"/>
    <mergeCell ref="C176:D176"/>
    <mergeCell ref="A177:B177"/>
    <mergeCell ref="C177:D177"/>
    <mergeCell ref="A172:B172"/>
    <mergeCell ref="C172:D172"/>
    <mergeCell ref="A173:B173"/>
    <mergeCell ref="C173:D173"/>
    <mergeCell ref="A174:B174"/>
    <mergeCell ref="C174:D174"/>
    <mergeCell ref="A169:B169"/>
    <mergeCell ref="C169:D169"/>
    <mergeCell ref="A170:B170"/>
    <mergeCell ref="C170:D170"/>
    <mergeCell ref="A171:B171"/>
    <mergeCell ref="C171:D171"/>
    <mergeCell ref="A158:D158"/>
    <mergeCell ref="A165:D165"/>
    <mergeCell ref="A167:B167"/>
    <mergeCell ref="C167:D167"/>
    <mergeCell ref="A168:B168"/>
    <mergeCell ref="C168:D168"/>
    <mergeCell ref="A149:D149"/>
    <mergeCell ref="A151:D151"/>
    <mergeCell ref="A152:D152"/>
    <mergeCell ref="A154:D154"/>
    <mergeCell ref="A156:D156"/>
    <mergeCell ref="A137:D137"/>
    <mergeCell ref="A138:D138"/>
    <mergeCell ref="A139:D139"/>
    <mergeCell ref="A145:D145"/>
    <mergeCell ref="A147:D147"/>
    <mergeCell ref="A118:B118"/>
    <mergeCell ref="C118:D118"/>
    <mergeCell ref="C119:D119"/>
    <mergeCell ref="A120:D120"/>
    <mergeCell ref="C126:D126"/>
    <mergeCell ref="A113:D113"/>
    <mergeCell ref="A116:B116"/>
    <mergeCell ref="C116:D116"/>
    <mergeCell ref="A117:B117"/>
    <mergeCell ref="C117:D117"/>
    <mergeCell ref="A107:B107"/>
    <mergeCell ref="C107:D107"/>
    <mergeCell ref="A108:B108"/>
    <mergeCell ref="C108:D108"/>
    <mergeCell ref="A109:B109"/>
    <mergeCell ref="C109:D109"/>
    <mergeCell ref="A104:B104"/>
    <mergeCell ref="C104:D104"/>
    <mergeCell ref="A105:B105"/>
    <mergeCell ref="C105:D105"/>
    <mergeCell ref="A106:B106"/>
    <mergeCell ref="C106:D106"/>
    <mergeCell ref="A101:B101"/>
    <mergeCell ref="C101:D101"/>
    <mergeCell ref="A102:B102"/>
    <mergeCell ref="C102:D102"/>
    <mergeCell ref="A103:B103"/>
    <mergeCell ref="C103:D103"/>
    <mergeCell ref="A90:D90"/>
    <mergeCell ref="A97:D97"/>
    <mergeCell ref="A99:B99"/>
    <mergeCell ref="C99:D99"/>
    <mergeCell ref="A100:B100"/>
    <mergeCell ref="C100:D100"/>
    <mergeCell ref="A81:D81"/>
    <mergeCell ref="A83:D83"/>
    <mergeCell ref="A84:D84"/>
    <mergeCell ref="A86:D86"/>
    <mergeCell ref="A88:D88"/>
    <mergeCell ref="A69:D69"/>
    <mergeCell ref="A70:D70"/>
    <mergeCell ref="A71:D71"/>
    <mergeCell ref="A77:D77"/>
    <mergeCell ref="A79:D79"/>
    <mergeCell ref="A22:D22"/>
    <mergeCell ref="A1:D1"/>
    <mergeCell ref="A2:D2"/>
    <mergeCell ref="A3:D3"/>
    <mergeCell ref="A9:D9"/>
    <mergeCell ref="A11:D11"/>
    <mergeCell ref="A13:D13"/>
    <mergeCell ref="A15:D15"/>
    <mergeCell ref="A16:D16"/>
    <mergeCell ref="A18:D18"/>
    <mergeCell ref="A20:D20"/>
    <mergeCell ref="A29:D29"/>
    <mergeCell ref="A31:B31"/>
    <mergeCell ref="C31:D31"/>
    <mergeCell ref="A32:B32"/>
    <mergeCell ref="C32:D32"/>
    <mergeCell ref="A33:B33"/>
    <mergeCell ref="C33:D33"/>
    <mergeCell ref="A34:B34"/>
    <mergeCell ref="C34:D34"/>
    <mergeCell ref="A35:B35"/>
    <mergeCell ref="C35:D35"/>
    <mergeCell ref="A36:B36"/>
    <mergeCell ref="C36:D36"/>
    <mergeCell ref="A37:B37"/>
    <mergeCell ref="C37:D37"/>
    <mergeCell ref="A38:B38"/>
    <mergeCell ref="C38:D38"/>
    <mergeCell ref="A39:B39"/>
    <mergeCell ref="C39:D39"/>
    <mergeCell ref="A40:B40"/>
    <mergeCell ref="C40:D40"/>
    <mergeCell ref="A41:B41"/>
    <mergeCell ref="C41:D41"/>
    <mergeCell ref="A52:D52"/>
    <mergeCell ref="C51:D51"/>
    <mergeCell ref="C58:D58"/>
    <mergeCell ref="A45:D45"/>
    <mergeCell ref="A48:B48"/>
    <mergeCell ref="C48:D48"/>
    <mergeCell ref="A49:B49"/>
    <mergeCell ref="C49:D49"/>
    <mergeCell ref="A50:B50"/>
    <mergeCell ref="C50:D50"/>
  </mergeCells>
  <pageMargins left="0.78" right="0.70866141732283472" top="0.74803149606299213" bottom="0.74803149606299213" header="0.31496062992125984" footer="0.31496062992125984"/>
  <pageSetup scale="65"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3:K56"/>
  <sheetViews>
    <sheetView workbookViewId="0">
      <selection activeCell="F13" sqref="F13"/>
    </sheetView>
  </sheetViews>
  <sheetFormatPr defaultRowHeight="15"/>
  <cols>
    <col min="1" max="1" width="5.140625" customWidth="1"/>
    <col min="5" max="5" width="22" customWidth="1"/>
    <col min="10" max="10" width="22.140625" customWidth="1"/>
    <col min="11" max="11" width="16.85546875" customWidth="1"/>
  </cols>
  <sheetData>
    <row r="3" spans="1:11" ht="15.75" thickBot="1"/>
    <row r="4" spans="1:11" ht="26.25">
      <c r="A4" s="94"/>
      <c r="B4" s="831" t="s">
        <v>363</v>
      </c>
      <c r="C4" s="831"/>
      <c r="D4" s="831"/>
      <c r="E4" s="831"/>
      <c r="F4" s="831"/>
      <c r="G4" s="831"/>
      <c r="H4" s="831"/>
      <c r="I4" s="831"/>
      <c r="J4" s="831"/>
      <c r="K4" s="96"/>
    </row>
    <row r="5" spans="1:11">
      <c r="A5" s="23"/>
      <c r="B5" s="929" t="s">
        <v>364</v>
      </c>
      <c r="C5" s="929"/>
      <c r="D5" s="929"/>
      <c r="E5" s="929"/>
      <c r="F5" s="929"/>
      <c r="G5" s="929"/>
      <c r="H5" s="929"/>
      <c r="I5" s="929"/>
      <c r="J5" s="929"/>
      <c r="K5" s="24"/>
    </row>
    <row r="6" spans="1:11">
      <c r="A6" s="23"/>
      <c r="B6" s="9"/>
      <c r="C6" s="9"/>
      <c r="D6" s="9"/>
      <c r="E6" s="9"/>
      <c r="F6" s="9"/>
      <c r="G6" s="9"/>
      <c r="H6" s="9"/>
      <c r="I6" s="9"/>
      <c r="J6" s="9"/>
      <c r="K6" s="24"/>
    </row>
    <row r="7" spans="1:11" ht="23.25">
      <c r="A7" s="23"/>
      <c r="B7" s="1027" t="s">
        <v>365</v>
      </c>
      <c r="C7" s="1027"/>
      <c r="D7" s="1027"/>
      <c r="E7" s="1027"/>
      <c r="F7" s="1027"/>
      <c r="G7" s="1027"/>
      <c r="H7" s="1027"/>
      <c r="I7" s="1027"/>
      <c r="J7" s="1027"/>
      <c r="K7" s="24"/>
    </row>
    <row r="8" spans="1:11">
      <c r="A8" s="23"/>
      <c r="B8" s="929"/>
      <c r="C8" s="929"/>
      <c r="D8" s="929"/>
      <c r="E8" s="929"/>
      <c r="F8" s="929"/>
      <c r="G8" s="929"/>
      <c r="H8" s="929"/>
      <c r="I8" s="929"/>
      <c r="J8" s="929"/>
      <c r="K8" s="24"/>
    </row>
    <row r="9" spans="1:11" ht="15.75" thickBot="1">
      <c r="A9" s="23"/>
      <c r="B9" s="1025" t="s">
        <v>178</v>
      </c>
      <c r="C9" s="1025"/>
      <c r="D9" s="1025"/>
      <c r="E9" s="1025"/>
      <c r="F9" s="325"/>
      <c r="G9" s="1026" t="s">
        <v>366</v>
      </c>
      <c r="H9" s="1026"/>
      <c r="I9" s="1026"/>
      <c r="J9" s="1026"/>
      <c r="K9" s="24"/>
    </row>
    <row r="10" spans="1:11">
      <c r="A10" s="23"/>
      <c r="B10" s="94"/>
      <c r="C10" s="95"/>
      <c r="D10" s="95"/>
      <c r="E10" s="96"/>
      <c r="F10" s="9"/>
      <c r="G10" s="94"/>
      <c r="H10" s="95"/>
      <c r="I10" s="95"/>
      <c r="J10" s="96"/>
      <c r="K10" s="24"/>
    </row>
    <row r="11" spans="1:11">
      <c r="A11" s="23"/>
      <c r="B11" s="23" t="str">
        <f>'4-22Master'!G5</f>
        <v>Burgeon IT Services Pvt.Ltd.</v>
      </c>
      <c r="E11" s="24"/>
      <c r="F11" s="9"/>
      <c r="G11" s="23" t="str">
        <f>'4-22Master'!AQ5</f>
        <v>Burgeon IT Services Pvt.Ltd.</v>
      </c>
      <c r="J11" s="24"/>
      <c r="K11" s="24"/>
    </row>
    <row r="12" spans="1:11">
      <c r="A12" s="23"/>
      <c r="B12" s="23"/>
      <c r="E12" s="24"/>
      <c r="F12" s="9"/>
      <c r="G12" s="23"/>
      <c r="J12" s="24"/>
      <c r="K12" s="24"/>
    </row>
    <row r="13" spans="1:11">
      <c r="A13" s="23"/>
      <c r="B13" s="23" t="str">
        <f>'4-22Master'!G6</f>
        <v>Siri Mansion LIGB 436 Dr.A S Rao Nagar,Hyderabad</v>
      </c>
      <c r="E13" s="24"/>
      <c r="F13" s="9"/>
      <c r="G13" s="23" t="str">
        <f>'4-22Master'!AQ6</f>
        <v>Siri Mansion LIGB 436 Dr.A S Rao Nagar,Hyderabad</v>
      </c>
      <c r="J13" s="24"/>
      <c r="K13" s="24"/>
    </row>
    <row r="14" spans="1:11">
      <c r="A14" s="23"/>
      <c r="B14" s="23"/>
      <c r="E14" s="24"/>
      <c r="F14" s="9"/>
      <c r="G14" s="23"/>
      <c r="J14" s="24"/>
      <c r="K14" s="24"/>
    </row>
    <row r="15" spans="1:11" ht="15.75" thickBot="1">
      <c r="A15" s="23"/>
      <c r="B15" s="35"/>
      <c r="C15" s="33"/>
      <c r="D15" s="33"/>
      <c r="E15" s="34"/>
      <c r="F15" s="9"/>
      <c r="G15" s="35"/>
      <c r="H15" s="33"/>
      <c r="I15" s="33"/>
      <c r="J15" s="34"/>
      <c r="K15" s="24"/>
    </row>
    <row r="16" spans="1:11">
      <c r="A16" s="23"/>
      <c r="K16" s="24"/>
    </row>
    <row r="17" spans="1:11" ht="15.75" thickBot="1">
      <c r="A17" s="23"/>
      <c r="B17" s="1025" t="s">
        <v>367</v>
      </c>
      <c r="C17" s="1025"/>
      <c r="D17" s="1025"/>
      <c r="E17" s="1025"/>
      <c r="F17" s="325"/>
      <c r="G17" s="1026" t="s">
        <v>368</v>
      </c>
      <c r="H17" s="1026"/>
      <c r="I17" s="1026"/>
      <c r="J17" s="1026"/>
      <c r="K17" s="24"/>
    </row>
    <row r="18" spans="1:11">
      <c r="A18" s="23"/>
      <c r="B18" s="94"/>
      <c r="C18" s="95"/>
      <c r="D18" s="95"/>
      <c r="E18" s="96"/>
      <c r="F18" s="9"/>
      <c r="G18" s="94"/>
      <c r="H18" s="95"/>
      <c r="I18" s="95"/>
      <c r="J18" s="96"/>
      <c r="K18" s="24"/>
    </row>
    <row r="19" spans="1:11">
      <c r="A19" s="23"/>
      <c r="B19" s="23"/>
      <c r="E19" s="24"/>
      <c r="F19" s="9"/>
      <c r="G19" s="23" t="str">
        <f>'4-22Master'!AQ10</f>
        <v>INFOSYS  LTD.IL Pune STP Unit,Plot No.1</v>
      </c>
      <c r="J19" s="24"/>
      <c r="K19" s="24"/>
    </row>
    <row r="20" spans="1:11">
      <c r="A20" s="23"/>
      <c r="B20" s="23"/>
      <c r="E20" s="24"/>
      <c r="F20" s="9"/>
      <c r="G20" s="23"/>
      <c r="J20" s="24"/>
      <c r="K20" s="24"/>
    </row>
    <row r="21" spans="1:11">
      <c r="A21" s="23"/>
      <c r="B21" s="23" t="str">
        <f>'4-22Master'!G8</f>
        <v>IT SUPPORTIVE SERVICES&amp; PUNE STP</v>
      </c>
      <c r="E21" s="24"/>
      <c r="F21" s="9"/>
      <c r="G21" s="23" t="str">
        <f>'4-22Master'!AQ11</f>
        <v>Rajiv gandhi Info tech park,Hinjawadi,Taluk Mulshi,Pune,Maharashtra 411057</v>
      </c>
      <c r="J21" s="24"/>
      <c r="K21" s="24"/>
    </row>
    <row r="22" spans="1:11">
      <c r="A22" s="23"/>
      <c r="B22" s="23"/>
      <c r="E22" s="24"/>
      <c r="F22" s="9"/>
      <c r="G22" s="23"/>
      <c r="J22" s="24"/>
      <c r="K22" s="24"/>
    </row>
    <row r="23" spans="1:11" ht="15.75" thickBot="1">
      <c r="A23" s="23"/>
      <c r="B23" s="35"/>
      <c r="C23" s="33"/>
      <c r="D23" s="33"/>
      <c r="E23" s="34"/>
      <c r="F23" s="9"/>
      <c r="G23" s="35"/>
      <c r="H23" s="33"/>
      <c r="I23" s="33"/>
      <c r="J23" s="34"/>
      <c r="K23" s="24"/>
    </row>
    <row r="24" spans="1:11">
      <c r="A24" s="23"/>
      <c r="K24" s="24"/>
    </row>
    <row r="25" spans="1:11">
      <c r="A25" s="23"/>
      <c r="K25" s="24"/>
    </row>
    <row r="26" spans="1:11">
      <c r="A26" s="23"/>
      <c r="B26" s="1022" t="s">
        <v>369</v>
      </c>
      <c r="C26" s="1022"/>
      <c r="D26" s="1022"/>
      <c r="E26" s="1022"/>
      <c r="F26" s="27"/>
      <c r="G26" s="27"/>
      <c r="H26" s="27"/>
      <c r="I26" s="27"/>
      <c r="J26" s="27"/>
      <c r="K26" s="24"/>
    </row>
    <row r="27" spans="1:11">
      <c r="A27" s="23"/>
      <c r="B27" s="326"/>
      <c r="C27" s="326"/>
      <c r="D27" s="326"/>
      <c r="E27" s="326"/>
      <c r="F27" s="77"/>
      <c r="G27" s="77"/>
      <c r="H27" s="77"/>
      <c r="I27" s="77"/>
      <c r="J27" s="77"/>
      <c r="K27" s="24"/>
    </row>
    <row r="28" spans="1:11">
      <c r="A28" s="23"/>
      <c r="B28" s="326"/>
      <c r="C28" s="326"/>
      <c r="D28" s="326"/>
      <c r="E28" s="326"/>
      <c r="F28" s="27"/>
      <c r="G28" s="27"/>
      <c r="H28" s="27"/>
      <c r="I28" s="27"/>
      <c r="J28" s="27"/>
      <c r="K28" s="24"/>
    </row>
    <row r="29" spans="1:11">
      <c r="A29" s="23"/>
      <c r="B29" s="326"/>
      <c r="C29" s="326"/>
      <c r="D29" s="326"/>
      <c r="E29" s="326"/>
      <c r="F29" s="77"/>
      <c r="G29" s="77"/>
      <c r="H29" s="77"/>
      <c r="I29" s="77"/>
      <c r="J29" s="77"/>
      <c r="K29" s="24"/>
    </row>
    <row r="30" spans="1:11">
      <c r="A30" s="23"/>
      <c r="B30" s="326"/>
      <c r="C30" s="326"/>
      <c r="D30" s="326"/>
      <c r="E30" s="326"/>
      <c r="K30" s="24"/>
    </row>
    <row r="31" spans="1:11">
      <c r="A31" s="23"/>
      <c r="B31" s="1022" t="s">
        <v>370</v>
      </c>
      <c r="C31" s="1022"/>
      <c r="D31" s="1022"/>
      <c r="E31" s="1022"/>
      <c r="F31" s="27"/>
      <c r="G31" s="27"/>
      <c r="H31" s="27"/>
      <c r="I31" s="27"/>
      <c r="J31" s="27"/>
      <c r="K31" s="24"/>
    </row>
    <row r="32" spans="1:11">
      <c r="A32" s="23"/>
      <c r="B32" s="326"/>
      <c r="C32" s="326"/>
      <c r="D32" s="326"/>
      <c r="E32" s="326"/>
      <c r="K32" s="24"/>
    </row>
    <row r="33" spans="1:11">
      <c r="A33" s="23"/>
      <c r="B33" s="1022" t="s">
        <v>371</v>
      </c>
      <c r="C33" s="1022"/>
      <c r="D33" s="1022"/>
      <c r="E33" s="1022"/>
      <c r="F33" s="27"/>
      <c r="G33" s="27"/>
      <c r="H33" s="27"/>
      <c r="I33" s="27"/>
      <c r="J33" s="27"/>
      <c r="K33" s="24"/>
    </row>
    <row r="34" spans="1:11">
      <c r="A34" s="23"/>
      <c r="B34" s="326"/>
      <c r="C34" s="326"/>
      <c r="D34" s="326"/>
      <c r="E34" s="326"/>
      <c r="K34" s="24"/>
    </row>
    <row r="35" spans="1:11">
      <c r="A35" s="23"/>
      <c r="B35" s="1022" t="s">
        <v>372</v>
      </c>
      <c r="C35" s="1022"/>
      <c r="D35" s="1022"/>
      <c r="E35" s="1022"/>
      <c r="F35" s="27"/>
      <c r="G35" s="27"/>
      <c r="H35" s="27"/>
      <c r="I35" s="27"/>
      <c r="J35" s="27"/>
      <c r="K35" s="24"/>
    </row>
    <row r="36" spans="1:11">
      <c r="A36" s="23"/>
      <c r="B36" s="326"/>
      <c r="C36" s="326"/>
      <c r="D36" s="326"/>
      <c r="E36" s="326"/>
      <c r="K36" s="24"/>
    </row>
    <row r="37" spans="1:11" ht="15.75" thickBot="1">
      <c r="A37" s="23"/>
      <c r="K37" s="24"/>
    </row>
    <row r="38" spans="1:11">
      <c r="A38" s="23"/>
      <c r="B38" s="1023" t="s">
        <v>373</v>
      </c>
      <c r="C38" s="1017" t="s">
        <v>374</v>
      </c>
      <c r="D38" s="1017"/>
      <c r="E38" s="1017" t="s">
        <v>375</v>
      </c>
      <c r="F38" s="1017"/>
      <c r="G38" s="1017" t="s">
        <v>376</v>
      </c>
      <c r="H38" s="1017"/>
      <c r="I38" s="1017"/>
      <c r="J38" s="1019" t="s">
        <v>40</v>
      </c>
      <c r="K38" s="24"/>
    </row>
    <row r="39" spans="1:11">
      <c r="A39" s="23"/>
      <c r="B39" s="1024"/>
      <c r="C39" s="1018"/>
      <c r="D39" s="1018"/>
      <c r="E39" s="1018"/>
      <c r="F39" s="1018"/>
      <c r="G39" s="1018"/>
      <c r="H39" s="1018"/>
      <c r="I39" s="1018"/>
      <c r="J39" s="1020"/>
      <c r="K39" s="24"/>
    </row>
    <row r="40" spans="1:11">
      <c r="A40" s="23"/>
      <c r="B40" s="1024"/>
      <c r="C40" s="327" t="s">
        <v>377</v>
      </c>
      <c r="D40" s="327" t="s">
        <v>151</v>
      </c>
      <c r="E40" s="1018"/>
      <c r="F40" s="1018"/>
      <c r="G40" s="1018"/>
      <c r="H40" s="1018"/>
      <c r="I40" s="1018"/>
      <c r="J40" s="1020"/>
      <c r="K40" s="24"/>
    </row>
    <row r="41" spans="1:11">
      <c r="A41" s="23"/>
      <c r="B41" s="328">
        <v>1</v>
      </c>
      <c r="C41" s="329">
        <v>2</v>
      </c>
      <c r="D41" s="329">
        <v>3</v>
      </c>
      <c r="E41" s="1021">
        <v>4</v>
      </c>
      <c r="F41" s="1021"/>
      <c r="G41" s="1021">
        <v>5</v>
      </c>
      <c r="H41" s="1021"/>
      <c r="I41" s="1021"/>
      <c r="J41" s="330">
        <v>6</v>
      </c>
      <c r="K41" s="24"/>
    </row>
    <row r="42" spans="1:11">
      <c r="A42" s="23"/>
      <c r="B42" s="329"/>
      <c r="C42" s="329"/>
      <c r="D42" s="329"/>
      <c r="E42" s="1004"/>
      <c r="F42" s="1004"/>
      <c r="G42" s="1004"/>
      <c r="H42" s="1004"/>
      <c r="I42" s="1004"/>
      <c r="J42" s="329"/>
      <c r="K42" s="24"/>
    </row>
    <row r="43" spans="1:11">
      <c r="A43" s="23"/>
      <c r="B43" s="329"/>
      <c r="C43" s="329"/>
      <c r="D43" s="329"/>
      <c r="E43" s="1004"/>
      <c r="F43" s="1004"/>
      <c r="G43" s="1004"/>
      <c r="H43" s="1004"/>
      <c r="I43" s="1004"/>
      <c r="J43" s="329"/>
      <c r="K43" s="24"/>
    </row>
    <row r="44" spans="1:11">
      <c r="A44" s="23"/>
      <c r="B44" s="329"/>
      <c r="C44" s="329"/>
      <c r="D44" s="329"/>
      <c r="E44" s="1004"/>
      <c r="F44" s="1004"/>
      <c r="G44" s="1004"/>
      <c r="H44" s="1004"/>
      <c r="I44" s="1004"/>
      <c r="J44" s="329"/>
      <c r="K44" s="24"/>
    </row>
    <row r="45" spans="1:11">
      <c r="A45" s="23"/>
      <c r="B45" s="19"/>
      <c r="C45" s="19"/>
      <c r="D45" s="19"/>
      <c r="E45" s="1004"/>
      <c r="F45" s="1004"/>
      <c r="G45" s="1004"/>
      <c r="H45" s="1004"/>
      <c r="I45" s="1004"/>
      <c r="J45" s="19"/>
      <c r="K45" s="24"/>
    </row>
    <row r="46" spans="1:11">
      <c r="A46" s="23"/>
      <c r="B46" s="19"/>
      <c r="C46" s="19"/>
      <c r="D46" s="19"/>
      <c r="E46" s="1004"/>
      <c r="F46" s="1004"/>
      <c r="G46" s="1004"/>
      <c r="H46" s="1004"/>
      <c r="I46" s="1004"/>
      <c r="J46" s="19"/>
      <c r="K46" s="24"/>
    </row>
    <row r="47" spans="1:11">
      <c r="A47" s="23"/>
      <c r="B47" s="19"/>
      <c r="C47" s="19"/>
      <c r="D47" s="19"/>
      <c r="E47" s="1004"/>
      <c r="F47" s="1004"/>
      <c r="G47" s="1004"/>
      <c r="H47" s="1004"/>
      <c r="I47" s="1004"/>
      <c r="J47" s="19"/>
      <c r="K47" s="24"/>
    </row>
    <row r="48" spans="1:11">
      <c r="A48" s="23"/>
      <c r="B48" s="19"/>
      <c r="C48" s="19"/>
      <c r="D48" s="19"/>
      <c r="E48" s="1004"/>
      <c r="F48" s="1004"/>
      <c r="G48" s="1004"/>
      <c r="H48" s="1004"/>
      <c r="I48" s="1004"/>
      <c r="J48" s="19"/>
      <c r="K48" s="24"/>
    </row>
    <row r="49" spans="1:11">
      <c r="A49" s="23"/>
      <c r="B49" s="19"/>
      <c r="C49" s="19"/>
      <c r="D49" s="19"/>
      <c r="E49" s="1004"/>
      <c r="F49" s="1004"/>
      <c r="G49" s="1004"/>
      <c r="H49" s="1004"/>
      <c r="I49" s="1004"/>
      <c r="J49" s="19"/>
      <c r="K49" s="24"/>
    </row>
    <row r="50" spans="1:11">
      <c r="A50" s="23"/>
      <c r="B50" s="19"/>
      <c r="C50" s="19"/>
      <c r="D50" s="19"/>
      <c r="E50" s="1004"/>
      <c r="F50" s="1004"/>
      <c r="G50" s="1004"/>
      <c r="H50" s="1004"/>
      <c r="I50" s="1004"/>
      <c r="J50" s="19"/>
      <c r="K50" s="24"/>
    </row>
    <row r="51" spans="1:11">
      <c r="A51" s="23"/>
      <c r="B51" s="19"/>
      <c r="C51" s="19"/>
      <c r="D51" s="19"/>
      <c r="E51" s="1004"/>
      <c r="F51" s="1004"/>
      <c r="G51" s="1004"/>
      <c r="H51" s="1004"/>
      <c r="I51" s="1004"/>
      <c r="J51" s="19"/>
      <c r="K51" s="24"/>
    </row>
    <row r="52" spans="1:11">
      <c r="A52" s="23"/>
      <c r="B52" s="19"/>
      <c r="C52" s="19"/>
      <c r="D52" s="19"/>
      <c r="E52" s="1004"/>
      <c r="F52" s="1004"/>
      <c r="G52" s="1004"/>
      <c r="H52" s="1004"/>
      <c r="I52" s="1004"/>
      <c r="J52" s="19"/>
      <c r="K52" s="24"/>
    </row>
    <row r="53" spans="1:11">
      <c r="A53" s="23"/>
      <c r="K53" s="24"/>
    </row>
    <row r="54" spans="1:11">
      <c r="A54" s="23"/>
      <c r="K54" s="24"/>
    </row>
    <row r="55" spans="1:11" ht="15.75" thickBot="1">
      <c r="A55" s="23"/>
      <c r="H55" s="828"/>
      <c r="I55" s="828"/>
      <c r="J55" s="828"/>
      <c r="K55" s="24"/>
    </row>
    <row r="56" spans="1:11" ht="15.75" thickBot="1">
      <c r="A56" s="35"/>
      <c r="B56" s="33"/>
      <c r="C56" s="33"/>
      <c r="D56" s="33"/>
      <c r="E56" s="33"/>
      <c r="F56" s="33"/>
      <c r="G56" s="33"/>
      <c r="H56" s="331" t="s">
        <v>378</v>
      </c>
      <c r="I56" s="38"/>
      <c r="J56" s="38"/>
      <c r="K56" s="34"/>
    </row>
  </sheetData>
  <mergeCells count="42">
    <mergeCell ref="B17:E17"/>
    <mergeCell ref="G17:J17"/>
    <mergeCell ref="B4:J4"/>
    <mergeCell ref="B5:J5"/>
    <mergeCell ref="B7:J7"/>
    <mergeCell ref="B8:J8"/>
    <mergeCell ref="B9:E9"/>
    <mergeCell ref="G9:J9"/>
    <mergeCell ref="B26:E26"/>
    <mergeCell ref="B31:E31"/>
    <mergeCell ref="B33:E33"/>
    <mergeCell ref="B35:E35"/>
    <mergeCell ref="B38:B40"/>
    <mergeCell ref="C38:D39"/>
    <mergeCell ref="E38:F40"/>
    <mergeCell ref="G38:I40"/>
    <mergeCell ref="J38:J40"/>
    <mergeCell ref="E41:F41"/>
    <mergeCell ref="G41:I41"/>
    <mergeCell ref="E45:F45"/>
    <mergeCell ref="G45:I45"/>
    <mergeCell ref="G46:I46"/>
    <mergeCell ref="E47:F47"/>
    <mergeCell ref="G47:I47"/>
    <mergeCell ref="E48:F48"/>
    <mergeCell ref="G48:I48"/>
    <mergeCell ref="E52:F52"/>
    <mergeCell ref="G52:I52"/>
    <mergeCell ref="H55:J55"/>
    <mergeCell ref="E42:F42"/>
    <mergeCell ref="E43:F43"/>
    <mergeCell ref="E44:F44"/>
    <mergeCell ref="G42:I42"/>
    <mergeCell ref="G43:I43"/>
    <mergeCell ref="G44:I44"/>
    <mergeCell ref="E49:F49"/>
    <mergeCell ref="G49:I49"/>
    <mergeCell ref="E50:F50"/>
    <mergeCell ref="G50:I50"/>
    <mergeCell ref="E51:F51"/>
    <mergeCell ref="G51:I51"/>
    <mergeCell ref="E46:F46"/>
  </mergeCells>
  <pageMargins left="0.94488188976377963" right="0.70866141732283472" top="0.74803149606299213" bottom="0.74803149606299213" header="0.31496062992125984" footer="0.31496062992125984"/>
  <pageSetup scale="6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PUNE STP APRIL 22 W M Reg</vt:lpstr>
      <vt:lpstr>4-22Master</vt:lpstr>
      <vt:lpstr>Eql rem</vt:lpstr>
      <vt:lpstr>04-22MH_Must-JULY</vt:lpstr>
      <vt:lpstr>04-22 F- M LEAV Reg</vt:lpstr>
      <vt:lpstr>MH_Regf W</vt:lpstr>
      <vt:lpstr>EmP Cards</vt:lpstr>
      <vt:lpstr>wage sllips</vt:lpstr>
      <vt:lpstr>4-22Bonus</vt:lpstr>
      <vt:lpstr>Deductions</vt:lpstr>
      <vt:lpstr>Fines</vt:lpstr>
      <vt:lpstr>Advances</vt:lpstr>
      <vt:lpstr>Overtime</vt:lpstr>
      <vt:lpstr>Accident</vt:lpstr>
      <vt:lpstr>FORM A</vt:lpstr>
      <vt:lpstr>FORM B</vt:lpstr>
      <vt:lpstr>FORM C</vt:lpstr>
      <vt:lpstr>FORM D</vt:lpstr>
      <vt:lpstr>ESI cards Reg</vt:lpstr>
      <vt:lpstr>Form-I</vt:lpstr>
      <vt:lpstr>Form-2</vt:lpstr>
      <vt:lpstr>Form 11</vt:lpstr>
      <vt:lpstr>Form-F</vt:lpstr>
      <vt:lpstr>Serive Certificate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admin</cp:lastModifiedBy>
  <cp:lastPrinted>2022-03-13T08:21:32Z</cp:lastPrinted>
  <dcterms:created xsi:type="dcterms:W3CDTF">2018-12-21T09:44:49Z</dcterms:created>
  <dcterms:modified xsi:type="dcterms:W3CDTF">2022-06-04T12:14:07Z</dcterms:modified>
</cp:coreProperties>
</file>