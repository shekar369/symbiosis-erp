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codeName="ThisWorkbook" defaultThemeVersion="124226"/>
  <mc:AlternateContent xmlns:mc="http://schemas.openxmlformats.org/markup-compatibility/2006">
    <mc:Choice Requires="x15">
      <x15ac:absPath xmlns:x15ac="http://schemas.microsoft.com/office/spreadsheetml/2010/11/ac" url="C:\Users\admin\Desktop\burgeon complted april 22\5 BURGEON-PUNE SEZ UNIT-I -APRIL 22\"/>
    </mc:Choice>
  </mc:AlternateContent>
  <xr:revisionPtr revIDLastSave="0" documentId="13_ncr:1_{EC40159D-AC57-4975-9C0C-81EDCB6B6AEF}" xr6:coauthVersionLast="46" xr6:coauthVersionMax="46" xr10:uidLastSave="{00000000-0000-0000-0000-000000000000}"/>
  <bookViews>
    <workbookView xWindow="-120" yWindow="-120" windowWidth="15600" windowHeight="11160" tabRatio="779" firstSheet="5" activeTab="8" xr2:uid="{00000000-000D-0000-FFFF-FFFF00000000}"/>
  </bookViews>
  <sheets>
    <sheet name="PUNE SEZ UNIt-1-APRIL22WM Reg" sheetId="28" r:id="rId1"/>
    <sheet name="04-221Master" sheetId="1" r:id="rId2"/>
    <sheet name="04-22 eq ren" sheetId="13" r:id="rId3"/>
    <sheet name="MH_Must Roll" sheetId="29" r:id="rId4"/>
    <sheet name="Form M Lea Reg" sheetId="27" r:id="rId5"/>
    <sheet name="MH_Regr of Wages" sheetId="30" r:id="rId6"/>
    <sheet name="Empl Cards" sheetId="10" r:id="rId7"/>
    <sheet name="wage sllips" sheetId="4" r:id="rId8"/>
    <sheet name="04-22Bonus" sheetId="12" r:id="rId9"/>
    <sheet name="Deductions" sheetId="5" r:id="rId10"/>
    <sheet name="Fines" sheetId="7" r:id="rId11"/>
    <sheet name="Advances" sheetId="6" r:id="rId12"/>
    <sheet name="Overtime" sheetId="8" r:id="rId13"/>
    <sheet name="Accident" sheetId="9" r:id="rId14"/>
    <sheet name="FORM A" sheetId="34" r:id="rId15"/>
    <sheet name="FORM B" sheetId="33" r:id="rId16"/>
    <sheet name="FORM C" sheetId="32" r:id="rId17"/>
    <sheet name="FORM D" sheetId="31" r:id="rId18"/>
    <sheet name="ESI cards Reg" sheetId="16" r:id="rId19"/>
    <sheet name="Form-I" sheetId="19" r:id="rId20"/>
    <sheet name="Form-2" sheetId="20" r:id="rId21"/>
    <sheet name="Form 11" sheetId="17" r:id="rId22"/>
    <sheet name="Form-F" sheetId="18" r:id="rId23"/>
    <sheet name="Serive Certificate" sheetId="21" r:id="rId24"/>
  </sheets>
  <externalReferences>
    <externalReference r:id="rId25"/>
  </externalReferences>
  <calcPr calcId="191029"/>
</workbook>
</file>

<file path=xl/calcChain.xml><?xml version="1.0" encoding="utf-8"?>
<calcChain xmlns="http://schemas.openxmlformats.org/spreadsheetml/2006/main">
  <c r="E6" i="5" l="1"/>
  <c r="E5" i="5"/>
  <c r="E6" i="7"/>
  <c r="E5" i="7"/>
  <c r="H1126" i="10"/>
  <c r="R996" i="4"/>
  <c r="H1076" i="10"/>
  <c r="R944" i="4"/>
  <c r="AB28" i="30"/>
  <c r="AB9" i="30"/>
  <c r="AB10" i="30"/>
  <c r="AB11" i="30"/>
  <c r="AB12" i="30"/>
  <c r="AB13" i="30"/>
  <c r="AB14" i="30"/>
  <c r="AB15" i="30"/>
  <c r="AB16" i="30"/>
  <c r="AB17" i="30"/>
  <c r="AB18" i="30"/>
  <c r="AB19" i="30"/>
  <c r="AB20" i="30"/>
  <c r="AB21" i="30"/>
  <c r="AB22" i="30"/>
  <c r="AB23" i="30"/>
  <c r="AB24" i="30"/>
  <c r="AB25" i="30"/>
  <c r="AB26" i="30"/>
  <c r="AB27" i="30"/>
  <c r="AB8" i="30"/>
  <c r="AA9" i="30"/>
  <c r="AA10" i="30"/>
  <c r="AA11" i="30"/>
  <c r="AA12" i="30"/>
  <c r="AA13" i="30"/>
  <c r="AA14" i="30"/>
  <c r="AA15" i="30"/>
  <c r="AA16" i="30"/>
  <c r="AA17" i="30"/>
  <c r="AA18" i="30"/>
  <c r="AA19" i="30"/>
  <c r="AA20" i="30"/>
  <c r="AA21" i="30"/>
  <c r="AA22" i="30"/>
  <c r="AA23" i="30"/>
  <c r="AA24" i="30"/>
  <c r="AA25" i="30"/>
  <c r="AA26" i="30"/>
  <c r="AA27" i="30"/>
  <c r="AA28" i="30"/>
  <c r="Z28" i="30"/>
  <c r="Z27" i="30"/>
  <c r="Z26" i="30"/>
  <c r="Z25" i="30"/>
  <c r="Z24" i="30"/>
  <c r="Z23" i="30"/>
  <c r="Z22" i="30"/>
  <c r="Z21" i="30"/>
  <c r="Z20" i="30"/>
  <c r="Z19" i="30"/>
  <c r="Z18" i="30"/>
  <c r="Z17" i="30"/>
  <c r="Z16" i="30"/>
  <c r="Z15" i="30"/>
  <c r="Z14" i="30"/>
  <c r="Z13" i="30"/>
  <c r="Z12" i="30"/>
  <c r="Z11" i="30"/>
  <c r="Z10" i="30"/>
  <c r="Z9" i="30"/>
  <c r="U29" i="30"/>
  <c r="B11" i="12" l="1"/>
  <c r="C11" i="12"/>
  <c r="E11" i="12"/>
  <c r="O11" i="12"/>
  <c r="P11" i="12"/>
  <c r="Q11" i="12"/>
  <c r="B12" i="12"/>
  <c r="C12" i="12"/>
  <c r="E12" i="12"/>
  <c r="O12" i="12"/>
  <c r="P12" i="12"/>
  <c r="Q12" i="12"/>
  <c r="B13" i="12"/>
  <c r="C13" i="12"/>
  <c r="E13" i="12"/>
  <c r="O13" i="12"/>
  <c r="P13" i="12"/>
  <c r="Q13" i="12"/>
  <c r="B14" i="12"/>
  <c r="C14" i="12"/>
  <c r="E14" i="12"/>
  <c r="O14" i="12"/>
  <c r="P14" i="12"/>
  <c r="Q14" i="12"/>
  <c r="B15" i="12"/>
  <c r="C15" i="12"/>
  <c r="E15" i="12"/>
  <c r="O15" i="12"/>
  <c r="P15" i="12"/>
  <c r="Q15" i="12"/>
  <c r="B16" i="12"/>
  <c r="C16" i="12"/>
  <c r="E16" i="12"/>
  <c r="O16" i="12"/>
  <c r="P16" i="12"/>
  <c r="Q16" i="12"/>
  <c r="B17" i="12"/>
  <c r="C17" i="12"/>
  <c r="E17" i="12"/>
  <c r="O17" i="12"/>
  <c r="P17" i="12"/>
  <c r="Q17" i="12"/>
  <c r="B18" i="12"/>
  <c r="C18" i="12"/>
  <c r="E18" i="12"/>
  <c r="O18" i="12"/>
  <c r="P18" i="12"/>
  <c r="Q18" i="12"/>
  <c r="B19" i="12"/>
  <c r="C19" i="12"/>
  <c r="E19" i="12"/>
  <c r="O19" i="12"/>
  <c r="P19" i="12"/>
  <c r="Q19" i="12"/>
  <c r="B20" i="12"/>
  <c r="C20" i="12"/>
  <c r="E20" i="12"/>
  <c r="O20" i="12"/>
  <c r="P20" i="12"/>
  <c r="Q20" i="12"/>
  <c r="B21" i="12"/>
  <c r="C21" i="12"/>
  <c r="E21" i="12"/>
  <c r="O21" i="12"/>
  <c r="P21" i="12"/>
  <c r="Q21" i="12"/>
  <c r="B22" i="12"/>
  <c r="C22" i="12"/>
  <c r="E22" i="12"/>
  <c r="O22" i="12"/>
  <c r="P22" i="12"/>
  <c r="Q22" i="12"/>
  <c r="B23" i="12"/>
  <c r="C23" i="12"/>
  <c r="E23" i="12"/>
  <c r="O23" i="12"/>
  <c r="P23" i="12"/>
  <c r="Q23" i="12"/>
  <c r="B24" i="12"/>
  <c r="C24" i="12"/>
  <c r="E24" i="12"/>
  <c r="O24" i="12"/>
  <c r="P24" i="12"/>
  <c r="Q24" i="12"/>
  <c r="B25" i="12"/>
  <c r="C25" i="12"/>
  <c r="E25" i="12"/>
  <c r="O25" i="12"/>
  <c r="P25" i="12"/>
  <c r="Q25" i="12"/>
  <c r="B26" i="12"/>
  <c r="C26" i="12"/>
  <c r="E26" i="12"/>
  <c r="O26" i="12"/>
  <c r="P26" i="12"/>
  <c r="Q26" i="12"/>
  <c r="B27" i="12"/>
  <c r="C27" i="12"/>
  <c r="E27" i="12"/>
  <c r="O27" i="12"/>
  <c r="P27" i="12"/>
  <c r="Q27" i="12"/>
  <c r="B28" i="12"/>
  <c r="C28" i="12"/>
  <c r="E28" i="12"/>
  <c r="O28" i="12"/>
  <c r="P28" i="12"/>
  <c r="Q28" i="12"/>
  <c r="B29" i="12"/>
  <c r="C29" i="12"/>
  <c r="E29" i="12"/>
  <c r="O29" i="12"/>
  <c r="P29" i="12"/>
  <c r="Q29" i="12"/>
  <c r="B30" i="12"/>
  <c r="C30" i="12"/>
  <c r="E30" i="12"/>
  <c r="O30" i="12"/>
  <c r="P30" i="12"/>
  <c r="Q30" i="12"/>
  <c r="E1000" i="4"/>
  <c r="G996" i="4"/>
  <c r="E996" i="4"/>
  <c r="E948" i="4"/>
  <c r="H944" i="4"/>
  <c r="E944" i="4"/>
  <c r="H1132" i="10"/>
  <c r="H1129" i="10"/>
  <c r="H1133" i="10"/>
  <c r="J1131" i="10"/>
  <c r="H1128" i="10"/>
  <c r="H1125" i="10"/>
  <c r="H1082" i="10"/>
  <c r="H1083" i="10"/>
  <c r="J1081" i="10"/>
  <c r="H1079" i="10"/>
  <c r="H1078" i="10"/>
  <c r="H1075" i="10"/>
  <c r="M29" i="30"/>
  <c r="D9" i="30"/>
  <c r="S9" i="30"/>
  <c r="D10" i="30"/>
  <c r="S10" i="30"/>
  <c r="D11" i="30"/>
  <c r="S11" i="30"/>
  <c r="D12" i="30"/>
  <c r="S12" i="30"/>
  <c r="D13" i="30"/>
  <c r="S13" i="30"/>
  <c r="D14" i="30"/>
  <c r="S14" i="30"/>
  <c r="D15" i="30"/>
  <c r="S15" i="30"/>
  <c r="D16" i="30"/>
  <c r="S16" i="30"/>
  <c r="D17" i="30"/>
  <c r="S17" i="30"/>
  <c r="D18" i="30"/>
  <c r="S18" i="30"/>
  <c r="D19" i="30"/>
  <c r="S19" i="30"/>
  <c r="D20" i="30"/>
  <c r="S20" i="30"/>
  <c r="D21" i="30"/>
  <c r="S21" i="30"/>
  <c r="D22" i="30"/>
  <c r="S22" i="30"/>
  <c r="D23" i="30"/>
  <c r="S23" i="30"/>
  <c r="D24" i="30"/>
  <c r="S24" i="30"/>
  <c r="D25" i="30"/>
  <c r="S25" i="30"/>
  <c r="D26" i="30"/>
  <c r="S26" i="30"/>
  <c r="D27" i="30"/>
  <c r="S27" i="30"/>
  <c r="D28" i="30"/>
  <c r="S28" i="30"/>
  <c r="G1188" i="27" l="1"/>
  <c r="G1186" i="27"/>
  <c r="G1130" i="27"/>
  <c r="G1128" i="27"/>
  <c r="F1197" i="27"/>
  <c r="F1139" i="27"/>
  <c r="B8" i="29"/>
  <c r="C8" i="29"/>
  <c r="D8" i="29"/>
  <c r="E8" i="29"/>
  <c r="F8" i="29"/>
  <c r="B9" i="29"/>
  <c r="C9" i="29"/>
  <c r="D9" i="29"/>
  <c r="E9" i="29"/>
  <c r="F9" i="29"/>
  <c r="B10" i="29"/>
  <c r="C10" i="29"/>
  <c r="D10" i="29"/>
  <c r="E10" i="29"/>
  <c r="F10" i="29"/>
  <c r="B11" i="29"/>
  <c r="C11" i="29"/>
  <c r="D11" i="29"/>
  <c r="E11" i="29"/>
  <c r="F11" i="29"/>
  <c r="B12" i="29"/>
  <c r="C12" i="29"/>
  <c r="D12" i="29"/>
  <c r="E12" i="29"/>
  <c r="F12" i="29"/>
  <c r="B13" i="29"/>
  <c r="C13" i="29"/>
  <c r="D13" i="29"/>
  <c r="E13" i="29"/>
  <c r="F13" i="29"/>
  <c r="B14" i="29"/>
  <c r="C14" i="29"/>
  <c r="D14" i="29"/>
  <c r="E14" i="29"/>
  <c r="F14" i="29"/>
  <c r="B15" i="29"/>
  <c r="C15" i="29"/>
  <c r="D15" i="29"/>
  <c r="E15" i="29"/>
  <c r="F15" i="29"/>
  <c r="B16" i="29"/>
  <c r="C16" i="29"/>
  <c r="D16" i="29"/>
  <c r="E16" i="29"/>
  <c r="F16" i="29"/>
  <c r="B17" i="29"/>
  <c r="C17" i="29"/>
  <c r="D17" i="29"/>
  <c r="E17" i="29"/>
  <c r="F17" i="29"/>
  <c r="B18" i="29"/>
  <c r="C18" i="29"/>
  <c r="D18" i="29"/>
  <c r="E18" i="29"/>
  <c r="F18" i="29"/>
  <c r="B19" i="29"/>
  <c r="C19" i="29"/>
  <c r="D19" i="29"/>
  <c r="E19" i="29"/>
  <c r="F19" i="29"/>
  <c r="B20" i="29"/>
  <c r="C20" i="29"/>
  <c r="D20" i="29"/>
  <c r="E20" i="29"/>
  <c r="F20" i="29"/>
  <c r="B21" i="29"/>
  <c r="C21" i="29"/>
  <c r="D21" i="29"/>
  <c r="E21" i="29"/>
  <c r="F21" i="29"/>
  <c r="B22" i="29"/>
  <c r="C22" i="29"/>
  <c r="D22" i="29"/>
  <c r="E22" i="29"/>
  <c r="F22" i="29"/>
  <c r="B23" i="29"/>
  <c r="C23" i="29"/>
  <c r="D23" i="29"/>
  <c r="E23" i="29"/>
  <c r="F23" i="29"/>
  <c r="B24" i="29"/>
  <c r="C24" i="29"/>
  <c r="D24" i="29"/>
  <c r="E24" i="29"/>
  <c r="F24" i="29"/>
  <c r="B25" i="29"/>
  <c r="C25" i="29"/>
  <c r="D25" i="29"/>
  <c r="E25" i="29"/>
  <c r="F25" i="29"/>
  <c r="B26" i="29"/>
  <c r="C26" i="29"/>
  <c r="D26" i="29"/>
  <c r="E26" i="29"/>
  <c r="F26" i="29"/>
  <c r="B27" i="29"/>
  <c r="C27" i="29"/>
  <c r="D27" i="29"/>
  <c r="E27" i="29"/>
  <c r="F27" i="29"/>
  <c r="C41" i="13"/>
  <c r="C16" i="13" s="1"/>
  <c r="D41" i="13"/>
  <c r="C14" i="13" s="1"/>
  <c r="E40" i="13"/>
  <c r="A40" i="13"/>
  <c r="A39" i="13"/>
  <c r="E39" i="13"/>
  <c r="AO17" i="1"/>
  <c r="AP17" i="1"/>
  <c r="Q9" i="30" s="1"/>
  <c r="AQ17" i="1"/>
  <c r="O9" i="30" s="1"/>
  <c r="AR17" i="1"/>
  <c r="P9" i="30" s="1"/>
  <c r="AO18" i="1"/>
  <c r="AP18" i="1"/>
  <c r="Q10" i="30" s="1"/>
  <c r="AQ18" i="1"/>
  <c r="O10" i="30" s="1"/>
  <c r="AR18" i="1"/>
  <c r="P10" i="30" s="1"/>
  <c r="AO19" i="1"/>
  <c r="AP19" i="1"/>
  <c r="Q11" i="30" s="1"/>
  <c r="AQ19" i="1"/>
  <c r="O11" i="30" s="1"/>
  <c r="AR19" i="1"/>
  <c r="P11" i="30" s="1"/>
  <c r="AO20" i="1"/>
  <c r="AP20" i="1"/>
  <c r="Q12" i="30" s="1"/>
  <c r="AQ20" i="1"/>
  <c r="O12" i="30" s="1"/>
  <c r="AR20" i="1"/>
  <c r="P12" i="30" s="1"/>
  <c r="AO21" i="1"/>
  <c r="AP21" i="1"/>
  <c r="Q13" i="30" s="1"/>
  <c r="AQ21" i="1"/>
  <c r="O13" i="30" s="1"/>
  <c r="AR21" i="1"/>
  <c r="P13" i="30" s="1"/>
  <c r="AO22" i="1"/>
  <c r="AP22" i="1"/>
  <c r="Q14" i="30" s="1"/>
  <c r="AQ22" i="1"/>
  <c r="O14" i="30" s="1"/>
  <c r="AR22" i="1"/>
  <c r="P14" i="30" s="1"/>
  <c r="AO23" i="1"/>
  <c r="AP23" i="1"/>
  <c r="Q15" i="30" s="1"/>
  <c r="AQ23" i="1"/>
  <c r="O15" i="30" s="1"/>
  <c r="AR23" i="1"/>
  <c r="P15" i="30" s="1"/>
  <c r="AO24" i="1"/>
  <c r="AP24" i="1"/>
  <c r="Q16" i="30" s="1"/>
  <c r="AQ24" i="1"/>
  <c r="O16" i="30" s="1"/>
  <c r="AR24" i="1"/>
  <c r="P16" i="30" s="1"/>
  <c r="AO25" i="1"/>
  <c r="AP25" i="1"/>
  <c r="Q17" i="30" s="1"/>
  <c r="AQ25" i="1"/>
  <c r="O17" i="30" s="1"/>
  <c r="AR25" i="1"/>
  <c r="P17" i="30" s="1"/>
  <c r="AO26" i="1"/>
  <c r="AP26" i="1"/>
  <c r="Q18" i="30" s="1"/>
  <c r="AQ26" i="1"/>
  <c r="O18" i="30" s="1"/>
  <c r="AR26" i="1"/>
  <c r="P18" i="30" s="1"/>
  <c r="AO27" i="1"/>
  <c r="AP27" i="1"/>
  <c r="Q19" i="30" s="1"/>
  <c r="AQ27" i="1"/>
  <c r="O19" i="30" s="1"/>
  <c r="AR27" i="1"/>
  <c r="P19" i="30" s="1"/>
  <c r="AO28" i="1"/>
  <c r="AP28" i="1"/>
  <c r="Q20" i="30" s="1"/>
  <c r="AQ28" i="1"/>
  <c r="O20" i="30" s="1"/>
  <c r="AR28" i="1"/>
  <c r="P20" i="30" s="1"/>
  <c r="AO29" i="1"/>
  <c r="AP29" i="1"/>
  <c r="Q21" i="30" s="1"/>
  <c r="AQ29" i="1"/>
  <c r="O21" i="30" s="1"/>
  <c r="AR29" i="1"/>
  <c r="P21" i="30" s="1"/>
  <c r="AO30" i="1"/>
  <c r="AP30" i="1"/>
  <c r="Q22" i="30" s="1"/>
  <c r="AQ30" i="1"/>
  <c r="O22" i="30" s="1"/>
  <c r="AR30" i="1"/>
  <c r="P22" i="30" s="1"/>
  <c r="AO31" i="1"/>
  <c r="AP31" i="1"/>
  <c r="Q23" i="30" s="1"/>
  <c r="AQ31" i="1"/>
  <c r="O23" i="30" s="1"/>
  <c r="AR31" i="1"/>
  <c r="P23" i="30" s="1"/>
  <c r="AO32" i="1"/>
  <c r="AP32" i="1"/>
  <c r="Q24" i="30" s="1"/>
  <c r="AQ32" i="1"/>
  <c r="O24" i="30" s="1"/>
  <c r="AR32" i="1"/>
  <c r="P24" i="30" s="1"/>
  <c r="AO33" i="1"/>
  <c r="AP33" i="1"/>
  <c r="Q25" i="30" s="1"/>
  <c r="AQ33" i="1"/>
  <c r="O25" i="30" s="1"/>
  <c r="AR33" i="1"/>
  <c r="P25" i="30" s="1"/>
  <c r="AO34" i="1"/>
  <c r="AP34" i="1"/>
  <c r="Q26" i="30" s="1"/>
  <c r="AQ34" i="1"/>
  <c r="O26" i="30" s="1"/>
  <c r="AR34" i="1"/>
  <c r="P26" i="30" s="1"/>
  <c r="AO35" i="1"/>
  <c r="AP35" i="1"/>
  <c r="AQ35" i="1"/>
  <c r="AR35" i="1"/>
  <c r="AO36" i="1"/>
  <c r="AP36" i="1"/>
  <c r="AQ36" i="1"/>
  <c r="AR36" i="1"/>
  <c r="AR16" i="1"/>
  <c r="AQ16" i="1"/>
  <c r="AP16" i="1"/>
  <c r="AO16" i="1"/>
  <c r="AL17" i="1"/>
  <c r="AL18" i="1"/>
  <c r="AL19" i="1"/>
  <c r="AL20" i="1"/>
  <c r="AL21" i="1"/>
  <c r="AL22" i="1"/>
  <c r="AL23" i="1"/>
  <c r="AL24" i="1"/>
  <c r="AL25" i="1"/>
  <c r="AL26" i="1"/>
  <c r="AL27" i="1"/>
  <c r="AL28" i="1"/>
  <c r="AL29" i="1"/>
  <c r="AL30" i="1"/>
  <c r="AL31" i="1"/>
  <c r="AL32" i="1"/>
  <c r="AL33" i="1"/>
  <c r="AL34" i="1"/>
  <c r="AL35" i="1"/>
  <c r="AL36" i="1"/>
  <c r="AL16" i="1"/>
  <c r="AI17" i="1"/>
  <c r="AJ17" i="1"/>
  <c r="AK17" i="1"/>
  <c r="AI18" i="1"/>
  <c r="AJ18" i="1"/>
  <c r="AK18" i="1"/>
  <c r="AK37" i="1" s="1"/>
  <c r="AI19" i="1"/>
  <c r="AJ19" i="1"/>
  <c r="AK19" i="1"/>
  <c r="AI20" i="1"/>
  <c r="AI37" i="1" s="1"/>
  <c r="AJ20" i="1"/>
  <c r="AK20" i="1"/>
  <c r="AI21" i="1"/>
  <c r="AJ21" i="1"/>
  <c r="AK21" i="1"/>
  <c r="AI22" i="1"/>
  <c r="AJ22" i="1"/>
  <c r="AK22" i="1"/>
  <c r="AI23" i="1"/>
  <c r="AJ23" i="1"/>
  <c r="AK23" i="1"/>
  <c r="AI24" i="1"/>
  <c r="AJ24" i="1"/>
  <c r="AK24" i="1"/>
  <c r="AI25" i="1"/>
  <c r="AJ25" i="1"/>
  <c r="AK25" i="1"/>
  <c r="AI26" i="1"/>
  <c r="AJ26" i="1"/>
  <c r="AK26" i="1"/>
  <c r="AI27" i="1"/>
  <c r="AJ27" i="1"/>
  <c r="AK27" i="1"/>
  <c r="AI28" i="1"/>
  <c r="AJ28" i="1"/>
  <c r="AK28" i="1"/>
  <c r="AI29" i="1"/>
  <c r="AJ29" i="1"/>
  <c r="AK29" i="1"/>
  <c r="AI30" i="1"/>
  <c r="AJ30" i="1"/>
  <c r="AK30" i="1"/>
  <c r="AI31" i="1"/>
  <c r="AJ31" i="1"/>
  <c r="AK31" i="1"/>
  <c r="AI32" i="1"/>
  <c r="AJ32" i="1"/>
  <c r="AK32" i="1"/>
  <c r="AI33" i="1"/>
  <c r="AJ33" i="1"/>
  <c r="AK33" i="1"/>
  <c r="AI34" i="1"/>
  <c r="AJ34" i="1"/>
  <c r="AK34" i="1"/>
  <c r="AI35" i="1"/>
  <c r="AJ35" i="1"/>
  <c r="AK35" i="1"/>
  <c r="AI36" i="1"/>
  <c r="AJ36" i="1"/>
  <c r="AK36" i="1"/>
  <c r="AK16" i="1"/>
  <c r="AJ16" i="1"/>
  <c r="AI16" i="1"/>
  <c r="H10" i="12" s="1"/>
  <c r="AD17" i="1"/>
  <c r="AE17" i="1"/>
  <c r="G9" i="30" s="1"/>
  <c r="AF17" i="1"/>
  <c r="J9" i="30" s="1"/>
  <c r="AG17" i="1"/>
  <c r="I9" i="30" s="1"/>
  <c r="AD18" i="1"/>
  <c r="AE18" i="1"/>
  <c r="G10" i="30" s="1"/>
  <c r="AF18" i="1"/>
  <c r="J10" i="30" s="1"/>
  <c r="AG18" i="1"/>
  <c r="I10" i="30" s="1"/>
  <c r="AD19" i="1"/>
  <c r="AE19" i="1"/>
  <c r="G11" i="30" s="1"/>
  <c r="AF19" i="1"/>
  <c r="J11" i="30" s="1"/>
  <c r="AG19" i="1"/>
  <c r="I11" i="30" s="1"/>
  <c r="AD20" i="1"/>
  <c r="AE20" i="1"/>
  <c r="G12" i="30" s="1"/>
  <c r="AF20" i="1"/>
  <c r="J12" i="30" s="1"/>
  <c r="AG20" i="1"/>
  <c r="I12" i="30" s="1"/>
  <c r="AD21" i="1"/>
  <c r="AE21" i="1"/>
  <c r="G13" i="30" s="1"/>
  <c r="AF21" i="1"/>
  <c r="J13" i="30" s="1"/>
  <c r="AG21" i="1"/>
  <c r="I13" i="30" s="1"/>
  <c r="AD22" i="1"/>
  <c r="AE22" i="1"/>
  <c r="G14" i="30" s="1"/>
  <c r="AF22" i="1"/>
  <c r="J14" i="30" s="1"/>
  <c r="AG22" i="1"/>
  <c r="I14" i="30" s="1"/>
  <c r="AD23" i="1"/>
  <c r="AE23" i="1"/>
  <c r="G15" i="30" s="1"/>
  <c r="AF23" i="1"/>
  <c r="J15" i="30" s="1"/>
  <c r="AG23" i="1"/>
  <c r="I15" i="30" s="1"/>
  <c r="AD24" i="1"/>
  <c r="AE24" i="1"/>
  <c r="G16" i="30" s="1"/>
  <c r="AF24" i="1"/>
  <c r="J16" i="30" s="1"/>
  <c r="AG24" i="1"/>
  <c r="I16" i="30" s="1"/>
  <c r="AD25" i="1"/>
  <c r="AE25" i="1"/>
  <c r="G17" i="30" s="1"/>
  <c r="AF25" i="1"/>
  <c r="J17" i="30" s="1"/>
  <c r="AG25" i="1"/>
  <c r="I17" i="30" s="1"/>
  <c r="AD26" i="1"/>
  <c r="AE26" i="1"/>
  <c r="G18" i="30" s="1"/>
  <c r="AF26" i="1"/>
  <c r="J18" i="30" s="1"/>
  <c r="AG26" i="1"/>
  <c r="I18" i="30" s="1"/>
  <c r="AD27" i="1"/>
  <c r="AE27" i="1"/>
  <c r="G19" i="30" s="1"/>
  <c r="AF27" i="1"/>
  <c r="J19" i="30" s="1"/>
  <c r="AG27" i="1"/>
  <c r="I19" i="30" s="1"/>
  <c r="AD28" i="1"/>
  <c r="AE28" i="1"/>
  <c r="G20" i="30" s="1"/>
  <c r="AF28" i="1"/>
  <c r="J20" i="30" s="1"/>
  <c r="AG28" i="1"/>
  <c r="I20" i="30" s="1"/>
  <c r="AD29" i="1"/>
  <c r="AE29" i="1"/>
  <c r="G21" i="30" s="1"/>
  <c r="AF29" i="1"/>
  <c r="J21" i="30" s="1"/>
  <c r="AG29" i="1"/>
  <c r="I21" i="30" s="1"/>
  <c r="AD30" i="1"/>
  <c r="AE30" i="1"/>
  <c r="G22" i="30" s="1"/>
  <c r="AF30" i="1"/>
  <c r="J22" i="30" s="1"/>
  <c r="AG30" i="1"/>
  <c r="I22" i="30" s="1"/>
  <c r="AD31" i="1"/>
  <c r="AE31" i="1"/>
  <c r="G23" i="30" s="1"/>
  <c r="AF31" i="1"/>
  <c r="J23" i="30" s="1"/>
  <c r="AG31" i="1"/>
  <c r="I23" i="30" s="1"/>
  <c r="AD32" i="1"/>
  <c r="AE32" i="1"/>
  <c r="G24" i="30" s="1"/>
  <c r="AF32" i="1"/>
  <c r="J24" i="30" s="1"/>
  <c r="AG32" i="1"/>
  <c r="I24" i="30" s="1"/>
  <c r="AD33" i="1"/>
  <c r="AE33" i="1"/>
  <c r="G25" i="30" s="1"/>
  <c r="AF33" i="1"/>
  <c r="J25" i="30" s="1"/>
  <c r="AG33" i="1"/>
  <c r="I25" i="30" s="1"/>
  <c r="AD34" i="1"/>
  <c r="AE34" i="1"/>
  <c r="G26" i="30" s="1"/>
  <c r="AF34" i="1"/>
  <c r="J26" i="30" s="1"/>
  <c r="AG34" i="1"/>
  <c r="I26" i="30" s="1"/>
  <c r="AD35" i="1"/>
  <c r="AE35" i="1"/>
  <c r="G27" i="30" s="1"/>
  <c r="AF35" i="1"/>
  <c r="J27" i="30" s="1"/>
  <c r="AG35" i="1"/>
  <c r="I27" i="30" s="1"/>
  <c r="AD36" i="1"/>
  <c r="AE36" i="1"/>
  <c r="G28" i="30" s="1"/>
  <c r="AF36" i="1"/>
  <c r="J28" i="30" s="1"/>
  <c r="AG36" i="1"/>
  <c r="I28" i="30" s="1"/>
  <c r="AG16" i="1"/>
  <c r="AF16" i="1"/>
  <c r="AE16" i="1"/>
  <c r="AD16" i="1"/>
  <c r="AD37" i="1" s="1"/>
  <c r="Z17" i="1"/>
  <c r="Z18" i="1"/>
  <c r="Z19" i="1"/>
  <c r="Z20" i="1"/>
  <c r="Z21" i="1"/>
  <c r="Z22" i="1"/>
  <c r="Z23" i="1"/>
  <c r="Z24" i="1"/>
  <c r="Z25" i="1"/>
  <c r="Z26" i="1"/>
  <c r="Z27" i="1"/>
  <c r="Z28" i="1"/>
  <c r="Z29" i="1"/>
  <c r="Z30" i="1"/>
  <c r="Z31" i="1"/>
  <c r="Z32" i="1"/>
  <c r="Z33" i="1"/>
  <c r="Z34" i="1"/>
  <c r="Z35" i="1"/>
  <c r="E27" i="30" s="1"/>
  <c r="Z36" i="1"/>
  <c r="Z16" i="1"/>
  <c r="AG37" i="1"/>
  <c r="AE37" i="1"/>
  <c r="X37" i="1"/>
  <c r="Y37" i="1"/>
  <c r="AA37" i="1"/>
  <c r="AB37" i="1"/>
  <c r="AN37" i="1"/>
  <c r="AO37" i="1"/>
  <c r="AP37" i="1"/>
  <c r="W17" i="1"/>
  <c r="W18" i="1"/>
  <c r="W19" i="1"/>
  <c r="W20" i="1"/>
  <c r="W21" i="1"/>
  <c r="W22" i="1"/>
  <c r="W23" i="1"/>
  <c r="W24" i="1"/>
  <c r="W25" i="1"/>
  <c r="W26" i="1"/>
  <c r="W27" i="1"/>
  <c r="W28" i="1"/>
  <c r="W29" i="1"/>
  <c r="W30" i="1"/>
  <c r="W31" i="1"/>
  <c r="W32" i="1"/>
  <c r="W33" i="1"/>
  <c r="W34" i="1"/>
  <c r="W35" i="1"/>
  <c r="W36" i="1"/>
  <c r="W16" i="1"/>
  <c r="AR37" i="1" l="1"/>
  <c r="AQ37" i="1"/>
  <c r="AO24" i="29"/>
  <c r="F27" i="12"/>
  <c r="AO20" i="29"/>
  <c r="F23" i="12"/>
  <c r="AO16" i="29"/>
  <c r="F19" i="12"/>
  <c r="AO12" i="29"/>
  <c r="F15" i="12"/>
  <c r="AO8" i="29"/>
  <c r="F11" i="12"/>
  <c r="AM34" i="1"/>
  <c r="E26" i="30"/>
  <c r="AM30" i="1"/>
  <c r="E22" i="30"/>
  <c r="AM26" i="1"/>
  <c r="E18" i="30"/>
  <c r="AM22" i="1"/>
  <c r="E14" i="30"/>
  <c r="AM18" i="1"/>
  <c r="E10" i="30"/>
  <c r="AF37" i="1"/>
  <c r="H27" i="12"/>
  <c r="H25" i="30"/>
  <c r="H23" i="12"/>
  <c r="H21" i="30"/>
  <c r="H19" i="12"/>
  <c r="H17" i="30"/>
  <c r="H15" i="12"/>
  <c r="H13" i="30"/>
  <c r="H11" i="12"/>
  <c r="H9" i="30"/>
  <c r="K1140" i="10"/>
  <c r="G1013" i="4"/>
  <c r="O28" i="30"/>
  <c r="G961" i="4"/>
  <c r="K1090" i="10"/>
  <c r="O27" i="30"/>
  <c r="AO26" i="29"/>
  <c r="E950" i="4"/>
  <c r="J1085" i="10"/>
  <c r="F29" i="12"/>
  <c r="W37" i="1"/>
  <c r="AO27" i="29"/>
  <c r="F30" i="12"/>
  <c r="E1002" i="4"/>
  <c r="AO23" i="29"/>
  <c r="F26" i="12"/>
  <c r="AO19" i="29"/>
  <c r="F22" i="12"/>
  <c r="AO15" i="29"/>
  <c r="F18" i="12"/>
  <c r="AO11" i="29"/>
  <c r="F14" i="12"/>
  <c r="AM33" i="1"/>
  <c r="E25" i="30"/>
  <c r="AM29" i="1"/>
  <c r="E21" i="30"/>
  <c r="AM25" i="1"/>
  <c r="E17" i="30"/>
  <c r="AM21" i="1"/>
  <c r="E13" i="30"/>
  <c r="AM17" i="1"/>
  <c r="E9" i="30"/>
  <c r="G40" i="13"/>
  <c r="F28" i="30"/>
  <c r="G39" i="13"/>
  <c r="F27" i="30"/>
  <c r="AC34" i="1"/>
  <c r="F26" i="30"/>
  <c r="AC33" i="1"/>
  <c r="F25" i="30"/>
  <c r="AC32" i="1"/>
  <c r="F24" i="30"/>
  <c r="AC31" i="1"/>
  <c r="F23" i="30"/>
  <c r="AC30" i="1"/>
  <c r="F22" i="30"/>
  <c r="AC29" i="1"/>
  <c r="F21" i="30"/>
  <c r="AC28" i="1"/>
  <c r="F20" i="30"/>
  <c r="AC27" i="1"/>
  <c r="F19" i="30"/>
  <c r="AC26" i="1"/>
  <c r="F18" i="30"/>
  <c r="AC25" i="1"/>
  <c r="F17" i="30"/>
  <c r="AC24" i="1"/>
  <c r="F16" i="30"/>
  <c r="AC23" i="1"/>
  <c r="F15" i="30"/>
  <c r="AC22" i="1"/>
  <c r="F14" i="30"/>
  <c r="AC21" i="1"/>
  <c r="F13" i="30"/>
  <c r="AC20" i="1"/>
  <c r="F12" i="30"/>
  <c r="AC19" i="1"/>
  <c r="F11" i="30"/>
  <c r="AC18" i="1"/>
  <c r="F10" i="30"/>
  <c r="AC17" i="1"/>
  <c r="F9" i="30"/>
  <c r="H28" i="12"/>
  <c r="H26" i="30"/>
  <c r="H24" i="12"/>
  <c r="H22" i="30"/>
  <c r="H20" i="12"/>
  <c r="H18" i="30"/>
  <c r="H16" i="12"/>
  <c r="H14" i="30"/>
  <c r="H12" i="12"/>
  <c r="H10" i="30"/>
  <c r="F1013" i="4"/>
  <c r="I1140" i="10"/>
  <c r="Q28" i="30"/>
  <c r="F961" i="4"/>
  <c r="I1090" i="10"/>
  <c r="Q27" i="30"/>
  <c r="AO22" i="29"/>
  <c r="F25" i="12"/>
  <c r="AO18" i="29"/>
  <c r="F21" i="12"/>
  <c r="AO14" i="29"/>
  <c r="F17" i="12"/>
  <c r="AO10" i="29"/>
  <c r="F13" i="12"/>
  <c r="AM36" i="1"/>
  <c r="E28" i="30"/>
  <c r="AM32" i="1"/>
  <c r="AT32" i="1" s="1"/>
  <c r="U24" i="30" s="1"/>
  <c r="E24" i="30"/>
  <c r="AM28" i="1"/>
  <c r="E20" i="30"/>
  <c r="AM24" i="1"/>
  <c r="AT24" i="1" s="1"/>
  <c r="U16" i="30" s="1"/>
  <c r="E16" i="30"/>
  <c r="AM20" i="1"/>
  <c r="E12" i="30"/>
  <c r="H29" i="12"/>
  <c r="H27" i="30"/>
  <c r="H25" i="12"/>
  <c r="H23" i="30"/>
  <c r="H21" i="12"/>
  <c r="H19" i="30"/>
  <c r="H17" i="12"/>
  <c r="H15" i="30"/>
  <c r="H13" i="12"/>
  <c r="H11" i="30"/>
  <c r="AS36" i="1"/>
  <c r="T28" i="30" s="1"/>
  <c r="D1013" i="4"/>
  <c r="E1140" i="10"/>
  <c r="R28" i="30"/>
  <c r="AS35" i="1"/>
  <c r="T27" i="30" s="1"/>
  <c r="D961" i="4"/>
  <c r="E1090" i="10"/>
  <c r="R27" i="30"/>
  <c r="AS34" i="1"/>
  <c r="T26" i="30" s="1"/>
  <c r="R26" i="30"/>
  <c r="AS33" i="1"/>
  <c r="T25" i="30" s="1"/>
  <c r="R25" i="30"/>
  <c r="AS32" i="1"/>
  <c r="T24" i="30" s="1"/>
  <c r="R24" i="30"/>
  <c r="AS31" i="1"/>
  <c r="T23" i="30" s="1"/>
  <c r="R23" i="30"/>
  <c r="AS30" i="1"/>
  <c r="T22" i="30" s="1"/>
  <c r="R22" i="30"/>
  <c r="AS29" i="1"/>
  <c r="T21" i="30" s="1"/>
  <c r="R21" i="30"/>
  <c r="AS28" i="1"/>
  <c r="T20" i="30" s="1"/>
  <c r="R20" i="30"/>
  <c r="AS27" i="1"/>
  <c r="T19" i="30" s="1"/>
  <c r="R19" i="30"/>
  <c r="AS26" i="1"/>
  <c r="T18" i="30" s="1"/>
  <c r="R18" i="30"/>
  <c r="AS25" i="1"/>
  <c r="T17" i="30" s="1"/>
  <c r="R17" i="30"/>
  <c r="AS24" i="1"/>
  <c r="T16" i="30" s="1"/>
  <c r="R16" i="30"/>
  <c r="AS23" i="1"/>
  <c r="T15" i="30" s="1"/>
  <c r="R15" i="30"/>
  <c r="AS22" i="1"/>
  <c r="T14" i="30" s="1"/>
  <c r="R14" i="30"/>
  <c r="AS21" i="1"/>
  <c r="T13" i="30" s="1"/>
  <c r="R13" i="30"/>
  <c r="AS20" i="1"/>
  <c r="T12" i="30" s="1"/>
  <c r="R12" i="30"/>
  <c r="AS19" i="1"/>
  <c r="T11" i="30" s="1"/>
  <c r="R11" i="30"/>
  <c r="AS18" i="1"/>
  <c r="T10" i="30" s="1"/>
  <c r="R10" i="30"/>
  <c r="AS17" i="1"/>
  <c r="T9" i="30" s="1"/>
  <c r="R9" i="30"/>
  <c r="AO25" i="29"/>
  <c r="F28" i="12"/>
  <c r="AO21" i="29"/>
  <c r="F24" i="12"/>
  <c r="AO17" i="29"/>
  <c r="F20" i="12"/>
  <c r="AO13" i="29"/>
  <c r="F16" i="12"/>
  <c r="AO9" i="29"/>
  <c r="F12" i="12"/>
  <c r="AM31" i="1"/>
  <c r="AT31" i="1" s="1"/>
  <c r="U23" i="30" s="1"/>
  <c r="E23" i="30"/>
  <c r="AM27" i="1"/>
  <c r="E19" i="30"/>
  <c r="AM23" i="1"/>
  <c r="AT23" i="1" s="1"/>
  <c r="U15" i="30" s="1"/>
  <c r="E15" i="30"/>
  <c r="AM19" i="1"/>
  <c r="E11" i="30"/>
  <c r="AJ37" i="1"/>
  <c r="H30" i="12"/>
  <c r="H28" i="30"/>
  <c r="H26" i="12"/>
  <c r="H24" i="30"/>
  <c r="H22" i="12"/>
  <c r="H20" i="30"/>
  <c r="H18" i="12"/>
  <c r="H16" i="30"/>
  <c r="H14" i="12"/>
  <c r="H12" i="30"/>
  <c r="L1140" i="10"/>
  <c r="H1013" i="4"/>
  <c r="P28" i="30"/>
  <c r="H961" i="4"/>
  <c r="L1090" i="10"/>
  <c r="P27" i="30"/>
  <c r="AT30" i="1"/>
  <c r="U22" i="30" s="1"/>
  <c r="AT28" i="1"/>
  <c r="U20" i="30" s="1"/>
  <c r="AT25" i="1"/>
  <c r="U17" i="30" s="1"/>
  <c r="AT22" i="1"/>
  <c r="U14" i="30" s="1"/>
  <c r="AT20" i="1"/>
  <c r="U12" i="30" s="1"/>
  <c r="AC36" i="1"/>
  <c r="AH36" i="1" s="1"/>
  <c r="L28" i="30" s="1"/>
  <c r="AM35" i="1"/>
  <c r="F39" i="13"/>
  <c r="F40" i="13"/>
  <c r="H40" i="13" s="1"/>
  <c r="AC35" i="1"/>
  <c r="AH35" i="1" s="1"/>
  <c r="L27" i="30" s="1"/>
  <c r="AL37" i="1"/>
  <c r="Z37" i="1"/>
  <c r="AT21" i="1" l="1"/>
  <c r="U13" i="30" s="1"/>
  <c r="AT26" i="1"/>
  <c r="U18" i="30" s="1"/>
  <c r="AT17" i="1"/>
  <c r="U9" i="30" s="1"/>
  <c r="AT33" i="1"/>
  <c r="U25" i="30" s="1"/>
  <c r="AT19" i="1"/>
  <c r="U11" i="30" s="1"/>
  <c r="H39" i="13"/>
  <c r="AT18" i="1"/>
  <c r="U10" i="30" s="1"/>
  <c r="AT29" i="1"/>
  <c r="U21" i="30" s="1"/>
  <c r="AT34" i="1"/>
  <c r="U26" i="30" s="1"/>
  <c r="G21" i="12"/>
  <c r="N19" i="30"/>
  <c r="AT27" i="1"/>
  <c r="U19" i="30" s="1"/>
  <c r="AT36" i="1"/>
  <c r="U28" i="30" s="1"/>
  <c r="M14" i="12"/>
  <c r="N14" i="12"/>
  <c r="M22" i="12"/>
  <c r="N22" i="12"/>
  <c r="M30" i="12"/>
  <c r="N30" i="12"/>
  <c r="G14" i="12"/>
  <c r="N12" i="30"/>
  <c r="G22" i="12"/>
  <c r="N20" i="30"/>
  <c r="G30" i="12"/>
  <c r="J1139" i="10"/>
  <c r="E1011" i="4"/>
  <c r="N28" i="30"/>
  <c r="N12" i="12"/>
  <c r="M12" i="12"/>
  <c r="M20" i="12"/>
  <c r="N20" i="12"/>
  <c r="M28" i="12"/>
  <c r="N28" i="12"/>
  <c r="G15" i="12"/>
  <c r="N13" i="30"/>
  <c r="G23" i="12"/>
  <c r="N21" i="30"/>
  <c r="N15" i="12"/>
  <c r="M15" i="12"/>
  <c r="N23" i="12"/>
  <c r="M23" i="12"/>
  <c r="G17" i="12"/>
  <c r="N15" i="30"/>
  <c r="G25" i="12"/>
  <c r="N23" i="30"/>
  <c r="N13" i="12"/>
  <c r="M13" i="12"/>
  <c r="N21" i="12"/>
  <c r="M21" i="12"/>
  <c r="N29" i="12"/>
  <c r="M29" i="12"/>
  <c r="G12" i="12"/>
  <c r="N10" i="30"/>
  <c r="G20" i="12"/>
  <c r="N18" i="30"/>
  <c r="G28" i="12"/>
  <c r="N26" i="30"/>
  <c r="AM37" i="1"/>
  <c r="M18" i="12"/>
  <c r="N18" i="12"/>
  <c r="M26" i="12"/>
  <c r="N26" i="12"/>
  <c r="H31" i="12"/>
  <c r="G18" i="12"/>
  <c r="N16" i="30"/>
  <c r="G26" i="12"/>
  <c r="N24" i="30"/>
  <c r="M16" i="12"/>
  <c r="N16" i="12"/>
  <c r="M24" i="12"/>
  <c r="N24" i="12"/>
  <c r="G11" i="12"/>
  <c r="N9" i="30"/>
  <c r="G19" i="12"/>
  <c r="N17" i="30"/>
  <c r="G27" i="12"/>
  <c r="N25" i="30"/>
  <c r="N11" i="12"/>
  <c r="M11" i="12"/>
  <c r="N19" i="12"/>
  <c r="M19" i="12"/>
  <c r="N27" i="12"/>
  <c r="M27" i="12"/>
  <c r="AT35" i="1"/>
  <c r="U27" i="30" s="1"/>
  <c r="G29" i="12"/>
  <c r="E959" i="4"/>
  <c r="J1089" i="10"/>
  <c r="N27" i="30"/>
  <c r="G13" i="12"/>
  <c r="N11" i="30"/>
  <c r="N17" i="12"/>
  <c r="M17" i="12"/>
  <c r="N25" i="12"/>
  <c r="M25" i="12"/>
  <c r="G16" i="12"/>
  <c r="N14" i="30"/>
  <c r="G24" i="12"/>
  <c r="N22" i="30"/>
  <c r="H1025" i="10"/>
  <c r="H975" i="10"/>
  <c r="H923" i="10"/>
  <c r="E38" i="13"/>
  <c r="A38" i="13"/>
  <c r="H899" i="4" l="1"/>
  <c r="R899" i="4" s="1"/>
  <c r="E903" i="4"/>
  <c r="E899" i="4"/>
  <c r="E853" i="4"/>
  <c r="H849" i="4"/>
  <c r="R849" i="4" s="1"/>
  <c r="E849" i="4"/>
  <c r="E808" i="4"/>
  <c r="H804" i="4"/>
  <c r="R804" i="4" s="1"/>
  <c r="E804" i="4"/>
  <c r="H1153" i="4"/>
  <c r="R1153" i="4" s="1"/>
  <c r="G1153" i="4"/>
  <c r="Q1153" i="4" s="1"/>
  <c r="F1153" i="4"/>
  <c r="P1153" i="4" s="1"/>
  <c r="E1153" i="4"/>
  <c r="O1153" i="4" s="1"/>
  <c r="D1153" i="4"/>
  <c r="N1153" i="4" s="1"/>
  <c r="E1151" i="4"/>
  <c r="O1147" i="4"/>
  <c r="E1142" i="4"/>
  <c r="O1142" i="4" s="1"/>
  <c r="E1140" i="4"/>
  <c r="O1140" i="4" s="1"/>
  <c r="O1138" i="4"/>
  <c r="H1136" i="4"/>
  <c r="G1136" i="4"/>
  <c r="E1136" i="4"/>
  <c r="O1136" i="4" s="1"/>
  <c r="H1108" i="4"/>
  <c r="R1108" i="4" s="1"/>
  <c r="G1108" i="4"/>
  <c r="Q1108" i="4" s="1"/>
  <c r="F1108" i="4"/>
  <c r="P1108" i="4" s="1"/>
  <c r="E1108" i="4"/>
  <c r="O1108" i="4" s="1"/>
  <c r="D1108" i="4"/>
  <c r="N1108" i="4" s="1"/>
  <c r="E1106" i="4"/>
  <c r="O1106" i="4" s="1"/>
  <c r="O1102" i="4"/>
  <c r="E1097" i="4"/>
  <c r="O1097" i="4" s="1"/>
  <c r="E1095" i="4"/>
  <c r="O1095" i="4" s="1"/>
  <c r="O1093" i="4"/>
  <c r="H1091" i="4"/>
  <c r="G1091" i="4"/>
  <c r="E1091" i="4"/>
  <c r="O1091" i="4" s="1"/>
  <c r="H1058" i="4"/>
  <c r="R1058" i="4" s="1"/>
  <c r="G1058" i="4"/>
  <c r="Q1058" i="4" s="1"/>
  <c r="F1058" i="4"/>
  <c r="P1058" i="4" s="1"/>
  <c r="E1058" i="4"/>
  <c r="O1058" i="4" s="1"/>
  <c r="D1058" i="4"/>
  <c r="N1058" i="4" s="1"/>
  <c r="E1056" i="4"/>
  <c r="O1056" i="4" s="1"/>
  <c r="O1052" i="4"/>
  <c r="E1047" i="4"/>
  <c r="O1047" i="4" s="1"/>
  <c r="E1045" i="4"/>
  <c r="O1045" i="4" s="1"/>
  <c r="O1043" i="4"/>
  <c r="H1041" i="4"/>
  <c r="G1041" i="4"/>
  <c r="E1041" i="4"/>
  <c r="O1041" i="4" s="1"/>
  <c r="R1013" i="4"/>
  <c r="Q1013" i="4"/>
  <c r="P1013" i="4"/>
  <c r="E1013" i="4"/>
  <c r="O1013" i="4" s="1"/>
  <c r="O1011" i="4"/>
  <c r="O1007" i="4"/>
  <c r="O1002" i="4"/>
  <c r="O1000" i="4"/>
  <c r="O998" i="4"/>
  <c r="O996" i="4"/>
  <c r="H1031" i="10"/>
  <c r="H1032" i="10"/>
  <c r="J1030" i="10"/>
  <c r="H1028" i="10"/>
  <c r="H1027" i="10"/>
  <c r="H1024" i="10"/>
  <c r="H929" i="10"/>
  <c r="H981" i="10"/>
  <c r="J980" i="10"/>
  <c r="H982" i="10"/>
  <c r="H978" i="10"/>
  <c r="H977" i="10"/>
  <c r="H974" i="10"/>
  <c r="J928" i="10"/>
  <c r="H930" i="10"/>
  <c r="H926" i="10"/>
  <c r="H925" i="10"/>
  <c r="H922" i="10"/>
  <c r="L1242" i="10"/>
  <c r="K1242" i="10"/>
  <c r="I1242" i="10"/>
  <c r="G1242" i="10"/>
  <c r="E1242" i="10"/>
  <c r="J1241" i="10"/>
  <c r="J1237" i="10"/>
  <c r="H1235" i="10"/>
  <c r="H1234" i="10"/>
  <c r="J1233" i="10"/>
  <c r="J1232" i="10"/>
  <c r="H1231" i="10"/>
  <c r="H1230" i="10"/>
  <c r="H1229" i="10"/>
  <c r="H1228" i="10"/>
  <c r="H1227" i="10"/>
  <c r="L1192" i="10"/>
  <c r="K1192" i="10"/>
  <c r="I1192" i="10"/>
  <c r="G1192" i="10"/>
  <c r="E1192" i="10"/>
  <c r="J1191" i="10"/>
  <c r="J1187" i="10"/>
  <c r="H1185" i="10"/>
  <c r="H1184" i="10"/>
  <c r="J1183" i="10"/>
  <c r="J1182" i="10"/>
  <c r="H1181" i="10"/>
  <c r="H1180" i="10"/>
  <c r="H1179" i="10"/>
  <c r="H1178" i="10"/>
  <c r="H1177" i="10"/>
  <c r="G1140" i="10"/>
  <c r="J1135" i="10"/>
  <c r="J1130" i="10"/>
  <c r="G1090" i="10"/>
  <c r="J1080" i="10"/>
  <c r="G1072" i="27"/>
  <c r="G1070" i="27"/>
  <c r="G1012" i="27"/>
  <c r="G1010" i="27"/>
  <c r="F1020" i="27"/>
  <c r="F1021" i="27" s="1"/>
  <c r="F963" i="27"/>
  <c r="F964" i="27" s="1"/>
  <c r="G954" i="27"/>
  <c r="G952" i="27"/>
  <c r="C1189" i="27"/>
  <c r="C1131" i="27"/>
  <c r="F1082" i="27"/>
  <c r="F1083" i="27" s="1"/>
  <c r="C1073" i="27"/>
  <c r="F906" i="27"/>
  <c r="F907" i="27" s="1"/>
  <c r="A36" i="13"/>
  <c r="E36" i="13"/>
  <c r="A37" i="13"/>
  <c r="E37" i="13"/>
  <c r="K937" i="10"/>
  <c r="F866" i="4"/>
  <c r="L989" i="10"/>
  <c r="D916" i="4"/>
  <c r="G36" i="13"/>
  <c r="E905" i="4"/>
  <c r="I937" i="10" l="1"/>
  <c r="F821" i="4"/>
  <c r="F38" i="13"/>
  <c r="G38" i="13"/>
  <c r="J1091" i="10"/>
  <c r="I1153" i="4"/>
  <c r="S1153" i="4" s="1"/>
  <c r="I1013" i="4"/>
  <c r="S1013" i="4" s="1"/>
  <c r="N1013" i="4"/>
  <c r="AH27" i="1"/>
  <c r="L19" i="30" s="1"/>
  <c r="J984" i="10"/>
  <c r="E855" i="4"/>
  <c r="AH34" i="1"/>
  <c r="L26" i="30" s="1"/>
  <c r="AH26" i="1"/>
  <c r="L18" i="30" s="1"/>
  <c r="AH22" i="1"/>
  <c r="L14" i="30" s="1"/>
  <c r="E989" i="10"/>
  <c r="D866" i="4"/>
  <c r="D821" i="4"/>
  <c r="E937" i="10"/>
  <c r="F36" i="13"/>
  <c r="H36" i="13" s="1"/>
  <c r="I989" i="10"/>
  <c r="H866" i="4"/>
  <c r="AH19" i="1"/>
  <c r="L11" i="30" s="1"/>
  <c r="AH25" i="1"/>
  <c r="L17" i="30" s="1"/>
  <c r="AH18" i="1"/>
  <c r="L10" i="30" s="1"/>
  <c r="AH33" i="1"/>
  <c r="L25" i="30" s="1"/>
  <c r="AH29" i="1"/>
  <c r="L21" i="30" s="1"/>
  <c r="AH21" i="1"/>
  <c r="L13" i="30" s="1"/>
  <c r="H916" i="4"/>
  <c r="L1039" i="10"/>
  <c r="H821" i="4"/>
  <c r="L937" i="10"/>
  <c r="E1039" i="10"/>
  <c r="G821" i="4"/>
  <c r="E810" i="4"/>
  <c r="J932" i="10"/>
  <c r="AH30" i="1"/>
  <c r="L22" i="30" s="1"/>
  <c r="AH32" i="1"/>
  <c r="L24" i="30" s="1"/>
  <c r="AH28" i="1"/>
  <c r="L20" i="30" s="1"/>
  <c r="AH24" i="1"/>
  <c r="L16" i="30" s="1"/>
  <c r="AH20" i="1"/>
  <c r="L12" i="30" s="1"/>
  <c r="AH17" i="1"/>
  <c r="L9" i="30" s="1"/>
  <c r="G916" i="4"/>
  <c r="K1039" i="10"/>
  <c r="G866" i="4"/>
  <c r="K989" i="10"/>
  <c r="G37" i="13"/>
  <c r="J1034" i="10"/>
  <c r="AH31" i="1"/>
  <c r="L23" i="30" s="1"/>
  <c r="AH23" i="1"/>
  <c r="L15" i="30" s="1"/>
  <c r="F916" i="4"/>
  <c r="I1039" i="10"/>
  <c r="F37" i="13"/>
  <c r="O1151" i="4"/>
  <c r="I1058" i="4"/>
  <c r="I1108" i="4"/>
  <c r="S1108" i="4" s="1"/>
  <c r="J1193" i="10"/>
  <c r="J1243" i="10"/>
  <c r="J1141" i="10"/>
  <c r="E1015" i="4" l="1"/>
  <c r="O1015" i="4" s="1"/>
  <c r="H38" i="13"/>
  <c r="E1110" i="4"/>
  <c r="O1110" i="4" s="1"/>
  <c r="E1155" i="4"/>
  <c r="O1155" i="4" s="1"/>
  <c r="H37" i="13"/>
  <c r="J988" i="10"/>
  <c r="E864" i="4"/>
  <c r="E914" i="4"/>
  <c r="J1038" i="10"/>
  <c r="E819" i="4"/>
  <c r="J936" i="10"/>
  <c r="E1060" i="4"/>
  <c r="O1060" i="4" s="1"/>
  <c r="S1058" i="4"/>
  <c r="H871" i="10" l="1"/>
  <c r="H821" i="10"/>
  <c r="H771" i="10"/>
  <c r="H721" i="10"/>
  <c r="H287" i="10"/>
  <c r="H234" i="10"/>
  <c r="H181" i="10"/>
  <c r="H754" i="4"/>
  <c r="R754" i="4" s="1"/>
  <c r="E754" i="4"/>
  <c r="R961" i="4"/>
  <c r="Q961" i="4"/>
  <c r="P961" i="4"/>
  <c r="E961" i="4"/>
  <c r="O961" i="4" s="1"/>
  <c r="N961" i="4"/>
  <c r="O955" i="4"/>
  <c r="O950" i="4"/>
  <c r="O948" i="4"/>
  <c r="O946" i="4"/>
  <c r="O944" i="4"/>
  <c r="R916" i="4"/>
  <c r="Q916" i="4"/>
  <c r="P916" i="4"/>
  <c r="E916" i="4"/>
  <c r="O916" i="4" s="1"/>
  <c r="N916" i="4"/>
  <c r="O914" i="4"/>
  <c r="O910" i="4"/>
  <c r="O905" i="4"/>
  <c r="O903" i="4"/>
  <c r="O901" i="4"/>
  <c r="O899" i="4"/>
  <c r="R866" i="4"/>
  <c r="Q866" i="4"/>
  <c r="P866" i="4"/>
  <c r="E866" i="4"/>
  <c r="O866" i="4" s="1"/>
  <c r="N866" i="4"/>
  <c r="O860" i="4"/>
  <c r="O855" i="4"/>
  <c r="O853" i="4"/>
  <c r="O851" i="4"/>
  <c r="O849" i="4"/>
  <c r="R821" i="4"/>
  <c r="Q821" i="4"/>
  <c r="P821" i="4"/>
  <c r="E821" i="4"/>
  <c r="O821" i="4" s="1"/>
  <c r="N821" i="4"/>
  <c r="O815" i="4"/>
  <c r="O810" i="4"/>
  <c r="O808" i="4"/>
  <c r="O806" i="4"/>
  <c r="O804" i="4"/>
  <c r="E758" i="4"/>
  <c r="H709" i="4"/>
  <c r="R709" i="4" s="1"/>
  <c r="E709" i="4"/>
  <c r="H877" i="10"/>
  <c r="H874" i="10"/>
  <c r="H873" i="10"/>
  <c r="H870" i="10"/>
  <c r="J876" i="10"/>
  <c r="H878" i="10"/>
  <c r="H828" i="10"/>
  <c r="H827" i="10"/>
  <c r="J826" i="10"/>
  <c r="H824" i="10"/>
  <c r="H823" i="10"/>
  <c r="H820" i="10"/>
  <c r="G1039" i="10"/>
  <c r="J1029" i="10"/>
  <c r="G989" i="10"/>
  <c r="J979" i="10"/>
  <c r="G937" i="10"/>
  <c r="J927" i="10"/>
  <c r="F845" i="27"/>
  <c r="F846" i="27" s="1"/>
  <c r="F847" i="27" s="1"/>
  <c r="F730" i="27"/>
  <c r="F731" i="27" s="1"/>
  <c r="F732" i="27" s="1"/>
  <c r="F671" i="27"/>
  <c r="F672" i="27" s="1"/>
  <c r="F673" i="27" s="1"/>
  <c r="F613" i="27"/>
  <c r="F614" i="27" s="1"/>
  <c r="F615" i="27" s="1"/>
  <c r="F554" i="27"/>
  <c r="F555" i="27" s="1"/>
  <c r="F556" i="27" s="1"/>
  <c r="F496" i="27"/>
  <c r="F497" i="27" s="1"/>
  <c r="F498" i="27" s="1"/>
  <c r="F438" i="27"/>
  <c r="F439" i="27" s="1"/>
  <c r="F440" i="27" s="1"/>
  <c r="F379" i="27"/>
  <c r="F380" i="27" s="1"/>
  <c r="F381" i="27" s="1"/>
  <c r="F322" i="27"/>
  <c r="F323" i="27" s="1"/>
  <c r="F324" i="27" s="1"/>
  <c r="F261" i="27"/>
  <c r="F262" i="27" s="1"/>
  <c r="F263" i="27" s="1"/>
  <c r="F202" i="27"/>
  <c r="F203" i="27" s="1"/>
  <c r="F204" i="27" s="1"/>
  <c r="F139" i="27"/>
  <c r="F140" i="27" s="1"/>
  <c r="F141" i="27" s="1"/>
  <c r="F79" i="27"/>
  <c r="F80" i="27" s="1"/>
  <c r="F81" i="27" s="1"/>
  <c r="F18" i="27"/>
  <c r="F19" i="27" s="1"/>
  <c r="F20" i="27" s="1"/>
  <c r="G896" i="27"/>
  <c r="G894" i="27"/>
  <c r="G836" i="27"/>
  <c r="G834" i="27"/>
  <c r="C1013" i="27"/>
  <c r="C955" i="27"/>
  <c r="C837" i="27"/>
  <c r="A21" i="13"/>
  <c r="E21" i="13"/>
  <c r="A22" i="13"/>
  <c r="E22" i="13"/>
  <c r="A23" i="13"/>
  <c r="E23" i="13"/>
  <c r="A24" i="13"/>
  <c r="E24" i="13"/>
  <c r="A25" i="13"/>
  <c r="E25" i="13"/>
  <c r="A26" i="13"/>
  <c r="E26" i="13"/>
  <c r="A27" i="13"/>
  <c r="E27" i="13"/>
  <c r="A28" i="13"/>
  <c r="E28" i="13"/>
  <c r="A29" i="13"/>
  <c r="E29" i="13"/>
  <c r="A30" i="13"/>
  <c r="E30" i="13"/>
  <c r="A31" i="13"/>
  <c r="E31" i="13"/>
  <c r="A32" i="13"/>
  <c r="E32" i="13"/>
  <c r="A33" i="13"/>
  <c r="E33" i="13"/>
  <c r="A34" i="13"/>
  <c r="E34" i="13"/>
  <c r="A35" i="13"/>
  <c r="E35" i="13"/>
  <c r="L406" i="10"/>
  <c r="L835" i="10"/>
  <c r="L885" i="10"/>
  <c r="G726" i="4"/>
  <c r="G771" i="4"/>
  <c r="E715" i="4"/>
  <c r="J880" i="10"/>
  <c r="J938" i="10" l="1"/>
  <c r="J990" i="10"/>
  <c r="J1040" i="10"/>
  <c r="E760" i="4"/>
  <c r="J830" i="10"/>
  <c r="K885" i="10"/>
  <c r="K835" i="10"/>
  <c r="H726" i="4"/>
  <c r="H771" i="4"/>
  <c r="I916" i="4"/>
  <c r="S916" i="4" s="1"/>
  <c r="O959" i="4"/>
  <c r="I961" i="4"/>
  <c r="S961" i="4" s="1"/>
  <c r="O819" i="4"/>
  <c r="I821" i="4"/>
  <c r="S821" i="4" s="1"/>
  <c r="O864" i="4"/>
  <c r="I866" i="4"/>
  <c r="S866" i="4" s="1"/>
  <c r="E622" i="4"/>
  <c r="H777" i="10"/>
  <c r="H727" i="10"/>
  <c r="H728" i="10"/>
  <c r="J726" i="10"/>
  <c r="H723" i="10"/>
  <c r="H724" i="10"/>
  <c r="G616" i="4"/>
  <c r="R616" i="4" s="1"/>
  <c r="E918" i="4" l="1"/>
  <c r="O918" i="4" s="1"/>
  <c r="E963" i="4"/>
  <c r="O963" i="4" s="1"/>
  <c r="E823" i="4"/>
  <c r="O823" i="4" s="1"/>
  <c r="E868" i="4"/>
  <c r="O868" i="4" s="1"/>
  <c r="E665" i="4"/>
  <c r="E713" i="4" s="1"/>
  <c r="G661" i="4"/>
  <c r="Q661" i="4" s="1"/>
  <c r="E661" i="4"/>
  <c r="J775" i="10"/>
  <c r="H778" i="10"/>
  <c r="J776" i="10"/>
  <c r="H774" i="10"/>
  <c r="H773" i="10"/>
  <c r="H770" i="10"/>
  <c r="G885" i="10"/>
  <c r="J875" i="10"/>
  <c r="G835" i="10"/>
  <c r="J825" i="10"/>
  <c r="G785" i="10"/>
  <c r="F788" i="27"/>
  <c r="F789" i="27" s="1"/>
  <c r="F790" i="27" s="1"/>
  <c r="F791" i="27" s="1"/>
  <c r="G778" i="27"/>
  <c r="G776" i="27"/>
  <c r="H678" i="4" l="1"/>
  <c r="L785" i="10"/>
  <c r="E667" i="4"/>
  <c r="J780" i="10"/>
  <c r="K785" i="10"/>
  <c r="G678" i="4" s="1"/>
  <c r="J730" i="10"/>
  <c r="E620" i="4" l="1"/>
  <c r="E616" i="4"/>
  <c r="R771" i="4"/>
  <c r="Q771" i="4"/>
  <c r="E771" i="4"/>
  <c r="O771" i="4" s="1"/>
  <c r="O765" i="4"/>
  <c r="O760" i="4"/>
  <c r="O758" i="4"/>
  <c r="O756" i="4"/>
  <c r="O754" i="4"/>
  <c r="R726" i="4"/>
  <c r="Q726" i="4"/>
  <c r="E726" i="4"/>
  <c r="O726" i="4" s="1"/>
  <c r="O720" i="4"/>
  <c r="O715" i="4"/>
  <c r="O713" i="4"/>
  <c r="O711" i="4"/>
  <c r="O709" i="4"/>
  <c r="H720" i="10"/>
  <c r="G735" i="10"/>
  <c r="J725" i="10"/>
  <c r="G720" i="27"/>
  <c r="G718" i="27"/>
  <c r="L685" i="10"/>
  <c r="G633" i="4"/>
  <c r="AO7" i="29"/>
  <c r="AO28" i="29" s="1"/>
  <c r="H633" i="4" l="1"/>
  <c r="K575" i="10"/>
  <c r="K685" i="10"/>
  <c r="L735" i="10"/>
  <c r="K735" i="10"/>
  <c r="H587" i="4" l="1"/>
  <c r="G587" i="4"/>
  <c r="E587" i="4"/>
  <c r="E576" i="4"/>
  <c r="E574" i="4"/>
  <c r="H570" i="4"/>
  <c r="R570" i="4" s="1"/>
  <c r="E570" i="4"/>
  <c r="G685" i="10"/>
  <c r="J680" i="10"/>
  <c r="H678" i="10"/>
  <c r="H677" i="10"/>
  <c r="J676" i="10"/>
  <c r="J675" i="10"/>
  <c r="H674" i="10"/>
  <c r="H673" i="10"/>
  <c r="H672" i="10"/>
  <c r="H671" i="10"/>
  <c r="H670" i="10"/>
  <c r="H541" i="4"/>
  <c r="G541" i="4"/>
  <c r="E541" i="4"/>
  <c r="E530" i="4"/>
  <c r="E528" i="4"/>
  <c r="H524" i="4"/>
  <c r="R524" i="4" s="1"/>
  <c r="E524" i="4"/>
  <c r="L636" i="10"/>
  <c r="K636" i="10"/>
  <c r="G636" i="10"/>
  <c r="J631" i="10"/>
  <c r="H629" i="10"/>
  <c r="H628" i="10"/>
  <c r="J627" i="10"/>
  <c r="J626" i="10"/>
  <c r="H625" i="10"/>
  <c r="H624" i="10"/>
  <c r="H623" i="10"/>
  <c r="H622" i="10"/>
  <c r="H621" i="10"/>
  <c r="H496" i="4"/>
  <c r="G496" i="4"/>
  <c r="E496" i="4"/>
  <c r="E485" i="4"/>
  <c r="H479" i="4"/>
  <c r="R479" i="4" s="1"/>
  <c r="E479" i="4"/>
  <c r="L575" i="10"/>
  <c r="G575" i="10"/>
  <c r="J570" i="10"/>
  <c r="H568" i="10"/>
  <c r="H567" i="10"/>
  <c r="J566" i="10"/>
  <c r="J565" i="10"/>
  <c r="H564" i="10"/>
  <c r="H563" i="10"/>
  <c r="H562" i="10"/>
  <c r="H561" i="10"/>
  <c r="H560" i="10"/>
  <c r="H450" i="4"/>
  <c r="G450" i="4"/>
  <c r="E450" i="4"/>
  <c r="E439" i="4"/>
  <c r="H433" i="4"/>
  <c r="R433" i="4" s="1"/>
  <c r="E433" i="4"/>
  <c r="H405" i="4"/>
  <c r="G405" i="4"/>
  <c r="E405" i="4"/>
  <c r="E394" i="4"/>
  <c r="H388" i="4"/>
  <c r="R388" i="4" s="1"/>
  <c r="E388" i="4"/>
  <c r="H358" i="4"/>
  <c r="G358" i="4"/>
  <c r="E358" i="4"/>
  <c r="E347" i="4"/>
  <c r="H341" i="4"/>
  <c r="E341" i="4"/>
  <c r="H311" i="4"/>
  <c r="G311" i="4"/>
  <c r="E311" i="4"/>
  <c r="E300" i="4"/>
  <c r="G294" i="4"/>
  <c r="R294" i="4" s="1"/>
  <c r="E294" i="4"/>
  <c r="H264" i="4"/>
  <c r="G264" i="4"/>
  <c r="E264" i="4"/>
  <c r="E253" i="4"/>
  <c r="G247" i="4"/>
  <c r="R247" i="4" s="1"/>
  <c r="E247" i="4"/>
  <c r="E205" i="4"/>
  <c r="H104" i="4"/>
  <c r="Q104" i="4" s="1"/>
  <c r="H56" i="4"/>
  <c r="R56" i="4" s="1"/>
  <c r="H9" i="4"/>
  <c r="R9" i="4" s="1"/>
  <c r="G661" i="27"/>
  <c r="C662" i="27"/>
  <c r="C605" i="27"/>
  <c r="G659" i="27"/>
  <c r="U16" i="1"/>
  <c r="U17" i="1"/>
  <c r="L519" i="10"/>
  <c r="K519" i="10"/>
  <c r="G519" i="10"/>
  <c r="J514" i="10"/>
  <c r="H511" i="10"/>
  <c r="J510" i="10"/>
  <c r="J509" i="10"/>
  <c r="H508" i="10"/>
  <c r="H507" i="10"/>
  <c r="H506" i="10"/>
  <c r="H505" i="10"/>
  <c r="H504" i="10"/>
  <c r="L462" i="10"/>
  <c r="K462" i="10"/>
  <c r="G462" i="10"/>
  <c r="J457" i="10"/>
  <c r="H454" i="10"/>
  <c r="J453" i="10"/>
  <c r="J452" i="10"/>
  <c r="H451" i="10"/>
  <c r="H450" i="10"/>
  <c r="H449" i="10"/>
  <c r="H448" i="10"/>
  <c r="H447" i="10" l="1"/>
  <c r="K406" i="10"/>
  <c r="G406" i="10"/>
  <c r="J401" i="10"/>
  <c r="H398" i="10"/>
  <c r="J397" i="10"/>
  <c r="J396" i="10"/>
  <c r="H395" i="10"/>
  <c r="H394" i="10"/>
  <c r="H393" i="10"/>
  <c r="H392" i="10"/>
  <c r="H391" i="10"/>
  <c r="L353" i="10"/>
  <c r="K353" i="10"/>
  <c r="G353" i="10"/>
  <c r="J348" i="10"/>
  <c r="H345" i="10"/>
  <c r="H344" i="10"/>
  <c r="H343" i="10"/>
  <c r="I342" i="10"/>
  <c r="J341" i="10"/>
  <c r="H340" i="10"/>
  <c r="H339" i="10"/>
  <c r="H338" i="10"/>
  <c r="L301" i="10"/>
  <c r="K301" i="10"/>
  <c r="G301" i="10"/>
  <c r="J296" i="10"/>
  <c r="J292" i="10"/>
  <c r="J291" i="10"/>
  <c r="H290" i="10"/>
  <c r="H289" i="10"/>
  <c r="H288" i="10"/>
  <c r="H286" i="10"/>
  <c r="G604" i="27"/>
  <c r="G602" i="27"/>
  <c r="G545" i="27"/>
  <c r="C546" i="27"/>
  <c r="G543" i="27"/>
  <c r="G486" i="27"/>
  <c r="C487" i="27"/>
  <c r="G484" i="27"/>
  <c r="G429" i="27"/>
  <c r="C430" i="27"/>
  <c r="G427" i="27"/>
  <c r="G370" i="27"/>
  <c r="C371" i="27"/>
  <c r="G368" i="27"/>
  <c r="G312" i="27"/>
  <c r="C313" i="27"/>
  <c r="G310" i="27"/>
  <c r="G251" i="27"/>
  <c r="G249" i="27"/>
  <c r="Q10" i="12" l="1"/>
  <c r="P10" i="12"/>
  <c r="R496" i="4"/>
  <c r="O485" i="4"/>
  <c r="E483" i="4"/>
  <c r="O483" i="4" s="1"/>
  <c r="O479" i="4"/>
  <c r="R678" i="4"/>
  <c r="Q678" i="4"/>
  <c r="E678" i="4"/>
  <c r="O678" i="4" s="1"/>
  <c r="O672" i="4"/>
  <c r="O667" i="4"/>
  <c r="O665" i="4"/>
  <c r="O663" i="4"/>
  <c r="O661" i="4"/>
  <c r="R633" i="4"/>
  <c r="Q633" i="4"/>
  <c r="E633" i="4"/>
  <c r="O633" i="4" s="1"/>
  <c r="O627" i="4"/>
  <c r="O622" i="4"/>
  <c r="O620" i="4"/>
  <c r="O618" i="4"/>
  <c r="O616" i="4"/>
  <c r="R587" i="4"/>
  <c r="Q587" i="4"/>
  <c r="O587" i="4"/>
  <c r="O581" i="4"/>
  <c r="O576" i="4"/>
  <c r="O574" i="4"/>
  <c r="O572" i="4"/>
  <c r="O570" i="4"/>
  <c r="R541" i="4"/>
  <c r="Q541" i="4"/>
  <c r="O541" i="4"/>
  <c r="O535" i="4"/>
  <c r="O530" i="4"/>
  <c r="O528" i="4"/>
  <c r="O526" i="4"/>
  <c r="O524" i="4"/>
  <c r="Q496" i="4"/>
  <c r="O496" i="4"/>
  <c r="O490" i="4"/>
  <c r="O481" i="4"/>
  <c r="H512" i="10"/>
  <c r="C897" i="27"/>
  <c r="C779" i="27"/>
  <c r="C721" i="27"/>
  <c r="E437" i="4" l="1"/>
  <c r="E392" i="4"/>
  <c r="H455" i="10"/>
  <c r="H399" i="10"/>
  <c r="G22" i="31" l="1"/>
  <c r="G17" i="32"/>
  <c r="G22" i="33"/>
  <c r="G34" i="34"/>
  <c r="O10" i="12"/>
  <c r="F10" i="12"/>
  <c r="F31" i="12" s="1"/>
  <c r="E10" i="12"/>
  <c r="C10" i="12"/>
  <c r="B10" i="12"/>
  <c r="H346" i="10"/>
  <c r="H240" i="10"/>
  <c r="J239" i="10"/>
  <c r="J238" i="10"/>
  <c r="J186" i="10"/>
  <c r="J185" i="10"/>
  <c r="E156" i="4" l="1"/>
  <c r="O156" i="4" s="1"/>
  <c r="E203" i="4"/>
  <c r="O203" i="4" s="1"/>
  <c r="E251" i="4"/>
  <c r="O251" i="4" s="1"/>
  <c r="E298" i="4"/>
  <c r="O298" i="4" s="1"/>
  <c r="E345" i="4"/>
  <c r="O345" i="4" s="1"/>
  <c r="R358" i="4"/>
  <c r="Q358" i="4"/>
  <c r="O347" i="4"/>
  <c r="R341" i="4"/>
  <c r="O341" i="4"/>
  <c r="R311" i="4"/>
  <c r="Q311" i="4"/>
  <c r="O300" i="4"/>
  <c r="O294" i="4"/>
  <c r="R264" i="4"/>
  <c r="Q264" i="4"/>
  <c r="O253" i="4"/>
  <c r="O247" i="4"/>
  <c r="H216" i="4"/>
  <c r="R216" i="4" s="1"/>
  <c r="G216" i="4"/>
  <c r="Q216" i="4" s="1"/>
  <c r="O205" i="4"/>
  <c r="G199" i="4"/>
  <c r="R199" i="4" s="1"/>
  <c r="E199" i="4"/>
  <c r="O199" i="4" s="1"/>
  <c r="H169" i="4"/>
  <c r="R169" i="4" s="1"/>
  <c r="G169" i="4"/>
  <c r="Q169" i="4" s="1"/>
  <c r="E158" i="4"/>
  <c r="O158" i="4" s="1"/>
  <c r="G152" i="4"/>
  <c r="R152" i="4" s="1"/>
  <c r="E152" i="4"/>
  <c r="O152" i="4" s="1"/>
  <c r="R450" i="4"/>
  <c r="Q450" i="4"/>
  <c r="O450" i="4"/>
  <c r="O444" i="4"/>
  <c r="O439" i="4"/>
  <c r="O437" i="4"/>
  <c r="O435" i="4"/>
  <c r="O433" i="4"/>
  <c r="R405" i="4"/>
  <c r="Q405" i="4"/>
  <c r="O405" i="4"/>
  <c r="O399" i="4"/>
  <c r="O394" i="4"/>
  <c r="O392" i="4"/>
  <c r="O390" i="4"/>
  <c r="O388" i="4"/>
  <c r="O358" i="4"/>
  <c r="O352" i="4"/>
  <c r="O343" i="4"/>
  <c r="O311" i="4"/>
  <c r="O305" i="4"/>
  <c r="O296" i="4"/>
  <c r="O264" i="4"/>
  <c r="O258" i="4"/>
  <c r="O249" i="4"/>
  <c r="E216" i="4"/>
  <c r="O216" i="4" s="1"/>
  <c r="O210" i="4"/>
  <c r="O201" i="4"/>
  <c r="E169" i="4"/>
  <c r="O169" i="4" s="1"/>
  <c r="O163" i="4"/>
  <c r="O154" i="4"/>
  <c r="L248" i="10"/>
  <c r="K248" i="10"/>
  <c r="H237" i="10"/>
  <c r="J243" i="10"/>
  <c r="H236" i="10"/>
  <c r="H235" i="10"/>
  <c r="H233" i="10"/>
  <c r="L195" i="10"/>
  <c r="K195" i="10"/>
  <c r="J190" i="10"/>
  <c r="H184" i="10"/>
  <c r="H183" i="10"/>
  <c r="H182" i="10"/>
  <c r="H180" i="10"/>
  <c r="H294" i="10"/>
  <c r="H241" i="10"/>
  <c r="H188" i="10"/>
  <c r="G248" i="10"/>
  <c r="G195" i="10"/>
  <c r="G190" i="27"/>
  <c r="G188" i="27"/>
  <c r="G129" i="27"/>
  <c r="G127" i="27"/>
  <c r="C252" i="27"/>
  <c r="C191" i="27"/>
  <c r="C130" i="27"/>
  <c r="H187" i="10" l="1"/>
  <c r="F25" i="31" l="1"/>
  <c r="E4" i="31"/>
  <c r="D4" i="31"/>
  <c r="F20" i="32"/>
  <c r="E4" i="32"/>
  <c r="D4" i="32"/>
  <c r="F25" i="33"/>
  <c r="E3" i="33"/>
  <c r="D3" i="33"/>
  <c r="F36" i="34"/>
  <c r="E4" i="34"/>
  <c r="D4" i="34"/>
  <c r="E20" i="13" l="1"/>
  <c r="D8" i="30" l="1"/>
  <c r="H8" i="30"/>
  <c r="H29" i="30" s="1"/>
  <c r="O8" i="30"/>
  <c r="O29" i="30" s="1"/>
  <c r="P8" i="30"/>
  <c r="P29" i="30" s="1"/>
  <c r="S8" i="30"/>
  <c r="S29" i="30" s="1"/>
  <c r="Z8" i="30"/>
  <c r="AA8" i="30"/>
  <c r="B7" i="29"/>
  <c r="C7" i="29"/>
  <c r="D7" i="29"/>
  <c r="E7" i="29"/>
  <c r="F7" i="29"/>
  <c r="A20" i="13" l="1"/>
  <c r="E104" i="4"/>
  <c r="H121" i="4"/>
  <c r="G121" i="4"/>
  <c r="E121" i="4"/>
  <c r="E110" i="4"/>
  <c r="E108" i="4"/>
  <c r="E106" i="4"/>
  <c r="B101" i="4"/>
  <c r="D100" i="4"/>
  <c r="L143" i="10"/>
  <c r="K143" i="10"/>
  <c r="G143" i="10"/>
  <c r="J138" i="10"/>
  <c r="H135" i="10"/>
  <c r="J134" i="10"/>
  <c r="J133" i="10"/>
  <c r="H132" i="10"/>
  <c r="H131" i="10"/>
  <c r="H130" i="10"/>
  <c r="H129" i="10"/>
  <c r="H128" i="10"/>
  <c r="H126" i="10"/>
  <c r="H124" i="10"/>
  <c r="B125" i="10"/>
  <c r="B118" i="10"/>
  <c r="B116" i="10"/>
  <c r="F12" i="9" l="1"/>
  <c r="F16" i="8"/>
  <c r="F16" i="6"/>
  <c r="H16" i="7"/>
  <c r="H16" i="5"/>
  <c r="H73" i="4" l="1"/>
  <c r="G73" i="4"/>
  <c r="E73" i="4"/>
  <c r="D73" i="4"/>
  <c r="E62" i="4"/>
  <c r="E56" i="4"/>
  <c r="H26" i="4"/>
  <c r="G26" i="4"/>
  <c r="E26" i="4"/>
  <c r="E15" i="4"/>
  <c r="E9" i="4"/>
  <c r="E88" i="10"/>
  <c r="L88" i="10"/>
  <c r="K88" i="10"/>
  <c r="G88" i="10"/>
  <c r="J83" i="10"/>
  <c r="H81" i="10"/>
  <c r="H80" i="10"/>
  <c r="J79" i="10"/>
  <c r="J78" i="10"/>
  <c r="H77" i="10"/>
  <c r="H76" i="10"/>
  <c r="H75" i="10"/>
  <c r="H74" i="10"/>
  <c r="H73" i="10"/>
  <c r="H71" i="10"/>
  <c r="H69" i="10"/>
  <c r="B70" i="10"/>
  <c r="B63" i="10"/>
  <c r="B61" i="10"/>
  <c r="L34" i="10"/>
  <c r="K34" i="10"/>
  <c r="G34" i="10"/>
  <c r="J29" i="10"/>
  <c r="H27" i="10"/>
  <c r="H26" i="10"/>
  <c r="J25" i="10"/>
  <c r="J24" i="10"/>
  <c r="H23" i="10"/>
  <c r="H22" i="10"/>
  <c r="H21" i="10"/>
  <c r="H20" i="10"/>
  <c r="H19" i="10"/>
  <c r="H17" i="10"/>
  <c r="H15" i="10"/>
  <c r="B16" i="10"/>
  <c r="B9" i="10"/>
  <c r="B7" i="10"/>
  <c r="G68" i="27"/>
  <c r="G66" i="27"/>
  <c r="C69" i="27"/>
  <c r="B67" i="27"/>
  <c r="B66" i="27"/>
  <c r="C8" i="27"/>
  <c r="G7" i="27"/>
  <c r="G5" i="27"/>
  <c r="B6" i="27"/>
  <c r="B5" i="27"/>
  <c r="M10" i="12" l="1"/>
  <c r="N10" i="12"/>
  <c r="F8" i="28" l="1"/>
  <c r="L4" i="12" l="1"/>
  <c r="E60" i="4" l="1"/>
  <c r="E58" i="4"/>
  <c r="B54" i="4"/>
  <c r="B53" i="4"/>
  <c r="D52" i="4"/>
  <c r="E13" i="4"/>
  <c r="E11" i="4"/>
  <c r="B7" i="4"/>
  <c r="B6" i="4"/>
  <c r="D5" i="4"/>
  <c r="A6" i="12" l="1"/>
  <c r="R121" i="4"/>
  <c r="Q121" i="4"/>
  <c r="O121" i="4"/>
  <c r="O115" i="4"/>
  <c r="O110" i="4"/>
  <c r="O108" i="4"/>
  <c r="O106" i="4"/>
  <c r="O104" i="4"/>
  <c r="B102" i="4"/>
  <c r="L102" i="4" s="1"/>
  <c r="L101" i="4"/>
  <c r="N100" i="4"/>
  <c r="R73" i="4"/>
  <c r="Q73" i="4"/>
  <c r="O73" i="4"/>
  <c r="N73" i="4"/>
  <c r="O67" i="4"/>
  <c r="O62" i="4"/>
  <c r="O60" i="4"/>
  <c r="O58" i="4"/>
  <c r="O56" i="4"/>
  <c r="L54" i="4"/>
  <c r="L53" i="4"/>
  <c r="N52" i="4"/>
  <c r="R26" i="4"/>
  <c r="Q26" i="4"/>
  <c r="O26" i="4"/>
  <c r="O20" i="4"/>
  <c r="O15" i="4"/>
  <c r="O13" i="4"/>
  <c r="O11" i="4"/>
  <c r="O9" i="4"/>
  <c r="L7" i="4"/>
  <c r="L6" i="4"/>
  <c r="N5" i="4"/>
  <c r="B6" i="8" l="1"/>
  <c r="B6" i="6"/>
  <c r="B6" i="7"/>
  <c r="B6" i="5"/>
  <c r="B5" i="5"/>
  <c r="AP7" i="1"/>
  <c r="AP6" i="1"/>
  <c r="AP5" i="1"/>
  <c r="H118" i="10" l="1"/>
  <c r="H63" i="10"/>
  <c r="H9" i="10"/>
  <c r="H116" i="10"/>
  <c r="H61" i="10"/>
  <c r="H7" i="10"/>
  <c r="G21" i="21"/>
  <c r="G19" i="21"/>
  <c r="B21" i="21"/>
  <c r="A617" i="18"/>
  <c r="B603" i="18"/>
  <c r="B587" i="18"/>
  <c r="B604" i="18" s="1"/>
  <c r="B607" i="18" s="1"/>
  <c r="C585" i="18"/>
  <c r="C584" i="18"/>
  <c r="C583" i="18"/>
  <c r="C581" i="18"/>
  <c r="C580" i="18"/>
  <c r="C579" i="18"/>
  <c r="C576" i="18"/>
  <c r="C575" i="18"/>
  <c r="A569" i="18"/>
  <c r="C552" i="18"/>
  <c r="A550" i="18"/>
  <c r="A549" i="18"/>
  <c r="C535" i="18"/>
  <c r="C534" i="18"/>
  <c r="B535" i="18"/>
  <c r="B519" i="18"/>
  <c r="B536" i="18" s="1"/>
  <c r="B539" i="18" s="1"/>
  <c r="C517" i="18"/>
  <c r="C516" i="18"/>
  <c r="C515" i="18"/>
  <c r="C513" i="18"/>
  <c r="C512" i="18"/>
  <c r="C511" i="18"/>
  <c r="C508" i="18"/>
  <c r="C507" i="18"/>
  <c r="A501" i="18"/>
  <c r="C484" i="18"/>
  <c r="A482" i="18"/>
  <c r="A481" i="18"/>
  <c r="C467" i="18"/>
  <c r="C466" i="18"/>
  <c r="B467" i="18"/>
  <c r="B451" i="18"/>
  <c r="B468" i="18" s="1"/>
  <c r="B471" i="18" s="1"/>
  <c r="C449" i="18"/>
  <c r="C448" i="18"/>
  <c r="C447" i="18"/>
  <c r="C445" i="18"/>
  <c r="C444" i="18"/>
  <c r="C443" i="18"/>
  <c r="C440" i="18"/>
  <c r="C439" i="18"/>
  <c r="A433" i="18"/>
  <c r="C416" i="18"/>
  <c r="A414" i="18"/>
  <c r="A413" i="18"/>
  <c r="C399" i="18"/>
  <c r="C398" i="18"/>
  <c r="B399" i="18"/>
  <c r="B383" i="18"/>
  <c r="B400" i="18" s="1"/>
  <c r="B403" i="18" s="1"/>
  <c r="C381" i="18"/>
  <c r="C380" i="18"/>
  <c r="C379" i="18"/>
  <c r="C377" i="18"/>
  <c r="C376" i="18"/>
  <c r="C375" i="18"/>
  <c r="C372" i="18"/>
  <c r="C371" i="18"/>
  <c r="A365" i="18"/>
  <c r="C348" i="18"/>
  <c r="A346" i="18"/>
  <c r="A345" i="18"/>
  <c r="C331" i="18"/>
  <c r="C330" i="18"/>
  <c r="B331" i="18"/>
  <c r="B315" i="18"/>
  <c r="B332" i="18" s="1"/>
  <c r="B335" i="18" s="1"/>
  <c r="C313" i="18"/>
  <c r="C312" i="18"/>
  <c r="C311" i="18"/>
  <c r="C309" i="18"/>
  <c r="C308" i="18"/>
  <c r="C307" i="18"/>
  <c r="C304" i="18"/>
  <c r="C303" i="18"/>
  <c r="A297" i="18"/>
  <c r="C280" i="18"/>
  <c r="A278" i="18"/>
  <c r="A277" i="18"/>
  <c r="C263" i="18"/>
  <c r="C262" i="18"/>
  <c r="B263" i="18"/>
  <c r="B247" i="18"/>
  <c r="B264" i="18" s="1"/>
  <c r="B267" i="18" s="1"/>
  <c r="C245" i="18"/>
  <c r="C244" i="18"/>
  <c r="C243" i="18"/>
  <c r="C241" i="18"/>
  <c r="C240" i="18"/>
  <c r="C239" i="18"/>
  <c r="C236" i="18"/>
  <c r="C235" i="18"/>
  <c r="A229" i="18"/>
  <c r="C212" i="18"/>
  <c r="A210" i="18"/>
  <c r="A209" i="18"/>
  <c r="C195" i="18"/>
  <c r="C194" i="18"/>
  <c r="B195" i="18"/>
  <c r="B179" i="18"/>
  <c r="B196" i="18" s="1"/>
  <c r="B199" i="18" s="1"/>
  <c r="C177" i="18"/>
  <c r="C176" i="18"/>
  <c r="C175" i="18"/>
  <c r="C173" i="18"/>
  <c r="C172" i="18"/>
  <c r="C171" i="18"/>
  <c r="C168" i="18"/>
  <c r="A161" i="18"/>
  <c r="C167" i="18"/>
  <c r="C144" i="18"/>
  <c r="A142" i="18"/>
  <c r="A141" i="18"/>
  <c r="C127" i="18"/>
  <c r="C126" i="18"/>
  <c r="B127" i="18"/>
  <c r="B111" i="18"/>
  <c r="B128" i="18" s="1"/>
  <c r="B131" i="18" s="1"/>
  <c r="C109" i="18"/>
  <c r="C108" i="18"/>
  <c r="C107" i="18"/>
  <c r="C105" i="18"/>
  <c r="C104" i="18"/>
  <c r="C103" i="18"/>
  <c r="C100" i="18"/>
  <c r="C99" i="18"/>
  <c r="A93" i="18"/>
  <c r="C76" i="18"/>
  <c r="A74" i="18"/>
  <c r="A73" i="18"/>
  <c r="B59" i="18"/>
  <c r="B43" i="18"/>
  <c r="B60" i="18" s="1"/>
  <c r="B63" i="18" s="1"/>
  <c r="C41" i="18"/>
  <c r="C40" i="18"/>
  <c r="C39" i="18"/>
  <c r="C37" i="18"/>
  <c r="C36" i="18"/>
  <c r="C35" i="18"/>
  <c r="C32" i="18"/>
  <c r="C31" i="18"/>
  <c r="A25" i="18"/>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514" i="17"/>
  <c r="H513"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K3" i="17"/>
  <c r="D37" i="17"/>
  <c r="C56" i="17" s="1"/>
  <c r="H12" i="17"/>
  <c r="H9" i="17"/>
  <c r="H11" i="17"/>
  <c r="H8" i="17"/>
  <c r="H490" i="20"/>
  <c r="F485" i="20"/>
  <c r="F484" i="20"/>
  <c r="B485" i="20"/>
  <c r="K481" i="20"/>
  <c r="C479" i="20"/>
  <c r="B452" i="20"/>
  <c r="H446" i="20"/>
  <c r="H445" i="20"/>
  <c r="H444" i="20"/>
  <c r="H441" i="20"/>
  <c r="H440" i="20"/>
  <c r="H439" i="20"/>
  <c r="H438" i="20"/>
  <c r="F432" i="20"/>
  <c r="F431" i="20"/>
  <c r="B432" i="20"/>
  <c r="K427" i="20"/>
  <c r="C425" i="20"/>
  <c r="B398" i="20"/>
  <c r="H392" i="20"/>
  <c r="H391" i="20"/>
  <c r="H390" i="20"/>
  <c r="H387" i="20"/>
  <c r="H386" i="20"/>
  <c r="H385" i="20"/>
  <c r="H384" i="20"/>
  <c r="F378" i="20"/>
  <c r="F377" i="20"/>
  <c r="B378" i="20"/>
  <c r="K373" i="20"/>
  <c r="C371" i="20"/>
  <c r="B344" i="20"/>
  <c r="H338" i="20"/>
  <c r="H337" i="20"/>
  <c r="H336" i="20"/>
  <c r="H333" i="20"/>
  <c r="H332" i="20"/>
  <c r="H331" i="20"/>
  <c r="H330" i="20"/>
  <c r="F323" i="20"/>
  <c r="F322" i="20"/>
  <c r="B323" i="20"/>
  <c r="K318" i="20"/>
  <c r="C316" i="20"/>
  <c r="B289" i="20"/>
  <c r="H283" i="20"/>
  <c r="H282" i="20"/>
  <c r="H281" i="20"/>
  <c r="H278" i="20"/>
  <c r="H277" i="20"/>
  <c r="H276" i="20"/>
  <c r="H275" i="20"/>
  <c r="F270" i="20"/>
  <c r="F269" i="20"/>
  <c r="B270" i="20"/>
  <c r="K265" i="20"/>
  <c r="C263" i="20"/>
  <c r="B236" i="20"/>
  <c r="H230" i="20"/>
  <c r="H229" i="20"/>
  <c r="H228" i="20"/>
  <c r="H225" i="20"/>
  <c r="H224" i="20"/>
  <c r="H223" i="20"/>
  <c r="H222" i="20"/>
  <c r="F216" i="20"/>
  <c r="F215" i="20"/>
  <c r="B216" i="20"/>
  <c r="K211" i="20"/>
  <c r="C209" i="20"/>
  <c r="B182" i="20"/>
  <c r="H176" i="20"/>
  <c r="H175" i="20"/>
  <c r="H174" i="20"/>
  <c r="H171" i="20"/>
  <c r="H170" i="20"/>
  <c r="H169" i="20"/>
  <c r="H168" i="20"/>
  <c r="F162" i="20"/>
  <c r="F161" i="20"/>
  <c r="B162" i="20"/>
  <c r="C155" i="20"/>
  <c r="B128" i="20"/>
  <c r="H121" i="20"/>
  <c r="H122" i="20"/>
  <c r="H120" i="20"/>
  <c r="H117" i="20"/>
  <c r="H116" i="20"/>
  <c r="H115" i="20"/>
  <c r="H114" i="20"/>
  <c r="K103" i="20"/>
  <c r="C101" i="20"/>
  <c r="F108" i="20"/>
  <c r="F107" i="20"/>
  <c r="B108" i="20"/>
  <c r="B74" i="20"/>
  <c r="H68" i="20"/>
  <c r="H67" i="20"/>
  <c r="H66" i="20"/>
  <c r="H63" i="20"/>
  <c r="H62" i="20"/>
  <c r="H61" i="20"/>
  <c r="H60" i="20"/>
  <c r="B54" i="20"/>
  <c r="K49" i="20"/>
  <c r="C47" i="20"/>
  <c r="B20" i="20"/>
  <c r="B597" i="17"/>
  <c r="J596" i="17"/>
  <c r="E596" i="17"/>
  <c r="I563" i="17"/>
  <c r="J562" i="17"/>
  <c r="B543" i="17"/>
  <c r="J542" i="17"/>
  <c r="E542" i="17"/>
  <c r="I509" i="17"/>
  <c r="J508" i="17"/>
  <c r="F587" i="20"/>
  <c r="F586" i="20"/>
  <c r="H549" i="20"/>
  <c r="H548" i="20"/>
  <c r="H547" i="20"/>
  <c r="H544" i="20"/>
  <c r="H543" i="20"/>
  <c r="H542" i="20"/>
  <c r="H541" i="20"/>
  <c r="F536" i="20"/>
  <c r="F535" i="20"/>
  <c r="H498" i="20"/>
  <c r="H497" i="20"/>
  <c r="H496" i="20"/>
  <c r="H493" i="20"/>
  <c r="H492" i="20"/>
  <c r="H491" i="20"/>
  <c r="C739" i="18"/>
  <c r="C738" i="18"/>
  <c r="C688" i="18"/>
  <c r="A686" i="18"/>
  <c r="A685" i="18"/>
  <c r="C671" i="18"/>
  <c r="C670" i="18"/>
  <c r="C620" i="18"/>
  <c r="A618" i="18"/>
  <c r="C603" i="18"/>
  <c r="C602" i="18"/>
  <c r="F474" i="19"/>
  <c r="F473" i="19"/>
  <c r="B474" i="19"/>
  <c r="K468" i="19"/>
  <c r="B458" i="19"/>
  <c r="H453" i="19"/>
  <c r="H452" i="19"/>
  <c r="H451" i="19"/>
  <c r="H450" i="19"/>
  <c r="H449" i="19"/>
  <c r="H448" i="19"/>
  <c r="H445" i="19"/>
  <c r="H444" i="19"/>
  <c r="H443" i="19"/>
  <c r="H442" i="19"/>
  <c r="H440" i="19"/>
  <c r="H438" i="19"/>
  <c r="H432" i="19"/>
  <c r="B439" i="19"/>
  <c r="B432" i="19"/>
  <c r="B430" i="19"/>
  <c r="F421" i="19"/>
  <c r="F420" i="19"/>
  <c r="B421" i="19"/>
  <c r="K415" i="19"/>
  <c r="B406" i="19"/>
  <c r="H401" i="19"/>
  <c r="H400" i="19"/>
  <c r="H399" i="19"/>
  <c r="H398" i="19"/>
  <c r="H397" i="19"/>
  <c r="H396" i="19"/>
  <c r="H393" i="19"/>
  <c r="H392" i="19"/>
  <c r="H391" i="19"/>
  <c r="H390" i="19"/>
  <c r="H388" i="19"/>
  <c r="H386" i="19"/>
  <c r="H380" i="19"/>
  <c r="B387" i="19"/>
  <c r="B380" i="19"/>
  <c r="B378" i="19"/>
  <c r="F369" i="19"/>
  <c r="F368" i="19"/>
  <c r="B369" i="19"/>
  <c r="K363" i="19"/>
  <c r="B353" i="19"/>
  <c r="H348" i="19"/>
  <c r="H347" i="19"/>
  <c r="H346" i="19"/>
  <c r="H345" i="19"/>
  <c r="H344" i="19"/>
  <c r="H343" i="19"/>
  <c r="H340" i="19"/>
  <c r="H339" i="19"/>
  <c r="H338" i="19"/>
  <c r="H337" i="19"/>
  <c r="H335" i="19"/>
  <c r="H333" i="19"/>
  <c r="H327" i="19"/>
  <c r="B334" i="19"/>
  <c r="B327" i="19"/>
  <c r="B325" i="19"/>
  <c r="F316" i="19"/>
  <c r="F315" i="19"/>
  <c r="B316" i="19"/>
  <c r="K310" i="19"/>
  <c r="B300" i="19"/>
  <c r="H295" i="19"/>
  <c r="H294" i="19"/>
  <c r="H293" i="19"/>
  <c r="H292" i="19"/>
  <c r="H291" i="19"/>
  <c r="H290" i="19"/>
  <c r="H287" i="19"/>
  <c r="H286" i="19"/>
  <c r="H285" i="19"/>
  <c r="H284" i="19"/>
  <c r="H282" i="19"/>
  <c r="H280" i="19"/>
  <c r="H274" i="19"/>
  <c r="B281" i="19"/>
  <c r="B274" i="19"/>
  <c r="B272" i="19"/>
  <c r="F263" i="19"/>
  <c r="F262" i="19"/>
  <c r="B263" i="19"/>
  <c r="K257" i="19"/>
  <c r="B247" i="19"/>
  <c r="H242" i="19"/>
  <c r="H241" i="19"/>
  <c r="H240" i="19"/>
  <c r="H239" i="19"/>
  <c r="H238" i="19"/>
  <c r="H237" i="19"/>
  <c r="H234" i="19"/>
  <c r="H233" i="19"/>
  <c r="H232" i="19"/>
  <c r="H231" i="19"/>
  <c r="H229" i="19"/>
  <c r="H227" i="19"/>
  <c r="H221" i="19"/>
  <c r="B228" i="19"/>
  <c r="B221" i="19"/>
  <c r="B219" i="19"/>
  <c r="F210" i="19"/>
  <c r="F209" i="19"/>
  <c r="B210" i="19"/>
  <c r="K204" i="19"/>
  <c r="B194" i="19"/>
  <c r="H189" i="19"/>
  <c r="H188" i="19"/>
  <c r="H187" i="19"/>
  <c r="H186" i="19"/>
  <c r="H185" i="19"/>
  <c r="H184" i="19"/>
  <c r="H181" i="19"/>
  <c r="H180" i="19"/>
  <c r="H179" i="19"/>
  <c r="H178" i="19"/>
  <c r="H176" i="19"/>
  <c r="H174" i="19"/>
  <c r="H168" i="19"/>
  <c r="B175" i="19"/>
  <c r="B168" i="19"/>
  <c r="B166" i="19"/>
  <c r="F157" i="19"/>
  <c r="F156" i="19"/>
  <c r="B157" i="19"/>
  <c r="K151" i="19"/>
  <c r="B141" i="19"/>
  <c r="H136" i="19"/>
  <c r="H135" i="19"/>
  <c r="H134" i="19"/>
  <c r="H133" i="19"/>
  <c r="H132" i="19"/>
  <c r="H131" i="19"/>
  <c r="H128" i="19"/>
  <c r="H127" i="19"/>
  <c r="H126" i="19"/>
  <c r="H125" i="19"/>
  <c r="H123" i="19"/>
  <c r="H121" i="19"/>
  <c r="H115" i="19"/>
  <c r="B122" i="19"/>
  <c r="B115" i="19"/>
  <c r="B113" i="19"/>
  <c r="F103" i="19"/>
  <c r="F102" i="19"/>
  <c r="B103" i="19"/>
  <c r="K97" i="19"/>
  <c r="B87" i="19"/>
  <c r="H82" i="19"/>
  <c r="H81" i="19"/>
  <c r="H80" i="19"/>
  <c r="H79" i="19"/>
  <c r="H78" i="19"/>
  <c r="H77" i="19"/>
  <c r="H74" i="19"/>
  <c r="H73" i="19"/>
  <c r="H72" i="19"/>
  <c r="H71" i="19"/>
  <c r="H69" i="19"/>
  <c r="H67" i="19"/>
  <c r="H61" i="19"/>
  <c r="B68" i="19"/>
  <c r="B61" i="19"/>
  <c r="B59" i="19"/>
  <c r="F525" i="19"/>
  <c r="B525" i="19"/>
  <c r="F524" i="19"/>
  <c r="K521" i="19"/>
  <c r="B512" i="19"/>
  <c r="H507" i="19"/>
  <c r="H506" i="19"/>
  <c r="H505" i="19"/>
  <c r="H504" i="19"/>
  <c r="H503" i="19"/>
  <c r="H502" i="19"/>
  <c r="H499" i="19"/>
  <c r="H498" i="19"/>
  <c r="H497" i="19"/>
  <c r="H496" i="19"/>
  <c r="H494" i="19"/>
  <c r="B493" i="19"/>
  <c r="H492" i="19"/>
  <c r="H486" i="19"/>
  <c r="B486" i="19"/>
  <c r="H484" i="19"/>
  <c r="B484" i="19"/>
  <c r="F576" i="19"/>
  <c r="B576" i="19"/>
  <c r="F575" i="19"/>
  <c r="K570" i="19"/>
  <c r="B561" i="19"/>
  <c r="H556" i="19"/>
  <c r="H555" i="19"/>
  <c r="H554" i="19"/>
  <c r="H553" i="19"/>
  <c r="H552" i="19"/>
  <c r="H551" i="19"/>
  <c r="H548" i="19"/>
  <c r="H547" i="19"/>
  <c r="H546" i="19"/>
  <c r="H545" i="19"/>
  <c r="H543" i="19"/>
  <c r="B542" i="19"/>
  <c r="H541" i="19"/>
  <c r="H535" i="19"/>
  <c r="B535" i="19"/>
  <c r="H533" i="19"/>
  <c r="B533" i="19"/>
  <c r="K45" i="19"/>
  <c r="B35" i="19"/>
  <c r="B51" i="19"/>
  <c r="G13" i="21"/>
  <c r="B13" i="21"/>
  <c r="B11" i="21"/>
  <c r="F54" i="20"/>
  <c r="F53" i="20"/>
  <c r="H14" i="20"/>
  <c r="H13" i="20"/>
  <c r="H12" i="20"/>
  <c r="H9" i="20"/>
  <c r="H8" i="20"/>
  <c r="H7" i="20"/>
  <c r="H6" i="20"/>
  <c r="F51" i="19"/>
  <c r="H30" i="19"/>
  <c r="H29" i="19"/>
  <c r="H28" i="19"/>
  <c r="H27" i="19"/>
  <c r="H26" i="19"/>
  <c r="H25" i="19"/>
  <c r="H22" i="19"/>
  <c r="H21" i="19"/>
  <c r="H20" i="19"/>
  <c r="H19" i="19"/>
  <c r="C59" i="18"/>
  <c r="C58" i="18"/>
  <c r="C8" i="18"/>
  <c r="A6" i="18"/>
  <c r="A5" i="18"/>
  <c r="I5" i="17" l="1"/>
  <c r="J4" i="17"/>
  <c r="E41" i="17"/>
  <c r="B42" i="17"/>
  <c r="J41" i="17"/>
  <c r="C1" i="16" l="1"/>
  <c r="D22" i="16"/>
  <c r="D21" i="16"/>
  <c r="D20" i="16"/>
  <c r="D19" i="16"/>
  <c r="D18" i="16"/>
  <c r="D17" i="16"/>
  <c r="D16" i="16"/>
  <c r="D15" i="16"/>
  <c r="D14" i="16"/>
  <c r="D13" i="16"/>
  <c r="D12" i="16"/>
  <c r="D11" i="16"/>
  <c r="D10" i="16"/>
  <c r="D9" i="16"/>
  <c r="D8" i="16"/>
  <c r="D7" i="16"/>
  <c r="D6" i="16"/>
  <c r="D5" i="16"/>
  <c r="D4" i="16"/>
  <c r="D3" i="16"/>
  <c r="C22" i="16"/>
  <c r="C21" i="16"/>
  <c r="C20" i="16"/>
  <c r="C19" i="16"/>
  <c r="C18" i="16"/>
  <c r="C17" i="16"/>
  <c r="C16" i="16"/>
  <c r="C15" i="16"/>
  <c r="C14" i="16"/>
  <c r="C13" i="16"/>
  <c r="C12" i="16"/>
  <c r="C11" i="16"/>
  <c r="C10" i="16"/>
  <c r="C9" i="16"/>
  <c r="C8" i="16"/>
  <c r="C6" i="16"/>
  <c r="C5" i="16"/>
  <c r="C4" i="16"/>
  <c r="C3" i="16"/>
  <c r="F13" i="13"/>
  <c r="F12" i="13"/>
  <c r="F10" i="13"/>
  <c r="F8" i="13"/>
  <c r="D6" i="13"/>
  <c r="C7" i="16" l="1"/>
  <c r="H430" i="19"/>
  <c r="H378" i="19"/>
  <c r="H325" i="19"/>
  <c r="H272" i="19"/>
  <c r="H219" i="19"/>
  <c r="H166" i="19"/>
  <c r="H113" i="19"/>
  <c r="H59" i="19"/>
  <c r="G11" i="21"/>
  <c r="F50" i="19"/>
  <c r="F11" i="13"/>
  <c r="D5" i="12"/>
  <c r="F9" i="8" l="1"/>
  <c r="B5" i="8"/>
  <c r="D4" i="8"/>
  <c r="F8" i="8"/>
  <c r="D7" i="8"/>
  <c r="E9" i="6"/>
  <c r="E8" i="6"/>
  <c r="D7" i="6"/>
  <c r="B5" i="6"/>
  <c r="D4" i="6"/>
  <c r="E9" i="7"/>
  <c r="E8" i="7"/>
  <c r="D7" i="7"/>
  <c r="B5" i="7"/>
  <c r="D4" i="7"/>
  <c r="E9" i="5"/>
  <c r="E8" i="5"/>
  <c r="D4" i="5"/>
  <c r="D7" i="5"/>
  <c r="H17" i="19" l="1"/>
  <c r="H15" i="19"/>
  <c r="B16" i="19"/>
  <c r="B9" i="19" l="1"/>
  <c r="H9" i="19"/>
  <c r="B7" i="19"/>
  <c r="H7" i="19"/>
  <c r="E885" i="10" l="1"/>
  <c r="D771" i="4"/>
  <c r="E835" i="10"/>
  <c r="D726" i="4"/>
  <c r="F35" i="13"/>
  <c r="F34" i="13"/>
  <c r="E769" i="4" l="1"/>
  <c r="J884" i="10"/>
  <c r="G35" i="13"/>
  <c r="H35" i="13" s="1"/>
  <c r="N726" i="4"/>
  <c r="N771" i="4"/>
  <c r="G34" i="13"/>
  <c r="H34" i="13" s="1"/>
  <c r="E724" i="4" l="1"/>
  <c r="O724" i="4" s="1"/>
  <c r="J834" i="10"/>
  <c r="O769" i="4"/>
  <c r="I835" i="10" l="1"/>
  <c r="J836" i="10" s="1"/>
  <c r="F726" i="4"/>
  <c r="I885" i="10"/>
  <c r="J886" i="10" s="1"/>
  <c r="F771" i="4"/>
  <c r="P726" i="4" l="1"/>
  <c r="I726" i="4"/>
  <c r="P771" i="4"/>
  <c r="I771" i="4"/>
  <c r="S771" i="4" l="1"/>
  <c r="E773" i="4"/>
  <c r="O773" i="4" s="1"/>
  <c r="S726" i="4"/>
  <c r="E728" i="4"/>
  <c r="O728" i="4" s="1"/>
  <c r="F33" i="13" l="1"/>
  <c r="E785" i="10" l="1"/>
  <c r="D678" i="4"/>
  <c r="G33" i="13"/>
  <c r="H33" i="13" s="1"/>
  <c r="J784" i="10" l="1"/>
  <c r="E676" i="4"/>
  <c r="N678" i="4"/>
  <c r="O676" i="4" l="1"/>
  <c r="I785" i="10"/>
  <c r="J786" i="10" s="1"/>
  <c r="F678" i="4"/>
  <c r="P678" i="4" l="1"/>
  <c r="I678" i="4"/>
  <c r="F32" i="13" l="1"/>
  <c r="S678" i="4"/>
  <c r="E680" i="4"/>
  <c r="O680" i="4" s="1"/>
  <c r="G32" i="13" l="1"/>
  <c r="H32" i="13" s="1"/>
  <c r="E735" i="10" l="1"/>
  <c r="D633" i="4"/>
  <c r="N633" i="4" l="1"/>
  <c r="E631" i="4" l="1"/>
  <c r="J734" i="10"/>
  <c r="F633" i="4" l="1"/>
  <c r="I735" i="10"/>
  <c r="J736" i="10" s="1"/>
  <c r="O631" i="4"/>
  <c r="P633" i="4" l="1"/>
  <c r="I633" i="4"/>
  <c r="S633" i="4" l="1"/>
  <c r="E635" i="4"/>
  <c r="O635" i="4" s="1"/>
  <c r="F25" i="13" l="1"/>
  <c r="F27" i="13"/>
  <c r="F29" i="13"/>
  <c r="F30" i="13"/>
  <c r="F20" i="13"/>
  <c r="E8" i="30"/>
  <c r="E29" i="30" s="1"/>
  <c r="F21" i="13"/>
  <c r="F24" i="13"/>
  <c r="F22" i="13"/>
  <c r="F23" i="13"/>
  <c r="F26" i="13"/>
  <c r="F28" i="13"/>
  <c r="F31" i="13" l="1"/>
  <c r="G31" i="13" l="1"/>
  <c r="H31" i="13" s="1"/>
  <c r="E685" i="10"/>
  <c r="D587" i="4"/>
  <c r="N587" i="4" l="1"/>
  <c r="J684" i="10"/>
  <c r="E585" i="4"/>
  <c r="I685" i="10" l="1"/>
  <c r="J686" i="10" s="1"/>
  <c r="F587" i="4"/>
  <c r="O585" i="4"/>
  <c r="P587" i="4" l="1"/>
  <c r="I587" i="4"/>
  <c r="S587" i="4" l="1"/>
  <c r="E589" i="4"/>
  <c r="O589" i="4" s="1"/>
  <c r="G24" i="13" l="1"/>
  <c r="H24" i="13" s="1"/>
  <c r="G23" i="13"/>
  <c r="H23" i="13" s="1"/>
  <c r="G22" i="13"/>
  <c r="H22" i="13" s="1"/>
  <c r="D169" i="4"/>
  <c r="E195" i="10"/>
  <c r="J8" i="30"/>
  <c r="J29" i="30" s="1"/>
  <c r="G8" i="30"/>
  <c r="G29" i="30" s="1"/>
  <c r="N169" i="4" l="1"/>
  <c r="AM16" i="1"/>
  <c r="D264" i="4"/>
  <c r="E301" i="10"/>
  <c r="E406" i="10"/>
  <c r="D358" i="4"/>
  <c r="E575" i="10"/>
  <c r="D496" i="4"/>
  <c r="E636" i="10"/>
  <c r="D541" i="4"/>
  <c r="D121" i="4"/>
  <c r="N121" i="4" s="1"/>
  <c r="E143" i="10"/>
  <c r="G30" i="13"/>
  <c r="H30" i="13" s="1"/>
  <c r="G26" i="13"/>
  <c r="H26" i="13" s="1"/>
  <c r="G29" i="13"/>
  <c r="H29" i="13" s="1"/>
  <c r="R8" i="30"/>
  <c r="R29" i="30" s="1"/>
  <c r="E34" i="10"/>
  <c r="D26" i="4"/>
  <c r="G28" i="13"/>
  <c r="H28" i="13" s="1"/>
  <c r="D405" i="4"/>
  <c r="E462" i="10"/>
  <c r="D311" i="4"/>
  <c r="E353" i="10"/>
  <c r="G21" i="13"/>
  <c r="H21" i="13" s="1"/>
  <c r="G20" i="13"/>
  <c r="H20" i="13" s="1"/>
  <c r="F8" i="30"/>
  <c r="F29" i="30" s="1"/>
  <c r="E519" i="10"/>
  <c r="D450" i="4"/>
  <c r="G27" i="13"/>
  <c r="H27" i="13" s="1"/>
  <c r="G25" i="13"/>
  <c r="H25" i="13" s="1"/>
  <c r="D216" i="4"/>
  <c r="E248" i="10"/>
  <c r="AS16" i="1"/>
  <c r="AS37" i="1" s="1"/>
  <c r="AC16" i="1" l="1"/>
  <c r="E309" i="4"/>
  <c r="I121" i="4"/>
  <c r="S121" i="4" s="1"/>
  <c r="T8" i="30"/>
  <c r="T29" i="30" s="1"/>
  <c r="I575" i="10"/>
  <c r="F496" i="4"/>
  <c r="P496" i="4" s="1"/>
  <c r="F311" i="4"/>
  <c r="P311" i="4" s="1"/>
  <c r="I353" i="10"/>
  <c r="F450" i="4"/>
  <c r="P450" i="4" s="1"/>
  <c r="I519" i="10"/>
  <c r="E167" i="4"/>
  <c r="J194" i="10"/>
  <c r="J461" i="10"/>
  <c r="E403" i="4"/>
  <c r="N450" i="4"/>
  <c r="AT16" i="1"/>
  <c r="AT37" i="1" s="1"/>
  <c r="G10" i="12"/>
  <c r="G31" i="12" s="1"/>
  <c r="E24" i="4"/>
  <c r="N8" i="30"/>
  <c r="N29" i="30" s="1"/>
  <c r="J33" i="10"/>
  <c r="N311" i="4"/>
  <c r="N405" i="4"/>
  <c r="J574" i="10"/>
  <c r="J576" i="10" s="1"/>
  <c r="E494" i="4"/>
  <c r="J405" i="10"/>
  <c r="E356" i="4"/>
  <c r="E539" i="4"/>
  <c r="J635" i="10"/>
  <c r="N541" i="4"/>
  <c r="N496" i="4"/>
  <c r="N358" i="4"/>
  <c r="I8" i="30"/>
  <c r="I29" i="30" s="1"/>
  <c r="I406" i="10"/>
  <c r="F358" i="4"/>
  <c r="P358" i="4" s="1"/>
  <c r="F121" i="4"/>
  <c r="P121" i="4" s="1"/>
  <c r="I143" i="10"/>
  <c r="F264" i="4"/>
  <c r="P264" i="4" s="1"/>
  <c r="I301" i="10"/>
  <c r="F73" i="4"/>
  <c r="I88" i="10"/>
  <c r="Q8" i="30"/>
  <c r="Q29" i="30" s="1"/>
  <c r="I34" i="10"/>
  <c r="F26" i="4"/>
  <c r="P26" i="4" s="1"/>
  <c r="N216" i="4"/>
  <c r="E71" i="4"/>
  <c r="J87" i="10"/>
  <c r="J518" i="10"/>
  <c r="N26" i="4"/>
  <c r="N264" i="4"/>
  <c r="AH16" i="1" l="1"/>
  <c r="AH37" i="1" s="1"/>
  <c r="AC37" i="1"/>
  <c r="I264" i="4"/>
  <c r="S264" i="4" s="1"/>
  <c r="E119" i="4"/>
  <c r="E123" i="4" s="1"/>
  <c r="O123" i="4" s="1"/>
  <c r="J89" i="10"/>
  <c r="I26" i="4"/>
  <c r="S26" i="4" s="1"/>
  <c r="J352" i="10"/>
  <c r="J354" i="10" s="1"/>
  <c r="I496" i="4"/>
  <c r="S496" i="4" s="1"/>
  <c r="E448" i="4"/>
  <c r="O448" i="4" s="1"/>
  <c r="J407" i="10"/>
  <c r="I311" i="4"/>
  <c r="S311" i="4" s="1"/>
  <c r="I450" i="4"/>
  <c r="S450" i="4" s="1"/>
  <c r="O71" i="4"/>
  <c r="E262" i="4"/>
  <c r="J300" i="10"/>
  <c r="J302" i="10" s="1"/>
  <c r="H293" i="10"/>
  <c r="O539" i="4"/>
  <c r="O356" i="4"/>
  <c r="O167" i="4"/>
  <c r="F216" i="4"/>
  <c r="I248" i="10"/>
  <c r="I73" i="4"/>
  <c r="S73" i="4" s="1"/>
  <c r="P73" i="4"/>
  <c r="J247" i="10"/>
  <c r="E214" i="4"/>
  <c r="O494" i="4"/>
  <c r="O24" i="4"/>
  <c r="U8" i="30"/>
  <c r="O403" i="4"/>
  <c r="T403" i="4" s="1"/>
  <c r="O309" i="4"/>
  <c r="I358" i="4"/>
  <c r="S358" i="4" s="1"/>
  <c r="J35" i="10"/>
  <c r="O119" i="4" l="1"/>
  <c r="L8" i="30"/>
  <c r="L29" i="30" s="1"/>
  <c r="E313" i="4"/>
  <c r="O313" i="4" s="1"/>
  <c r="E28" i="4"/>
  <c r="O28" i="4" s="1"/>
  <c r="E498" i="4"/>
  <c r="O498" i="4" s="1"/>
  <c r="E452" i="4"/>
  <c r="O452" i="4" s="1"/>
  <c r="J520" i="10"/>
  <c r="J249" i="10"/>
  <c r="F169" i="4"/>
  <c r="I195" i="10"/>
  <c r="J196" i="10" s="1"/>
  <c r="F405" i="4"/>
  <c r="I462" i="10"/>
  <c r="I636" i="10"/>
  <c r="J637" i="10" s="1"/>
  <c r="F541" i="4"/>
  <c r="P216" i="4"/>
  <c r="I216" i="4"/>
  <c r="S216" i="4" s="1"/>
  <c r="O214" i="4"/>
  <c r="O262" i="4"/>
  <c r="E266" i="4"/>
  <c r="O266" i="4" s="1"/>
  <c r="E360" i="4"/>
  <c r="O360" i="4" s="1"/>
  <c r="E75" i="4"/>
  <c r="O75" i="4" s="1"/>
  <c r="E218" i="4" l="1"/>
  <c r="O218" i="4" s="1"/>
  <c r="P405" i="4"/>
  <c r="I405" i="4"/>
  <c r="P541" i="4"/>
  <c r="I541" i="4"/>
  <c r="P169" i="4"/>
  <c r="I169" i="4"/>
  <c r="S169" i="4" l="1"/>
  <c r="E171" i="4"/>
  <c r="O171" i="4" s="1"/>
  <c r="S541" i="4"/>
  <c r="E543" i="4"/>
  <c r="O543" i="4" s="1"/>
  <c r="S405" i="4"/>
  <c r="E407" i="4"/>
  <c r="O407" i="4" s="1"/>
  <c r="J463" i="10"/>
</calcChain>
</file>

<file path=xl/sharedStrings.xml><?xml version="1.0" encoding="utf-8"?>
<sst xmlns="http://schemas.openxmlformats.org/spreadsheetml/2006/main" count="7492" uniqueCount="857">
  <si>
    <t>Name and address of Contractor:</t>
  </si>
  <si>
    <t>Name and address of Establishemnt in/
under which contract is carried on:</t>
  </si>
  <si>
    <t>Nature and location of work:</t>
  </si>
  <si>
    <t>Wage period: Monthly</t>
  </si>
  <si>
    <t>Name and address of Principal Employer:</t>
  </si>
  <si>
    <t>S.No</t>
  </si>
  <si>
    <t>Name of 
Workman</t>
  </si>
  <si>
    <t>Serial No. in the
 Register of Workmen</t>
  </si>
  <si>
    <t>Designation /
 Nature of Work 
Done</t>
  </si>
  <si>
    <t>No.of Days
 worked</t>
  </si>
  <si>
    <t>Unit of 
work done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</si>
  <si>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</si>
  <si>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</si>
  <si>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</si>
  <si>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</si>
  <si>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</si>
  <si>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</si>
  <si>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</si>
  <si>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</si>
  <si>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</si>
  <si>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</si>
  <si>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</si>
  <si>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</si>
  <si>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ARREAR AMOUNT</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</si>
  <si>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</si>
  <si>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</si>
  <si>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</si>
  <si>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</si>
  <si>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</si>
  <si>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</si>
  <si>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</si>
  <si>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</si>
  <si>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</si>
  <si>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</si>
  <si>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</si>
  <si>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MED</t>
  </si>
  <si>
    <t>Total Deductions</t>
  </si>
  <si>
    <t>N/A</t>
  </si>
  <si>
    <t xml:space="preserve">Signature of the Contractor with Seal </t>
  </si>
  <si>
    <t>Sex</t>
  </si>
  <si>
    <t>Remarks</t>
  </si>
  <si>
    <t>Father's /Husband Name</t>
  </si>
  <si>
    <t>Permanent Address</t>
  </si>
  <si>
    <t>Local Address</t>
  </si>
  <si>
    <t>Date of Commencement of Employment</t>
  </si>
  <si>
    <t>Signature or thumb impression of Workman</t>
  </si>
  <si>
    <t>Date of termination of Employment</t>
  </si>
  <si>
    <t>Reasons for termination</t>
  </si>
  <si>
    <t xml:space="preserve">Age </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</si>
  <si>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</si>
  <si>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</si>
  <si>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</si>
  <si>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</si>
  <si>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</si>
  <si>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</si>
  <si>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</si>
  <si>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</si>
  <si>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</si>
  <si>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</si>
  <si>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</si>
  <si>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Deductions, if any</t>
  </si>
  <si>
    <t>Net amount of wages paid</t>
  </si>
  <si>
    <t>Initial of the Contractor or his representative</t>
  </si>
  <si>
    <r>
      <t xml:space="preserve">Name and address of Contractor: </t>
    </r>
    <r>
      <rPr>
        <b/>
        <sz val="9"/>
        <rFont val="Arial"/>
        <family val="2"/>
      </rPr>
      <t xml:space="preserve">GROTECH LANDSCAPE DEVELOPERS PVT.LTD. </t>
    </r>
  </si>
  <si>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</si>
  <si>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</si>
  <si>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</si>
  <si>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</si>
  <si>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</si>
  <si>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</si>
  <si>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</si>
  <si>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</si>
  <si>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</si>
  <si>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</si>
  <si>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</si>
  <si>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</si>
  <si>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</si>
  <si>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Nature and Location of Work: </t>
  </si>
  <si>
    <t xml:space="preserve">Name and address of the establishment in  / under which contract is carried on:                             </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</si>
  <si>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</si>
  <si>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</si>
  <si>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</si>
  <si>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</si>
  <si>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</si>
  <si>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</si>
  <si>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</si>
  <si>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</si>
  <si>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</si>
  <si>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</si>
  <si>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</si>
  <si>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</si>
  <si>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</si>
  <si>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 xml:space="preserve">NO EMPLOYEE TAKEN ADVANCE FOR THE MONTH OF </t>
  </si>
  <si>
    <r>
      <t xml:space="preserve">Name and address of Contractor: </t>
    </r>
    <r>
      <rPr>
        <b/>
        <sz val="10"/>
        <rFont val="Arial"/>
        <family val="2"/>
      </rPr>
      <t xml:space="preserve">GROTECH LANDSCAPE DEVELOPERS PVT.LTD.    </t>
    </r>
    <r>
      <rPr>
        <sz val="10"/>
        <rFont val="Arial"/>
        <family val="2"/>
      </rPr>
      <t xml:space="preserve">                                                                                                                                                                    E-35 GREATER KAILASH ENCLAVE-1 NEW DELHI</t>
    </r>
  </si>
  <si>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</si>
  <si>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</si>
  <si>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</si>
  <si>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</si>
  <si>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</si>
  <si>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</si>
  <si>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</si>
  <si>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</si>
  <si>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Age</t>
  </si>
  <si>
    <t>Insurance Number</t>
  </si>
  <si>
    <t>Shift,Department and occupation of employee</t>
  </si>
  <si>
    <t>Name,address and occupation of the two witnesses</t>
  </si>
  <si>
    <t xml:space="preserve">               NO ACCIDENT OCCURRED  FOR THE MONTH OF </t>
  </si>
  <si>
    <t>EMPLOYMENT CUM WAGE CARD</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</si>
  <si>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</si>
  <si>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</si>
  <si>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</si>
  <si>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</si>
  <si>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</si>
  <si>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</si>
  <si>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</si>
  <si>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</si>
  <si>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</si>
  <si>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</si>
  <si>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</si>
  <si>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</si>
  <si>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</si>
  <si>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</si>
  <si>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</si>
  <si>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</si>
  <si>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</si>
  <si>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</si>
  <si>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</si>
  <si>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</si>
  <si>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</si>
  <si>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</si>
  <si>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</si>
  <si>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</si>
  <si>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</si>
  <si>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To</t>
  </si>
  <si>
    <t>Signature of the Employee</t>
  </si>
  <si>
    <t>BONUS REGISTER</t>
  </si>
  <si>
    <t>FORM "c" ( See rule 4 [c] )</t>
  </si>
  <si>
    <t>Name of the Establishment : _____________________________</t>
  </si>
  <si>
    <r>
      <t xml:space="preserve">Financial  year </t>
    </r>
    <r>
      <rPr>
        <sz val="12"/>
        <rFont val="Times New Roman"/>
        <family val="1"/>
      </rPr>
      <t>_____</t>
    </r>
  </si>
  <si>
    <t>Sr. No</t>
  </si>
  <si>
    <t>Name of the Employee</t>
  </si>
  <si>
    <t>Father's Name / Husband's Name</t>
  </si>
  <si>
    <t>Whether he has completed 15 yrs of age at the beginning of the accounting year</t>
  </si>
  <si>
    <t>Designation</t>
  </si>
  <si>
    <t>No. of days worked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</si>
  <si>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</si>
  <si>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</si>
  <si>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</si>
  <si>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</si>
  <si>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</si>
  <si>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</si>
  <si>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</si>
  <si>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</si>
  <si>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</si>
  <si>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</si>
  <si>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</si>
  <si>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</si>
  <si>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</si>
  <si>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</si>
  <si>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</si>
  <si>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</si>
  <si>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</si>
  <si>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</si>
  <si>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</si>
  <si>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</si>
  <si>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</si>
  <si>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</si>
  <si>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</si>
  <si>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</si>
  <si>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</si>
  <si>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</si>
  <si>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</si>
  <si>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</si>
  <si>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</si>
  <si>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</si>
  <si>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</si>
  <si>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</si>
  <si>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Issue Date</t>
  </si>
  <si>
    <t>Signature</t>
  </si>
  <si>
    <t>ESI PAHECHAN CARDS ISSUE REGISTER</t>
  </si>
  <si>
    <t>Monthly rate of wages/
piece rate</t>
  </si>
  <si>
    <t>FORM I</t>
  </si>
  <si>
    <t>NOMINATION AND DECLARATION FORM</t>
  </si>
  <si>
    <t>(Vide Rule 3 of Payment of wages Act  Central &amp; A.P Rules, 1936)</t>
  </si>
  <si>
    <t>1. Name of the person making nomination</t>
  </si>
  <si>
    <t xml:space="preserve">2. Father's/Husband name
     </t>
  </si>
  <si>
    <t>3. Date of Birth</t>
  </si>
  <si>
    <t>4. Sex</t>
  </si>
  <si>
    <t>5. Marital Status</t>
  </si>
  <si>
    <t>Un-Married</t>
  </si>
  <si>
    <t>6.Address</t>
  </si>
  <si>
    <t>Permanent</t>
  </si>
  <si>
    <t>Temporary</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</si>
  <si>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</si>
  <si>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</si>
  <si>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</si>
  <si>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</si>
  <si>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</si>
  <si>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Date</t>
  </si>
  <si>
    <t xml:space="preserve">I hereby nominate the person(s)/cancel the nomination made by me previously and nominate the person(s) mentioned below to </t>
  </si>
  <si>
    <t>receive any amount due to me from the employer,in the event to my death.</t>
  </si>
  <si>
    <t>Date of Birth</t>
  </si>
  <si>
    <t>If the nominee is minor,name,relationship and address of the guardian</t>
  </si>
  <si>
    <t>Name of the Nominee/nominees</t>
  </si>
  <si>
    <t>Nominee's relationship With the member</t>
  </si>
  <si>
    <t>Address</t>
  </si>
  <si>
    <t>Total amount of Share of accumulations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</si>
  <si>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</si>
  <si>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</si>
  <si>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</si>
  <si>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</si>
  <si>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NOMINATION AND DECLARATION FORM FOR UNEXEMPTED/EXEMPTED ESTABLISHMENTS</t>
  </si>
  <si>
    <t>(FORM 2 REVISED)</t>
  </si>
  <si>
    <t>Declaration and Nomination Form under the Employees Provident Funds and Employees Pension Schemes</t>
  </si>
  <si>
    <t xml:space="preserve">                        (Paragraph 33 and 61(1) of the Employees Provident Fund Scheme 1952 and Paragraph 18 of the Employees Pension Scheme 1995)</t>
  </si>
  <si>
    <t>PART-A(EPF)</t>
  </si>
  <si>
    <t>PART (EPS)</t>
  </si>
  <si>
    <t>Para 18</t>
  </si>
  <si>
    <t>Signature/or thumb impression of the subscriber</t>
  </si>
  <si>
    <t>Strike out whichever is not applicable</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</si>
  <si>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</si>
  <si>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</si>
  <si>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</si>
  <si>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</si>
  <si>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</si>
  <si>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Name and Address of the nominee</t>
  </si>
  <si>
    <t>Relationship with member</t>
  </si>
  <si>
    <t>Signature or thumb impression of the subscriber</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</si>
  <si>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</si>
  <si>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</si>
  <si>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</si>
  <si>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</si>
  <si>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 xml:space="preserve">New Form No. 11 - Declaration Form  </t>
  </si>
  <si>
    <t xml:space="preserve"> </t>
  </si>
  <si>
    <t>EMPLOYEES' PROVIDENT FUND ORGANIZATION</t>
  </si>
  <si>
    <t>Employees' Provident Funds Scheme, 1952 (Paragraph 34 &amp; 57) &amp;</t>
  </si>
  <si>
    <t>The Employees' Pension Scheme, 1995 (Paragraph 24)</t>
  </si>
  <si>
    <t>Name of the Member</t>
  </si>
  <si>
    <t>Fathers' Name</t>
  </si>
  <si>
    <t>Husband's Name</t>
  </si>
  <si>
    <t>(Please tick whichever is applicable)</t>
  </si>
  <si>
    <t>Date of Birth (DD/MM/YYYY)</t>
  </si>
  <si>
    <t>Gender (Male/Female/Transgender)</t>
  </si>
  <si>
    <t>(a)</t>
  </si>
  <si>
    <t>Email Id</t>
  </si>
  <si>
    <t>(b)</t>
  </si>
  <si>
    <t>Mobile No.</t>
  </si>
  <si>
    <t>Whether earlier a member of the Employees' Provident Fund Scheme, 1952 ?</t>
  </si>
  <si>
    <t>Yes</t>
  </si>
  <si>
    <t>No</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</si>
  <si>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</si>
  <si>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</si>
  <si>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</si>
  <si>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</si>
  <si>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</si>
  <si>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</si>
  <si>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d)</t>
  </si>
  <si>
    <t>Scheme Certificate No. (if issued)</t>
  </si>
  <si>
    <t>e)</t>
  </si>
  <si>
    <t>Pension Payment Order (PPO) No. (if issued)</t>
  </si>
  <si>
    <t>Passport No.</t>
  </si>
  <si>
    <t>Bank Account No. &amp; IFS Code</t>
  </si>
  <si>
    <t>AADHAR No.</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</si>
  <si>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</si>
  <si>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</si>
  <si>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</si>
  <si>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</si>
  <si>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</si>
  <si>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</si>
  <si>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</si>
  <si>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4)</t>
  </si>
  <si>
    <t>In case of changes in above details, the same will be intimated to employer at the earliest.</t>
  </si>
  <si>
    <t>Place:</t>
  </si>
  <si>
    <t>DECLARATION BY PRESENT EMPLOYER</t>
  </si>
  <si>
    <t>The member Mr./Ms./Mrs.</t>
  </si>
  <si>
    <t>has joined on</t>
  </si>
  <si>
    <t>and has been allotted PF Number</t>
  </si>
  <si>
    <t>In case the person was earlier not a member of EPF Scheme, 1952 and EPS, 1995:</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</si>
  <si>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</si>
  <si>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</si>
  <si>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</si>
  <si>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</si>
  <si>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</si>
  <si>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</si>
  <si>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</si>
  <si>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</si>
  <si>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</si>
  <si>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 xml:space="preserve">                                                                                                                                 (To be retained by t he employer for future reference)</t>
  </si>
  <si>
    <t>Emp Code:</t>
  </si>
  <si>
    <t>Company</t>
  </si>
  <si>
    <t>Marital Status(married / Unmarried / Widow/divorce)</t>
  </si>
  <si>
    <t>Whether earlier a member of the Employees' Pension  Scheme, 1995?</t>
  </si>
  <si>
    <t>C)</t>
  </si>
  <si>
    <t xml:space="preserve">Date of exit from previous employment (DD/MM/YYYY) </t>
  </si>
  <si>
    <t>International Worker</t>
  </si>
  <si>
    <t>If yes, state country of origin(India/Name of other country)</t>
  </si>
  <si>
    <t>Validity of passport [(DD/MM/YYYY) to (DD/MM/YYYY)]</t>
  </si>
  <si>
    <t>KYC Details (attach self attested copies of following KYCs)</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</si>
  <si>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</si>
  <si>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Date :</t>
  </si>
  <si>
    <t>Signature of Member</t>
  </si>
  <si>
    <t>A)</t>
  </si>
  <si>
    <t>(Post allotment of UAN) The UAN allotted for the member is</t>
  </si>
  <si>
    <t>B)</t>
  </si>
  <si>
    <t>The above PF Account Number/ UAN of the member as mentioned in (A) above has been tagged with his/her UAN/Previous Member ID as declared by member.</t>
  </si>
  <si>
    <t>Signature of Employer with seal of Establishment</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</si>
  <si>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</si>
  <si>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</si>
  <si>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</si>
  <si>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</si>
  <si>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</si>
  <si>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</si>
  <si>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</si>
  <si>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</si>
  <si>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</si>
  <si>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</si>
  <si>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</si>
  <si>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</si>
  <si>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</si>
  <si>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</si>
  <si>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</si>
  <si>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</si>
  <si>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</si>
  <si>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</si>
  <si>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</si>
  <si>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</si>
  <si>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</si>
  <si>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</si>
  <si>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</si>
  <si>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</si>
  <si>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</si>
  <si>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</si>
  <si>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</si>
  <si>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</si>
  <si>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</si>
  <si>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</si>
  <si>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</si>
  <si>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</si>
  <si>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</si>
  <si>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</si>
  <si>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</si>
  <si>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Certificate by the Employer</t>
  </si>
  <si>
    <t>Received the duplicate of the nomination in Form 'F'Filled by me and duly certified by  the employer</t>
  </si>
  <si>
    <t>Note: Strike out words/paragraph not applicable</t>
  </si>
  <si>
    <t xml:space="preserve">                                                                     Acknowledgment by the Employee</t>
  </si>
  <si>
    <t>FORM XV</t>
  </si>
  <si>
    <t>[Vide rule 77 of Contract Labour (Regul. &amp; Abolition) Central &amp; A.P. Rules, 1971]</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</si>
  <si>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</si>
  <si>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</si>
  <si>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</si>
  <si>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</si>
  <si>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</si>
  <si>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</si>
  <si>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</si>
  <si>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</si>
  <si>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</si>
  <si>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</si>
  <si>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</si>
  <si>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</si>
  <si>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</si>
  <si>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</si>
  <si>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Hyderabad</t>
  </si>
  <si>
    <t>Same as permanant address</t>
  </si>
  <si>
    <t>Father</t>
  </si>
  <si>
    <t>54 years</t>
  </si>
  <si>
    <t>Same as Permanant Address</t>
  </si>
  <si>
    <t>55 Years</t>
  </si>
  <si>
    <t>UNMARRIED</t>
  </si>
  <si>
    <t>Unmarried</t>
  </si>
  <si>
    <t>Un married</t>
  </si>
  <si>
    <t>54 Years</t>
  </si>
  <si>
    <t>Hindu</t>
  </si>
  <si>
    <t>Muslim</t>
  </si>
  <si>
    <t>IT SUPPORTIVE SERVICES</t>
  </si>
  <si>
    <r>
      <t xml:space="preserve">Name and address of Contractor: </t>
    </r>
    <r>
      <rPr>
        <b/>
        <sz val="9"/>
        <rFont val="Arial"/>
        <family val="2"/>
      </rPr>
      <t xml:space="preserve"> </t>
    </r>
  </si>
  <si>
    <t xml:space="preserve">Name and address of Contractor: </t>
  </si>
  <si>
    <t xml:space="preserve">                    NO EMPLOYEE WAS IMPOSED DEDUCTIONS FOR DAMAGE OR LOSS FOR THE MONTH OF </t>
  </si>
  <si>
    <t>MEDICAL</t>
  </si>
  <si>
    <t>TOTAL</t>
  </si>
  <si>
    <t>Deductions</t>
  </si>
  <si>
    <t>(Vide Rule 75 of Contract Labour (Regulation and Abolition) Central/Karnataka Rules 1974)</t>
  </si>
  <si>
    <t>P</t>
  </si>
  <si>
    <t>Burgeon IT Services Pvt.Ltd.</t>
  </si>
  <si>
    <t>Siri Mansion LIGB 436 Dr.A S Rao Nagar,Hyderabad</t>
  </si>
  <si>
    <t>Wage Period</t>
  </si>
  <si>
    <t>Form No. II</t>
  </si>
  <si>
    <t>[M. W. Rules under Maharashtra Contract Labour (Regulation and Abolition)1963 Rule 27 (I)]</t>
  </si>
  <si>
    <t xml:space="preserve">Name and Address of Contractor : BURGEON IT SERVICES PVT.LTD. SIRI MANSION LIG 436 DR.A S RAO NAGAR,HYDERABAD 500 060
</t>
  </si>
  <si>
    <t>Working Hours</t>
  </si>
  <si>
    <t>Interval for Rest</t>
  </si>
  <si>
    <t>No. of Hours Worked</t>
  </si>
  <si>
    <t>Deputy ID</t>
  </si>
  <si>
    <t>Full Name of Employee</t>
  </si>
  <si>
    <t>Gender</t>
  </si>
  <si>
    <t>Date of Entry into Service</t>
  </si>
  <si>
    <t>Nature of Work &amp; Designation</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</si>
  <si>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</si>
  <si>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</si>
  <si>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</si>
  <si>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</si>
  <si>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</si>
  <si>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</si>
  <si>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</si>
  <si>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</si>
  <si>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</si>
  <si>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</si>
  <si>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</si>
  <si>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</si>
  <si>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</si>
  <si>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</si>
  <si>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</si>
  <si>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</si>
  <si>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</si>
  <si>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</si>
  <si>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</si>
  <si>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</si>
  <si>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</si>
  <si>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</si>
  <si>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</si>
  <si>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</si>
  <si>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</si>
  <si>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</si>
  <si>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</si>
  <si>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MONTH DAYS</t>
  </si>
  <si>
    <t>Leave with Wages</t>
  </si>
  <si>
    <t>Employee
Code</t>
  </si>
  <si>
    <t>Name of the Workmen</t>
  </si>
  <si>
    <t>Minimum Rate of Wages Payable Basic</t>
  </si>
  <si>
    <t xml:space="preserve">Actual Rate of Wages Payable
HRA </t>
  </si>
  <si>
    <t>Conveyance</t>
  </si>
  <si>
    <t>Bonus</t>
  </si>
  <si>
    <t>Special Allowances</t>
  </si>
  <si>
    <t>Medical Allowances</t>
  </si>
  <si>
    <t>Total Production in Case of Piece Rate Other Allow</t>
  </si>
  <si>
    <t>Normal Earnings</t>
  </si>
  <si>
    <t>Overtime Earnings</t>
  </si>
  <si>
    <t>Gross Wages Payable</t>
  </si>
  <si>
    <t>Income Tax</t>
  </si>
  <si>
    <t>Proff / Income Tax</t>
  </si>
  <si>
    <t>ESIC</t>
  </si>
  <si>
    <t>Total Deduction</t>
  </si>
  <si>
    <t>Net Wages Paid</t>
  </si>
  <si>
    <t>Previous Balance</t>
  </si>
  <si>
    <t>Further Enjoyed</t>
  </si>
  <si>
    <t>Refused</t>
  </si>
  <si>
    <t>Accumulated</t>
  </si>
  <si>
    <t>Date Payment of Wages</t>
  </si>
  <si>
    <t>Signature or the Thumb Impression of the Employee</t>
  </si>
  <si>
    <t>FORM M- LEAVE REGISTER</t>
  </si>
  <si>
    <t>(Vide Rule 78(1) (a) (i) of Maharastra Shops&amp;Establishment Act /Maharastra.Rules 1988</t>
  </si>
  <si>
    <t>Date of entry into service</t>
  </si>
  <si>
    <t>Accumalation of Leave</t>
  </si>
  <si>
    <t>Leave allowed</t>
  </si>
  <si>
    <t>Balance of Leave Carried Over</t>
  </si>
  <si>
    <t>Payment of Leave made on</t>
  </si>
  <si>
    <t>Refusal of Leave</t>
  </si>
  <si>
    <t>Payment of Leave on Discharge of an employee quitting employment if a admissible</t>
  </si>
  <si>
    <t>Leave due on</t>
  </si>
  <si>
    <t>No of Days</t>
  </si>
  <si>
    <t xml:space="preserve">From </t>
  </si>
  <si>
    <t xml:space="preserve">1st month </t>
  </si>
  <si>
    <t>2nd month</t>
  </si>
  <si>
    <t>Date of Application</t>
  </si>
  <si>
    <t>Date of Refusal</t>
  </si>
  <si>
    <t xml:space="preserve">Amount of Leave refused </t>
  </si>
  <si>
    <t>Date of Discharge</t>
  </si>
  <si>
    <t>Date of Amount Paid</t>
  </si>
  <si>
    <t>Signature or Left hand thumb impression of employee</t>
  </si>
  <si>
    <t>FORM IX- REGISTER OF PERSONS EMPLOYED</t>
  </si>
  <si>
    <t>(Vide Rule 78(1) (a) (i) of Contract Labour (Regulation and Abolition) Central /Maharastra.Rules 1974</t>
  </si>
  <si>
    <t>Name  and Surname of workman</t>
  </si>
  <si>
    <t>Father's/Husband's name</t>
  </si>
  <si>
    <t>Nature of Employement/Designation</t>
  </si>
  <si>
    <t>Permanent Home Address of worken</t>
  </si>
  <si>
    <t>Date of commencement of Employment</t>
  </si>
  <si>
    <t>Signature or Thumb impression of workman</t>
  </si>
  <si>
    <t>Date of Temination of Employment</t>
  </si>
  <si>
    <t>Reason for Termination</t>
  </si>
  <si>
    <t>Other Deduction(Med)</t>
  </si>
  <si>
    <t>Name of the Employer / Establishment:</t>
  </si>
  <si>
    <t xml:space="preserve">Name of the Employee:    </t>
  </si>
  <si>
    <t xml:space="preserve">Description of the dapartment if applicable: </t>
  </si>
  <si>
    <t>FORM XVI- REGISTER OF DEDUCTIONS FOR DAMAGE OR LOSS</t>
  </si>
  <si>
    <t>(Vide Rule 78(1) (a) (i) of Contract Labour (Regulation and Abolition) Maharashtra Rules 1971.</t>
  </si>
  <si>
    <t>FORM XVII- REGISTER OF FINES</t>
  </si>
  <si>
    <t>(Vide Rule 78(1) (a) (i) of Contract Labour (Regulation and Abolition) Maharashtra Rules 1971</t>
  </si>
  <si>
    <t>FORM XVIII- REGISTER OF ADVANCES</t>
  </si>
  <si>
    <t>FORM XIX- REGISTER OF OVERTIME</t>
  </si>
  <si>
    <t>Total Salary or wages in the Month</t>
  </si>
  <si>
    <t>NO</t>
  </si>
  <si>
    <t>Rajiv gandhi Info tech park,Village Mann,Pune,Maharashtra 411057</t>
  </si>
  <si>
    <t>NO.OF DAYS</t>
  </si>
  <si>
    <t>SEX</t>
  </si>
  <si>
    <t>Male</t>
  </si>
  <si>
    <t>Kamal Kishore Gupta</t>
  </si>
  <si>
    <t>289/A Mangalwar Peth behind kamla nehru hospital Pune 11</t>
  </si>
  <si>
    <t>E-4, MIG-II , BDA COLONY, C.S PUR, Bhubaneshwar 751016</t>
  </si>
  <si>
    <t>INFOSYS  LTD.IL Pune SEZ Unit-I,Plot No. 24/3</t>
  </si>
  <si>
    <t>Name and address of Contractor:burgeon IT services Pvt.Ltd.</t>
  </si>
  <si>
    <t>Name and address of the establishment in  / under which contract is carried on:   burgeon IT services Pvt.Ltd.  Siri mansion LIGH 436 DR.A S Rao nagar,Hyderabad</t>
  </si>
  <si>
    <t>Technical Consultant</t>
  </si>
  <si>
    <t>Mahendra shiva das more</t>
  </si>
  <si>
    <t>MALE</t>
  </si>
  <si>
    <t>MINAL MAHENDRA MORE</t>
  </si>
  <si>
    <t>FLOT NO.B-905,OXY VOLI2,GATE NO.744 BAKORI ROAD,BIHIND JUNG COLLGE,GADHE VASTI WAGHOLI,PUNE 412207</t>
  </si>
  <si>
    <t>FLOT NO.A 304,SLNO.32/3 SUMAN SILPHA,NEAR SIDHI LAWNS,NARHE GAON,PUNE,411041</t>
  </si>
  <si>
    <t>27/5/2019</t>
  </si>
  <si>
    <t>Software Developer</t>
  </si>
  <si>
    <t>Senior Software Engineer</t>
  </si>
  <si>
    <t>WO</t>
  </si>
  <si>
    <t>IT SUPPORTIVE SERICE</t>
  </si>
  <si>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</si>
  <si>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</si>
  <si>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</si>
  <si>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</si>
  <si>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</si>
  <si>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</si>
  <si>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</si>
  <si>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</si>
  <si>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</si>
  <si>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</si>
  <si>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</si>
  <si>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</si>
  <si>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</si>
  <si>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</si>
  <si>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</si>
  <si>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</si>
  <si>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t>NANDU KAMBLE</t>
  </si>
  <si>
    <t xml:space="preserve"> FL.NO-16, BLDG- 3,
 QUARTER GATE HOUSING SOCIETY,
 NANAPETH, PUNE-411002</t>
  </si>
  <si>
    <t>Resigned</t>
  </si>
  <si>
    <t>31.may.2020</t>
  </si>
  <si>
    <t>Venegella Kanaka durga</t>
  </si>
  <si>
    <t>Moeenahmed Shakilahmed Shaikh</t>
  </si>
  <si>
    <t>ICICI</t>
  </si>
  <si>
    <t>Senior Software Developer</t>
  </si>
  <si>
    <t>KVBL</t>
  </si>
  <si>
    <t>Splunk Developer</t>
  </si>
  <si>
    <t>KKBK</t>
  </si>
  <si>
    <t>Female</t>
  </si>
  <si>
    <t>Alok Saxena</t>
  </si>
  <si>
    <t>h.no-51 shubhalay villas barkheda pathani BHEL Bhopal MP, 462023</t>
  </si>
  <si>
    <t>Venkateshwar Rao</t>
  </si>
  <si>
    <t>No.3,Malempati Homes,8th A cross, Manjunatha Layout, Munekollala, Maratahalli, Bangalore - 560037</t>
  </si>
  <si>
    <t>Dr no-115,Sujatha nagar, vinjamur SPSR Nellore ,Andra Pradesh,pincode:560066</t>
  </si>
  <si>
    <t>naredra Babu</t>
  </si>
  <si>
    <t>c/4-3, Near Nagarpamma Temple, Vadaku, Nellore, AP 524415</t>
  </si>
  <si>
    <t>Thammisetti Narasimhulu</t>
  </si>
  <si>
    <t>Khavyasree Mens Pg,Cyberhills Colony,Near Magnum oppus,Gachibowli,Hyderabad,Telangana,500032</t>
  </si>
  <si>
    <t>Vadde Agraharam vli,Rachayapet Post,Gopavaram mandal,Kadapa dist,Andhrapradesh.Pin-516233.</t>
  </si>
  <si>
    <t>Mudassar Idris Raut</t>
  </si>
  <si>
    <t>Plot no.16,St ni45/1A/part 1,Joshi Colony,Shahunagar,Belagavi</t>
  </si>
  <si>
    <t>Flat no.18,wing b1,Libera Garden,NIBM,Pune</t>
  </si>
  <si>
    <t>Shaik Azara Shakilahmed</t>
  </si>
  <si>
    <t>967 Ravivarpet, Ghulamali,Chambers laxmi Road, Pune, MH 411002</t>
  </si>
  <si>
    <t>AS400 Consultant</t>
  </si>
  <si>
    <t>Software Engineer</t>
  </si>
  <si>
    <t>28.06.2019</t>
  </si>
  <si>
    <t>26.12.2019</t>
  </si>
  <si>
    <t>Signature of the Contractor with Seal</t>
  </si>
  <si>
    <t>EL</t>
  </si>
  <si>
    <t>R2 9 Samdariya City, ahead parth health club, Madhav Nagar , Katni MP -483501</t>
  </si>
  <si>
    <t>168 ADM LIne , Acharya Kriplani Ward Madhav Nagar Katni 483504</t>
  </si>
  <si>
    <t>Niranjan Kumar Panjwani</t>
  </si>
  <si>
    <t>SENIOR SOFTWARE ENGINEER</t>
  </si>
  <si>
    <t>Solution Architect Cloud</t>
  </si>
  <si>
    <t>Dattatray</t>
  </si>
  <si>
    <t>Saakar Almond Park, B 402, Near Kumar Meadows, off solapur Highway, Manjari BK . 412307</t>
  </si>
  <si>
    <t>Javed Akhtar Rehmany</t>
  </si>
  <si>
    <t>9/D, 2nd floor, Madina compound,80 tenaments, B.J Road , Jacob circle,mumbai :- 400011</t>
  </si>
  <si>
    <t>Analyst System Administrator</t>
  </si>
  <si>
    <t xml:space="preserve">Jagdish Salian </t>
  </si>
  <si>
    <t>Senior Project Manager</t>
  </si>
  <si>
    <t>Babita Jagdish Salian</t>
  </si>
  <si>
    <t>2/26, Mehta Chambers, Seth Motishah Marg, Mazgaon, Mumbai - 400010</t>
  </si>
  <si>
    <t>C-404, Vardhaman Heights, Survey No.66/2, Chatrapati Chowk, Gopinath Munde Marg, Rahatani-Kalewadi Link Road, Kalewadi, Pune - 411017</t>
  </si>
  <si>
    <t>Shaik Naseer</t>
  </si>
  <si>
    <t>Senior Technical Consultant</t>
  </si>
  <si>
    <t>Shaik Nanne Sab</t>
  </si>
  <si>
    <t>#12-199-a,Narayana rao Street ,Valisab Road,kadiri-515591,Anantapur dist,AP</t>
  </si>
  <si>
    <t>Door No: 302,CKB Layout,munnekollla,Marathahalli-560037,Bangalore,Karnataka</t>
  </si>
  <si>
    <t>Apurva Kumari</t>
  </si>
  <si>
    <t>sunil kumar thakur</t>
  </si>
  <si>
    <t>Senior Support analyst</t>
  </si>
  <si>
    <t>VILL POST BHARWARA POLICE STATION SINGHWARA DIST DARBHNGA BIHAR 847104</t>
  </si>
  <si>
    <t>LESS DAYS</t>
  </si>
  <si>
    <t>Others</t>
  </si>
  <si>
    <t>Mahesh babu</t>
  </si>
  <si>
    <t>AMARDEEP BORKAR</t>
  </si>
  <si>
    <t>A/C'1498155000027380</t>
  </si>
  <si>
    <t>A/C'7311230416</t>
  </si>
  <si>
    <t>FORM X</t>
  </si>
  <si>
    <t>(Vide Rule 76 of Contract Labour (R&amp;A) Central &amp; Maharashtra Rules, 1971)</t>
  </si>
  <si>
    <t>Form XV - WAGE SLIP</t>
  </si>
  <si>
    <t>[Vide rule 78 (1) (b) of the Contract Labour (Regulation and Abolition) and Maharashtra  Rules, 1971]</t>
  </si>
  <si>
    <t>Muralikrishna</t>
  </si>
  <si>
    <t>TUKARAM</t>
  </si>
  <si>
    <t>ITPM Servicenow</t>
  </si>
  <si>
    <t>16-178,Pamarru, Krishna Dist, AP 521157</t>
  </si>
  <si>
    <t>SR.NO.317,PLOT NO.314,LANE NO.3,RUTUJA PARK, BEHIND BHARAT VAJAN KATA, URULI DEVACHI,PUNE - 412308</t>
  </si>
  <si>
    <t>SBI</t>
  </si>
  <si>
    <t>FORM A</t>
  </si>
  <si>
    <t>[See Rule 3 of Maternity Act Rules, 1965]</t>
  </si>
  <si>
    <t>MUSTER ROLL</t>
  </si>
  <si>
    <r>
      <rPr>
        <b/>
        <sz val="10"/>
        <rFont val="Book Antiqua"/>
        <family val="1"/>
      </rPr>
      <t>Name of [mine or circus]</t>
    </r>
    <r>
      <rPr>
        <sz val="10"/>
        <rFont val="Book Antiqua"/>
        <family val="1"/>
      </rPr>
      <t xml:space="preserve">: </t>
    </r>
  </si>
  <si>
    <t xml:space="preserve">Serial Number. </t>
  </si>
  <si>
    <t>Name of woman and her father's (or, if married, husband's) name.</t>
  </si>
  <si>
    <t>Date of appointment.</t>
  </si>
  <si>
    <t>Nature of work.</t>
  </si>
  <si>
    <t>Dates with month and year in which she is employed, laid off and not employed.</t>
  </si>
  <si>
    <t>Month</t>
  </si>
  <si>
    <t>No.of days employed</t>
  </si>
  <si>
    <t>No.of days laid off</t>
  </si>
  <si>
    <t>No.of days not employed</t>
  </si>
  <si>
    <t>Date on which the woman gives notice under section 6.</t>
  </si>
  <si>
    <t>Date of discharge/dismissal, if any.</t>
  </si>
  <si>
    <t>Date of production of proof of pregnancy under section 6.</t>
  </si>
  <si>
    <t>Date of birth of child.</t>
  </si>
  <si>
    <r>
      <t>Date of production of proof of delivery/miscarriage/ </t>
    </r>
    <r>
      <rPr>
        <vertAlign val="superscript"/>
        <sz val="11.5"/>
        <rFont val="Times New Roman"/>
        <family val="1"/>
      </rPr>
      <t>1</t>
    </r>
    <r>
      <rPr>
        <sz val="12"/>
        <rFont val="Times New Roman"/>
        <family val="1"/>
      </rPr>
      <t>[Medical Termination of pregnancy/ tubectomy operation/death.]</t>
    </r>
  </si>
  <si>
    <t>Date of production of proof of illness referred to in section 10.</t>
  </si>
  <si>
    <t>Date with the amount of maternity benefit paid in advance of expected delivery.</t>
  </si>
  <si>
    <t>Date with the amount of subsequent payment of maternity benefit.</t>
  </si>
  <si>
    <t>Date with the amount of bonus, if paid, under section 8.</t>
  </si>
  <si>
    <t>Date with the amount of wages paid on account of leave under section 9.</t>
  </si>
  <si>
    <t>15A</t>
  </si>
  <si>
    <t>Date with the amount of wages paid on account of leave under section 9A</t>
  </si>
  <si>
    <t>Date with the amount of wages paid on account of leave under section 10 and period of leave granted</t>
  </si>
  <si>
    <t>Name of the person nominated by the woman under section 6.</t>
  </si>
  <si>
    <t>If the woman dies, the date of her death, the name of the person to whom maternity benefit and/or other amount was paid, the amount thereof, and the date of payment.</t>
  </si>
  <si>
    <t>If the woman dies and the child survives, the name of the person to whom the amount of maternity benefit was paid on behalf of the child and the period for which it was paid.</t>
  </si>
  <si>
    <r>
      <t>Signature of the employer of </t>
    </r>
    <r>
      <rPr>
        <vertAlign val="superscript"/>
        <sz val="11.5"/>
        <rFont val="Times New Roman"/>
        <family val="1"/>
      </rPr>
      <t>3</t>
    </r>
    <r>
      <rPr>
        <sz val="12"/>
        <rFont val="Times New Roman"/>
        <family val="1"/>
      </rPr>
      <t>[the mine or circus] authenticating the entries in the muster-roll.</t>
    </r>
  </si>
  <si>
    <t>Remarks column for the use of the Inspector.</t>
  </si>
  <si>
    <t xml:space="preserve">Certifited that no pregnant employee worked for the month of </t>
  </si>
  <si>
    <t>For</t>
  </si>
  <si>
    <t>Authorized Signatory</t>
  </si>
  <si>
    <t>FORM B</t>
  </si>
  <si>
    <t>[See Rule 4(1) of Maternity Act Rules, 1965]</t>
  </si>
  <si>
    <t>This is to certify that I examined…. wife /daughter of ….. a woman employee in  name of Mine or Circus on (Date)</t>
  </si>
  <si>
    <t xml:space="preserve">                                                  and found/ cannot discover that she is pregnant and is expected to be delivered of a child within (month/days) from the above </t>
  </si>
  <si>
    <t xml:space="preserve">mentioned date date/has undergone miscarriage/[Medical termination of pregnancy or tubectomy operation]/has been delivered </t>
  </si>
  <si>
    <t>of a child on….. (date) or is suffering from…..(date) from illness arising out of pregnancy/delivery/premature birth of a child or miscarriage/</t>
  </si>
  <si>
    <t>[Medical termination of pregnancy or tubectomy operation ].</t>
  </si>
  <si>
    <t xml:space="preserve">Signature, qualifications and designation of Medical Officer/Medical Practitioner. </t>
  </si>
  <si>
    <t>Date…..</t>
  </si>
  <si>
    <t>Definitions of "child" and "miscarriage" as in the Maternity Benefit Act, 1961.-</t>
  </si>
  <si>
    <t>1. "Child" includes a still-born child.</t>
  </si>
  <si>
    <t xml:space="preserve">2. "Miscarriage" means expulsion of the contents of a pregnant uterus at any period prior to or during the twenty-sixth week of pregnancy </t>
  </si>
  <si>
    <t>but does not include any miscarriage,the causing of which is punishable under the Indian Penal Code.</t>
  </si>
  <si>
    <r>
      <t>Ins. by G.S.R. 70(E), dated 31st January, 1996 (w.e.f. 31-1-1996</t>
    </r>
    <r>
      <rPr>
        <sz val="11"/>
        <color theme="1"/>
        <rFont val="Calibri"/>
        <family val="2"/>
        <scheme val="minor"/>
      </rPr>
      <t>).</t>
    </r>
  </si>
  <si>
    <t>FORM C</t>
  </si>
  <si>
    <t>[See Rule 4(4) of Maternity Act Rules, 1965]</t>
  </si>
  <si>
    <t>This is to certify that</t>
  </si>
  <si>
    <t>Smt……………………………….wife/daughter of ……………………….employed in ……………….(name of [Mine or Circus]</t>
  </si>
  <si>
    <t>expired on ……………………..before/during/after confinement. The child died on …./survives her.</t>
  </si>
  <si>
    <t>Ins. by G.S.R. 70(E), dated 31st January, 1996 (w.e.f. 31-1-1996).</t>
  </si>
  <si>
    <t>FORM D</t>
  </si>
  <si>
    <t>[See Rule 4(5) of Maternity Act Rules, 1965]</t>
  </si>
  <si>
    <t>This is to certify that I examined……………..wife/daughter of ……….a woman employed in ………..(name of [Mine or Circus ]</t>
  </si>
  <si>
    <t>and found that she has been delivered of a child/has undergone miscarriage on ….(date)</t>
  </si>
  <si>
    <t xml:space="preserve">Signature of registered Midwife </t>
  </si>
  <si>
    <t>Date….</t>
  </si>
  <si>
    <t>Definitions of "child" and "miscarriage" as in the Maternity Benefit Act, 1961-</t>
  </si>
  <si>
    <t xml:space="preserve">2. "Miscarriage" means expulsion of the contents of a pregnant uterus at any period prior to or during the twenty-sixth </t>
  </si>
  <si>
    <t>week of pregnancy but does not include any miscarriage, the causing of which is punishable under the Indian Penal Code.</t>
  </si>
  <si>
    <t>Subs. by G.S.R. 59(E), dated 27th February, 1975 (w.e.f. 1-3-1975).</t>
  </si>
  <si>
    <t>Yarramaddu Raveendra Reddy</t>
  </si>
  <si>
    <t>Sr Citrix Administrator</t>
  </si>
  <si>
    <t>A/C'50100313077055</t>
  </si>
  <si>
    <t>OOOO</t>
  </si>
  <si>
    <t>Reddiah Gumitha</t>
  </si>
  <si>
    <t>Sunnapalli Anil</t>
  </si>
  <si>
    <t>Viswanath B</t>
  </si>
  <si>
    <t>Himanshu Anand</t>
  </si>
  <si>
    <t>Kanchupati Kondaiah</t>
  </si>
  <si>
    <t>Santosh Patel</t>
  </si>
  <si>
    <t>Sr. Software Engineer</t>
  </si>
  <si>
    <t>SQL DBA Administrator</t>
  </si>
  <si>
    <t xml:space="preserve">Sr. DBA / Sr. Administrator </t>
  </si>
  <si>
    <t xml:space="preserve"> SQL DATABASE ADMINISTRATOR</t>
  </si>
  <si>
    <t>Senior  Support Engineer</t>
  </si>
  <si>
    <t>ZZZ</t>
  </si>
  <si>
    <t>WWWW</t>
  </si>
  <si>
    <t>HDFC BANK</t>
  </si>
  <si>
    <t>STATE BANK OF INDIA</t>
  </si>
  <si>
    <t>20222665512</t>
  </si>
  <si>
    <t>IT SUPPORTIVE SERVICES&amp; Pune SEZ Unit-1</t>
  </si>
  <si>
    <t>Active</t>
  </si>
  <si>
    <t>A Achyuthram Kumar</t>
  </si>
  <si>
    <t>Prakash Tammishetty</t>
  </si>
  <si>
    <t>TARANNUM MUDASSAR IDRIS RAUT</t>
  </si>
  <si>
    <t xml:space="preserve">Swati Panjwani </t>
  </si>
  <si>
    <t xml:space="preserve">Pravin Dattatray Karde </t>
  </si>
  <si>
    <t xml:space="preserve">SHARJEEL REHMANY </t>
  </si>
  <si>
    <t>Chitra Kulkarni</t>
  </si>
  <si>
    <t xml:space="preserve">Asish kumar satapathy </t>
  </si>
  <si>
    <t xml:space="preserve">Shreyash Gupta </t>
  </si>
  <si>
    <t xml:space="preserve">Amodh Kamble </t>
  </si>
  <si>
    <t xml:space="preserve">Tanmay Saxena </t>
  </si>
  <si>
    <t>Ramachandra Reddy</t>
  </si>
  <si>
    <t>11/25,Baddipally village,Mudivedu post,Kura Balakota mandal,Chittor district,AP 517350</t>
  </si>
  <si>
    <t>101695261757</t>
  </si>
  <si>
    <t>100126170346</t>
  </si>
  <si>
    <t>100051658997</t>
  </si>
  <si>
    <t>100582540876</t>
  </si>
  <si>
    <t>100893476080</t>
  </si>
  <si>
    <t>101439478209</t>
  </si>
  <si>
    <t xml:space="preserve">Nirbay Gopal </t>
  </si>
  <si>
    <t>H No 479,Sy No 39,Road no.5, Mathenagar,Vadgaon sheri,Pune,Maharastra 411014</t>
  </si>
  <si>
    <t>A/C' 055801521228</t>
  </si>
  <si>
    <t>Project Manager</t>
  </si>
  <si>
    <t>16-9-239,Puppalagutta,Railway flyover bridge,Chital,Warangal,TS 506002</t>
  </si>
  <si>
    <t>Jayachandra Reddy</t>
  </si>
  <si>
    <t>H No 3-59,Shiva sandhya nagar,KSRM engineering college,CK Dinne Mandal,Kadapa,AP 516003</t>
  </si>
  <si>
    <t>Narsingam</t>
  </si>
  <si>
    <t>A.K. Gupta</t>
  </si>
  <si>
    <t>25-B Radha Nagar, Rohini complex, Mathura, UP 281004</t>
  </si>
  <si>
    <t>J-901 City Apartments,aditya world city, Gaziabad, UP 201002</t>
  </si>
  <si>
    <t>Kishorilal Patel</t>
  </si>
  <si>
    <t>RNA- Plaza, Bldg R-6, Flat 714,Shree Ganesh CHS,Somani Gram, Rammandr road, Goregaon (west), Mumbai 400104.</t>
  </si>
  <si>
    <t>U MALLESWARAMMA</t>
  </si>
  <si>
    <t>CHENNAVARAM Village, Rachayapost, gopavaram mandal, YSR Kadapa, AP 516233</t>
  </si>
  <si>
    <t>A/C 07281140023731</t>
  </si>
  <si>
    <t>UCO</t>
  </si>
  <si>
    <t xml:space="preserve">A/c no 16280110106877 </t>
  </si>
  <si>
    <t>Axis Bank</t>
  </si>
  <si>
    <t>A/c No: 919010057225623</t>
  </si>
  <si>
    <t>Basweshwar Pawar</t>
  </si>
  <si>
    <t>Swati Bhattacharya</t>
  </si>
  <si>
    <t>Nandakumar eknath pawar</t>
  </si>
  <si>
    <t>H-302, Kohinoor Abhimaan Homes, somatane-Kasarai Road,Near Sai Temple, Mawal, PUNE 410506</t>
  </si>
  <si>
    <t>Madhav singnapurkar</t>
  </si>
  <si>
    <t>B-605, gagan adira, Siraj Bokadia Road, Wagholi, Pune 412207</t>
  </si>
  <si>
    <t>Service Manager -Cyber security</t>
  </si>
  <si>
    <t>Lead PMO</t>
  </si>
  <si>
    <t>Hemanth Mishra</t>
  </si>
  <si>
    <t>CHANDSAHEB IRKA FAZALA</t>
  </si>
  <si>
    <t>Technology Analyst</t>
  </si>
  <si>
    <t>ICICI BANK</t>
  </si>
  <si>
    <t>057001509856</t>
  </si>
  <si>
    <t>SENIOR HADOOP ADMIN</t>
  </si>
  <si>
    <t>16 B,Braj Nagar,Rameshwar Ward,    opp. Anima Ubeja's Banglow, KHANDWA     Pin-450001,                 Madhra Pradesh</t>
  </si>
  <si>
    <t>17/10/1976</t>
  </si>
  <si>
    <t>Satish Chandra Mishra</t>
  </si>
  <si>
    <t>CHANDSAHEB IRKAL</t>
  </si>
  <si>
    <t>558, 37/133 New Paccha Peth, Ashok Chowk, Behind Taj Medical Solapur</t>
  </si>
  <si>
    <t>201, Sunaina Apartment, Near Poona College Camp Pune-411001</t>
  </si>
  <si>
    <t>042401535769</t>
  </si>
  <si>
    <t>100163951857</t>
  </si>
  <si>
    <t>100233436495</t>
  </si>
  <si>
    <t>SUKRUTH YELLAMBOTLA</t>
  </si>
  <si>
    <t>SENIOR APPLICATION CONSULTANT</t>
  </si>
  <si>
    <t>100627572976</t>
  </si>
  <si>
    <t>HDFC0000486</t>
  </si>
  <si>
    <t>50100468093660</t>
  </si>
  <si>
    <t>RESIGNATION</t>
  </si>
  <si>
    <t>101148301276</t>
  </si>
  <si>
    <t>Yellambotla Vijay Kumar</t>
  </si>
  <si>
    <t xml:space="preserve">H No 6-311/1/B/1,Sri krishna nagar,Qutubullapur,Suchitra,Hyderabad </t>
  </si>
  <si>
    <t>Ajay Singh</t>
  </si>
  <si>
    <t>OOO</t>
  </si>
  <si>
    <t>BITS-461</t>
  </si>
  <si>
    <t>BITS-469</t>
  </si>
  <si>
    <t>BITS-572</t>
  </si>
  <si>
    <t>BITS-605</t>
  </si>
  <si>
    <t>BITS-617</t>
  </si>
  <si>
    <t>BITS-632</t>
  </si>
  <si>
    <t>BITS-633</t>
  </si>
  <si>
    <t>BITS-634</t>
  </si>
  <si>
    <t>BITS-638</t>
  </si>
  <si>
    <t>BITS-661</t>
  </si>
  <si>
    <t>BITS-663</t>
  </si>
  <si>
    <t>BITS-667</t>
  </si>
  <si>
    <t>BITS-682</t>
  </si>
  <si>
    <t>Santhosh Singh</t>
  </si>
  <si>
    <t>EM-36,Indus Town,Phase II,Ratanpur,Missrod,Bhopal,Madhya pradesh 462047</t>
  </si>
  <si>
    <t>101265633203</t>
  </si>
  <si>
    <t>916010061379733</t>
  </si>
  <si>
    <t>Sr.Cloud Network Engineer</t>
  </si>
  <si>
    <t>FAZALAHMED IRKAL</t>
  </si>
  <si>
    <t> Rajesh Dhumal</t>
  </si>
  <si>
    <t>BITS-697</t>
  </si>
  <si>
    <t>Senior network security analyst.</t>
  </si>
  <si>
    <t>100637149311</t>
  </si>
  <si>
    <t>AXIS BANK</t>
  </si>
  <si>
    <t>921010021808628</t>
  </si>
  <si>
    <t>JAN'21</t>
  </si>
  <si>
    <t>JAN'22</t>
  </si>
  <si>
    <r>
      <t xml:space="preserve">                                                                                         </t>
    </r>
    <r>
      <rPr>
        <b/>
        <sz val="25"/>
        <rFont val="Calibri"/>
        <family val="2"/>
      </rPr>
      <t xml:space="preserve">FORM - XIII REGISTER OF WORKMEN EMPLOYED BY CONTRACTOR
</t>
    </r>
  </si>
  <si>
    <t>Ramakrishna</t>
  </si>
  <si>
    <t>Deshpande Galli, Kholeshwar Collage Samor, Ambejogai, Bid, Maharashtra 431517</t>
  </si>
  <si>
    <t>Ajay Pal Singh</t>
  </si>
  <si>
    <t>PAVANKUMAR</t>
  </si>
  <si>
    <t>BITS-704</t>
  </si>
  <si>
    <t>BITS-716</t>
  </si>
  <si>
    <t>P YELLAIAH</t>
  </si>
  <si>
    <t>7-8/1, palmakole(V), shamshabad(M), RR Dist,509325</t>
  </si>
  <si>
    <t>FEB'22</t>
  </si>
  <si>
    <t>15-03-1990</t>
  </si>
  <si>
    <t>kunwar rohitash singh</t>
  </si>
  <si>
    <t>DBS Bank</t>
  </si>
  <si>
    <t>881015838995</t>
  </si>
  <si>
    <t>100897320115</t>
  </si>
  <si>
    <t>Network security consultant</t>
  </si>
  <si>
    <t>H No 32,Jalalpur-Raghunadhpur,Murad nagar,Gaziyabad,UP 201206</t>
  </si>
  <si>
    <t>H No 66,New Gandhi layout,Jaffar nagar,Nagpur,Maharastra 440013</t>
  </si>
  <si>
    <t>SAP Basis consultant</t>
  </si>
  <si>
    <t>101593987074</t>
  </si>
  <si>
    <t>Rahul Suryawanshi</t>
  </si>
  <si>
    <t xml:space="preserve">Shantanu Patankar </t>
  </si>
  <si>
    <t>Varalakshmi Vijay</t>
  </si>
  <si>
    <t>BITS-729</t>
  </si>
  <si>
    <t>BITS-730</t>
  </si>
  <si>
    <t>BITS-736</t>
  </si>
  <si>
    <t>Tarun Suryawanshi</t>
  </si>
  <si>
    <t>27011616110</t>
  </si>
  <si>
    <t>standard chartered</t>
  </si>
  <si>
    <t>shivajirao balasaheb</t>
  </si>
  <si>
    <t>239001508763</t>
  </si>
  <si>
    <t>ICICI bank</t>
  </si>
  <si>
    <t>Vijay srinivasan</t>
  </si>
  <si>
    <t>055501503361</t>
  </si>
  <si>
    <t>29</t>
  </si>
  <si>
    <t>30</t>
  </si>
  <si>
    <t>MAR,22</t>
  </si>
  <si>
    <t>MAR'22</t>
  </si>
  <si>
    <t>H No 53,Near Durga mandir,at po sarra,gram sarra,tahsil multai dist bethul,Madhya pradesh 460661</t>
  </si>
  <si>
    <t>100894664218</t>
  </si>
  <si>
    <t>101804644758</t>
  </si>
  <si>
    <t>204,Gaurav roy appts,tirangachowk,bharati vidyapitt,katray,pune,Maharastra 411046</t>
  </si>
  <si>
    <t>Patankar house,kuntharwada,at post patan,taluq patan,dist satare,maharastra 415206</t>
  </si>
  <si>
    <t>Sr.Network security Analyst</t>
  </si>
  <si>
    <t>902,Link view appts,sethia complex-2, opp MG road,Motilal nagar,Road no.3,Goregaon west,Mumbai,Maharastra 400104</t>
  </si>
  <si>
    <t>05.05.2022</t>
  </si>
  <si>
    <t>BITS-744</t>
  </si>
  <si>
    <t xml:space="preserve">OMPRAKASH PURI </t>
  </si>
  <si>
    <t>BITS-746</t>
  </si>
  <si>
    <t xml:space="preserve">DiptiRanjan Dikhit </t>
  </si>
  <si>
    <t>QQQQQ</t>
  </si>
  <si>
    <t xml:space="preserve">Dipti Ranjan Dikhit </t>
  </si>
  <si>
    <t>Network  Security Engineer</t>
  </si>
  <si>
    <t>CONSULTANT</t>
  </si>
  <si>
    <t>100260928334</t>
  </si>
  <si>
    <t>101345259957</t>
  </si>
  <si>
    <t xml:space="preserve">30067197155 </t>
  </si>
  <si>
    <t>State Bank Of India</t>
  </si>
  <si>
    <t>31162392468</t>
  </si>
  <si>
    <t>Muster Roll cum Wages Register for the month of APRIL 2022</t>
  </si>
  <si>
    <t>APRIL'22</t>
  </si>
  <si>
    <t>Muster Roll cum Wages Register for the month of   APRIL 2022</t>
  </si>
  <si>
    <t>2022-23</t>
  </si>
  <si>
    <t>H</t>
  </si>
  <si>
    <t>Shankarnath Singh</t>
  </si>
  <si>
    <t>LIG-162,2nd floor,7th phase,KPHB,Near basket ball ground,Hyderabad,TS 500085</t>
  </si>
  <si>
    <t>Purna chandra</t>
  </si>
  <si>
    <t>At-Sanakanjiya nuva sahi,IV Irrigation Market colony,Gate No.2,PO Satyardhi,near sakhi gopi bus stand,Puri,Odissa 752014</t>
  </si>
  <si>
    <t>PUNE</t>
  </si>
  <si>
    <t>INFOSYS LTD</t>
  </si>
  <si>
    <t>SEZ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</si>
</sst>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mmmm/yyyy"/>
    <numFmt numFmtId="165" formatCode="[$-409]d/mmm/yy;@"/>
    <numFmt numFmtId="166" formatCode="###,##0"/>
    <numFmt numFmtId="167" formatCode="_(* #,##0_);_(* \(#,##0\);_(* &quot;-&quot;??_);_(@_)"/>
    <numFmt numFmtId="168" formatCode="[$-14009]dd/mm/yyyy;@"/>
    <numFmt numFmtId="169" formatCode="mm\-dd\-yyyy"/>
    <numFmt numFmtId="170" formatCode="[$-F800]dddd\,\ mmmm\ dd\,\ yyyy"/>
    <numFmt numFmtId="171" formatCode="0.0"/>
  </numFmts>
  <fonts count="135">
    <font>
      <sz val="11"/>
      <color theme="1"/>
      <name val="Calibri"/>
      <family val="2"/>
      <scheme val="minor"/>
    </font>
    <font>
      <sz val="11"/>
      <color theme="1"/>
      <name val="Calibri"/>
      <family val="2"/>
      <scheme val="minor"/>
    </font>
    <font>
      <b/>
      <sz val="11"/>
      <color theme="1"/>
      <name val="Calibri"/>
      <family val="2"/>
      <scheme val="minor"/>
    </font>
    <font>
      <b/>
      <sz val="10"/>
      <name val="Times New Roman"/>
      <family val="1"/>
    </font>
    <font>
      <sz val="12"/>
      <color theme="1"/>
      <name val="Calibri"/>
      <family val="2"/>
      <scheme val="minor"/>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sz val="10"/>
      <name val="Calibri"/>
      <family val="2"/>
      <scheme val="minor"/>
    </font>
    <font>
      <sz val="12"/>
      <name val="Cambria"/>
      <family val="1"/>
      <scheme val="major"/>
    </font>
    <font>
      <b/>
      <sz val="20"/>
      <name val="Arial"/>
      <family val="2"/>
    </font>
    <font>
      <sz val="9"/>
      <name val="Arial"/>
      <family val="2"/>
    </font>
    <font>
      <b/>
      <sz val="9"/>
      <name val="Arial"/>
      <family val="2"/>
    </font>
    <font>
      <sz val="10"/>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u/>
      <sz val="14"/>
      <name val="Imprint MT Shadow"/>
      <family val="5"/>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sz val="9"/>
      <name val="Times New Roman"/>
      <family val="1"/>
    </font>
    <font>
      <b/>
      <sz val="9"/>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sz val="12"/>
      <name val="Verdana"/>
      <family val="2"/>
    </font>
    <font>
      <sz val="12"/>
      <color theme="1"/>
      <name val="Cambria"/>
      <family val="1"/>
      <scheme val="major"/>
    </font>
    <font>
      <b/>
      <sz val="8"/>
      <color indexed="8"/>
      <name val="Calibri"/>
      <family val="2"/>
      <scheme val="minor"/>
    </font>
    <font>
      <sz val="8"/>
      <color indexed="8"/>
      <name val="Calibri"/>
      <family val="2"/>
      <scheme val="minor"/>
    </font>
    <font>
      <sz val="8"/>
      <name val="Calibri"/>
      <family val="2"/>
      <scheme val="minor"/>
    </font>
    <font>
      <sz val="11"/>
      <name val="Verdana"/>
      <family val="2"/>
    </font>
    <font>
      <b/>
      <sz val="9"/>
      <color indexed="8"/>
      <name val="Calibri"/>
      <family val="2"/>
      <scheme val="minor"/>
    </font>
    <font>
      <sz val="8"/>
      <name val="Verdana"/>
      <family val="2"/>
    </font>
    <font>
      <sz val="10"/>
      <name val="Cambria"/>
      <family val="1"/>
      <scheme val="major"/>
    </font>
    <font>
      <sz val="11"/>
      <color theme="1"/>
      <name val="Cambria"/>
      <family val="1"/>
      <scheme val="major"/>
    </font>
    <font>
      <sz val="11"/>
      <color rgb="FF000000"/>
      <name val="Cambria"/>
      <family val="1"/>
      <scheme val="major"/>
    </font>
    <font>
      <sz val="11"/>
      <name val="Cambria"/>
      <family val="1"/>
      <scheme val="major"/>
    </font>
    <font>
      <sz val="9"/>
      <name val="Cambria"/>
      <family val="1"/>
      <scheme val="major"/>
    </font>
    <font>
      <sz val="12"/>
      <name val="Calibri"/>
      <family val="2"/>
      <scheme val="minor"/>
    </font>
    <font>
      <b/>
      <sz val="12"/>
      <name val="Book Antiqua"/>
      <family val="1"/>
    </font>
    <font>
      <sz val="12"/>
      <name val="Book Antiqua"/>
      <family val="1"/>
    </font>
    <font>
      <sz val="10"/>
      <name val="Book Antiqua"/>
      <family val="1"/>
    </font>
    <font>
      <b/>
      <sz val="10"/>
      <name val="Book Antiqua"/>
      <family val="1"/>
    </font>
    <font>
      <vertAlign val="superscript"/>
      <sz val="11.5"/>
      <name val="Times New Roman"/>
      <family val="1"/>
    </font>
    <font>
      <sz val="12"/>
      <color rgb="FF000000"/>
      <name val="Times New Roman"/>
      <family val="1"/>
    </font>
    <font>
      <sz val="12"/>
      <color theme="1"/>
      <name val="Times New Roman"/>
      <family val="1"/>
    </font>
    <font>
      <sz val="11"/>
      <color rgb="FFFF0000"/>
      <name val="Calibri"/>
      <family val="2"/>
      <scheme val="minor"/>
    </font>
    <font>
      <sz val="11"/>
      <color rgb="FFFF0000"/>
      <name val="Cambria"/>
      <family val="1"/>
      <scheme val="major"/>
    </font>
    <font>
      <sz val="10"/>
      <color rgb="FFFF0000"/>
      <name val="Cambria"/>
      <family val="1"/>
      <scheme val="major"/>
    </font>
    <font>
      <sz val="12"/>
      <color rgb="FFFF0000"/>
      <name val="Calibri"/>
      <family val="2"/>
      <scheme val="minor"/>
    </font>
    <font>
      <sz val="10"/>
      <color rgb="FFFF0000"/>
      <name val="Arial"/>
      <family val="2"/>
    </font>
    <font>
      <sz val="10"/>
      <color rgb="FFFF0000"/>
      <name val="Calibri"/>
      <family val="2"/>
      <scheme val="minor"/>
    </font>
    <font>
      <sz val="14"/>
      <name val="Calibri"/>
      <family val="2"/>
      <scheme val="minor"/>
    </font>
    <font>
      <sz val="14"/>
      <name val="Cambria"/>
      <family val="1"/>
      <scheme val="major"/>
    </font>
    <font>
      <b/>
      <sz val="8"/>
      <name val="Times New Roman"/>
      <family val="1"/>
    </font>
    <font>
      <b/>
      <sz val="8"/>
      <name val="Arial"/>
      <family val="2"/>
    </font>
    <font>
      <sz val="8"/>
      <name val="Cambria"/>
      <family val="1"/>
      <scheme val="major"/>
    </font>
    <font>
      <sz val="8"/>
      <name val="Times New Roman"/>
      <family val="1"/>
    </font>
    <font>
      <sz val="14"/>
      <name val="Arial"/>
      <family val="2"/>
    </font>
    <font>
      <b/>
      <sz val="12"/>
      <name val="Arial"/>
      <family val="2"/>
    </font>
    <font>
      <sz val="12"/>
      <name val="Arial"/>
      <family val="2"/>
    </font>
    <font>
      <sz val="8"/>
      <name val="Arial Narrow"/>
      <family val="2"/>
    </font>
    <font>
      <sz val="16"/>
      <name val="Calibri"/>
      <family val="2"/>
      <scheme val="minor"/>
    </font>
    <font>
      <b/>
      <sz val="6"/>
      <name val="Times New Roman"/>
      <family val="1"/>
    </font>
    <font>
      <sz val="6"/>
      <name val="Arial"/>
      <family val="2"/>
    </font>
    <font>
      <b/>
      <sz val="6"/>
      <name val="Arial"/>
      <family val="2"/>
    </font>
    <font>
      <sz val="6"/>
      <name val="Calibri"/>
      <family val="2"/>
      <scheme val="minor"/>
    </font>
    <font>
      <sz val="6"/>
      <name val="Calibri"/>
      <family val="2"/>
    </font>
    <font>
      <b/>
      <sz val="11"/>
      <color rgb="FFFF0000"/>
      <name val="Arial Unicode MS"/>
      <family val="2"/>
    </font>
    <font>
      <b/>
      <sz val="11"/>
      <color rgb="FFFF0000"/>
      <name val="Calibri"/>
      <family val="2"/>
      <scheme val="minor"/>
    </font>
    <font>
      <sz val="14"/>
      <color rgb="FFFF0000"/>
      <name val="Arial"/>
      <family val="2"/>
    </font>
    <font>
      <sz val="12"/>
      <color rgb="FFFF0000"/>
      <name val="Cambria"/>
      <family val="1"/>
      <scheme val="major"/>
    </font>
    <font>
      <sz val="11"/>
      <color rgb="FFFF0000"/>
      <name val="Calibri"/>
      <family val="2"/>
    </font>
    <font>
      <b/>
      <sz val="12"/>
      <name val="Calibri"/>
      <family val="2"/>
      <scheme val="minor"/>
    </font>
    <font>
      <b/>
      <sz val="16"/>
      <name val="Calibri"/>
      <family val="2"/>
    </font>
    <font>
      <b/>
      <sz val="25"/>
      <name val="Calibri"/>
      <family val="2"/>
    </font>
    <font>
      <b/>
      <sz val="8"/>
      <name val="Calibri"/>
      <family val="2"/>
      <scheme val="minor"/>
    </font>
    <font>
      <b/>
      <sz val="6"/>
      <name val="Calibri"/>
      <family val="2"/>
      <scheme val="minor"/>
    </font>
    <font>
      <b/>
      <sz val="11"/>
      <name val="Cambria"/>
      <family val="1"/>
      <scheme val="major"/>
    </font>
    <font>
      <b/>
      <sz val="8"/>
      <name val="Cambria"/>
      <family val="1"/>
      <scheme val="major"/>
    </font>
    <font>
      <b/>
      <sz val="6"/>
      <name val="Cambria"/>
      <family val="1"/>
      <scheme val="major"/>
    </font>
    <font>
      <b/>
      <sz val="9"/>
      <name val="Calibri"/>
      <family val="2"/>
      <scheme val="minor"/>
    </font>
    <font>
      <b/>
      <sz val="10"/>
      <name val="Calibri"/>
      <family val="2"/>
      <scheme val="minor"/>
    </font>
    <font>
      <b/>
      <sz val="18"/>
      <name val="Calibri"/>
      <family val="2"/>
      <scheme val="minor"/>
    </font>
    <font>
      <b/>
      <u/>
      <sz val="12"/>
      <name val="Calibri"/>
      <family val="2"/>
      <scheme val="minor"/>
    </font>
    <font>
      <u/>
      <sz val="12"/>
      <name val="Calibri"/>
      <family val="2"/>
      <scheme val="minor"/>
    </font>
    <font>
      <b/>
      <sz val="10"/>
      <color theme="1"/>
      <name val="Calibri"/>
      <family val="2"/>
      <scheme val="minor"/>
    </font>
    <font>
      <sz val="8"/>
      <color rgb="FFFF0000"/>
      <name val="Calibri"/>
      <family val="2"/>
      <scheme val="minor"/>
    </font>
    <font>
      <sz val="6"/>
      <color rgb="FFFF0000"/>
      <name val="Calibri"/>
      <family val="2"/>
      <scheme val="minor"/>
    </font>
    <font>
      <sz val="12"/>
      <color rgb="FFFF0000"/>
      <name val="Arial"/>
      <family val="2"/>
    </font>
    <font>
      <sz val="8"/>
      <color rgb="FFFF0000"/>
      <name val="Arial"/>
      <family val="2"/>
    </font>
    <font>
      <sz val="9"/>
      <color rgb="FFFF0000"/>
      <name val="Calibri"/>
      <family val="2"/>
      <scheme val="minor"/>
    </font>
    <font>
      <b/>
      <sz val="11"/>
      <name val="Arial Unicode MS"/>
      <family val="2"/>
    </font>
    <font>
      <b/>
      <sz val="10"/>
      <name val="Arial Unicode MS"/>
      <family val="2"/>
    </font>
    <font>
      <b/>
      <sz val="8"/>
      <name val="Tahoma"/>
      <family val="2"/>
    </font>
    <font>
      <sz val="14"/>
      <color theme="1"/>
      <name val="Calibri"/>
      <family val="2"/>
      <scheme val="minor"/>
    </font>
    <font>
      <b/>
      <sz val="10"/>
      <color rgb="FFFF0000"/>
      <name val="Arial"/>
      <family val="2"/>
    </font>
    <font>
      <b/>
      <sz val="9"/>
      <color rgb="FFFF0000"/>
      <name val="Calibri"/>
      <family val="2"/>
      <scheme val="minor"/>
    </font>
    <font>
      <b/>
      <sz val="20"/>
      <color rgb="FFFF0000"/>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3"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theme="7" tint="0.39997558519241921"/>
        <bgColor indexed="64"/>
      </patternFill>
    </fill>
  </fills>
  <borders count="62">
    <border>
      <left/>
      <right/>
      <top/>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indexed="8"/>
      </left>
      <right style="thin">
        <color indexed="8"/>
      </right>
      <top/>
      <bottom/>
      <diagonal/>
    </border>
    <border>
      <left style="thin">
        <color indexed="8"/>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8"/>
      </right>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style="medium">
        <color indexed="64"/>
      </top>
      <bottom/>
      <diagonal/>
    </border>
  </borders>
  <cellStyleXfs count="11">
    <xf numFmtId="0" fontId="0" fillId="0" borderId="0"/>
    <xf numFmtId="0" fontId="6" fillId="0" borderId="0" applyFont="0" applyFill="0" applyBorder="0" applyAlignment="0" applyProtection="0"/>
    <xf numFmtId="0" fontId="1" fillId="0" borderId="0"/>
    <xf numFmtId="0" fontId="6" fillId="0" borderId="0"/>
    <xf numFmtId="0" fontId="1" fillId="0" borderId="0"/>
    <xf numFmtId="9" fontId="1" fillId="0" borderId="0" applyFont="0" applyFill="0" applyBorder="0" applyAlignment="0" applyProtection="0"/>
    <xf numFmtId="0" fontId="59" fillId="0" borderId="0"/>
    <xf numFmtId="0" fontId="60" fillId="0" borderId="0"/>
    <xf numFmtId="0" fontId="1" fillId="0" borderId="0"/>
    <xf numFmtId="43" fontId="1" fillId="0" borderId="0" applyFont="0" applyFill="0" applyBorder="0" applyAlignment="0" applyProtection="0"/>
    <xf numFmtId="0" fontId="6" fillId="0" borderId="0" applyFont="0" applyFill="0" applyBorder="0" applyAlignment="0" applyProtection="0"/>
  </cellStyleXfs>
  <cellXfs count="1463">
    <xf numFmtId="0" fontId="0" fillId="0" borderId="0" xfId="0"/>
    <xf numFmtId="0" fontId="4" fillId="0" borderId="0" xfId="0" applyFont="1"/>
    <xf numFmtId="0" fontId="2" fillId="0" borderId="0" xfId="0" applyFont="1"/>
    <xf numFmtId="0" fontId="6" fillId="0" borderId="0" xfId="0" applyFont="1"/>
    <xf numFmtId="0" fontId="0" fillId="0" borderId="0" xfId="0" applyAlignment="1">
      <alignment horizontal="left"/>
    </xf>
    <xf numFmtId="0" fontId="0" fillId="0" borderId="0" xfId="0" applyAlignment="1">
      <alignment horizontal="center"/>
    </xf>
    <xf numFmtId="0" fontId="7" fillId="0" borderId="0" xfId="0" applyFont="1"/>
    <xf numFmtId="17" fontId="2" fillId="0" borderId="0" xfId="0" applyNumberFormat="1" applyFont="1"/>
    <xf numFmtId="0" fontId="8" fillId="0" borderId="0" xfId="0" applyFont="1"/>
    <xf numFmtId="0" fontId="0" fillId="2" borderId="0" xfId="0" applyFill="1"/>
    <xf numFmtId="0" fontId="0" fillId="0" borderId="0" xfId="0" applyAlignment="1">
      <alignment vertical="center"/>
    </xf>
    <xf numFmtId="0" fontId="0" fillId="0" borderId="4" xfId="0" applyBorder="1"/>
    <xf numFmtId="0" fontId="0" fillId="0" borderId="0" xfId="0" applyAlignment="1">
      <alignment wrapText="1"/>
    </xf>
    <xf numFmtId="0" fontId="0" fillId="0" borderId="22" xfId="0" applyBorder="1"/>
    <xf numFmtId="0" fontId="0" fillId="0" borderId="23" xfId="0" applyBorder="1"/>
    <xf numFmtId="0" fontId="6" fillId="0" borderId="22" xfId="0" applyFont="1" applyBorder="1"/>
    <xf numFmtId="0" fontId="6" fillId="0" borderId="19" xfId="0" applyFont="1" applyBorder="1"/>
    <xf numFmtId="0" fontId="0" fillId="0" borderId="19" xfId="0" applyBorder="1"/>
    <xf numFmtId="17" fontId="7" fillId="0" borderId="19" xfId="0" applyNumberFormat="1" applyFont="1" applyBorder="1"/>
    <xf numFmtId="0" fontId="7" fillId="0" borderId="22" xfId="0" applyFont="1" applyBorder="1"/>
    <xf numFmtId="2" fontId="6" fillId="0" borderId="19" xfId="0" applyNumberFormat="1" applyFont="1" applyBorder="1"/>
    <xf numFmtId="0" fontId="7" fillId="0" borderId="19" xfId="0" applyFont="1" applyBorder="1"/>
    <xf numFmtId="1" fontId="6" fillId="0" borderId="19" xfId="0" applyNumberFormat="1" applyFont="1" applyBorder="1"/>
    <xf numFmtId="0" fontId="0" fillId="0" borderId="25" xfId="0" applyBorder="1"/>
    <xf numFmtId="0" fontId="0" fillId="0" borderId="26" xfId="0" applyBorder="1"/>
    <xf numFmtId="0" fontId="0" fillId="0" borderId="27" xfId="0" applyBorder="1"/>
    <xf numFmtId="0" fontId="6" fillId="0" borderId="0" xfId="0" applyFont="1" applyAlignment="1">
      <alignment horizontal="left"/>
    </xf>
    <xf numFmtId="1" fontId="0" fillId="0" borderId="4" xfId="0" applyNumberFormat="1" applyBorder="1"/>
    <xf numFmtId="0" fontId="0" fillId="0" borderId="11" xfId="0" applyBorder="1"/>
    <xf numFmtId="0" fontId="0" fillId="0" borderId="12" xfId="0" applyBorder="1"/>
    <xf numFmtId="0" fontId="13" fillId="0" borderId="28" xfId="0" applyFont="1" applyBorder="1" applyAlignment="1">
      <alignment vertical="top"/>
    </xf>
    <xf numFmtId="0" fontId="6" fillId="0" borderId="29" xfId="0" applyFont="1" applyBorder="1" applyAlignment="1">
      <alignment vertical="top"/>
    </xf>
    <xf numFmtId="0" fontId="6" fillId="0" borderId="30" xfId="0" applyFont="1" applyBorder="1" applyAlignment="1">
      <alignment vertical="top"/>
    </xf>
    <xf numFmtId="0" fontId="6" fillId="0" borderId="17" xfId="0" applyFont="1" applyBorder="1" applyAlignment="1">
      <alignment vertical="top"/>
    </xf>
    <xf numFmtId="0" fontId="6" fillId="0" borderId="0" xfId="0" applyFont="1" applyAlignment="1">
      <alignment vertical="top"/>
    </xf>
    <xf numFmtId="0" fontId="6" fillId="0" borderId="31" xfId="0" applyFont="1" applyBorder="1" applyAlignment="1">
      <alignment vertical="top"/>
    </xf>
    <xf numFmtId="0" fontId="6" fillId="0" borderId="8" xfId="0" applyFont="1" applyBorder="1" applyAlignment="1">
      <alignment vertical="top"/>
    </xf>
    <xf numFmtId="0" fontId="6" fillId="0" borderId="19" xfId="0" applyFont="1" applyBorder="1" applyAlignment="1">
      <alignment vertical="top"/>
    </xf>
    <xf numFmtId="0" fontId="6" fillId="0" borderId="13" xfId="0" applyFont="1" applyBorder="1" applyAlignment="1">
      <alignment vertical="top"/>
    </xf>
    <xf numFmtId="0" fontId="6" fillId="0" borderId="28" xfId="0" applyFont="1" applyBorder="1" applyAlignment="1">
      <alignment vertical="top"/>
    </xf>
    <xf numFmtId="0" fontId="7" fillId="0" borderId="17" xfId="0" applyFont="1" applyBorder="1" applyAlignment="1">
      <alignment vertical="top"/>
    </xf>
    <xf numFmtId="0" fontId="7" fillId="3" borderId="32" xfId="0" applyFont="1" applyFill="1" applyBorder="1" applyAlignment="1">
      <alignment horizontal="center" vertical="top" wrapText="1"/>
    </xf>
    <xf numFmtId="0" fontId="7" fillId="3" borderId="4" xfId="0" applyFont="1" applyFill="1" applyBorder="1" applyAlignment="1">
      <alignment vertical="top" wrapText="1"/>
    </xf>
    <xf numFmtId="0" fontId="7" fillId="3" borderId="3" xfId="0" applyFont="1" applyFill="1" applyBorder="1" applyAlignment="1">
      <alignment vertical="top"/>
    </xf>
    <xf numFmtId="0" fontId="7" fillId="3" borderId="4" xfId="0" applyFont="1" applyFill="1" applyBorder="1" applyAlignment="1">
      <alignment horizontal="center" vertical="top" wrapText="1"/>
    </xf>
    <xf numFmtId="0" fontId="7" fillId="3" borderId="4" xfId="0" applyFont="1" applyFill="1" applyBorder="1" applyAlignment="1">
      <alignment vertical="top"/>
    </xf>
    <xf numFmtId="0" fontId="7" fillId="3" borderId="4" xfId="0" applyFont="1" applyFill="1" applyBorder="1" applyAlignment="1">
      <alignment horizontal="center" vertical="top"/>
    </xf>
    <xf numFmtId="0" fontId="15" fillId="0" borderId="4" xfId="0" applyFont="1" applyBorder="1" applyAlignment="1">
      <alignment vertical="top"/>
    </xf>
    <xf numFmtId="0" fontId="6" fillId="0" borderId="4" xfId="0" applyFont="1" applyBorder="1" applyAlignment="1">
      <alignment vertical="top"/>
    </xf>
    <xf numFmtId="0" fontId="15" fillId="0" borderId="16" xfId="0" applyFont="1" applyBorder="1" applyAlignment="1">
      <alignment vertical="top"/>
    </xf>
    <xf numFmtId="0" fontId="15" fillId="0" borderId="32" xfId="0" applyFont="1" applyBorder="1" applyAlignment="1">
      <alignment vertical="top"/>
    </xf>
    <xf numFmtId="0" fontId="15" fillId="0" borderId="3" xfId="0" applyFont="1" applyBorder="1" applyAlignment="1">
      <alignment vertical="top"/>
    </xf>
    <xf numFmtId="0" fontId="6" fillId="0" borderId="10" xfId="0" applyFont="1" applyBorder="1" applyAlignment="1">
      <alignment vertical="top"/>
    </xf>
    <xf numFmtId="0" fontId="7" fillId="3" borderId="3" xfId="0" applyFont="1" applyFill="1" applyBorder="1" applyAlignment="1">
      <alignment horizontal="center" vertical="top"/>
    </xf>
    <xf numFmtId="0" fontId="7" fillId="3" borderId="15" xfId="0" applyFont="1" applyFill="1" applyBorder="1" applyAlignment="1">
      <alignment horizontal="center" vertical="top" wrapText="1"/>
    </xf>
    <xf numFmtId="0" fontId="7" fillId="3" borderId="14" xfId="0" applyFont="1" applyFill="1" applyBorder="1" applyAlignment="1">
      <alignment horizontal="center" vertical="top" wrapText="1"/>
    </xf>
    <xf numFmtId="0" fontId="7" fillId="3" borderId="8" xfId="0" applyFont="1" applyFill="1" applyBorder="1" applyAlignment="1">
      <alignment horizontal="center" vertical="top"/>
    </xf>
    <xf numFmtId="0" fontId="7" fillId="3" borderId="3" xfId="0" applyFont="1" applyFill="1" applyBorder="1" applyAlignment="1">
      <alignment vertical="top" wrapText="1"/>
    </xf>
    <xf numFmtId="0" fontId="7" fillId="3" borderId="13" xfId="0" applyFont="1" applyFill="1" applyBorder="1" applyAlignment="1">
      <alignment horizontal="center" vertical="top"/>
    </xf>
    <xf numFmtId="0" fontId="7" fillId="3" borderId="15" xfId="0" applyFont="1" applyFill="1" applyBorder="1" applyAlignment="1">
      <alignment vertical="top"/>
    </xf>
    <xf numFmtId="0" fontId="0" fillId="0" borderId="30" xfId="0" applyBorder="1"/>
    <xf numFmtId="0" fontId="6" fillId="0" borderId="32" xfId="0" applyFont="1" applyBorder="1" applyAlignment="1">
      <alignment vertical="top"/>
    </xf>
    <xf numFmtId="0" fontId="0" fillId="0" borderId="31" xfId="0" applyBorder="1"/>
    <xf numFmtId="0" fontId="6" fillId="0" borderId="3" xfId="0" applyFont="1" applyBorder="1" applyAlignment="1">
      <alignment vertical="top"/>
    </xf>
    <xf numFmtId="0" fontId="0" fillId="0" borderId="24" xfId="0" applyBorder="1"/>
    <xf numFmtId="0" fontId="0" fillId="0" borderId="18" xfId="0" applyBorder="1"/>
    <xf numFmtId="0" fontId="6" fillId="0" borderId="16" xfId="0" applyFont="1" applyBorder="1" applyAlignment="1">
      <alignment vertical="top"/>
    </xf>
    <xf numFmtId="0" fontId="6" fillId="0" borderId="24" xfId="0" applyFont="1" applyBorder="1" applyAlignment="1">
      <alignment vertical="top"/>
    </xf>
    <xf numFmtId="0" fontId="6" fillId="0" borderId="18" xfId="0" applyFont="1" applyBorder="1" applyAlignment="1">
      <alignment vertical="top"/>
    </xf>
    <xf numFmtId="0" fontId="17" fillId="0" borderId="4" xfId="0" applyFont="1" applyBorder="1" applyAlignment="1">
      <alignment vertical="top"/>
    </xf>
    <xf numFmtId="0" fontId="7" fillId="3" borderId="3" xfId="0" applyFont="1" applyFill="1" applyBorder="1" applyAlignment="1">
      <alignment horizontal="center" vertical="top" wrapText="1"/>
    </xf>
    <xf numFmtId="0" fontId="0" fillId="0" borderId="17" xfId="0" applyBorder="1"/>
    <xf numFmtId="0" fontId="0" fillId="0" borderId="8" xfId="0" applyBorder="1"/>
    <xf numFmtId="0" fontId="0" fillId="0" borderId="13" xfId="0" applyBorder="1"/>
    <xf numFmtId="0" fontId="0" fillId="0" borderId="20" xfId="0" applyBorder="1"/>
    <xf numFmtId="0" fontId="0" fillId="0" borderId="9" xfId="0" applyBorder="1"/>
    <xf numFmtId="0" fontId="0" fillId="0" borderId="21" xfId="0" applyBorder="1"/>
    <xf numFmtId="0" fontId="2" fillId="0" borderId="22" xfId="0" applyFont="1" applyBorder="1"/>
    <xf numFmtId="0" fontId="2" fillId="0" borderId="20" xfId="0" applyFont="1" applyBorder="1"/>
    <xf numFmtId="0" fontId="2" fillId="0" borderId="9" xfId="0" applyFont="1" applyBorder="1"/>
    <xf numFmtId="0" fontId="2" fillId="0" borderId="21" xfId="0" applyFont="1" applyBorder="1"/>
    <xf numFmtId="0" fontId="2" fillId="0" borderId="23" xfId="0" applyFont="1" applyBorder="1"/>
    <xf numFmtId="0" fontId="2" fillId="0" borderId="27" xfId="0" applyFont="1" applyBorder="1"/>
    <xf numFmtId="0" fontId="2" fillId="0" borderId="25" xfId="0" applyFont="1" applyBorder="1"/>
    <xf numFmtId="0" fontId="2" fillId="0" borderId="26" xfId="0" applyFont="1" applyBorder="1"/>
    <xf numFmtId="0" fontId="0" fillId="0" borderId="22" xfId="0" applyBorder="1" applyAlignment="1">
      <alignment vertical="center"/>
    </xf>
    <xf numFmtId="0" fontId="21" fillId="0" borderId="16" xfId="0" applyFont="1" applyBorder="1"/>
    <xf numFmtId="0" fontId="2" fillId="0" borderId="24" xfId="0" applyFont="1" applyBorder="1" applyAlignment="1">
      <alignment horizontal="left" vertical="center"/>
    </xf>
    <xf numFmtId="0" fontId="2" fillId="0" borderId="16" xfId="0" applyFont="1" applyBorder="1" applyAlignment="1">
      <alignment horizontal="center" vertical="center"/>
    </xf>
    <xf numFmtId="0" fontId="0" fillId="0" borderId="24" xfId="0" applyBorder="1" applyAlignment="1">
      <alignment vertical="center"/>
    </xf>
    <xf numFmtId="0" fontId="2" fillId="0" borderId="24" xfId="0" applyFont="1" applyBorder="1" applyAlignment="1">
      <alignment horizontal="center" vertical="center"/>
    </xf>
    <xf numFmtId="0" fontId="2" fillId="0" borderId="18" xfId="0" applyFont="1" applyBorder="1" applyAlignment="1">
      <alignment horizontal="left" vertical="center"/>
    </xf>
    <xf numFmtId="0" fontId="2" fillId="0" borderId="8" xfId="0" applyFont="1" applyBorder="1" applyAlignment="1">
      <alignment horizontal="center" vertical="center"/>
    </xf>
    <xf numFmtId="0" fontId="2" fillId="0" borderId="19" xfId="0" applyFont="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1" fontId="2" fillId="0" borderId="24" xfId="0" applyNumberFormat="1" applyFont="1" applyBorder="1" applyAlignment="1">
      <alignment horizontal="center" vertical="center"/>
    </xf>
    <xf numFmtId="0" fontId="21" fillId="0" borderId="28" xfId="0" applyFont="1" applyBorder="1"/>
    <xf numFmtId="0" fontId="0" fillId="0" borderId="40" xfId="0" applyBorder="1"/>
    <xf numFmtId="0" fontId="2" fillId="0" borderId="19" xfId="0" applyFont="1" applyBorder="1"/>
    <xf numFmtId="0" fontId="2" fillId="0" borderId="13" xfId="0" applyFont="1" applyBorder="1"/>
    <xf numFmtId="0" fontId="0" fillId="0" borderId="38" xfId="0" applyBorder="1"/>
    <xf numFmtId="1" fontId="2" fillId="0" borderId="4" xfId="0" applyNumberFormat="1" applyFont="1" applyBorder="1" applyAlignment="1">
      <alignment horizontal="center" vertical="center"/>
    </xf>
    <xf numFmtId="1" fontId="2" fillId="0" borderId="36" xfId="0" applyNumberFormat="1" applyFont="1" applyBorder="1" applyAlignment="1">
      <alignment horizontal="center" vertical="center"/>
    </xf>
    <xf numFmtId="0" fontId="22" fillId="0" borderId="0" xfId="0" applyFont="1" applyAlignment="1">
      <alignment horizontal="center"/>
    </xf>
    <xf numFmtId="0" fontId="23" fillId="0" borderId="0" xfId="0" applyFont="1" applyAlignment="1">
      <alignment horizontal="center"/>
    </xf>
    <xf numFmtId="0" fontId="24" fillId="0" borderId="0" xfId="0" applyFont="1"/>
    <xf numFmtId="0" fontId="25" fillId="0" borderId="0" xfId="0" applyFont="1" applyAlignment="1">
      <alignment wrapText="1"/>
    </xf>
    <xf numFmtId="0" fontId="25" fillId="0" borderId="0" xfId="0" applyFont="1"/>
    <xf numFmtId="0" fontId="26" fillId="0" borderId="0" xfId="0" applyFont="1" applyAlignment="1">
      <alignment horizontal="center"/>
    </xf>
    <xf numFmtId="0" fontId="26" fillId="0" borderId="0" xfId="0" applyFont="1" applyAlignment="1">
      <alignment wrapText="1"/>
    </xf>
    <xf numFmtId="0" fontId="26" fillId="0" borderId="0" xfId="0" applyFont="1"/>
    <xf numFmtId="0" fontId="27" fillId="0" borderId="32" xfId="0" applyFont="1" applyBorder="1" applyAlignment="1">
      <alignment horizontal="center" wrapText="1"/>
    </xf>
    <xf numFmtId="0" fontId="27" fillId="0" borderId="0" xfId="0" applyFont="1"/>
    <xf numFmtId="0" fontId="28" fillId="0" borderId="3" xfId="0" applyFont="1" applyBorder="1" applyAlignment="1">
      <alignment horizontal="center" vertical="center" wrapText="1"/>
    </xf>
    <xf numFmtId="0" fontId="27" fillId="0" borderId="6" xfId="0" applyFont="1" applyBorder="1" applyAlignment="1">
      <alignment horizontal="center" wrapText="1"/>
    </xf>
    <xf numFmtId="0" fontId="29" fillId="0" borderId="0" xfId="0" applyFont="1" applyAlignment="1">
      <alignment horizontal="center" vertical="center" wrapText="1"/>
    </xf>
    <xf numFmtId="0" fontId="0" fillId="0" borderId="32" xfId="0" applyBorder="1" applyAlignment="1">
      <alignment horizontal="center"/>
    </xf>
    <xf numFmtId="0" fontId="0" fillId="0" borderId="32" xfId="0" applyBorder="1" applyAlignment="1">
      <alignment horizontal="center" wrapText="1"/>
    </xf>
    <xf numFmtId="0" fontId="0" fillId="0" borderId="3" xfId="0" applyBorder="1" applyAlignment="1">
      <alignment horizontal="center"/>
    </xf>
    <xf numFmtId="0" fontId="0" fillId="0" borderId="4" xfId="0" applyBorder="1" applyAlignment="1">
      <alignment horizontal="center" wrapText="1"/>
    </xf>
    <xf numFmtId="0" fontId="30" fillId="2" borderId="9" xfId="0" applyFont="1" applyFill="1" applyBorder="1" applyAlignment="1">
      <alignment horizontal="center" vertical="top" wrapText="1"/>
    </xf>
    <xf numFmtId="0" fontId="30" fillId="2" borderId="21" xfId="0" applyFont="1" applyFill="1" applyBorder="1" applyAlignment="1">
      <alignment horizontal="center" vertical="top" wrapText="1"/>
    </xf>
    <xf numFmtId="0" fontId="30" fillId="2" borderId="0" xfId="0" applyFont="1" applyFill="1" applyAlignment="1">
      <alignment horizontal="center" vertical="top" wrapText="1"/>
    </xf>
    <xf numFmtId="0" fontId="30" fillId="2" borderId="23" xfId="0" applyFont="1" applyFill="1" applyBorder="1" applyAlignment="1">
      <alignment horizontal="center" vertical="top" wrapText="1"/>
    </xf>
    <xf numFmtId="0" fontId="0" fillId="2" borderId="0" xfId="0" applyFill="1" applyAlignment="1">
      <alignment horizontal="center" vertical="top" wrapText="1"/>
    </xf>
    <xf numFmtId="0" fontId="0" fillId="2" borderId="23" xfId="0" applyFill="1" applyBorder="1" applyAlignment="1">
      <alignment horizontal="center" vertical="top" wrapText="1"/>
    </xf>
    <xf numFmtId="0" fontId="31" fillId="2" borderId="0" xfId="0" applyFont="1" applyFill="1" applyAlignment="1">
      <alignment horizontal="center" vertical="top" wrapText="1"/>
    </xf>
    <xf numFmtId="0" fontId="31" fillId="2" borderId="23" xfId="0" applyFont="1" applyFill="1" applyBorder="1" applyAlignment="1">
      <alignment horizontal="center" vertical="top" wrapText="1"/>
    </xf>
    <xf numFmtId="0" fontId="32" fillId="2" borderId="0" xfId="0" applyFont="1" applyFill="1" applyAlignment="1">
      <alignment horizontal="center" vertical="top" wrapText="1"/>
    </xf>
    <xf numFmtId="0" fontId="32" fillId="2" borderId="23" xfId="0" applyFont="1" applyFill="1" applyBorder="1" applyAlignment="1">
      <alignment horizontal="center" vertical="top" wrapText="1"/>
    </xf>
    <xf numFmtId="0" fontId="33" fillId="2" borderId="22" xfId="0" applyFont="1" applyFill="1" applyBorder="1" applyAlignment="1">
      <alignment horizontal="left" vertical="center"/>
    </xf>
    <xf numFmtId="0" fontId="33" fillId="2" borderId="0" xfId="0" applyFont="1" applyFill="1" applyAlignment="1">
      <alignment horizontal="left" vertical="center"/>
    </xf>
    <xf numFmtId="0" fontId="8" fillId="0" borderId="0" xfId="0" applyFont="1" applyAlignment="1">
      <alignment horizontal="left" vertical="center"/>
    </xf>
    <xf numFmtId="0" fontId="33" fillId="2" borderId="0" xfId="0" applyFont="1" applyFill="1" applyAlignment="1">
      <alignment horizontal="center"/>
    </xf>
    <xf numFmtId="0" fontId="33" fillId="0" borderId="0" xfId="0" applyFont="1" applyAlignment="1">
      <alignment horizontal="center"/>
    </xf>
    <xf numFmtId="0" fontId="33" fillId="2" borderId="0" xfId="0" applyFont="1" applyFill="1" applyAlignment="1">
      <alignment horizontal="center" wrapText="1"/>
    </xf>
    <xf numFmtId="0" fontId="33" fillId="2" borderId="0" xfId="0" applyFont="1" applyFill="1" applyAlignment="1">
      <alignment horizontal="left" wrapText="1"/>
    </xf>
    <xf numFmtId="0" fontId="33" fillId="2" borderId="0" xfId="0" applyFont="1" applyFill="1"/>
    <xf numFmtId="0" fontId="33" fillId="2" borderId="23" xfId="0" applyFont="1" applyFill="1" applyBorder="1"/>
    <xf numFmtId="0" fontId="34" fillId="2" borderId="0" xfId="0" applyFont="1" applyFill="1" applyAlignment="1">
      <alignment horizontal="center"/>
    </xf>
    <xf numFmtId="0" fontId="34" fillId="2" borderId="0" xfId="0" applyFont="1" applyFill="1" applyAlignment="1">
      <alignment vertical="center"/>
    </xf>
    <xf numFmtId="0" fontId="34" fillId="2" borderId="0" xfId="0" applyFont="1" applyFill="1"/>
    <xf numFmtId="0" fontId="34" fillId="2" borderId="23" xfId="0" applyFont="1" applyFill="1" applyBorder="1"/>
    <xf numFmtId="0" fontId="30" fillId="2" borderId="0" xfId="0" applyFont="1" applyFill="1" applyAlignment="1">
      <alignment vertical="top" wrapText="1"/>
    </xf>
    <xf numFmtId="0" fontId="35" fillId="2" borderId="0" xfId="0" applyFont="1" applyFill="1" applyAlignment="1">
      <alignment vertical="top" wrapText="1"/>
    </xf>
    <xf numFmtId="0" fontId="35" fillId="2" borderId="0" xfId="0" applyFont="1" applyFill="1" applyAlignment="1">
      <alignment horizontal="justify" vertical="top" wrapText="1"/>
    </xf>
    <xf numFmtId="0" fontId="35" fillId="2" borderId="23" xfId="0" applyFont="1" applyFill="1" applyBorder="1" applyAlignment="1">
      <alignment horizontal="justify" vertical="top" wrapText="1"/>
    </xf>
    <xf numFmtId="0" fontId="35" fillId="2" borderId="0" xfId="0" applyFont="1" applyFill="1" applyAlignment="1">
      <alignment horizontal="left" vertical="top" wrapText="1"/>
    </xf>
    <xf numFmtId="0" fontId="0" fillId="2" borderId="0" xfId="0" applyFill="1" applyAlignment="1">
      <alignment horizontal="justify" vertical="top" wrapText="1"/>
    </xf>
    <xf numFmtId="0" fontId="0" fillId="2" borderId="23" xfId="0" applyFill="1" applyBorder="1" applyAlignment="1">
      <alignment horizontal="justify" vertical="top" wrapText="1"/>
    </xf>
    <xf numFmtId="0" fontId="36" fillId="2" borderId="0" xfId="0" applyFont="1" applyFill="1" applyAlignment="1">
      <alignment horizontal="center" vertical="top" wrapText="1"/>
    </xf>
    <xf numFmtId="0" fontId="36" fillId="2" borderId="23" xfId="0" applyFont="1" applyFill="1" applyBorder="1" applyAlignment="1">
      <alignment horizontal="center" vertical="top" wrapText="1"/>
    </xf>
    <xf numFmtId="0" fontId="36" fillId="2" borderId="32" xfId="0" applyFont="1" applyFill="1" applyBorder="1" applyAlignment="1">
      <alignment horizontal="center" vertical="center" wrapText="1"/>
    </xf>
    <xf numFmtId="0" fontId="36" fillId="2" borderId="37" xfId="0" applyFont="1" applyFill="1" applyBorder="1" applyAlignment="1">
      <alignment horizontal="center" vertical="center" wrapText="1"/>
    </xf>
    <xf numFmtId="166" fontId="0" fillId="0" borderId="4" xfId="0" applyNumberFormat="1" applyBorder="1" applyAlignment="1">
      <alignment horizontal="center" vertical="center"/>
    </xf>
    <xf numFmtId="0" fontId="0" fillId="0" borderId="4" xfId="0" applyBorder="1" applyAlignment="1">
      <alignment vertical="center"/>
    </xf>
    <xf numFmtId="0" fontId="2" fillId="0" borderId="4" xfId="0" applyFont="1" applyBorder="1"/>
    <xf numFmtId="1" fontId="2" fillId="0" borderId="22" xfId="0" applyNumberFormat="1" applyFont="1" applyBorder="1"/>
    <xf numFmtId="0" fontId="2" fillId="0" borderId="29" xfId="0" applyFont="1" applyBorder="1" applyAlignment="1">
      <alignment horizontal="left" vertical="center"/>
    </xf>
    <xf numFmtId="0" fontId="2" fillId="0" borderId="30" xfId="0" applyFont="1" applyBorder="1" applyAlignment="1">
      <alignment horizontal="left"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1" fontId="2" fillId="0" borderId="29" xfId="0" applyNumberFormat="1" applyFont="1" applyBorder="1" applyAlignment="1">
      <alignment horizontal="center" vertical="center"/>
    </xf>
    <xf numFmtId="0" fontId="2" fillId="0" borderId="40" xfId="0" applyFont="1" applyBorder="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6" fillId="0" borderId="0" xfId="0" applyFont="1" applyAlignment="1">
      <alignment horizontal="left" vertical="center" wrapText="1"/>
    </xf>
    <xf numFmtId="0" fontId="0" fillId="0" borderId="22" xfId="0" applyBorder="1" applyAlignment="1">
      <alignment horizontal="center"/>
    </xf>
    <xf numFmtId="0" fontId="0" fillId="0" borderId="23" xfId="0" applyBorder="1" applyAlignment="1">
      <alignment horizontal="center"/>
    </xf>
    <xf numFmtId="1" fontId="2" fillId="0" borderId="4" xfId="0" applyNumberFormat="1" applyFont="1" applyBorder="1" applyAlignment="1">
      <alignment horizontal="center" vertical="center" wrapText="1"/>
    </xf>
    <xf numFmtId="1" fontId="2" fillId="0" borderId="16" xfId="0" applyNumberFormat="1" applyFont="1" applyBorder="1" applyAlignment="1">
      <alignment horizontal="center" vertical="center"/>
    </xf>
    <xf numFmtId="1" fontId="2" fillId="0" borderId="16" xfId="0" applyNumberFormat="1" applyFont="1" applyBorder="1" applyAlignment="1">
      <alignment horizontal="center" vertical="center" wrapText="1"/>
    </xf>
    <xf numFmtId="0" fontId="2" fillId="0" borderId="4" xfId="0" applyFont="1" applyBorder="1" applyAlignment="1">
      <alignment horizontal="center" wrapText="1"/>
    </xf>
    <xf numFmtId="0" fontId="21" fillId="0" borderId="16" xfId="5" applyNumberFormat="1" applyFont="1" applyBorder="1"/>
    <xf numFmtId="1" fontId="2" fillId="0" borderId="18" xfId="0" applyNumberFormat="1" applyFont="1" applyBorder="1" applyAlignment="1">
      <alignment horizontal="center" vertical="center" wrapText="1"/>
    </xf>
    <xf numFmtId="0" fontId="2" fillId="0" borderId="0" xfId="0" applyFont="1" applyAlignment="1">
      <alignment horizontal="left" vertical="center"/>
    </xf>
    <xf numFmtId="0" fontId="2" fillId="0" borderId="16" xfId="0" applyFont="1" applyBorder="1" applyAlignment="1">
      <alignment horizontal="right" vertical="center"/>
    </xf>
    <xf numFmtId="1" fontId="0" fillId="0" borderId="24" xfId="0" applyNumberFormat="1" applyBorder="1"/>
    <xf numFmtId="0" fontId="39" fillId="0" borderId="0" xfId="0" applyFont="1"/>
    <xf numFmtId="0" fontId="21" fillId="0" borderId="0" xfId="0" applyFont="1"/>
    <xf numFmtId="1" fontId="2" fillId="0" borderId="0" xfId="0" applyNumberFormat="1" applyFont="1" applyAlignment="1">
      <alignment horizontal="center" vertical="center" wrapText="1"/>
    </xf>
    <xf numFmtId="0" fontId="2" fillId="0" borderId="0" xfId="0" applyFont="1" applyAlignment="1">
      <alignment horizontal="center" wrapText="1"/>
    </xf>
    <xf numFmtId="0" fontId="2" fillId="0" borderId="23" xfId="0" applyFont="1" applyBorder="1" applyAlignment="1">
      <alignment horizontal="center" vertical="center"/>
    </xf>
    <xf numFmtId="0" fontId="19" fillId="0" borderId="9" xfId="0" applyFont="1" applyBorder="1"/>
    <xf numFmtId="0" fontId="19" fillId="0" borderId="21" xfId="0" applyFont="1" applyBorder="1"/>
    <xf numFmtId="0" fontId="40" fillId="0" borderId="9" xfId="0" applyFont="1" applyBorder="1"/>
    <xf numFmtId="0" fontId="0" fillId="0" borderId="0" xfId="0" applyAlignment="1">
      <alignment vertical="top"/>
    </xf>
    <xf numFmtId="0" fontId="2" fillId="0" borderId="0" xfId="0" applyFont="1" applyAlignment="1">
      <alignment vertical="center" wrapText="1"/>
    </xf>
    <xf numFmtId="0" fontId="2" fillId="0" borderId="24" xfId="0" applyFont="1" applyBorder="1"/>
    <xf numFmtId="0" fontId="2" fillId="0" borderId="18" xfId="0" applyFont="1" applyBorder="1"/>
    <xf numFmtId="0" fontId="2" fillId="0" borderId="16" xfId="0" applyFont="1" applyBorder="1"/>
    <xf numFmtId="0" fontId="0" fillId="0" borderId="16" xfId="0" applyBorder="1"/>
    <xf numFmtId="0" fontId="2" fillId="0" borderId="18" xfId="0" applyFont="1" applyBorder="1" applyAlignment="1">
      <alignment horizontal="center" vertical="center"/>
    </xf>
    <xf numFmtId="0" fontId="2" fillId="0" borderId="16" xfId="0" applyFont="1" applyBorder="1" applyAlignment="1">
      <alignment horizontal="center" wrapText="1"/>
    </xf>
    <xf numFmtId="0" fontId="2" fillId="0" borderId="16" xfId="0" applyFont="1" applyBorder="1" applyAlignment="1">
      <alignment horizontal="left" wrapText="1"/>
    </xf>
    <xf numFmtId="0" fontId="2" fillId="0" borderId="23" xfId="0" applyFont="1" applyBorder="1" applyAlignment="1">
      <alignment vertical="center" wrapText="1"/>
    </xf>
    <xf numFmtId="0" fontId="0" fillId="0" borderId="39" xfId="0" applyBorder="1"/>
    <xf numFmtId="0" fontId="42" fillId="2" borderId="29" xfId="0" applyFont="1" applyFill="1" applyBorder="1" applyAlignment="1">
      <alignment vertical="center"/>
    </xf>
    <xf numFmtId="0" fontId="42" fillId="2" borderId="30" xfId="0" applyFont="1" applyFill="1" applyBorder="1" applyAlignment="1">
      <alignment vertical="center"/>
    </xf>
    <xf numFmtId="0" fontId="42" fillId="2" borderId="8" xfId="0" applyFont="1" applyFill="1" applyBorder="1" applyAlignment="1">
      <alignment vertical="center"/>
    </xf>
    <xf numFmtId="0" fontId="42" fillId="2" borderId="19" xfId="0" applyFont="1" applyFill="1" applyBorder="1" applyAlignment="1">
      <alignment vertical="center"/>
    </xf>
    <xf numFmtId="0" fontId="42" fillId="2" borderId="13" xfId="0" applyFont="1" applyFill="1" applyBorder="1" applyAlignment="1">
      <alignment vertical="center"/>
    </xf>
    <xf numFmtId="0" fontId="42" fillId="2" borderId="0" xfId="0" applyFont="1" applyFill="1" applyAlignment="1">
      <alignment vertical="center"/>
    </xf>
    <xf numFmtId="0" fontId="42" fillId="2" borderId="0" xfId="0" applyFont="1" applyFill="1" applyAlignment="1">
      <alignment horizontal="center" vertical="center"/>
    </xf>
    <xf numFmtId="0" fontId="42" fillId="2" borderId="16" xfId="0" applyFont="1" applyFill="1" applyBorder="1" applyAlignment="1">
      <alignment horizontal="center" vertical="center"/>
    </xf>
    <xf numFmtId="0" fontId="42" fillId="2" borderId="24" xfId="0" applyFont="1" applyFill="1" applyBorder="1" applyAlignment="1">
      <alignment vertical="center"/>
    </xf>
    <xf numFmtId="0" fontId="42" fillId="2" borderId="18" xfId="0" applyFont="1" applyFill="1" applyBorder="1" applyAlignment="1">
      <alignment vertical="center"/>
    </xf>
    <xf numFmtId="0" fontId="2" fillId="0" borderId="16" xfId="0" applyFont="1" applyBorder="1" applyAlignment="1">
      <alignment horizontal="left" vertical="center"/>
    </xf>
    <xf numFmtId="0" fontId="20" fillId="0" borderId="0" xfId="0" applyFont="1"/>
    <xf numFmtId="0" fontId="4" fillId="0" borderId="16" xfId="0" applyFont="1" applyBorder="1"/>
    <xf numFmtId="0" fontId="4" fillId="0" borderId="28" xfId="0" applyFont="1" applyBorder="1"/>
    <xf numFmtId="0" fontId="20" fillId="0" borderId="29" xfId="0" applyFont="1" applyBorder="1"/>
    <xf numFmtId="0" fontId="4" fillId="0" borderId="24" xfId="0" applyFont="1" applyBorder="1"/>
    <xf numFmtId="0" fontId="42" fillId="0" borderId="16" xfId="0" applyFont="1" applyBorder="1" applyAlignment="1">
      <alignment vertical="center"/>
    </xf>
    <xf numFmtId="0" fontId="43" fillId="2" borderId="29" xfId="0" applyFont="1" applyFill="1" applyBorder="1" applyAlignment="1" applyProtection="1">
      <alignment horizontal="center" vertical="center"/>
      <protection locked="0"/>
    </xf>
    <xf numFmtId="0" fontId="42" fillId="2" borderId="16" xfId="0" applyFont="1" applyFill="1" applyBorder="1" applyAlignment="1">
      <alignment vertical="center"/>
    </xf>
    <xf numFmtId="0" fontId="9" fillId="0" borderId="0" xfId="0" applyFont="1"/>
    <xf numFmtId="0" fontId="2" fillId="0" borderId="0" xfId="0" applyFont="1" applyAlignment="1">
      <alignment vertical="top"/>
    </xf>
    <xf numFmtId="0" fontId="42" fillId="2" borderId="0" xfId="0" applyFont="1" applyFill="1" applyAlignment="1">
      <alignment vertical="center" wrapText="1"/>
    </xf>
    <xf numFmtId="0" fontId="42" fillId="2" borderId="4" xfId="0" applyFont="1" applyFill="1" applyBorder="1" applyAlignment="1">
      <alignment vertical="center" wrapText="1"/>
    </xf>
    <xf numFmtId="0" fontId="42" fillId="2" borderId="16" xfId="0" applyFont="1" applyFill="1" applyBorder="1" applyAlignment="1">
      <alignment vertical="center" wrapText="1"/>
    </xf>
    <xf numFmtId="0" fontId="42" fillId="2" borderId="18" xfId="0" applyFont="1" applyFill="1" applyBorder="1" applyAlignment="1">
      <alignment vertical="center" wrapText="1"/>
    </xf>
    <xf numFmtId="0" fontId="45" fillId="2" borderId="0" xfId="0" applyFont="1" applyFill="1" applyAlignment="1">
      <alignment vertical="center"/>
    </xf>
    <xf numFmtId="0" fontId="45" fillId="2" borderId="24" xfId="0" applyFont="1" applyFill="1" applyBorder="1" applyAlignment="1">
      <alignment vertical="center"/>
    </xf>
    <xf numFmtId="0" fontId="48" fillId="0" borderId="0" xfId="0" applyFont="1" applyAlignment="1">
      <alignment horizontal="left" vertical="center"/>
    </xf>
    <xf numFmtId="0" fontId="48" fillId="0" borderId="0" xfId="0" applyFont="1"/>
    <xf numFmtId="0" fontId="44" fillId="2" borderId="0" xfId="0" applyFont="1" applyFill="1" applyAlignment="1">
      <alignment vertical="center"/>
    </xf>
    <xf numFmtId="0" fontId="49" fillId="0" borderId="0" xfId="0" applyFont="1" applyAlignment="1">
      <alignment horizontal="left" vertical="top" wrapText="1"/>
    </xf>
    <xf numFmtId="1" fontId="2" fillId="0" borderId="0" xfId="0" applyNumberFormat="1" applyFont="1"/>
    <xf numFmtId="14" fontId="2" fillId="0" borderId="0" xfId="0" applyNumberFormat="1" applyFont="1" applyAlignment="1">
      <alignment horizontal="center"/>
    </xf>
    <xf numFmtId="0" fontId="9" fillId="0" borderId="24" xfId="0" applyFont="1" applyBorder="1"/>
    <xf numFmtId="0" fontId="51" fillId="0" borderId="24" xfId="0" applyFont="1" applyBorder="1" applyAlignment="1">
      <alignment horizontal="left" vertical="center"/>
    </xf>
    <xf numFmtId="0" fontId="51" fillId="0" borderId="18" xfId="0" applyFont="1" applyBorder="1" applyAlignment="1">
      <alignment horizontal="left" vertical="center"/>
    </xf>
    <xf numFmtId="0" fontId="52" fillId="0" borderId="16" xfId="0" applyFont="1" applyBorder="1" applyAlignment="1">
      <alignment horizontal="left" vertical="center"/>
    </xf>
    <xf numFmtId="0" fontId="52" fillId="0" borderId="0" xfId="0" applyFont="1" applyAlignment="1">
      <alignment horizontal="left" vertical="center"/>
    </xf>
    <xf numFmtId="0" fontId="52" fillId="0" borderId="0" xfId="0" applyFont="1"/>
    <xf numFmtId="0" fontId="53" fillId="0" borderId="0" xfId="0" applyFont="1"/>
    <xf numFmtId="0" fontId="53" fillId="0" borderId="0" xfId="5" applyNumberFormat="1" applyFont="1"/>
    <xf numFmtId="0" fontId="54" fillId="0" borderId="0" xfId="0" applyFont="1"/>
    <xf numFmtId="0" fontId="20" fillId="0" borderId="23" xfId="0" applyFont="1" applyBorder="1"/>
    <xf numFmtId="0" fontId="51" fillId="0" borderId="0" xfId="0" applyFont="1" applyAlignment="1">
      <alignment horizontal="left" vertical="center"/>
    </xf>
    <xf numFmtId="0" fontId="20" fillId="0" borderId="40" xfId="0" applyFont="1" applyBorder="1"/>
    <xf numFmtId="0" fontId="4" fillId="0" borderId="39" xfId="0" applyFont="1" applyBorder="1"/>
    <xf numFmtId="0" fontId="42" fillId="2" borderId="39" xfId="0" applyFont="1" applyFill="1" applyBorder="1" applyAlignment="1">
      <alignment vertical="center"/>
    </xf>
    <xf numFmtId="0" fontId="42" fillId="2" borderId="36" xfId="0" applyFont="1" applyFill="1" applyBorder="1" applyAlignment="1">
      <alignment horizontal="center" vertical="center"/>
    </xf>
    <xf numFmtId="0" fontId="45" fillId="2" borderId="39" xfId="0" applyFont="1" applyFill="1" applyBorder="1" applyAlignment="1">
      <alignment vertical="center"/>
    </xf>
    <xf numFmtId="0" fontId="49" fillId="0" borderId="23" xfId="0" applyFont="1" applyBorder="1" applyAlignment="1">
      <alignment horizontal="left" vertical="top" wrapText="1"/>
    </xf>
    <xf numFmtId="0" fontId="44" fillId="2" borderId="23" xfId="0" applyFont="1" applyFill="1" applyBorder="1" applyAlignment="1">
      <alignment vertical="center"/>
    </xf>
    <xf numFmtId="1" fontId="0" fillId="0" borderId="0" xfId="0" applyNumberFormat="1"/>
    <xf numFmtId="2" fontId="2" fillId="0" borderId="0" xfId="0" applyNumberFormat="1" applyFont="1" applyAlignment="1">
      <alignment horizontal="center" vertical="center"/>
    </xf>
    <xf numFmtId="0" fontId="57" fillId="0" borderId="0" xfId="0" applyFont="1" applyAlignment="1">
      <alignment vertical="center"/>
    </xf>
    <xf numFmtId="0" fontId="17" fillId="0" borderId="22" xfId="0" applyFont="1" applyBorder="1"/>
    <xf numFmtId="0" fontId="57" fillId="0" borderId="22" xfId="0" applyFont="1" applyBorder="1" applyAlignment="1">
      <alignment horizontal="left" vertical="center" wrapText="1"/>
    </xf>
    <xf numFmtId="0" fontId="0" fillId="0" borderId="22" xfId="0" applyBorder="1" applyAlignment="1">
      <alignment vertical="center" wrapText="1"/>
    </xf>
    <xf numFmtId="0" fontId="0" fillId="0" borderId="0" xfId="0" applyAlignment="1">
      <alignment vertical="center" wrapText="1"/>
    </xf>
    <xf numFmtId="0" fontId="0" fillId="0" borderId="23" xfId="0" applyBorder="1" applyAlignment="1">
      <alignment vertical="center" wrapText="1"/>
    </xf>
    <xf numFmtId="0" fontId="17" fillId="0" borderId="0" xfId="0" applyFont="1"/>
    <xf numFmtId="0" fontId="17" fillId="0" borderId="23" xfId="0" applyFont="1" applyBorder="1"/>
    <xf numFmtId="0" fontId="17" fillId="0" borderId="4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36" xfId="0" applyFont="1" applyBorder="1" applyAlignment="1">
      <alignment horizontal="center" vertical="center" wrapText="1"/>
    </xf>
    <xf numFmtId="0" fontId="0" fillId="0" borderId="43" xfId="0" applyBorder="1" applyAlignment="1">
      <alignment horizontal="center"/>
    </xf>
    <xf numFmtId="0" fontId="0" fillId="0" borderId="4" xfId="0" applyBorder="1" applyAlignment="1">
      <alignment horizontal="center"/>
    </xf>
    <xf numFmtId="0" fontId="0" fillId="0" borderId="36" xfId="0" applyBorder="1" applyAlignment="1">
      <alignment horizontal="center"/>
    </xf>
    <xf numFmtId="0" fontId="0" fillId="0" borderId="36" xfId="0" applyBorder="1"/>
    <xf numFmtId="0" fontId="13" fillId="0" borderId="0" xfId="0" applyFont="1"/>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6" fillId="0" borderId="22" xfId="0" applyFont="1" applyBorder="1" applyAlignment="1">
      <alignment horizontal="left" vertical="center"/>
    </xf>
    <xf numFmtId="0" fontId="6" fillId="0" borderId="0" xfId="0" applyFont="1" applyAlignment="1">
      <alignment horizontal="left" vertical="center"/>
    </xf>
    <xf numFmtId="0" fontId="6" fillId="0" borderId="23" xfId="0" applyFont="1" applyBorder="1" applyAlignment="1">
      <alignment horizontal="left" vertical="center"/>
    </xf>
    <xf numFmtId="0" fontId="0" fillId="0" borderId="23" xfId="0" applyBorder="1" applyAlignment="1">
      <alignment horizontal="left" vertical="center"/>
    </xf>
    <xf numFmtId="0" fontId="7" fillId="0" borderId="22" xfId="0" applyFont="1" applyBorder="1" applyAlignment="1">
      <alignment vertical="center"/>
    </xf>
    <xf numFmtId="0" fontId="17" fillId="0" borderId="0" xfId="0" applyFont="1" applyAlignment="1">
      <alignment horizontal="center"/>
    </xf>
    <xf numFmtId="1" fontId="9" fillId="0" borderId="0" xfId="0" applyNumberFormat="1" applyFont="1"/>
    <xf numFmtId="0" fontId="0" fillId="0" borderId="2" xfId="0" applyBorder="1"/>
    <xf numFmtId="0" fontId="17" fillId="0" borderId="10" xfId="0" applyFont="1" applyBorder="1"/>
    <xf numFmtId="0" fontId="2" fillId="0" borderId="11" xfId="0" applyFont="1" applyBorder="1"/>
    <xf numFmtId="0" fontId="0" fillId="0" borderId="43" xfId="0" applyBorder="1"/>
    <xf numFmtId="0" fontId="17" fillId="0" borderId="27" xfId="0" applyFont="1" applyBorder="1"/>
    <xf numFmtId="0" fontId="0" fillId="0" borderId="0" xfId="0" applyAlignment="1">
      <alignment horizontal="center" vertical="center"/>
    </xf>
    <xf numFmtId="0" fontId="7" fillId="0" borderId="0" xfId="0" applyFont="1" applyAlignment="1">
      <alignment horizontal="left"/>
    </xf>
    <xf numFmtId="0" fontId="0" fillId="0" borderId="4" xfId="0" applyBorder="1" applyAlignment="1">
      <alignment horizontal="center" vertical="center" wrapText="1"/>
    </xf>
    <xf numFmtId="0" fontId="58" fillId="0" borderId="43" xfId="0" applyFont="1" applyBorder="1" applyAlignment="1">
      <alignment horizontal="center"/>
    </xf>
    <xf numFmtId="0" fontId="58" fillId="0" borderId="4" xfId="0" applyFont="1" applyBorder="1" applyAlignment="1">
      <alignment horizontal="center"/>
    </xf>
    <xf numFmtId="0" fontId="58" fillId="0" borderId="36" xfId="0" applyFont="1" applyBorder="1" applyAlignment="1">
      <alignment horizontal="center"/>
    </xf>
    <xf numFmtId="0" fontId="6" fillId="0" borderId="11" xfId="0" applyFont="1" applyBorder="1"/>
    <xf numFmtId="14" fontId="0" fillId="0" borderId="0" xfId="0" applyNumberFormat="1"/>
    <xf numFmtId="9" fontId="0" fillId="0" borderId="4" xfId="0" applyNumberFormat="1" applyBorder="1"/>
    <xf numFmtId="0" fontId="53" fillId="0" borderId="16" xfId="0" applyFont="1" applyBorder="1"/>
    <xf numFmtId="14" fontId="0" fillId="0" borderId="25" xfId="0" applyNumberFormat="1" applyBorder="1"/>
    <xf numFmtId="1" fontId="20" fillId="0" borderId="29" xfId="0" applyNumberFormat="1" applyFont="1" applyBorder="1"/>
    <xf numFmtId="14" fontId="2" fillId="0" borderId="0" xfId="0" applyNumberFormat="1" applyFont="1"/>
    <xf numFmtId="1" fontId="9" fillId="0" borderId="24" xfId="0" applyNumberFormat="1" applyFont="1" applyBorder="1"/>
    <xf numFmtId="9" fontId="0" fillId="0" borderId="23" xfId="0" applyNumberFormat="1" applyBorder="1" applyAlignment="1">
      <alignment horizontal="center"/>
    </xf>
    <xf numFmtId="14" fontId="17" fillId="0" borderId="0" xfId="0" applyNumberFormat="1" applyFont="1"/>
    <xf numFmtId="1" fontId="0" fillId="0" borderId="22" xfId="0" applyNumberFormat="1" applyBorder="1"/>
    <xf numFmtId="0" fontId="0" fillId="0" borderId="45" xfId="0" applyBorder="1"/>
    <xf numFmtId="1" fontId="6" fillId="0" borderId="0" xfId="0" applyNumberFormat="1" applyFont="1"/>
    <xf numFmtId="0" fontId="6" fillId="0" borderId="45" xfId="0" applyFont="1" applyBorder="1"/>
    <xf numFmtId="1" fontId="6" fillId="0" borderId="45" xfId="0" applyNumberFormat="1" applyFont="1" applyBorder="1"/>
    <xf numFmtId="1" fontId="0" fillId="0" borderId="45" xfId="0" applyNumberFormat="1" applyBorder="1"/>
    <xf numFmtId="0" fontId="63" fillId="2" borderId="47" xfId="0" applyFont="1" applyFill="1" applyBorder="1" applyAlignment="1" applyProtection="1">
      <alignment vertical="top" wrapText="1" readingOrder="1"/>
      <protection locked="0"/>
    </xf>
    <xf numFmtId="0" fontId="63" fillId="2" borderId="47" xfId="0" applyFont="1" applyFill="1" applyBorder="1" applyAlignment="1" applyProtection="1">
      <alignment horizontal="center" vertical="center" wrapText="1" readingOrder="1"/>
      <protection locked="0"/>
    </xf>
    <xf numFmtId="0" fontId="63" fillId="2" borderId="48" xfId="0" applyFont="1" applyFill="1" applyBorder="1" applyAlignment="1" applyProtection="1">
      <alignment horizontal="center" vertical="center" wrapText="1" readingOrder="1"/>
      <protection locked="0"/>
    </xf>
    <xf numFmtId="0" fontId="58" fillId="0" borderId="0" xfId="0" applyFont="1"/>
    <xf numFmtId="0" fontId="6" fillId="0" borderId="9" xfId="0" applyNumberFormat="1" applyFont="1" applyFill="1" applyBorder="1" applyAlignment="1" applyProtection="1">
      <alignment vertical="top"/>
    </xf>
    <xf numFmtId="0" fontId="6" fillId="0" borderId="21" xfId="0" applyNumberFormat="1" applyFont="1" applyFill="1" applyBorder="1" applyAlignment="1" applyProtection="1">
      <alignment vertical="top"/>
    </xf>
    <xf numFmtId="0" fontId="6" fillId="0" borderId="0" xfId="0" applyNumberFormat="1" applyFont="1" applyFill="1" applyBorder="1" applyAlignment="1" applyProtection="1">
      <alignment vertical="top"/>
    </xf>
    <xf numFmtId="0" fontId="6" fillId="0" borderId="23" xfId="0" applyNumberFormat="1" applyFont="1" applyFill="1" applyBorder="1" applyAlignment="1" applyProtection="1">
      <alignment vertical="top"/>
    </xf>
    <xf numFmtId="0" fontId="6" fillId="0" borderId="27" xfId="0" applyNumberFormat="1" applyFont="1" applyFill="1" applyBorder="1" applyAlignment="1" applyProtection="1">
      <alignment vertical="top"/>
    </xf>
    <xf numFmtId="0" fontId="6" fillId="0" borderId="25" xfId="0" applyNumberFormat="1" applyFont="1" applyFill="1" applyBorder="1" applyAlignment="1" applyProtection="1">
      <alignment vertical="top"/>
    </xf>
    <xf numFmtId="0" fontId="6" fillId="0" borderId="26" xfId="0" applyNumberFormat="1" applyFont="1" applyFill="1" applyBorder="1" applyAlignment="1" applyProtection="1">
      <alignment vertical="top"/>
    </xf>
    <xf numFmtId="0" fontId="6" fillId="0" borderId="20" xfId="0" applyNumberFormat="1" applyFont="1" applyFill="1" applyBorder="1" applyAlignment="1" applyProtection="1">
      <alignment vertical="top"/>
    </xf>
    <xf numFmtId="0" fontId="7" fillId="0" borderId="22" xfId="0" applyNumberFormat="1" applyFont="1" applyFill="1" applyBorder="1" applyAlignment="1" applyProtection="1">
      <alignment vertical="top"/>
    </xf>
    <xf numFmtId="0" fontId="6" fillId="0" borderId="8" xfId="0" applyNumberFormat="1" applyFont="1" applyFill="1" applyBorder="1" applyAlignment="1" applyProtection="1">
      <alignment vertical="top"/>
    </xf>
    <xf numFmtId="0" fontId="6" fillId="0" borderId="19" xfId="0" applyNumberFormat="1" applyFont="1" applyFill="1" applyBorder="1" applyAlignment="1" applyProtection="1">
      <alignment vertical="top"/>
    </xf>
    <xf numFmtId="0" fontId="6" fillId="0" borderId="13" xfId="0" applyNumberFormat="1" applyFont="1" applyFill="1" applyBorder="1" applyAlignment="1" applyProtection="1">
      <alignment vertical="top"/>
    </xf>
    <xf numFmtId="167" fontId="11" fillId="2" borderId="52" xfId="1" applyNumberFormat="1" applyFont="1" applyFill="1" applyBorder="1"/>
    <xf numFmtId="0" fontId="0" fillId="0" borderId="52" xfId="0" applyBorder="1"/>
    <xf numFmtId="0" fontId="7" fillId="3" borderId="52" xfId="0" applyNumberFormat="1" applyFont="1" applyFill="1" applyBorder="1" applyAlignment="1" applyProtection="1">
      <alignment horizontal="center" vertical="top"/>
    </xf>
    <xf numFmtId="0" fontId="63" fillId="2" borderId="54" xfId="0" applyFont="1" applyFill="1" applyBorder="1" applyAlignment="1" applyProtection="1">
      <alignment vertical="top" wrapText="1" readingOrder="1"/>
      <protection locked="0"/>
    </xf>
    <xf numFmtId="0" fontId="65" fillId="2" borderId="52" xfId="0" applyFont="1" applyFill="1" applyBorder="1" applyAlignment="1" applyProtection="1">
      <alignment vertical="top" wrapText="1" readingOrder="1"/>
      <protection locked="0"/>
    </xf>
    <xf numFmtId="168" fontId="11" fillId="2" borderId="52" xfId="0" applyNumberFormat="1" applyFont="1" applyFill="1" applyBorder="1" applyAlignment="1">
      <alignment horizontal="left"/>
    </xf>
    <xf numFmtId="1" fontId="61" fillId="2" borderId="52" xfId="1" applyNumberFormat="1" applyFont="1" applyFill="1" applyBorder="1" applyAlignment="1">
      <alignment horizontal="center"/>
    </xf>
    <xf numFmtId="0" fontId="63" fillId="0" borderId="52" xfId="0" applyFont="1" applyBorder="1" applyAlignment="1" applyProtection="1">
      <alignment vertical="top" wrapText="1" readingOrder="1"/>
      <protection locked="0"/>
    </xf>
    <xf numFmtId="0" fontId="10" fillId="0" borderId="52" xfId="0" applyFont="1" applyBorder="1" applyAlignment="1" applyProtection="1">
      <alignment vertical="top" wrapText="1"/>
      <protection locked="0"/>
    </xf>
    <xf numFmtId="0" fontId="63" fillId="0" borderId="52" xfId="0" applyFont="1" applyBorder="1" applyAlignment="1" applyProtection="1">
      <alignment horizontal="center" vertical="top" wrapText="1" readingOrder="1"/>
      <protection locked="0"/>
    </xf>
    <xf numFmtId="0" fontId="67" fillId="0" borderId="52" xfId="0" applyFont="1" applyBorder="1" applyAlignment="1" applyProtection="1">
      <alignment vertical="top" wrapText="1" readingOrder="1"/>
      <protection locked="0"/>
    </xf>
    <xf numFmtId="0" fontId="63" fillId="0" borderId="52" xfId="0" applyFont="1" applyBorder="1" applyAlignment="1" applyProtection="1">
      <alignment horizontal="left" textRotation="90" wrapText="1" readingOrder="1"/>
      <protection locked="0"/>
    </xf>
    <xf numFmtId="0" fontId="42" fillId="2" borderId="52" xfId="0" applyFont="1" applyFill="1" applyBorder="1" applyAlignment="1" applyProtection="1">
      <alignment vertical="top" wrapText="1" readingOrder="1"/>
      <protection locked="0"/>
    </xf>
    <xf numFmtId="167" fontId="68" fillId="2" borderId="52" xfId="1" applyNumberFormat="1" applyFont="1" applyFill="1" applyBorder="1"/>
    <xf numFmtId="3" fontId="62" fillId="2" borderId="52" xfId="0" applyNumberFormat="1" applyFont="1" applyFill="1" applyBorder="1" applyAlignment="1">
      <alignment horizontal="center"/>
    </xf>
    <xf numFmtId="167" fontId="42" fillId="2" borderId="52" xfId="0" applyNumberFormat="1" applyFont="1" applyFill="1" applyBorder="1" applyAlignment="1" applyProtection="1">
      <alignment horizontal="center" vertical="center" wrapText="1" readingOrder="1"/>
      <protection locked="0"/>
    </xf>
    <xf numFmtId="167" fontId="42" fillId="2" borderId="52" xfId="0" applyNumberFormat="1" applyFont="1" applyFill="1" applyBorder="1" applyAlignment="1" applyProtection="1">
      <alignment horizontal="center" vertical="top" wrapText="1" readingOrder="1"/>
      <protection locked="0"/>
    </xf>
    <xf numFmtId="167" fontId="58" fillId="2" borderId="52" xfId="0" applyNumberFormat="1" applyFont="1" applyFill="1" applyBorder="1"/>
    <xf numFmtId="14" fontId="42" fillId="2" borderId="52" xfId="0" applyNumberFormat="1" applyFont="1" applyFill="1" applyBorder="1" applyAlignment="1" applyProtection="1">
      <alignment vertical="top" wrapText="1" readingOrder="1"/>
      <protection locked="0"/>
    </xf>
    <xf numFmtId="1" fontId="62" fillId="2" borderId="4" xfId="4" applyNumberFormat="1" applyFont="1" applyFill="1" applyBorder="1" applyAlignment="1">
      <alignment horizontal="left"/>
    </xf>
    <xf numFmtId="0" fontId="70" fillId="0" borderId="4" xfId="0" applyFont="1" applyBorder="1" applyAlignment="1">
      <alignment horizontal="left" wrapText="1"/>
    </xf>
    <xf numFmtId="0" fontId="70" fillId="0" borderId="4" xfId="0" applyFont="1" applyBorder="1" applyAlignment="1">
      <alignment horizontal="center" wrapText="1"/>
    </xf>
    <xf numFmtId="1" fontId="72" fillId="2" borderId="4" xfId="0" applyNumberFormat="1" applyFont="1" applyFill="1" applyBorder="1" applyAlignment="1"/>
    <xf numFmtId="1" fontId="70" fillId="0" borderId="4" xfId="0" applyNumberFormat="1" applyFont="1" applyBorder="1" applyAlignment="1">
      <alignment horizontal="center" wrapText="1"/>
    </xf>
    <xf numFmtId="1" fontId="62" fillId="2" borderId="4" xfId="0" quotePrefix="1" applyNumberFormat="1" applyFont="1" applyFill="1" applyBorder="1" applyAlignment="1">
      <alignment horizontal="left"/>
    </xf>
    <xf numFmtId="0" fontId="13" fillId="2" borderId="49" xfId="0" applyNumberFormat="1" applyFont="1" applyFill="1" applyBorder="1" applyAlignment="1" applyProtection="1">
      <alignment vertical="top"/>
    </xf>
    <xf numFmtId="0" fontId="6" fillId="0" borderId="52" xfId="0" applyNumberFormat="1" applyFont="1" applyFill="1" applyBorder="1" applyAlignment="1" applyProtection="1">
      <alignment vertical="top"/>
    </xf>
    <xf numFmtId="0" fontId="42" fillId="2" borderId="52" xfId="0" applyFont="1" applyFill="1" applyBorder="1" applyAlignment="1" applyProtection="1">
      <alignment horizontal="center" wrapText="1" readingOrder="1"/>
      <protection locked="0"/>
    </xf>
    <xf numFmtId="168" fontId="72" fillId="2" borderId="52" xfId="0" applyNumberFormat="1" applyFont="1" applyFill="1" applyBorder="1" applyAlignment="1">
      <alignment horizontal="left"/>
    </xf>
    <xf numFmtId="14" fontId="65" fillId="2" borderId="52" xfId="0" applyNumberFormat="1" applyFont="1" applyFill="1" applyBorder="1" applyAlignment="1" applyProtection="1">
      <alignment wrapText="1" readingOrder="1"/>
      <protection locked="0"/>
    </xf>
    <xf numFmtId="1" fontId="65" fillId="2" borderId="52" xfId="0" applyNumberFormat="1" applyFont="1" applyFill="1" applyBorder="1" applyAlignment="1" applyProtection="1">
      <alignment wrapText="1" readingOrder="1"/>
      <protection locked="0"/>
    </xf>
    <xf numFmtId="0" fontId="13" fillId="0" borderId="20" xfId="0" applyNumberFormat="1" applyFont="1" applyFill="1" applyBorder="1" applyAlignment="1" applyProtection="1">
      <alignment vertical="top"/>
    </xf>
    <xf numFmtId="0" fontId="6" fillId="0" borderId="9" xfId="0" applyNumberFormat="1" applyFont="1" applyFill="1" applyBorder="1" applyAlignment="1" applyProtection="1">
      <alignment vertical="top" wrapText="1"/>
    </xf>
    <xf numFmtId="0" fontId="6" fillId="0" borderId="22" xfId="0" applyNumberFormat="1" applyFont="1" applyFill="1" applyBorder="1" applyAlignment="1" applyProtection="1">
      <alignment vertical="top"/>
    </xf>
    <xf numFmtId="0" fontId="6" fillId="0" borderId="22" xfId="0" applyNumberFormat="1" applyFont="1" applyFill="1" applyBorder="1" applyAlignment="1" applyProtection="1">
      <alignment vertical="top" wrapText="1"/>
    </xf>
    <xf numFmtId="0" fontId="6" fillId="0" borderId="0" xfId="0" applyNumberFormat="1" applyFont="1" applyFill="1" applyBorder="1" applyAlignment="1" applyProtection="1">
      <alignment vertical="top" wrapText="1"/>
    </xf>
    <xf numFmtId="14" fontId="6" fillId="0" borderId="9" xfId="0" applyNumberFormat="1" applyFont="1" applyFill="1" applyBorder="1" applyAlignment="1" applyProtection="1">
      <alignment vertical="top"/>
    </xf>
    <xf numFmtId="0" fontId="0" fillId="0" borderId="22" xfId="0" applyFill="1" applyBorder="1" applyAlignment="1">
      <alignment horizontal="left"/>
    </xf>
    <xf numFmtId="0" fontId="6" fillId="0" borderId="38" xfId="0" applyNumberFormat="1" applyFont="1" applyFill="1" applyBorder="1" applyAlignment="1" applyProtection="1">
      <alignment vertical="top"/>
    </xf>
    <xf numFmtId="0" fontId="7" fillId="3" borderId="3" xfId="0" applyNumberFormat="1" applyFont="1" applyFill="1" applyBorder="1" applyAlignment="1" applyProtection="1">
      <alignment horizontal="center" vertical="top"/>
    </xf>
    <xf numFmtId="0" fontId="6" fillId="0" borderId="52" xfId="0" applyNumberFormat="1" applyFont="1" applyFill="1" applyBorder="1" applyAlignment="1" applyProtection="1">
      <alignment vertical="top" wrapText="1"/>
    </xf>
    <xf numFmtId="17" fontId="6" fillId="0" borderId="52" xfId="0" applyNumberFormat="1" applyFont="1" applyFill="1" applyBorder="1" applyAlignment="1" applyProtection="1">
      <alignment vertical="top"/>
    </xf>
    <xf numFmtId="14" fontId="6" fillId="0" borderId="52" xfId="0" applyNumberFormat="1" applyFont="1" applyFill="1" applyBorder="1" applyAlignment="1" applyProtection="1">
      <alignment vertical="top"/>
    </xf>
    <xf numFmtId="1" fontId="42" fillId="2" borderId="52" xfId="0" applyNumberFormat="1" applyFont="1" applyFill="1" applyBorder="1" applyAlignment="1" applyProtection="1">
      <alignment horizontal="left" vertical="top" wrapText="1" readingOrder="1"/>
      <protection locked="0"/>
    </xf>
    <xf numFmtId="1" fontId="0" fillId="0" borderId="24" xfId="0" applyNumberFormat="1" applyFont="1" applyBorder="1" applyAlignment="1">
      <alignment horizontal="center" vertical="center"/>
    </xf>
    <xf numFmtId="0" fontId="0" fillId="0" borderId="52" xfId="0" applyBorder="1" applyAlignment="1">
      <alignment horizontal="center" vertical="center"/>
    </xf>
    <xf numFmtId="0" fontId="6" fillId="0" borderId="0" xfId="0" applyFont="1" applyBorder="1" applyAlignment="1">
      <alignment vertical="top"/>
    </xf>
    <xf numFmtId="0" fontId="0" fillId="0" borderId="0" xfId="0" applyBorder="1" applyAlignment="1">
      <alignment horizontal="center" vertical="center"/>
    </xf>
    <xf numFmtId="166" fontId="0" fillId="0" borderId="0" xfId="0" applyNumberFormat="1" applyBorder="1" applyAlignment="1">
      <alignment horizontal="center" vertical="center"/>
    </xf>
    <xf numFmtId="0" fontId="0" fillId="0" borderId="0" xfId="0" applyBorder="1" applyAlignment="1">
      <alignment vertical="center"/>
    </xf>
    <xf numFmtId="0" fontId="0" fillId="0" borderId="0" xfId="0" applyBorder="1"/>
    <xf numFmtId="0" fontId="42" fillId="2" borderId="52" xfId="0" applyNumberFormat="1" applyFont="1" applyFill="1" applyBorder="1" applyAlignment="1" applyProtection="1">
      <alignment horizontal="center" vertical="top" wrapText="1" readingOrder="1"/>
      <protection locked="0"/>
    </xf>
    <xf numFmtId="0" fontId="7" fillId="3" borderId="50" xfId="0" applyNumberFormat="1" applyFont="1" applyFill="1" applyBorder="1" applyAlignment="1" applyProtection="1">
      <alignment horizontal="center" vertical="top" wrapText="1"/>
    </xf>
    <xf numFmtId="0" fontId="7" fillId="3" borderId="13" xfId="0" applyNumberFormat="1" applyFont="1" applyFill="1" applyBorder="1" applyAlignment="1" applyProtection="1">
      <alignment horizontal="center" vertical="top" wrapText="1"/>
    </xf>
    <xf numFmtId="0" fontId="2" fillId="0" borderId="0" xfId="0" applyFont="1" applyBorder="1"/>
    <xf numFmtId="0" fontId="7" fillId="0" borderId="49" xfId="0" applyNumberFormat="1" applyFont="1" applyFill="1" applyBorder="1" applyAlignment="1" applyProtection="1">
      <alignment horizontal="center" vertical="top"/>
    </xf>
    <xf numFmtId="0" fontId="7" fillId="3" borderId="49" xfId="0" applyNumberFormat="1" applyFont="1" applyFill="1" applyBorder="1" applyAlignment="1" applyProtection="1">
      <alignment horizontal="left" vertical="center" textRotation="90" wrapText="1"/>
    </xf>
    <xf numFmtId="0" fontId="7" fillId="3" borderId="13" xfId="0" applyNumberFormat="1" applyFont="1" applyFill="1" applyBorder="1" applyAlignment="1" applyProtection="1">
      <alignment horizontal="center" vertical="top" textRotation="90" wrapText="1"/>
    </xf>
    <xf numFmtId="0" fontId="7" fillId="3" borderId="13" xfId="0" applyNumberFormat="1" applyFont="1" applyFill="1" applyBorder="1" applyAlignment="1" applyProtection="1">
      <alignment horizontal="center" vertical="top" textRotation="90"/>
    </xf>
    <xf numFmtId="0" fontId="7" fillId="3" borderId="3" xfId="0" applyNumberFormat="1" applyFont="1" applyFill="1" applyBorder="1" applyAlignment="1" applyProtection="1">
      <alignment vertical="center" textRotation="90" wrapText="1"/>
    </xf>
    <xf numFmtId="0" fontId="7" fillId="3" borderId="3" xfId="0" applyNumberFormat="1" applyFont="1" applyFill="1" applyBorder="1" applyAlignment="1" applyProtection="1">
      <alignment horizontal="center" vertical="center" textRotation="90"/>
    </xf>
    <xf numFmtId="0" fontId="6" fillId="4" borderId="52" xfId="0" applyNumberFormat="1" applyFont="1" applyFill="1" applyBorder="1" applyAlignment="1" applyProtection="1">
      <alignment vertical="top"/>
    </xf>
    <xf numFmtId="0" fontId="6" fillId="4" borderId="3" xfId="0" applyNumberFormat="1" applyFont="1" applyFill="1" applyBorder="1" applyAlignment="1" applyProtection="1">
      <alignment vertical="top"/>
    </xf>
    <xf numFmtId="0" fontId="6" fillId="0" borderId="55" xfId="0" applyNumberFormat="1" applyFont="1" applyFill="1" applyBorder="1" applyAlignment="1" applyProtection="1">
      <alignment vertical="top"/>
    </xf>
    <xf numFmtId="0" fontId="6" fillId="0" borderId="33" xfId="0" applyNumberFormat="1" applyFont="1" applyFill="1" applyBorder="1" applyAlignment="1" applyProtection="1">
      <alignment vertical="top"/>
    </xf>
    <xf numFmtId="0" fontId="6" fillId="0" borderId="34" xfId="0" applyNumberFormat="1" applyFont="1" applyFill="1" applyBorder="1" applyAlignment="1" applyProtection="1">
      <alignment vertical="top"/>
    </xf>
    <xf numFmtId="0" fontId="6" fillId="0" borderId="35" xfId="0" applyNumberFormat="1" applyFont="1" applyFill="1" applyBorder="1" applyAlignment="1" applyProtection="1">
      <alignment vertical="top"/>
    </xf>
    <xf numFmtId="0" fontId="6" fillId="0" borderId="3" xfId="0" applyNumberFormat="1" applyFont="1" applyFill="1" applyBorder="1" applyAlignment="1" applyProtection="1">
      <alignment vertical="top"/>
    </xf>
    <xf numFmtId="0" fontId="0" fillId="0" borderId="0" xfId="0"/>
    <xf numFmtId="1" fontId="0" fillId="0" borderId="52" xfId="0" applyNumberFormat="1" applyBorder="1"/>
    <xf numFmtId="0" fontId="6" fillId="0" borderId="60" xfId="0" applyNumberFormat="1" applyFont="1" applyFill="1" applyBorder="1" applyAlignment="1" applyProtection="1">
      <alignment vertical="top"/>
    </xf>
    <xf numFmtId="0" fontId="7" fillId="3" borderId="43" xfId="0" applyNumberFormat="1" applyFont="1" applyFill="1" applyBorder="1" applyAlignment="1" applyProtection="1">
      <alignment horizontal="center" vertical="top"/>
    </xf>
    <xf numFmtId="0" fontId="6" fillId="0" borderId="43" xfId="0" applyNumberFormat="1" applyFont="1" applyFill="1" applyBorder="1" applyAlignment="1" applyProtection="1">
      <alignment vertical="top"/>
    </xf>
    <xf numFmtId="17" fontId="6" fillId="0" borderId="43" xfId="0" applyNumberFormat="1" applyFont="1" applyFill="1" applyBorder="1" applyAlignment="1" applyProtection="1">
      <alignment vertical="top"/>
    </xf>
    <xf numFmtId="16" fontId="6" fillId="0" borderId="43" xfId="0" applyNumberFormat="1" applyFont="1" applyFill="1" applyBorder="1" applyAlignment="1" applyProtection="1">
      <alignment vertical="top"/>
    </xf>
    <xf numFmtId="0" fontId="0" fillId="0" borderId="0" xfId="0" applyBorder="1" applyAlignment="1"/>
    <xf numFmtId="0" fontId="0" fillId="0" borderId="22" xfId="0" applyBorder="1" applyAlignment="1"/>
    <xf numFmtId="0" fontId="0" fillId="0" borderId="27" xfId="0" applyBorder="1" applyAlignment="1"/>
    <xf numFmtId="0" fontId="0" fillId="0" borderId="25" xfId="0" applyBorder="1" applyAlignment="1"/>
    <xf numFmtId="0" fontId="21" fillId="0" borderId="46" xfId="0" applyFont="1" applyBorder="1"/>
    <xf numFmtId="0" fontId="21" fillId="0" borderId="56" xfId="0" applyFont="1" applyBorder="1"/>
    <xf numFmtId="0" fontId="2" fillId="0" borderId="53" xfId="0" applyFont="1" applyBorder="1"/>
    <xf numFmtId="0" fontId="2" fillId="0" borderId="50" xfId="0" applyFont="1" applyBorder="1"/>
    <xf numFmtId="0" fontId="0" fillId="0" borderId="49" xfId="0" applyBorder="1"/>
    <xf numFmtId="0" fontId="0" fillId="0" borderId="53" xfId="0" applyBorder="1"/>
    <xf numFmtId="0" fontId="21" fillId="0" borderId="60" xfId="0" applyFont="1" applyBorder="1"/>
    <xf numFmtId="0" fontId="6" fillId="0" borderId="11" xfId="0" applyFont="1" applyBorder="1" applyAlignment="1">
      <alignment vertical="top"/>
    </xf>
    <xf numFmtId="0" fontId="6" fillId="0" borderId="12" xfId="0" applyFont="1" applyBorder="1" applyAlignment="1">
      <alignment vertical="top"/>
    </xf>
    <xf numFmtId="17" fontId="6" fillId="0" borderId="18" xfId="0" applyNumberFormat="1" applyFont="1" applyBorder="1" applyAlignment="1">
      <alignment vertical="top"/>
    </xf>
    <xf numFmtId="0" fontId="6" fillId="0" borderId="52" xfId="0" applyFont="1" applyBorder="1" applyAlignment="1">
      <alignment vertical="top"/>
    </xf>
    <xf numFmtId="0" fontId="6" fillId="0" borderId="52" xfId="0" applyFont="1" applyBorder="1" applyAlignment="1" applyProtection="1">
      <alignment vertical="top"/>
      <protection locked="0"/>
    </xf>
    <xf numFmtId="0" fontId="2" fillId="0" borderId="43" xfId="0" applyFont="1" applyBorder="1" applyAlignment="1">
      <alignment horizontal="left" vertical="center"/>
    </xf>
    <xf numFmtId="0" fontId="2" fillId="0" borderId="52" xfId="0" applyFont="1" applyBorder="1" applyAlignment="1">
      <alignment horizontal="left" vertical="center"/>
    </xf>
    <xf numFmtId="0" fontId="2" fillId="0" borderId="16" xfId="0" applyFont="1" applyBorder="1" applyAlignment="1">
      <alignment horizontal="left" vertical="center"/>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24"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0" fontId="3" fillId="2" borderId="0" xfId="0" applyFont="1" applyFill="1"/>
    <xf numFmtId="0" fontId="5" fillId="2" borderId="0" xfId="0" applyFont="1" applyFill="1"/>
    <xf numFmtId="0" fontId="6" fillId="2" borderId="0" xfId="0" applyFont="1" applyFill="1"/>
    <xf numFmtId="0" fontId="5" fillId="2" borderId="0" xfId="0" applyFont="1" applyFill="1" applyAlignment="1">
      <alignment horizontal="center"/>
    </xf>
    <xf numFmtId="0" fontId="7" fillId="2" borderId="0" xfId="0" applyFont="1" applyFill="1"/>
    <xf numFmtId="0" fontId="8" fillId="2" borderId="0" xfId="0" applyFont="1" applyFill="1" applyAlignment="1">
      <alignment horizontal="left"/>
    </xf>
    <xf numFmtId="0" fontId="8" fillId="2" borderId="0" xfId="0" applyFont="1" applyFill="1"/>
    <xf numFmtId="0" fontId="21" fillId="0" borderId="22" xfId="0" applyFont="1" applyBorder="1"/>
    <xf numFmtId="0" fontId="2" fillId="0" borderId="31" xfId="0" applyFont="1" applyBorder="1"/>
    <xf numFmtId="17" fontId="6" fillId="0" borderId="52" xfId="0" applyNumberFormat="1" applyFont="1" applyBorder="1" applyAlignment="1">
      <alignment vertical="top"/>
    </xf>
    <xf numFmtId="0" fontId="2" fillId="0" borderId="18" xfId="0" applyFont="1" applyBorder="1" applyAlignment="1">
      <alignment horizontal="left" vertical="center"/>
    </xf>
    <xf numFmtId="0" fontId="0" fillId="2" borderId="0" xfId="0" applyFill="1" applyBorder="1"/>
    <xf numFmtId="0" fontId="6" fillId="0" borderId="55" xfId="0" applyFont="1" applyBorder="1" applyAlignment="1">
      <alignment vertical="top"/>
    </xf>
    <xf numFmtId="0" fontId="15" fillId="0" borderId="55" xfId="0" applyFont="1" applyBorder="1" applyAlignment="1">
      <alignment vertical="top"/>
    </xf>
    <xf numFmtId="0" fontId="15" fillId="0" borderId="52" xfId="0" applyFont="1" applyBorder="1" applyAlignment="1">
      <alignment vertical="top"/>
    </xf>
    <xf numFmtId="0" fontId="6" fillId="0" borderId="16" xfId="0" applyNumberFormat="1" applyFont="1" applyFill="1" applyBorder="1" applyAlignment="1" applyProtection="1">
      <alignment vertical="top"/>
    </xf>
    <xf numFmtId="0" fontId="6" fillId="0" borderId="18" xfId="0" applyNumberFormat="1" applyFont="1" applyFill="1" applyBorder="1" applyAlignment="1" applyProtection="1">
      <alignment vertical="top"/>
    </xf>
    <xf numFmtId="14" fontId="6" fillId="0" borderId="52" xfId="0" applyNumberFormat="1" applyFont="1" applyFill="1" applyBorder="1" applyAlignment="1" applyProtection="1">
      <alignment horizontal="center" vertical="top"/>
    </xf>
    <xf numFmtId="0" fontId="6" fillId="0" borderId="52" xfId="0" applyNumberFormat="1" applyFont="1" applyFill="1" applyBorder="1" applyAlignment="1" applyProtection="1">
      <alignment horizontal="center" vertical="top"/>
    </xf>
    <xf numFmtId="0" fontId="6" fillId="0" borderId="52" xfId="0" applyNumberFormat="1" applyFont="1" applyFill="1" applyBorder="1" applyAlignment="1" applyProtection="1">
      <alignment horizontal="center" vertical="top"/>
    </xf>
    <xf numFmtId="0" fontId="63" fillId="2" borderId="3" xfId="0" applyFont="1" applyFill="1" applyBorder="1" applyAlignment="1" applyProtection="1">
      <alignment horizontal="center" vertical="center" wrapText="1" readingOrder="1"/>
      <protection locked="0"/>
    </xf>
    <xf numFmtId="0" fontId="65" fillId="2" borderId="43" xfId="0" applyFont="1" applyFill="1" applyBorder="1" applyAlignment="1" applyProtection="1">
      <alignment horizontal="center" wrapText="1" readingOrder="1"/>
      <protection locked="0"/>
    </xf>
    <xf numFmtId="0" fontId="0" fillId="2" borderId="22" xfId="0" applyFill="1" applyBorder="1"/>
    <xf numFmtId="0" fontId="0" fillId="2" borderId="23" xfId="0" applyFill="1" applyBorder="1"/>
    <xf numFmtId="0" fontId="0" fillId="2" borderId="27" xfId="0" applyFill="1" applyBorder="1"/>
    <xf numFmtId="0" fontId="0" fillId="2" borderId="25" xfId="0" applyFill="1" applyBorder="1"/>
    <xf numFmtId="0" fontId="0" fillId="2" borderId="26" xfId="0" applyFill="1" applyBorder="1"/>
    <xf numFmtId="0" fontId="6" fillId="0" borderId="52" xfId="0" applyNumberFormat="1" applyFont="1" applyFill="1" applyBorder="1" applyAlignment="1" applyProtection="1">
      <alignment horizontal="center" vertical="top"/>
    </xf>
    <xf numFmtId="0" fontId="6" fillId="0" borderId="52" xfId="0" applyNumberFormat="1" applyFont="1" applyFill="1" applyBorder="1" applyAlignment="1" applyProtection="1">
      <alignment horizontal="center" vertical="top"/>
    </xf>
    <xf numFmtId="14" fontId="74" fillId="2" borderId="52" xfId="0" applyNumberFormat="1" applyFont="1" applyFill="1" applyBorder="1" applyAlignment="1">
      <alignment horizontal="center"/>
    </xf>
    <xf numFmtId="0" fontId="6" fillId="0" borderId="52" xfId="0" applyNumberFormat="1" applyFont="1" applyFill="1" applyBorder="1" applyAlignment="1" applyProtection="1">
      <alignment horizontal="center" vertical="top"/>
    </xf>
    <xf numFmtId="1" fontId="69" fillId="2" borderId="52" xfId="0" applyNumberFormat="1" applyFont="1" applyFill="1" applyBorder="1" applyAlignment="1">
      <alignment horizontal="left"/>
    </xf>
    <xf numFmtId="0" fontId="0" fillId="0" borderId="39" xfId="0" applyBorder="1" applyAlignment="1">
      <alignment horizontal="center"/>
    </xf>
    <xf numFmtId="0" fontId="2" fillId="0" borderId="16" xfId="0" applyFont="1" applyBorder="1" applyAlignment="1">
      <alignment horizontal="center"/>
    </xf>
    <xf numFmtId="0" fontId="0" fillId="0" borderId="36" xfId="0" applyBorder="1" applyAlignment="1">
      <alignment horizontal="center"/>
    </xf>
    <xf numFmtId="0" fontId="77" fillId="0" borderId="56" xfId="0" applyFont="1" applyBorder="1" applyAlignment="1"/>
    <xf numFmtId="0" fontId="2" fillId="0" borderId="53" xfId="0" applyFont="1" applyBorder="1" applyAlignment="1"/>
    <xf numFmtId="0" fontId="0" fillId="0" borderId="53" xfId="0" applyBorder="1" applyAlignment="1"/>
    <xf numFmtId="0" fontId="25" fillId="0" borderId="0" xfId="0" applyFont="1" applyBorder="1"/>
    <xf numFmtId="0" fontId="78" fillId="0" borderId="43" xfId="0" applyFont="1" applyBorder="1" applyAlignment="1">
      <alignment horizontal="center"/>
    </xf>
    <xf numFmtId="0" fontId="78" fillId="0" borderId="52" xfId="0" applyFont="1" applyBorder="1" applyAlignment="1">
      <alignment horizontal="center"/>
    </xf>
    <xf numFmtId="0" fontId="78" fillId="0" borderId="36" xfId="0" applyFont="1" applyBorder="1" applyAlignment="1">
      <alignment horizontal="center"/>
    </xf>
    <xf numFmtId="0" fontId="78" fillId="0" borderId="0" xfId="0" applyFont="1" applyAlignment="1">
      <alignment horizontal="center"/>
    </xf>
    <xf numFmtId="0" fontId="25" fillId="0" borderId="16" xfId="0" applyFont="1" applyBorder="1"/>
    <xf numFmtId="0" fontId="25" fillId="0" borderId="52" xfId="0" applyFont="1" applyBorder="1"/>
    <xf numFmtId="0" fontId="0" fillId="0" borderId="50" xfId="0" applyBorder="1"/>
    <xf numFmtId="0" fontId="77" fillId="0" borderId="43" xfId="0" applyFont="1" applyBorder="1" applyAlignment="1">
      <alignment horizontal="center"/>
    </xf>
    <xf numFmtId="17" fontId="2" fillId="0" borderId="23" xfId="0" applyNumberFormat="1" applyFont="1" applyBorder="1" applyAlignment="1">
      <alignment horizontal="left"/>
    </xf>
    <xf numFmtId="0" fontId="0" fillId="0" borderId="0" xfId="0" applyBorder="1" applyAlignment="1">
      <alignment horizontal="right"/>
    </xf>
    <xf numFmtId="0" fontId="0" fillId="0" borderId="25" xfId="0" applyBorder="1" applyAlignment="1">
      <alignment horizontal="right"/>
    </xf>
    <xf numFmtId="0" fontId="0" fillId="0" borderId="25" xfId="0" applyFont="1" applyBorder="1" applyAlignment="1">
      <alignment horizontal="center"/>
    </xf>
    <xf numFmtId="0" fontId="77" fillId="0" borderId="22" xfId="0" applyFont="1" applyBorder="1" applyAlignment="1"/>
    <xf numFmtId="0" fontId="2" fillId="0" borderId="0" xfId="0" applyFont="1" applyBorder="1" applyAlignment="1"/>
    <xf numFmtId="0" fontId="80" fillId="0" borderId="22" xfId="0" applyFont="1" applyBorder="1" applyAlignment="1"/>
    <xf numFmtId="0" fontId="77" fillId="0" borderId="0" xfId="0" applyFont="1" applyBorder="1" applyAlignment="1"/>
    <xf numFmtId="0" fontId="0" fillId="0" borderId="23" xfId="0" applyBorder="1" applyAlignment="1"/>
    <xf numFmtId="0" fontId="25" fillId="0" borderId="17" xfId="0" applyFont="1" applyBorder="1"/>
    <xf numFmtId="0" fontId="0" fillId="0" borderId="0" xfId="0" applyBorder="1" applyAlignment="1">
      <alignment horizontal="center"/>
    </xf>
    <xf numFmtId="0" fontId="53" fillId="0" borderId="22" xfId="0" applyFont="1" applyBorder="1"/>
    <xf numFmtId="0" fontId="53" fillId="0" borderId="0" xfId="0" applyFont="1" applyBorder="1"/>
    <xf numFmtId="0" fontId="0" fillId="0" borderId="22" xfId="0" applyFont="1" applyBorder="1"/>
    <xf numFmtId="0" fontId="77" fillId="0" borderId="22" xfId="0" applyFont="1" applyBorder="1" applyAlignment="1">
      <alignment horizontal="center"/>
    </xf>
    <xf numFmtId="0" fontId="0" fillId="0" borderId="0" xfId="0" applyFont="1" applyBorder="1" applyAlignment="1">
      <alignment horizontal="center"/>
    </xf>
    <xf numFmtId="0" fontId="2" fillId="0" borderId="0" xfId="0" applyFont="1" applyBorder="1" applyAlignment="1">
      <alignment horizontal="center"/>
    </xf>
    <xf numFmtId="0" fontId="76" fillId="6" borderId="8" xfId="0" applyFont="1" applyFill="1" applyBorder="1" applyAlignment="1">
      <alignment horizontal="center"/>
    </xf>
    <xf numFmtId="0" fontId="76" fillId="6" borderId="19" xfId="0" applyFont="1" applyFill="1" applyBorder="1" applyAlignment="1">
      <alignment horizontal="center"/>
    </xf>
    <xf numFmtId="0" fontId="76" fillId="6" borderId="13" xfId="0" applyFont="1" applyFill="1" applyBorder="1" applyAlignment="1">
      <alignment horizontal="center"/>
    </xf>
    <xf numFmtId="0" fontId="25" fillId="0" borderId="22" xfId="0" applyFont="1" applyBorder="1"/>
    <xf numFmtId="0" fontId="81" fillId="0" borderId="22" xfId="0" applyFont="1" applyBorder="1" applyAlignment="1"/>
    <xf numFmtId="0" fontId="0" fillId="0" borderId="0" xfId="0" applyFont="1"/>
    <xf numFmtId="0" fontId="71" fillId="0" borderId="0" xfId="0" applyFont="1"/>
    <xf numFmtId="0" fontId="6" fillId="0" borderId="52" xfId="0" applyNumberFormat="1" applyFont="1" applyFill="1" applyBorder="1" applyAlignment="1" applyProtection="1">
      <alignment horizontal="center" vertical="top"/>
    </xf>
    <xf numFmtId="0" fontId="6" fillId="0" borderId="52" xfId="0" applyNumberFormat="1" applyFont="1" applyFill="1" applyBorder="1" applyAlignment="1" applyProtection="1">
      <alignment horizontal="center" vertical="top"/>
    </xf>
    <xf numFmtId="1" fontId="6" fillId="2" borderId="0" xfId="0" applyNumberFormat="1" applyFont="1" applyFill="1"/>
    <xf numFmtId="0" fontId="6" fillId="2" borderId="45" xfId="0" applyFont="1" applyFill="1" applyBorder="1"/>
    <xf numFmtId="0" fontId="0" fillId="2" borderId="45" xfId="0" applyFill="1" applyBorder="1"/>
    <xf numFmtId="1" fontId="6" fillId="2" borderId="45" xfId="0" applyNumberFormat="1" applyFont="1" applyFill="1" applyBorder="1"/>
    <xf numFmtId="1" fontId="0" fillId="2" borderId="45" xfId="0" applyNumberFormat="1" applyFill="1" applyBorder="1"/>
    <xf numFmtId="1" fontId="6" fillId="2" borderId="19" xfId="0" applyNumberFormat="1" applyFont="1" applyFill="1" applyBorder="1"/>
    <xf numFmtId="0" fontId="0" fillId="2" borderId="19" xfId="0" applyFill="1" applyBorder="1"/>
    <xf numFmtId="0" fontId="6" fillId="0" borderId="52" xfId="0" applyNumberFormat="1" applyFont="1" applyFill="1" applyBorder="1" applyAlignment="1" applyProtection="1">
      <alignment horizontal="center" vertical="top"/>
    </xf>
    <xf numFmtId="0" fontId="6" fillId="2" borderId="51" xfId="0" applyNumberFormat="1" applyFont="1" applyFill="1" applyBorder="1" applyAlignment="1" applyProtection="1">
      <alignment vertical="top"/>
    </xf>
    <xf numFmtId="0" fontId="6" fillId="2" borderId="53" xfId="0" applyNumberFormat="1" applyFont="1" applyFill="1" applyBorder="1" applyAlignment="1" applyProtection="1">
      <alignment vertical="top"/>
    </xf>
    <xf numFmtId="0" fontId="6" fillId="2" borderId="50" xfId="0" applyNumberFormat="1" applyFont="1" applyFill="1" applyBorder="1" applyAlignment="1" applyProtection="1">
      <alignment vertical="top"/>
    </xf>
    <xf numFmtId="0" fontId="6" fillId="2" borderId="17" xfId="0" applyNumberFormat="1" applyFont="1" applyFill="1" applyBorder="1" applyAlignment="1" applyProtection="1">
      <alignment vertical="top"/>
    </xf>
    <xf numFmtId="0" fontId="6" fillId="2" borderId="0" xfId="0" applyNumberFormat="1" applyFont="1" applyFill="1" applyBorder="1" applyAlignment="1" applyProtection="1">
      <alignment vertical="top"/>
    </xf>
    <xf numFmtId="0" fontId="6" fillId="2" borderId="31" xfId="0" applyNumberFormat="1" applyFont="1" applyFill="1" applyBorder="1" applyAlignment="1" applyProtection="1">
      <alignment vertical="top"/>
    </xf>
    <xf numFmtId="0" fontId="6" fillId="2" borderId="8" xfId="0" applyNumberFormat="1" applyFont="1" applyFill="1" applyBorder="1" applyAlignment="1" applyProtection="1">
      <alignment vertical="top"/>
    </xf>
    <xf numFmtId="0" fontId="6" fillId="2" borderId="19" xfId="0" applyNumberFormat="1" applyFont="1" applyFill="1" applyBorder="1" applyAlignment="1" applyProtection="1">
      <alignment vertical="top"/>
    </xf>
    <xf numFmtId="0" fontId="6" fillId="2" borderId="13" xfId="0" applyNumberFormat="1" applyFont="1" applyFill="1" applyBorder="1" applyAlignment="1" applyProtection="1">
      <alignment vertical="top"/>
    </xf>
    <xf numFmtId="0" fontId="6" fillId="2" borderId="20" xfId="0" applyNumberFormat="1" applyFont="1" applyFill="1" applyBorder="1" applyAlignment="1" applyProtection="1">
      <alignment vertical="top"/>
    </xf>
    <xf numFmtId="0" fontId="6" fillId="2" borderId="9" xfId="0" applyNumberFormat="1" applyFont="1" applyFill="1" applyBorder="1" applyAlignment="1" applyProtection="1">
      <alignment vertical="top"/>
    </xf>
    <xf numFmtId="0" fontId="6" fillId="2" borderId="21" xfId="0" applyNumberFormat="1" applyFont="1" applyFill="1" applyBorder="1" applyAlignment="1" applyProtection="1">
      <alignment vertical="top"/>
    </xf>
    <xf numFmtId="0" fontId="7" fillId="2" borderId="22" xfId="0" applyNumberFormat="1" applyFont="1" applyFill="1" applyBorder="1" applyAlignment="1" applyProtection="1">
      <alignment vertical="top"/>
    </xf>
    <xf numFmtId="0" fontId="6" fillId="2" borderId="23" xfId="0" applyNumberFormat="1" applyFont="1" applyFill="1" applyBorder="1" applyAlignment="1" applyProtection="1">
      <alignment vertical="top"/>
    </xf>
    <xf numFmtId="0" fontId="6" fillId="2" borderId="27" xfId="0" applyNumberFormat="1" applyFont="1" applyFill="1" applyBorder="1" applyAlignment="1" applyProtection="1">
      <alignment vertical="top"/>
    </xf>
    <xf numFmtId="0" fontId="6" fillId="2" borderId="25" xfId="0" applyNumberFormat="1" applyFont="1" applyFill="1" applyBorder="1" applyAlignment="1" applyProtection="1">
      <alignment vertical="top"/>
    </xf>
    <xf numFmtId="0" fontId="6" fillId="2" borderId="26" xfId="0" applyNumberFormat="1" applyFont="1" applyFill="1" applyBorder="1" applyAlignment="1" applyProtection="1">
      <alignment vertical="top"/>
    </xf>
    <xf numFmtId="0" fontId="7" fillId="2" borderId="52" xfId="0" applyNumberFormat="1" applyFont="1" applyFill="1" applyBorder="1" applyAlignment="1" applyProtection="1">
      <alignment horizontal="center" vertical="top" wrapText="1"/>
    </xf>
    <xf numFmtId="0" fontId="8" fillId="2" borderId="52" xfId="0" applyFont="1" applyFill="1" applyBorder="1" applyAlignment="1">
      <alignment horizontal="center"/>
    </xf>
    <xf numFmtId="0" fontId="8" fillId="2" borderId="52" xfId="0" applyFont="1" applyFill="1" applyBorder="1"/>
    <xf numFmtId="0" fontId="8" fillId="2" borderId="52" xfId="0" applyFont="1" applyFill="1" applyBorder="1" applyAlignment="1">
      <alignment wrapText="1"/>
    </xf>
    <xf numFmtId="14" fontId="8" fillId="2" borderId="52" xfId="0" applyNumberFormat="1" applyFont="1" applyFill="1" applyBorder="1"/>
    <xf numFmtId="0" fontId="8" fillId="2" borderId="52" xfId="0" applyFont="1" applyFill="1" applyBorder="1" applyAlignment="1">
      <alignment horizontal="left"/>
    </xf>
    <xf numFmtId="0" fontId="8" fillId="2" borderId="52" xfId="0" applyFont="1" applyFill="1" applyBorder="1" applyAlignment="1">
      <alignment horizontal="center" wrapText="1"/>
    </xf>
    <xf numFmtId="0" fontId="2" fillId="2" borderId="0" xfId="0" applyFont="1" applyFill="1" applyAlignment="1">
      <alignment horizontal="left"/>
    </xf>
    <xf numFmtId="0" fontId="7" fillId="2" borderId="0" xfId="3" applyFont="1" applyFill="1" applyBorder="1" applyAlignment="1">
      <alignment horizontal="left" vertical="center"/>
    </xf>
    <xf numFmtId="0" fontId="2" fillId="0" borderId="52" xfId="0" applyFont="1" applyBorder="1" applyAlignment="1">
      <alignment horizontal="center" vertical="center"/>
    </xf>
    <xf numFmtId="0" fontId="2" fillId="0" borderId="24" xfId="0" applyFont="1" applyBorder="1" applyAlignment="1">
      <alignment horizontal="center" vertical="center"/>
    </xf>
    <xf numFmtId="1" fontId="2" fillId="0" borderId="52" xfId="0" applyNumberFormat="1" applyFont="1" applyBorder="1" applyAlignment="1">
      <alignment horizontal="center" vertical="center"/>
    </xf>
    <xf numFmtId="0" fontId="2" fillId="0" borderId="39" xfId="0" applyFont="1" applyBorder="1" applyAlignment="1">
      <alignment horizontal="center" vertical="center"/>
    </xf>
    <xf numFmtId="0" fontId="6" fillId="2" borderId="0" xfId="0" applyFont="1" applyFill="1" applyAlignment="1">
      <alignment horizontal="left"/>
    </xf>
    <xf numFmtId="0" fontId="2" fillId="0" borderId="16" xfId="0" applyFont="1" applyBorder="1" applyAlignment="1">
      <alignment horizontal="center" vertical="center"/>
    </xf>
    <xf numFmtId="0" fontId="82" fillId="2" borderId="52" xfId="0" applyFont="1" applyFill="1" applyBorder="1"/>
    <xf numFmtId="0" fontId="82" fillId="2" borderId="0" xfId="0" applyFont="1" applyFill="1"/>
    <xf numFmtId="0" fontId="82" fillId="2" borderId="52" xfId="0" applyFont="1" applyFill="1" applyBorder="1" applyAlignment="1">
      <alignment horizontal="left"/>
    </xf>
    <xf numFmtId="14" fontId="33" fillId="2" borderId="52" xfId="0" applyNumberFormat="1" applyFont="1" applyFill="1" applyBorder="1" applyAlignment="1">
      <alignment horizontal="center" vertical="center"/>
    </xf>
    <xf numFmtId="3" fontId="11" fillId="2" borderId="0" xfId="3" applyNumberFormat="1" applyFont="1" applyFill="1" applyBorder="1" applyAlignment="1">
      <alignment horizontal="left"/>
    </xf>
    <xf numFmtId="0" fontId="6" fillId="0" borderId="43" xfId="0" applyNumberFormat="1" applyFont="1" applyFill="1" applyBorder="1" applyAlignment="1" applyProtection="1">
      <alignment vertical="top" wrapText="1"/>
    </xf>
    <xf numFmtId="0" fontId="0" fillId="2" borderId="11" xfId="0" applyFill="1" applyBorder="1"/>
    <xf numFmtId="0" fontId="6" fillId="2" borderId="22" xfId="0" applyFont="1" applyFill="1" applyBorder="1"/>
    <xf numFmtId="0" fontId="6" fillId="2" borderId="19" xfId="0" applyFont="1" applyFill="1" applyBorder="1"/>
    <xf numFmtId="17" fontId="7" fillId="2" borderId="19" xfId="0" applyNumberFormat="1" applyFont="1" applyFill="1" applyBorder="1"/>
    <xf numFmtId="0" fontId="7" fillId="2" borderId="22" xfId="0" applyFont="1" applyFill="1" applyBorder="1"/>
    <xf numFmtId="2" fontId="6" fillId="2" borderId="19" xfId="0" applyNumberFormat="1" applyFont="1" applyFill="1" applyBorder="1"/>
    <xf numFmtId="0" fontId="7" fillId="2" borderId="19" xfId="0" applyFont="1" applyFill="1" applyBorder="1"/>
    <xf numFmtId="1" fontId="8" fillId="2" borderId="52" xfId="0" applyNumberFormat="1" applyFont="1" applyFill="1" applyBorder="1" applyAlignment="1">
      <alignment horizontal="left"/>
    </xf>
    <xf numFmtId="0" fontId="8" fillId="2" borderId="52" xfId="0" quotePrefix="1" applyFont="1" applyFill="1" applyBorder="1" applyAlignment="1">
      <alignment horizontal="left"/>
    </xf>
    <xf numFmtId="0" fontId="88" fillId="2" borderId="52" xfId="0" applyFont="1" applyFill="1" applyBorder="1"/>
    <xf numFmtId="0" fontId="88" fillId="2" borderId="52" xfId="0" applyFont="1" applyFill="1" applyBorder="1" applyAlignment="1">
      <alignment horizontal="center"/>
    </xf>
    <xf numFmtId="0" fontId="58" fillId="2" borderId="52" xfId="0" applyFont="1" applyFill="1" applyBorder="1" applyAlignment="1">
      <alignment horizontal="center" vertical="center" wrapText="1"/>
    </xf>
    <xf numFmtId="1" fontId="66" fillId="2" borderId="52" xfId="1" applyNumberFormat="1" applyFont="1" applyFill="1" applyBorder="1" applyAlignment="1">
      <alignment horizontal="center" vertical="center"/>
    </xf>
    <xf numFmtId="16" fontId="6" fillId="0" borderId="43" xfId="0" applyNumberFormat="1" applyFont="1" applyFill="1" applyBorder="1" applyAlignment="1" applyProtection="1">
      <alignment horizontal="right" vertical="top"/>
    </xf>
    <xf numFmtId="0" fontId="7" fillId="0" borderId="0" xfId="3" applyFont="1" applyBorder="1" applyAlignment="1">
      <alignment horizontal="left" vertical="center"/>
    </xf>
    <xf numFmtId="0" fontId="58" fillId="2" borderId="0" xfId="0" applyFont="1" applyFill="1"/>
    <xf numFmtId="0" fontId="90" fillId="2" borderId="0" xfId="0" applyFont="1" applyFill="1" applyAlignment="1"/>
    <xf numFmtId="0" fontId="58" fillId="2" borderId="0" xfId="0" applyFont="1" applyFill="1" applyAlignment="1"/>
    <xf numFmtId="0" fontId="91" fillId="2" borderId="0" xfId="0" applyFont="1" applyFill="1" applyAlignment="1"/>
    <xf numFmtId="0" fontId="65" fillId="2" borderId="52" xfId="0" applyFont="1" applyFill="1" applyBorder="1" applyAlignment="1"/>
    <xf numFmtId="1" fontId="72" fillId="2" borderId="18" xfId="0" applyNumberFormat="1" applyFont="1" applyFill="1" applyBorder="1" applyAlignment="1">
      <alignment horizontal="center" vertical="center"/>
    </xf>
    <xf numFmtId="0" fontId="93" fillId="2" borderId="0" xfId="0" applyFont="1" applyFill="1"/>
    <xf numFmtId="0" fontId="65" fillId="2" borderId="0" xfId="0" applyFont="1" applyFill="1" applyAlignment="1">
      <alignment horizontal="left"/>
    </xf>
    <xf numFmtId="0" fontId="65" fillId="2" borderId="0" xfId="0" applyFont="1" applyFill="1"/>
    <xf numFmtId="0" fontId="65" fillId="2" borderId="0" xfId="0" applyFont="1" applyFill="1" applyAlignment="1">
      <alignment horizontal="center"/>
    </xf>
    <xf numFmtId="0" fontId="11" fillId="2" borderId="16" xfId="0" applyFont="1" applyFill="1" applyBorder="1" applyAlignment="1">
      <alignment horizontal="right"/>
    </xf>
    <xf numFmtId="1" fontId="65" fillId="2" borderId="0" xfId="0" applyNumberFormat="1" applyFont="1" applyFill="1" applyBorder="1" applyAlignment="1" applyProtection="1">
      <alignment wrapText="1" readingOrder="1"/>
      <protection locked="0"/>
    </xf>
    <xf numFmtId="168" fontId="72" fillId="2" borderId="0" xfId="0" applyNumberFormat="1" applyFont="1" applyFill="1" applyBorder="1" applyAlignment="1">
      <alignment horizontal="left"/>
    </xf>
    <xf numFmtId="0" fontId="65" fillId="2" borderId="0" xfId="0" applyFont="1" applyFill="1" applyBorder="1" applyAlignment="1" applyProtection="1">
      <alignment vertical="top" wrapText="1" readingOrder="1"/>
      <protection locked="0"/>
    </xf>
    <xf numFmtId="1" fontId="69" fillId="2" borderId="16" xfId="0" applyNumberFormat="1" applyFont="1" applyFill="1" applyBorder="1" applyAlignment="1">
      <alignment horizontal="right"/>
    </xf>
    <xf numFmtId="1" fontId="69" fillId="2" borderId="18" xfId="0" applyNumberFormat="1" applyFont="1" applyFill="1" applyBorder="1" applyAlignment="1">
      <alignment horizontal="center" vertical="center"/>
    </xf>
    <xf numFmtId="0" fontId="11" fillId="2" borderId="16" xfId="3" applyFont="1" applyFill="1" applyBorder="1" applyAlignment="1">
      <alignment horizontal="left"/>
    </xf>
    <xf numFmtId="0" fontId="42" fillId="2" borderId="18" xfId="0" applyNumberFormat="1" applyFont="1" applyFill="1" applyBorder="1" applyAlignment="1" applyProtection="1">
      <alignment horizontal="center" vertical="top" wrapText="1" readingOrder="1"/>
      <protection locked="0"/>
    </xf>
    <xf numFmtId="0" fontId="6" fillId="2" borderId="0" xfId="0" applyFont="1" applyFill="1" applyAlignment="1">
      <alignment horizontal="left"/>
    </xf>
    <xf numFmtId="14" fontId="88" fillId="2" borderId="52" xfId="0" applyNumberFormat="1" applyFont="1" applyFill="1" applyBorder="1"/>
    <xf numFmtId="0" fontId="88" fillId="2" borderId="52" xfId="0" applyFont="1" applyFill="1" applyBorder="1" applyAlignment="1">
      <alignment wrapText="1"/>
    </xf>
    <xf numFmtId="14" fontId="88" fillId="2" borderId="52" xfId="0" applyNumberFormat="1" applyFont="1" applyFill="1" applyBorder="1" applyAlignment="1">
      <alignment horizontal="center"/>
    </xf>
    <xf numFmtId="0" fontId="88" fillId="2" borderId="0" xfId="0" applyFont="1" applyFill="1"/>
    <xf numFmtId="0" fontId="94" fillId="2" borderId="52" xfId="0" applyFont="1" applyFill="1" applyBorder="1" applyAlignment="1">
      <alignment horizontal="center"/>
    </xf>
    <xf numFmtId="0" fontId="94" fillId="2" borderId="52" xfId="0" applyFont="1" applyFill="1" applyBorder="1"/>
    <xf numFmtId="0" fontId="94" fillId="2" borderId="52" xfId="0" applyFont="1" applyFill="1" applyBorder="1" applyAlignment="1">
      <alignment wrapText="1"/>
    </xf>
    <xf numFmtId="14" fontId="94" fillId="2" borderId="52" xfId="0" applyNumberFormat="1" applyFont="1" applyFill="1" applyBorder="1" applyAlignment="1">
      <alignment horizontal="center"/>
    </xf>
    <xf numFmtId="0" fontId="94" fillId="2" borderId="0" xfId="0" applyFont="1" applyFill="1"/>
    <xf numFmtId="14" fontId="8" fillId="2" borderId="52" xfId="0" applyNumberFormat="1" applyFont="1" applyFill="1" applyBorder="1" applyAlignment="1">
      <alignment horizontal="right"/>
    </xf>
    <xf numFmtId="0" fontId="51" fillId="0" borderId="0" xfId="0" applyFont="1" applyAlignment="1">
      <alignment vertical="center"/>
    </xf>
    <xf numFmtId="14" fontId="8" fillId="2" borderId="52" xfId="0" applyNumberFormat="1" applyFont="1" applyFill="1" applyBorder="1" applyAlignment="1">
      <alignment horizontal="right" vertical="center"/>
    </xf>
    <xf numFmtId="0" fontId="2" fillId="2" borderId="0" xfId="0" applyFont="1" applyFill="1" applyAlignment="1">
      <alignment horizontal="left"/>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24"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14" fontId="6" fillId="0" borderId="0" xfId="0" applyNumberFormat="1" applyFont="1" applyFill="1" applyBorder="1" applyAlignment="1" applyProtection="1">
      <alignment vertical="top"/>
    </xf>
    <xf numFmtId="0" fontId="96" fillId="2" borderId="52" xfId="0" applyFont="1" applyFill="1" applyBorder="1" applyAlignment="1">
      <alignment horizontal="center"/>
    </xf>
    <xf numFmtId="0" fontId="96" fillId="2" borderId="52" xfId="0" applyFont="1" applyFill="1" applyBorder="1" applyAlignment="1">
      <alignment horizontal="left"/>
    </xf>
    <xf numFmtId="1" fontId="96" fillId="2" borderId="52" xfId="0" applyNumberFormat="1" applyFont="1" applyFill="1" applyBorder="1" applyAlignment="1">
      <alignment horizontal="left"/>
    </xf>
    <xf numFmtId="0" fontId="96" fillId="2" borderId="52" xfId="0" applyFont="1" applyFill="1" applyBorder="1"/>
    <xf numFmtId="1" fontId="96" fillId="2" borderId="52" xfId="1" applyNumberFormat="1" applyFont="1" applyFill="1" applyBorder="1" applyAlignment="1">
      <alignment horizontal="left"/>
    </xf>
    <xf numFmtId="1" fontId="96" fillId="2" borderId="16" xfId="0" applyNumberFormat="1" applyFont="1" applyFill="1" applyBorder="1" applyAlignment="1">
      <alignment horizontal="right"/>
    </xf>
    <xf numFmtId="1" fontId="96" fillId="2" borderId="18" xfId="0" applyNumberFormat="1" applyFont="1" applyFill="1" applyBorder="1" applyAlignment="1">
      <alignment horizontal="left"/>
    </xf>
    <xf numFmtId="3" fontId="95" fillId="2" borderId="52" xfId="0" applyNumberFormat="1" applyFont="1" applyFill="1" applyBorder="1" applyAlignment="1">
      <alignment horizontal="right"/>
    </xf>
    <xf numFmtId="0" fontId="96" fillId="2" borderId="52" xfId="0" applyFont="1" applyFill="1" applyBorder="1" applyAlignment="1">
      <alignment horizontal="right"/>
    </xf>
    <xf numFmtId="1" fontId="96" fillId="2" borderId="52" xfId="1" applyNumberFormat="1" applyFont="1" applyFill="1" applyBorder="1" applyAlignment="1">
      <alignment horizontal="center"/>
    </xf>
    <xf numFmtId="14" fontId="6" fillId="2" borderId="52" xfId="0" applyNumberFormat="1" applyFont="1" applyFill="1" applyBorder="1"/>
    <xf numFmtId="14" fontId="6" fillId="0" borderId="52" xfId="0" applyNumberFormat="1" applyFont="1" applyBorder="1" applyAlignment="1">
      <alignment horizontal="center" vertical="top"/>
    </xf>
    <xf numFmtId="0" fontId="6" fillId="0" borderId="52" xfId="0" applyFont="1" applyBorder="1" applyAlignment="1">
      <alignment horizontal="center" vertical="top"/>
    </xf>
    <xf numFmtId="1" fontId="0" fillId="0" borderId="24" xfId="0" applyNumberFormat="1" applyBorder="1" applyAlignment="1">
      <alignment horizontal="center" vertical="center"/>
    </xf>
    <xf numFmtId="0" fontId="0" fillId="0" borderId="0" xfId="0" applyBorder="1" applyAlignment="1">
      <alignment horizontal="center" wrapText="1"/>
    </xf>
    <xf numFmtId="0" fontId="2" fillId="2" borderId="0" xfId="0" applyFont="1" applyFill="1" applyAlignment="1">
      <alignment horizontal="left"/>
    </xf>
    <xf numFmtId="0" fontId="7" fillId="2" borderId="0" xfId="3" applyFont="1" applyFill="1" applyBorder="1" applyAlignment="1">
      <alignment horizontal="left" vertical="center"/>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24"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0" fontId="58" fillId="2" borderId="0" xfId="0" applyFont="1" applyFill="1" applyAlignment="1">
      <alignment horizontal="right"/>
    </xf>
    <xf numFmtId="0" fontId="65" fillId="2" borderId="0" xfId="0" applyFont="1" applyFill="1" applyAlignment="1">
      <alignment horizontal="right"/>
    </xf>
    <xf numFmtId="0" fontId="58" fillId="2" borderId="52" xfId="0" applyFont="1" applyFill="1" applyBorder="1" applyAlignment="1">
      <alignment horizontal="right"/>
    </xf>
    <xf numFmtId="1" fontId="91" fillId="2" borderId="52" xfId="0" applyNumberFormat="1" applyFont="1" applyFill="1" applyBorder="1" applyAlignment="1">
      <alignment horizontal="right" vertical="top" wrapText="1"/>
    </xf>
    <xf numFmtId="0" fontId="58" fillId="2" borderId="52" xfId="0" applyFont="1" applyFill="1" applyBorder="1" applyAlignment="1">
      <alignment horizontal="right" vertical="top"/>
    </xf>
    <xf numFmtId="0" fontId="65" fillId="2" borderId="52" xfId="0" applyFont="1" applyFill="1" applyBorder="1" applyAlignment="1">
      <alignment horizontal="right"/>
    </xf>
    <xf numFmtId="0" fontId="97" fillId="2" borderId="52" xfId="0" quotePrefix="1" applyFont="1" applyFill="1" applyBorder="1" applyAlignment="1">
      <alignment horizontal="right" vertical="top"/>
    </xf>
    <xf numFmtId="0" fontId="97" fillId="2" borderId="52" xfId="0" applyFont="1" applyFill="1" applyBorder="1" applyAlignment="1">
      <alignment horizontal="right" vertical="top"/>
    </xf>
    <xf numFmtId="0" fontId="7" fillId="2" borderId="4" xfId="0" applyNumberFormat="1" applyFont="1" applyFill="1" applyBorder="1" applyAlignment="1" applyProtection="1">
      <alignment horizontal="center" vertical="top"/>
    </xf>
    <xf numFmtId="0" fontId="7" fillId="2" borderId="52" xfId="0" applyNumberFormat="1" applyFont="1" applyFill="1" applyBorder="1" applyAlignment="1" applyProtection="1">
      <alignment horizontal="center" vertical="top"/>
    </xf>
    <xf numFmtId="0" fontId="86" fillId="2" borderId="52" xfId="0" applyNumberFormat="1" applyFont="1" applyFill="1" applyBorder="1" applyAlignment="1" applyProtection="1">
      <alignment horizontal="center" vertical="center"/>
    </xf>
    <xf numFmtId="14" fontId="83" fillId="2" borderId="52" xfId="0" applyNumberFormat="1" applyFont="1" applyFill="1" applyBorder="1" applyAlignment="1">
      <alignment vertical="center"/>
    </xf>
    <xf numFmtId="0" fontId="84" fillId="2" borderId="52" xfId="0" applyFont="1" applyFill="1" applyBorder="1" applyAlignment="1">
      <alignment horizontal="center" vertical="center"/>
    </xf>
    <xf numFmtId="0" fontId="83" fillId="2" borderId="52" xfId="0" applyFont="1" applyFill="1" applyBorder="1" applyAlignment="1">
      <alignment horizontal="center" vertical="center"/>
    </xf>
    <xf numFmtId="0" fontId="84" fillId="2" borderId="52" xfId="0" applyFont="1" applyFill="1" applyBorder="1" applyAlignment="1">
      <alignment vertical="center"/>
    </xf>
    <xf numFmtId="0" fontId="83" fillId="2" borderId="52" xfId="0" applyFont="1" applyFill="1" applyBorder="1" applyAlignment="1">
      <alignment vertical="center" wrapText="1"/>
    </xf>
    <xf numFmtId="0" fontId="83" fillId="2" borderId="52" xfId="0" applyFont="1" applyFill="1" applyBorder="1" applyAlignment="1">
      <alignment horizontal="left" vertical="center" wrapText="1"/>
    </xf>
    <xf numFmtId="14" fontId="83" fillId="2" borderId="52" xfId="0" applyNumberFormat="1" applyFont="1" applyFill="1" applyBorder="1" applyAlignment="1">
      <alignment horizontal="center" vertical="center"/>
    </xf>
    <xf numFmtId="0" fontId="83" fillId="2" borderId="52" xfId="0" applyFont="1" applyFill="1" applyBorder="1" applyAlignment="1">
      <alignment vertical="center"/>
    </xf>
    <xf numFmtId="0" fontId="84" fillId="2" borderId="52" xfId="0" applyFont="1" applyFill="1" applyBorder="1" applyAlignment="1">
      <alignment horizontal="left" vertical="center"/>
    </xf>
    <xf numFmtId="0" fontId="82" fillId="2" borderId="52" xfId="0" applyFont="1" applyFill="1" applyBorder="1" applyAlignment="1">
      <alignment horizontal="center" vertical="center"/>
    </xf>
    <xf numFmtId="14" fontId="82" fillId="2" borderId="52" xfId="0" applyNumberFormat="1" applyFont="1" applyFill="1" applyBorder="1" applyAlignment="1">
      <alignment horizontal="center" vertical="center"/>
    </xf>
    <xf numFmtId="0" fontId="87" fillId="2" borderId="52" xfId="0" applyFont="1" applyFill="1" applyBorder="1" applyAlignment="1">
      <alignment horizontal="left" vertical="center" wrapText="1"/>
    </xf>
    <xf numFmtId="0" fontId="82" fillId="2" borderId="52" xfId="0" applyFont="1" applyFill="1" applyBorder="1" applyAlignment="1">
      <alignment vertical="center"/>
    </xf>
    <xf numFmtId="0" fontId="82" fillId="2" borderId="52" xfId="0" applyFont="1" applyFill="1" applyBorder="1" applyAlignment="1">
      <alignment horizontal="center"/>
    </xf>
    <xf numFmtId="15" fontId="82" fillId="2" borderId="52" xfId="0" applyNumberFormat="1" applyFont="1" applyFill="1" applyBorder="1"/>
    <xf numFmtId="0" fontId="82" fillId="2" borderId="52" xfId="0" applyFont="1" applyFill="1" applyBorder="1" applyAlignment="1">
      <alignment wrapText="1"/>
    </xf>
    <xf numFmtId="14" fontId="82" fillId="2" borderId="52" xfId="0" applyNumberFormat="1" applyFont="1" applyFill="1" applyBorder="1" applyAlignment="1">
      <alignment horizontal="center"/>
    </xf>
    <xf numFmtId="14" fontId="82" fillId="2" borderId="52" xfId="0" applyNumberFormat="1" applyFont="1" applyFill="1" applyBorder="1"/>
    <xf numFmtId="14" fontId="85" fillId="2" borderId="52" xfId="0" applyNumberFormat="1" applyFont="1" applyFill="1" applyBorder="1" applyAlignment="1">
      <alignment horizontal="center"/>
    </xf>
    <xf numFmtId="0" fontId="6" fillId="2" borderId="0" xfId="0" applyFont="1" applyFill="1" applyAlignment="1">
      <alignment horizontal="left"/>
    </xf>
    <xf numFmtId="14" fontId="96" fillId="2" borderId="55" xfId="0" applyNumberFormat="1" applyFont="1" applyFill="1" applyBorder="1" applyAlignment="1">
      <alignment horizontal="right"/>
    </xf>
    <xf numFmtId="0" fontId="96" fillId="2" borderId="55" xfId="0" applyFont="1" applyFill="1" applyBorder="1"/>
    <xf numFmtId="0" fontId="96" fillId="2" borderId="55" xfId="0" applyFont="1" applyFill="1" applyBorder="1" applyAlignment="1">
      <alignment vertical="center"/>
    </xf>
    <xf numFmtId="0" fontId="8" fillId="2" borderId="55" xfId="0" applyFont="1" applyFill="1" applyBorder="1"/>
    <xf numFmtId="0" fontId="96" fillId="2" borderId="18" xfId="0" applyFont="1" applyFill="1" applyBorder="1" applyAlignment="1">
      <alignment horizontal="left"/>
    </xf>
    <xf numFmtId="0" fontId="72" fillId="2" borderId="18" xfId="0" applyFont="1" applyFill="1" applyBorder="1" applyAlignment="1">
      <alignment horizontal="left"/>
    </xf>
    <xf numFmtId="0" fontId="96" fillId="2" borderId="18" xfId="0" applyFont="1" applyFill="1" applyBorder="1"/>
    <xf numFmtId="0" fontId="65" fillId="2" borderId="52" xfId="0" applyFont="1" applyFill="1" applyBorder="1" applyAlignment="1">
      <alignment horizontal="left"/>
    </xf>
    <xf numFmtId="0" fontId="65" fillId="2" borderId="52" xfId="0" applyFont="1" applyFill="1" applyBorder="1" applyAlignment="1">
      <alignment horizontal="center"/>
    </xf>
    <xf numFmtId="0" fontId="58" fillId="2" borderId="55" xfId="0" applyFont="1" applyFill="1" applyBorder="1"/>
    <xf numFmtId="0" fontId="96" fillId="2" borderId="50" xfId="0" applyFont="1" applyFill="1" applyBorder="1"/>
    <xf numFmtId="0" fontId="96" fillId="2" borderId="55" xfId="0" applyFont="1" applyFill="1" applyBorder="1" applyAlignment="1">
      <alignment horizontal="right"/>
    </xf>
    <xf numFmtId="0" fontId="91" fillId="2" borderId="55" xfId="0" applyFont="1" applyFill="1" applyBorder="1" applyAlignment="1">
      <alignment horizontal="right" vertical="center"/>
    </xf>
    <xf numFmtId="0" fontId="91" fillId="2" borderId="55" xfId="0" quotePrefix="1" applyFont="1" applyFill="1" applyBorder="1" applyAlignment="1">
      <alignment horizontal="right" vertical="center"/>
    </xf>
    <xf numFmtId="0" fontId="11" fillId="2" borderId="52" xfId="0" applyFont="1" applyFill="1" applyBorder="1" applyAlignment="1">
      <alignment horizontal="left"/>
    </xf>
    <xf numFmtId="0" fontId="11" fillId="2" borderId="55" xfId="0" applyFont="1" applyFill="1" applyBorder="1" applyAlignment="1">
      <alignment horizontal="left"/>
    </xf>
    <xf numFmtId="0" fontId="99" fillId="2" borderId="0" xfId="0" applyFont="1" applyFill="1" applyAlignment="1">
      <alignment wrapText="1"/>
    </xf>
    <xf numFmtId="0" fontId="100" fillId="2" borderId="0" xfId="0" applyFont="1" applyFill="1" applyAlignment="1">
      <alignment wrapText="1"/>
    </xf>
    <xf numFmtId="0" fontId="101" fillId="2" borderId="0" xfId="0" applyFont="1" applyFill="1" applyAlignment="1">
      <alignment wrapText="1"/>
    </xf>
    <xf numFmtId="0" fontId="102" fillId="2" borderId="52" xfId="0" applyFont="1" applyFill="1" applyBorder="1" applyAlignment="1">
      <alignment horizontal="left" wrapText="1"/>
    </xf>
    <xf numFmtId="14" fontId="103" fillId="2" borderId="52" xfId="0" applyNumberFormat="1" applyFont="1" applyFill="1" applyBorder="1" applyAlignment="1">
      <alignment horizontal="left" wrapText="1"/>
    </xf>
    <xf numFmtId="0" fontId="102" fillId="2" borderId="52" xfId="0" applyFont="1" applyFill="1" applyBorder="1" applyAlignment="1">
      <alignment horizontal="center" wrapText="1"/>
    </xf>
    <xf numFmtId="0" fontId="102" fillId="2" borderId="52" xfId="0" applyFont="1" applyFill="1" applyBorder="1" applyAlignment="1">
      <alignment wrapText="1"/>
    </xf>
    <xf numFmtId="14" fontId="102" fillId="2" borderId="52" xfId="0" applyNumberFormat="1" applyFont="1" applyFill="1" applyBorder="1" applyAlignment="1">
      <alignment horizontal="left" wrapText="1"/>
    </xf>
    <xf numFmtId="0" fontId="100" fillId="2" borderId="55" xfId="0" applyFont="1" applyFill="1" applyBorder="1" applyAlignment="1">
      <alignment wrapText="1"/>
    </xf>
    <xf numFmtId="14" fontId="100" fillId="2" borderId="55" xfId="0" applyNumberFormat="1" applyFont="1" applyFill="1" applyBorder="1" applyAlignment="1">
      <alignment horizontal="right" wrapText="1"/>
    </xf>
    <xf numFmtId="0" fontId="100" fillId="2" borderId="52" xfId="0" applyFont="1" applyFill="1" applyBorder="1" applyAlignment="1">
      <alignment wrapText="1"/>
    </xf>
    <xf numFmtId="1" fontId="96" fillId="2" borderId="16" xfId="0" applyNumberFormat="1" applyFont="1" applyFill="1" applyBorder="1" applyAlignment="1">
      <alignment horizontal="left"/>
    </xf>
    <xf numFmtId="1" fontId="69" fillId="2" borderId="16" xfId="0" applyNumberFormat="1" applyFont="1" applyFill="1" applyBorder="1" applyAlignment="1">
      <alignment horizontal="center" vertical="center"/>
    </xf>
    <xf numFmtId="1" fontId="72" fillId="2" borderId="16" xfId="0" applyNumberFormat="1" applyFont="1" applyFill="1" applyBorder="1" applyAlignment="1">
      <alignment horizontal="center" vertical="center"/>
    </xf>
    <xf numFmtId="0" fontId="96" fillId="2" borderId="16" xfId="0" applyFont="1" applyFill="1" applyBorder="1"/>
    <xf numFmtId="0" fontId="96" fillId="2" borderId="49" xfId="0" applyFont="1" applyFill="1" applyBorder="1"/>
    <xf numFmtId="3" fontId="89" fillId="2" borderId="0" xfId="3" applyNumberFormat="1" applyFont="1" applyFill="1" applyBorder="1" applyAlignment="1">
      <alignment horizontal="left"/>
    </xf>
    <xf numFmtId="14" fontId="65" fillId="2" borderId="0" xfId="0" applyNumberFormat="1" applyFont="1" applyFill="1" applyBorder="1" applyAlignment="1" applyProtection="1">
      <alignment wrapText="1" readingOrder="1"/>
      <protection locked="0"/>
    </xf>
    <xf numFmtId="3" fontId="11" fillId="2" borderId="25" xfId="3" applyNumberFormat="1" applyFont="1" applyFill="1" applyBorder="1" applyAlignment="1">
      <alignment horizontal="left"/>
    </xf>
    <xf numFmtId="167" fontId="68" fillId="2" borderId="52" xfId="1" applyNumberFormat="1" applyFont="1" applyFill="1" applyBorder="1" applyAlignment="1">
      <alignment wrapText="1"/>
    </xf>
    <xf numFmtId="0" fontId="2" fillId="2" borderId="0" xfId="0" applyFont="1" applyFill="1" applyAlignment="1">
      <alignment horizontal="left"/>
    </xf>
    <xf numFmtId="0" fontId="35" fillId="2" borderId="22" xfId="0" applyFont="1" applyFill="1" applyBorder="1" applyAlignment="1">
      <alignment horizontal="left" vertical="top" wrapText="1"/>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24"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0" fontId="0" fillId="0" borderId="0" xfId="0" applyAlignment="1">
      <alignment horizontal="left"/>
    </xf>
    <xf numFmtId="0" fontId="96" fillId="2" borderId="52" xfId="0" quotePrefix="1" applyFont="1" applyFill="1" applyBorder="1"/>
    <xf numFmtId="0" fontId="106" fillId="2" borderId="52" xfId="0" applyFont="1" applyFill="1" applyBorder="1" applyAlignment="1">
      <alignment horizontal="left" vertical="center"/>
    </xf>
    <xf numFmtId="167" fontId="96" fillId="2" borderId="18" xfId="1" applyNumberFormat="1" applyFont="1" applyFill="1" applyBorder="1" applyAlignment="1">
      <alignment horizontal="left"/>
    </xf>
    <xf numFmtId="1" fontId="73" fillId="2" borderId="16" xfId="0" applyNumberFormat="1" applyFont="1" applyFill="1" applyBorder="1" applyAlignment="1">
      <alignment horizontal="left"/>
    </xf>
    <xf numFmtId="0" fontId="96" fillId="2" borderId="16" xfId="0" applyFont="1" applyFill="1" applyBorder="1" applyAlignment="1">
      <alignment horizontal="center"/>
    </xf>
    <xf numFmtId="0" fontId="96" fillId="2" borderId="49" xfId="0" applyFont="1" applyFill="1" applyBorder="1" applyAlignment="1">
      <alignment horizontal="center"/>
    </xf>
    <xf numFmtId="1" fontId="95" fillId="2" borderId="18" xfId="1" applyNumberFormat="1" applyFont="1" applyFill="1" applyBorder="1"/>
    <xf numFmtId="0" fontId="65" fillId="2" borderId="52" xfId="0" applyFont="1" applyFill="1" applyBorder="1"/>
    <xf numFmtId="14" fontId="102" fillId="2" borderId="52" xfId="0" applyNumberFormat="1" applyFont="1" applyFill="1" applyBorder="1" applyAlignment="1">
      <alignment wrapText="1"/>
    </xf>
    <xf numFmtId="1" fontId="0" fillId="0" borderId="0" xfId="0" applyNumberFormat="1" applyBorder="1" applyAlignment="1">
      <alignment horizontal="center" vertical="center"/>
    </xf>
    <xf numFmtId="0" fontId="31" fillId="2" borderId="22" xfId="0" applyFont="1" applyFill="1" applyBorder="1" applyAlignment="1">
      <alignment horizontal="left" vertical="top" wrapText="1"/>
    </xf>
    <xf numFmtId="0" fontId="32" fillId="2" borderId="22" xfId="0" applyFont="1" applyFill="1" applyBorder="1" applyAlignment="1">
      <alignment horizontal="left" vertical="top" wrapText="1"/>
    </xf>
    <xf numFmtId="0" fontId="33" fillId="2" borderId="22" xfId="0" applyFont="1" applyFill="1" applyBorder="1" applyAlignment="1">
      <alignment horizontal="left"/>
    </xf>
    <xf numFmtId="0" fontId="34" fillId="2" borderId="22" xfId="0" applyFont="1" applyFill="1" applyBorder="1" applyAlignment="1">
      <alignment horizontal="left"/>
    </xf>
    <xf numFmtId="0" fontId="36" fillId="2" borderId="22" xfId="0" applyFont="1" applyFill="1" applyBorder="1" applyAlignment="1">
      <alignment horizontal="left" vertical="top" wrapText="1"/>
    </xf>
    <xf numFmtId="0" fontId="36" fillId="2" borderId="42" xfId="0" applyFont="1" applyFill="1" applyBorder="1" applyAlignment="1">
      <alignment horizontal="left" vertical="center" wrapText="1"/>
    </xf>
    <xf numFmtId="0" fontId="0" fillId="0" borderId="4" xfId="0" applyBorder="1" applyAlignment="1">
      <alignment horizontal="left" vertical="center"/>
    </xf>
    <xf numFmtId="0" fontId="0" fillId="0" borderId="0" xfId="0" applyBorder="1" applyAlignment="1">
      <alignment horizontal="left" vertical="center"/>
    </xf>
    <xf numFmtId="0" fontId="0" fillId="0" borderId="22" xfId="0" applyBorder="1" applyAlignment="1">
      <alignment horizontal="left"/>
    </xf>
    <xf numFmtId="0" fontId="0" fillId="0" borderId="27" xfId="0" applyBorder="1" applyAlignment="1">
      <alignment horizontal="left"/>
    </xf>
    <xf numFmtId="0" fontId="0" fillId="0" borderId="16" xfId="0" applyBorder="1" applyAlignment="1">
      <alignment horizontal="center" vertical="center"/>
    </xf>
    <xf numFmtId="1" fontId="0" fillId="0" borderId="18" xfId="0" applyNumberFormat="1" applyBorder="1" applyAlignment="1">
      <alignment horizontal="center" vertical="center"/>
    </xf>
    <xf numFmtId="0" fontId="6" fillId="0" borderId="43" xfId="0" applyNumberFormat="1" applyFont="1" applyFill="1" applyBorder="1" applyAlignment="1" applyProtection="1">
      <alignment horizontal="right" vertical="top"/>
    </xf>
    <xf numFmtId="0" fontId="107" fillId="2" borderId="52" xfId="0" applyFont="1" applyFill="1" applyBorder="1" applyAlignment="1">
      <alignment horizontal="left" vertical="center" wrapText="1"/>
    </xf>
    <xf numFmtId="14" fontId="107" fillId="2" borderId="52" xfId="0" applyNumberFormat="1" applyFont="1" applyFill="1" applyBorder="1" applyAlignment="1">
      <alignment horizontal="center"/>
    </xf>
    <xf numFmtId="0" fontId="85" fillId="2" borderId="52" xfId="0" applyFont="1" applyFill="1" applyBorder="1" applyAlignment="1">
      <alignment horizontal="left" vertical="center" wrapText="1"/>
    </xf>
    <xf numFmtId="0" fontId="82" fillId="2" borderId="52" xfId="0" applyFont="1" applyFill="1" applyBorder="1" applyAlignment="1">
      <alignment horizontal="center" wrapText="1"/>
    </xf>
    <xf numFmtId="0" fontId="107" fillId="2" borderId="52" xfId="0" applyFont="1" applyFill="1" applyBorder="1" applyAlignment="1">
      <alignment horizontal="center" vertical="center" wrapText="1"/>
    </xf>
    <xf numFmtId="169" fontId="108" fillId="2" borderId="52" xfId="0" applyNumberFormat="1" applyFont="1" applyFill="1" applyBorder="1" applyAlignment="1"/>
    <xf numFmtId="0" fontId="108" fillId="2" borderId="52" xfId="0" applyFont="1" applyFill="1" applyBorder="1" applyAlignment="1"/>
    <xf numFmtId="0" fontId="108" fillId="2" borderId="52" xfId="0" applyFont="1" applyFill="1" applyBorder="1" applyAlignment="1">
      <alignment wrapText="1"/>
    </xf>
    <xf numFmtId="0" fontId="107" fillId="2" borderId="52" xfId="0" applyFont="1" applyFill="1" applyBorder="1" applyAlignment="1">
      <alignment horizontal="left" vertical="center"/>
    </xf>
    <xf numFmtId="0" fontId="82" fillId="2" borderId="0" xfId="0" applyFont="1" applyFill="1" applyAlignment="1">
      <alignment vertical="center"/>
    </xf>
    <xf numFmtId="14" fontId="8" fillId="2" borderId="52" xfId="0" applyNumberFormat="1" applyFont="1" applyFill="1" applyBorder="1" applyAlignment="1">
      <alignment horizontal="left"/>
    </xf>
    <xf numFmtId="0" fontId="74" fillId="2" borderId="52" xfId="0" applyFont="1" applyFill="1" applyBorder="1" applyAlignment="1">
      <alignment horizontal="left"/>
    </xf>
    <xf numFmtId="14" fontId="8" fillId="2" borderId="55" xfId="0" applyNumberFormat="1" applyFont="1" applyFill="1" applyBorder="1" applyAlignment="1">
      <alignment horizontal="left"/>
    </xf>
    <xf numFmtId="14" fontId="109" fillId="2" borderId="52" xfId="0" applyNumberFormat="1" applyFont="1" applyFill="1" applyBorder="1" applyAlignment="1">
      <alignment horizontal="left"/>
    </xf>
    <xf numFmtId="0" fontId="85" fillId="2" borderId="52" xfId="0" applyFont="1" applyFill="1" applyBorder="1" applyAlignment="1">
      <alignment horizontal="left" vertical="center"/>
    </xf>
    <xf numFmtId="14" fontId="82" fillId="2" borderId="16" xfId="0" applyNumberFormat="1" applyFont="1" applyFill="1" applyBorder="1"/>
    <xf numFmtId="0" fontId="82" fillId="2" borderId="52" xfId="0" applyFont="1" applyFill="1" applyBorder="1" applyAlignment="1">
      <alignment horizontal="center" vertical="top" wrapText="1"/>
    </xf>
    <xf numFmtId="14" fontId="85" fillId="2" borderId="52" xfId="0" applyNumberFormat="1" applyFont="1" applyFill="1" applyBorder="1" applyAlignment="1">
      <alignment horizontal="center" wrapText="1"/>
    </xf>
    <xf numFmtId="0" fontId="106" fillId="2" borderId="52" xfId="0" applyFont="1" applyFill="1" applyBorder="1" applyAlignment="1">
      <alignment horizontal="left"/>
    </xf>
    <xf numFmtId="14" fontId="105" fillId="2" borderId="52" xfId="0" applyNumberFormat="1" applyFont="1" applyFill="1" applyBorder="1" applyAlignment="1">
      <alignment horizontal="center" vertical="center"/>
    </xf>
    <xf numFmtId="14" fontId="82" fillId="2" borderId="52" xfId="0" applyNumberFormat="1" applyFont="1" applyFill="1" applyBorder="1" applyAlignment="1">
      <alignment horizontal="left"/>
    </xf>
    <xf numFmtId="0" fontId="58" fillId="2" borderId="52" xfId="0" applyFont="1" applyFill="1" applyBorder="1"/>
    <xf numFmtId="0" fontId="8" fillId="2" borderId="0" xfId="0" applyFont="1" applyFill="1" applyAlignment="1">
      <alignment horizontal="center"/>
    </xf>
    <xf numFmtId="0" fontId="95" fillId="2" borderId="0" xfId="0" applyFont="1" applyFill="1" applyAlignment="1">
      <alignment wrapText="1"/>
    </xf>
    <xf numFmtId="0" fontId="8" fillId="2" borderId="0" xfId="0" applyFont="1" applyFill="1" applyAlignment="1">
      <alignment horizontal="right"/>
    </xf>
    <xf numFmtId="0" fontId="102" fillId="2" borderId="0" xfId="0" applyFont="1" applyFill="1" applyAlignment="1">
      <alignment wrapText="1"/>
    </xf>
    <xf numFmtId="0" fontId="65" fillId="2" borderId="0" xfId="0" applyFont="1" applyFill="1" applyAlignment="1"/>
    <xf numFmtId="0" fontId="74" fillId="2" borderId="0" xfId="0" applyFont="1" applyFill="1" applyAlignment="1">
      <alignment horizontal="right"/>
    </xf>
    <xf numFmtId="0" fontId="112" fillId="2" borderId="0" xfId="0" applyFont="1" applyFill="1" applyAlignment="1">
      <alignment horizontal="left"/>
    </xf>
    <xf numFmtId="0" fontId="113" fillId="2" borderId="0" xfId="0" applyFont="1" applyFill="1" applyAlignment="1">
      <alignment wrapText="1"/>
    </xf>
    <xf numFmtId="0" fontId="112" fillId="2" borderId="0" xfId="0" applyFont="1" applyFill="1"/>
    <xf numFmtId="0" fontId="112" fillId="2" borderId="0" xfId="0" applyFont="1" applyFill="1" applyAlignment="1">
      <alignment horizontal="right"/>
    </xf>
    <xf numFmtId="17" fontId="113" fillId="2" borderId="0" xfId="0" applyNumberFormat="1" applyFont="1" applyFill="1" applyAlignment="1">
      <alignment wrapText="1"/>
    </xf>
    <xf numFmtId="17" fontId="33" fillId="2" borderId="0" xfId="0" applyNumberFormat="1" applyFont="1" applyFill="1"/>
    <xf numFmtId="17" fontId="112" fillId="2" borderId="0" xfId="0" applyNumberFormat="1" applyFont="1" applyFill="1" applyAlignment="1"/>
    <xf numFmtId="0" fontId="33" fillId="2" borderId="0" xfId="0" applyFont="1" applyFill="1" applyAlignment="1">
      <alignment horizontal="left"/>
    </xf>
    <xf numFmtId="0" fontId="112" fillId="2" borderId="0" xfId="0" applyFont="1" applyFill="1" applyAlignment="1">
      <alignment horizontal="center"/>
    </xf>
    <xf numFmtId="0" fontId="8" fillId="2" borderId="0" xfId="0" applyFont="1" applyFill="1" applyAlignment="1">
      <alignment horizontal="center" vertical="center"/>
    </xf>
    <xf numFmtId="0" fontId="95" fillId="2" borderId="0" xfId="0" applyFont="1" applyFill="1" applyAlignment="1">
      <alignment horizontal="center" vertical="center" wrapText="1"/>
    </xf>
    <xf numFmtId="0" fontId="72" fillId="2" borderId="52" xfId="0" applyFont="1" applyFill="1" applyBorder="1" applyAlignment="1">
      <alignment horizontal="right"/>
    </xf>
    <xf numFmtId="0" fontId="117" fillId="2" borderId="52" xfId="0" applyFont="1" applyFill="1" applyBorder="1" applyAlignment="1">
      <alignment horizontal="center"/>
    </xf>
    <xf numFmtId="0" fontId="112" fillId="2" borderId="52" xfId="0" applyFont="1" applyFill="1" applyBorder="1" applyAlignment="1">
      <alignment horizontal="center"/>
    </xf>
    <xf numFmtId="0" fontId="117" fillId="2" borderId="52" xfId="0" applyFont="1" applyFill="1" applyBorder="1" applyAlignment="1">
      <alignment horizontal="center" wrapText="1"/>
    </xf>
    <xf numFmtId="0" fontId="88" fillId="2" borderId="52" xfId="0" applyFont="1" applyFill="1" applyBorder="1" applyAlignment="1">
      <alignment vertical="center"/>
    </xf>
    <xf numFmtId="0" fontId="88" fillId="2" borderId="0" xfId="0" applyFont="1" applyFill="1" applyAlignment="1">
      <alignment vertical="center"/>
    </xf>
    <xf numFmtId="0" fontId="8" fillId="2" borderId="52" xfId="0" quotePrefix="1" applyFont="1" applyFill="1" applyBorder="1"/>
    <xf numFmtId="0" fontId="33" fillId="2" borderId="52" xfId="0" applyFont="1" applyFill="1" applyBorder="1" applyAlignment="1">
      <alignment horizontal="left"/>
    </xf>
    <xf numFmtId="0" fontId="8" fillId="2" borderId="55" xfId="0" quotePrefix="1" applyFont="1" applyFill="1" applyBorder="1"/>
    <xf numFmtId="14" fontId="113" fillId="2" borderId="52" xfId="0" applyNumberFormat="1" applyFont="1" applyFill="1" applyBorder="1" applyAlignment="1">
      <alignment horizontal="right" wrapText="1"/>
    </xf>
    <xf numFmtId="0" fontId="110" fillId="2" borderId="52" xfId="0" applyFont="1" applyFill="1" applyBorder="1" applyAlignment="1">
      <alignment horizontal="left" vertical="center"/>
    </xf>
    <xf numFmtId="0" fontId="11" fillId="2" borderId="52" xfId="0" applyFont="1" applyFill="1" applyBorder="1" applyAlignment="1"/>
    <xf numFmtId="0" fontId="8" fillId="2" borderId="49" xfId="0" applyFont="1" applyFill="1" applyBorder="1" applyAlignment="1">
      <alignment horizontal="center"/>
    </xf>
    <xf numFmtId="0" fontId="65" fillId="2" borderId="52" xfId="0" quotePrefix="1" applyFont="1" applyFill="1" applyBorder="1" applyAlignment="1">
      <alignment horizontal="right"/>
    </xf>
    <xf numFmtId="14" fontId="33" fillId="2" borderId="52" xfId="0" applyNumberFormat="1" applyFont="1" applyFill="1" applyBorder="1" applyAlignment="1">
      <alignment horizontal="left"/>
    </xf>
    <xf numFmtId="0" fontId="33" fillId="2" borderId="52" xfId="0" quotePrefix="1" applyFont="1" applyFill="1" applyBorder="1"/>
    <xf numFmtId="0" fontId="8" fillId="2" borderId="52" xfId="0" applyFont="1" applyFill="1" applyBorder="1" applyAlignment="1"/>
    <xf numFmtId="0" fontId="8" fillId="2" borderId="0" xfId="0" applyFont="1" applyFill="1" applyAlignment="1"/>
    <xf numFmtId="0" fontId="82" fillId="2" borderId="52" xfId="0" applyFont="1" applyFill="1" applyBorder="1" applyAlignment="1"/>
    <xf numFmtId="0" fontId="88" fillId="2" borderId="52" xfId="0" applyFont="1" applyFill="1" applyBorder="1" applyAlignment="1"/>
    <xf numFmtId="0" fontId="94" fillId="2" borderId="52" xfId="0" applyFont="1" applyFill="1" applyBorder="1" applyAlignment="1"/>
    <xf numFmtId="0" fontId="33" fillId="2" borderId="52" xfId="0" applyFont="1" applyFill="1" applyBorder="1" applyAlignment="1"/>
    <xf numFmtId="0" fontId="17" fillId="2" borderId="55" xfId="0" applyFont="1" applyFill="1" applyBorder="1" applyAlignment="1">
      <alignment vertical="center"/>
    </xf>
    <xf numFmtId="0" fontId="65" fillId="2" borderId="0" xfId="0" applyFont="1" applyFill="1" applyAlignment="1">
      <alignment wrapText="1"/>
    </xf>
    <xf numFmtId="0" fontId="90" fillId="2" borderId="0" xfId="0" applyFont="1" applyFill="1" applyAlignment="1">
      <alignment wrapText="1"/>
    </xf>
    <xf numFmtId="0" fontId="58" fillId="2" borderId="0" xfId="0" applyFont="1" applyFill="1" applyAlignment="1">
      <alignment wrapText="1"/>
    </xf>
    <xf numFmtId="0" fontId="91" fillId="2" borderId="0" xfId="0" applyFont="1" applyFill="1" applyAlignment="1">
      <alignment wrapText="1"/>
    </xf>
    <xf numFmtId="0" fontId="91" fillId="2" borderId="0" xfId="0" applyFont="1" applyFill="1" applyAlignment="1">
      <alignment horizontal="center" vertical="center" wrapText="1"/>
    </xf>
    <xf numFmtId="0" fontId="65" fillId="2" borderId="52" xfId="0" applyFont="1" applyFill="1" applyBorder="1" applyAlignment="1">
      <alignment horizontal="left" wrapText="1"/>
    </xf>
    <xf numFmtId="0" fontId="65" fillId="2" borderId="52" xfId="0" applyFont="1" applyFill="1" applyBorder="1" applyAlignment="1">
      <alignment wrapText="1"/>
    </xf>
    <xf numFmtId="0" fontId="58" fillId="2" borderId="55" xfId="0" applyFont="1" applyFill="1" applyBorder="1" applyAlignment="1">
      <alignment vertical="center" wrapText="1"/>
    </xf>
    <xf numFmtId="0" fontId="121" fillId="2" borderId="0" xfId="0" applyFont="1" applyFill="1" applyAlignment="1"/>
    <xf numFmtId="0" fontId="13" fillId="2" borderId="52" xfId="0" applyFont="1" applyFill="1" applyBorder="1" applyAlignment="1">
      <alignment horizontal="center" vertical="center" wrapText="1"/>
    </xf>
    <xf numFmtId="0" fontId="67" fillId="2" borderId="43" xfId="0" applyFont="1" applyFill="1" applyBorder="1" applyAlignment="1" applyProtection="1">
      <alignment horizontal="center" vertical="center" wrapText="1" readingOrder="1"/>
      <protection locked="0"/>
    </xf>
    <xf numFmtId="0" fontId="67" fillId="2" borderId="52" xfId="0" applyFont="1" applyFill="1" applyBorder="1" applyAlignment="1" applyProtection="1">
      <alignment horizontal="center" vertical="center" wrapText="1" readingOrder="1"/>
      <protection locked="0"/>
    </xf>
    <xf numFmtId="0" fontId="52" fillId="2" borderId="0" xfId="0" applyFont="1" applyFill="1" applyAlignment="1">
      <alignment horizontal="center" vertical="center"/>
    </xf>
    <xf numFmtId="0" fontId="118" fillId="2" borderId="52" xfId="0" applyFont="1" applyFill="1" applyBorder="1" applyAlignment="1">
      <alignment vertical="center" wrapText="1"/>
    </xf>
    <xf numFmtId="0" fontId="7" fillId="2" borderId="52" xfId="0" applyFont="1" applyFill="1" applyBorder="1" applyAlignment="1">
      <alignment vertical="center" wrapText="1"/>
    </xf>
    <xf numFmtId="0" fontId="2" fillId="0" borderId="52" xfId="0" applyFont="1" applyBorder="1" applyAlignment="1">
      <alignment horizontal="center" vertical="center"/>
    </xf>
    <xf numFmtId="0" fontId="2" fillId="0" borderId="24" xfId="0" applyFont="1" applyBorder="1" applyAlignment="1">
      <alignment horizontal="center" vertical="center"/>
    </xf>
    <xf numFmtId="1" fontId="2" fillId="0" borderId="52" xfId="0" applyNumberFormat="1" applyFont="1" applyBorder="1" applyAlignment="1">
      <alignment horizontal="center" vertical="center"/>
    </xf>
    <xf numFmtId="0" fontId="6" fillId="2" borderId="0" xfId="0" applyFont="1" applyFill="1" applyAlignment="1">
      <alignment horizontal="left"/>
    </xf>
    <xf numFmtId="0" fontId="2" fillId="0" borderId="39" xfId="0" applyFont="1" applyBorder="1" applyAlignment="1">
      <alignment horizontal="center" vertical="center"/>
    </xf>
    <xf numFmtId="0" fontId="2" fillId="0" borderId="16" xfId="0" applyFont="1" applyBorder="1" applyAlignment="1">
      <alignment horizontal="center" vertical="center"/>
    </xf>
    <xf numFmtId="1" fontId="96" fillId="2" borderId="52" xfId="0" applyNumberFormat="1" applyFont="1" applyFill="1" applyBorder="1" applyAlignment="1">
      <alignment horizontal="left" vertical="center"/>
    </xf>
    <xf numFmtId="0" fontId="0" fillId="9" borderId="52" xfId="0" applyFont="1" applyFill="1" applyBorder="1" applyAlignment="1">
      <alignment horizontal="left"/>
    </xf>
    <xf numFmtId="14" fontId="0" fillId="9" borderId="52" xfId="0" applyNumberFormat="1" applyFont="1" applyFill="1" applyBorder="1" applyAlignment="1">
      <alignment horizontal="left"/>
    </xf>
    <xf numFmtId="0" fontId="11" fillId="9" borderId="55" xfId="0" applyFont="1" applyFill="1" applyBorder="1" applyAlignment="1">
      <alignment horizontal="left"/>
    </xf>
    <xf numFmtId="0" fontId="0" fillId="9" borderId="52" xfId="0" applyFill="1" applyBorder="1"/>
    <xf numFmtId="0" fontId="0" fillId="9" borderId="52" xfId="0" quotePrefix="1" applyFill="1" applyBorder="1"/>
    <xf numFmtId="0" fontId="0" fillId="9" borderId="52" xfId="0" applyFill="1" applyBorder="1" applyAlignment="1">
      <alignment wrapText="1"/>
    </xf>
    <xf numFmtId="0" fontId="88" fillId="2" borderId="55" xfId="0" applyFont="1" applyFill="1" applyBorder="1" applyAlignment="1">
      <alignment wrapText="1"/>
    </xf>
    <xf numFmtId="14" fontId="0" fillId="9" borderId="52" xfId="0" applyNumberFormat="1" applyFill="1" applyBorder="1"/>
    <xf numFmtId="1" fontId="74" fillId="2" borderId="55" xfId="0" applyNumberFormat="1" applyFont="1" applyFill="1" applyBorder="1" applyAlignment="1">
      <alignment horizontal="right"/>
    </xf>
    <xf numFmtId="0" fontId="118" fillId="2" borderId="55" xfId="0" applyFont="1" applyFill="1" applyBorder="1"/>
    <xf numFmtId="0" fontId="118" fillId="2" borderId="55" xfId="0" quotePrefix="1" applyFont="1" applyFill="1" applyBorder="1"/>
    <xf numFmtId="0" fontId="114" fillId="2" borderId="52" xfId="0" applyFont="1" applyFill="1" applyBorder="1" applyAlignment="1">
      <alignment horizontal="center"/>
    </xf>
    <xf numFmtId="0" fontId="115" fillId="2" borderId="52" xfId="0" applyFont="1" applyFill="1" applyBorder="1" applyAlignment="1">
      <alignment horizontal="center"/>
    </xf>
    <xf numFmtId="0" fontId="115" fillId="2" borderId="52" xfId="0" applyFont="1" applyFill="1" applyBorder="1" applyAlignment="1">
      <alignment horizontal="center" wrapText="1"/>
    </xf>
    <xf numFmtId="0" fontId="116" fillId="2" borderId="52" xfId="0" applyFont="1" applyFill="1" applyBorder="1" applyAlignment="1">
      <alignment horizontal="center" wrapText="1"/>
    </xf>
    <xf numFmtId="0" fontId="113" fillId="2" borderId="52" xfId="0" applyFont="1" applyFill="1" applyBorder="1" applyAlignment="1">
      <alignment horizontal="center" wrapText="1"/>
    </xf>
    <xf numFmtId="0" fontId="33" fillId="2" borderId="52" xfId="0" applyFont="1" applyFill="1" applyBorder="1" applyAlignment="1">
      <alignment horizontal="center" wrapText="1"/>
    </xf>
    <xf numFmtId="0" fontId="112" fillId="2" borderId="52" xfId="0" applyFont="1" applyFill="1" applyBorder="1" applyAlignment="1">
      <alignment horizontal="center" wrapText="1"/>
    </xf>
    <xf numFmtId="0" fontId="33" fillId="2" borderId="52" xfId="0" applyFont="1" applyFill="1" applyBorder="1" applyAlignment="1">
      <alignment horizontal="center"/>
    </xf>
    <xf numFmtId="0" fontId="92" fillId="2" borderId="52" xfId="0" applyFont="1" applyFill="1" applyBorder="1" applyAlignment="1"/>
    <xf numFmtId="0" fontId="115" fillId="2" borderId="52" xfId="0" applyFont="1" applyFill="1" applyBorder="1" applyAlignment="1">
      <alignment wrapText="1"/>
    </xf>
    <xf numFmtId="0" fontId="96" fillId="2" borderId="55" xfId="0" applyFont="1" applyFill="1" applyBorder="1" applyAlignment="1">
      <alignment horizontal="center"/>
    </xf>
    <xf numFmtId="0" fontId="62" fillId="9" borderId="52" xfId="0" applyFont="1" applyFill="1" applyBorder="1" applyAlignment="1"/>
    <xf numFmtId="0" fontId="8" fillId="2" borderId="55" xfId="0" applyFont="1" applyFill="1" applyBorder="1" applyAlignment="1">
      <alignment horizontal="center"/>
    </xf>
    <xf numFmtId="14" fontId="82" fillId="2" borderId="52" xfId="0" applyNumberFormat="1" applyFont="1" applyFill="1" applyBorder="1" applyAlignment="1">
      <alignment horizontal="right"/>
    </xf>
    <xf numFmtId="0" fontId="123" fillId="2" borderId="52" xfId="0" applyFont="1" applyFill="1" applyBorder="1"/>
    <xf numFmtId="0" fontId="123" fillId="2" borderId="52" xfId="0" applyFont="1" applyFill="1" applyBorder="1" applyAlignment="1">
      <alignment wrapText="1"/>
    </xf>
    <xf numFmtId="0" fontId="124" fillId="2" borderId="52" xfId="0" applyFont="1" applyFill="1" applyBorder="1" applyAlignment="1">
      <alignment wrapText="1"/>
    </xf>
    <xf numFmtId="14" fontId="124" fillId="2" borderId="52" xfId="0" applyNumberFormat="1" applyFont="1" applyFill="1" applyBorder="1" applyAlignment="1">
      <alignment wrapText="1"/>
    </xf>
    <xf numFmtId="0" fontId="82" fillId="2" borderId="52" xfId="0" quotePrefix="1" applyFont="1" applyFill="1" applyBorder="1"/>
    <xf numFmtId="0" fontId="123" fillId="2" borderId="52" xfId="0" applyFont="1" applyFill="1" applyBorder="1" applyAlignment="1"/>
    <xf numFmtId="0" fontId="125" fillId="2" borderId="18" xfId="0" applyFont="1" applyFill="1" applyBorder="1"/>
    <xf numFmtId="0" fontId="125" fillId="2" borderId="52" xfId="0" applyFont="1" applyFill="1" applyBorder="1" applyAlignment="1">
      <alignment horizontal="right"/>
    </xf>
    <xf numFmtId="0" fontId="125" fillId="2" borderId="52" xfId="0" applyFont="1" applyFill="1" applyBorder="1"/>
    <xf numFmtId="0" fontId="125" fillId="2" borderId="16" xfId="0" applyFont="1" applyFill="1" applyBorder="1"/>
    <xf numFmtId="0" fontId="125" fillId="2" borderId="16" xfId="0" applyFont="1" applyFill="1" applyBorder="1" applyAlignment="1">
      <alignment horizontal="center"/>
    </xf>
    <xf numFmtId="0" fontId="126" fillId="2" borderId="52" xfId="0" applyFont="1" applyFill="1" applyBorder="1" applyAlignment="1">
      <alignment horizontal="right"/>
    </xf>
    <xf numFmtId="0" fontId="127" fillId="2" borderId="52" xfId="0" applyFont="1" applyFill="1" applyBorder="1"/>
    <xf numFmtId="0" fontId="0" fillId="0" borderId="52" xfId="0" applyBorder="1" applyAlignment="1">
      <alignment vertical="center"/>
    </xf>
    <xf numFmtId="0" fontId="127" fillId="10" borderId="52" xfId="0" applyFont="1" applyFill="1" applyBorder="1"/>
    <xf numFmtId="1" fontId="61" fillId="2" borderId="0" xfId="1" applyNumberFormat="1" applyFont="1" applyFill="1" applyBorder="1" applyAlignment="1">
      <alignment horizontal="center"/>
    </xf>
    <xf numFmtId="0" fontId="128" fillId="2" borderId="52" xfId="0" applyFont="1" applyFill="1" applyBorder="1" applyAlignment="1">
      <alignment horizontal="center" vertical="center"/>
    </xf>
    <xf numFmtId="3" fontId="89" fillId="8" borderId="52" xfId="3" applyNumberFormat="1" applyFont="1" applyFill="1" applyBorder="1" applyAlignment="1">
      <alignment horizontal="left"/>
    </xf>
    <xf numFmtId="0" fontId="130" fillId="2" borderId="52" xfId="0" applyNumberFormat="1" applyFont="1" applyFill="1" applyBorder="1" applyAlignment="1" applyProtection="1">
      <alignment horizontal="center" vertical="center" wrapText="1" readingOrder="1"/>
      <protection locked="0"/>
    </xf>
    <xf numFmtId="0" fontId="82" fillId="0" borderId="0" xfId="0" applyFont="1"/>
    <xf numFmtId="0" fontId="86" fillId="0" borderId="52" xfId="0" applyNumberFormat="1" applyFont="1" applyFill="1" applyBorder="1" applyAlignment="1" applyProtection="1">
      <alignment vertical="top"/>
    </xf>
    <xf numFmtId="0" fontId="7" fillId="2" borderId="3" xfId="0" applyNumberFormat="1" applyFont="1" applyFill="1" applyBorder="1" applyAlignment="1" applyProtection="1">
      <alignment horizontal="center" vertical="top" wrapText="1"/>
    </xf>
    <xf numFmtId="0" fontId="2" fillId="2" borderId="55" xfId="0" applyFont="1" applyFill="1" applyBorder="1" applyAlignment="1">
      <alignment vertical="center" wrapText="1"/>
    </xf>
    <xf numFmtId="0" fontId="0" fillId="2" borderId="52" xfId="0" applyFill="1" applyBorder="1" applyAlignment="1">
      <alignment wrapText="1"/>
    </xf>
    <xf numFmtId="14" fontId="0" fillId="2" borderId="52" xfId="0" applyNumberFormat="1" applyFont="1" applyFill="1" applyBorder="1" applyAlignment="1">
      <alignment horizontal="left"/>
    </xf>
    <xf numFmtId="14" fontId="0" fillId="2" borderId="52" xfId="0" applyNumberFormat="1" applyFill="1" applyBorder="1"/>
    <xf numFmtId="0" fontId="0" fillId="2" borderId="52" xfId="0" applyFill="1" applyBorder="1"/>
    <xf numFmtId="0" fontId="112" fillId="2" borderId="52" xfId="0" applyFont="1" applyFill="1" applyBorder="1" applyAlignment="1">
      <alignment wrapText="1"/>
    </xf>
    <xf numFmtId="0" fontId="131" fillId="2" borderId="55" xfId="0" applyFont="1" applyFill="1" applyBorder="1" applyAlignment="1">
      <alignment vertical="center"/>
    </xf>
    <xf numFmtId="0" fontId="0" fillId="0" borderId="52" xfId="0" applyFill="1" applyBorder="1" applyAlignment="1">
      <alignment wrapText="1"/>
    </xf>
    <xf numFmtId="0" fontId="42" fillId="2" borderId="52" xfId="0" applyFont="1" applyFill="1" applyBorder="1" applyAlignment="1" applyProtection="1">
      <alignment vertical="center" wrapText="1" readingOrder="1"/>
      <protection locked="0"/>
    </xf>
    <xf numFmtId="168" fontId="92" fillId="2" borderId="52" xfId="0" applyNumberFormat="1" applyFont="1" applyFill="1" applyBorder="1" applyAlignment="1">
      <alignment horizontal="left" vertical="center"/>
    </xf>
    <xf numFmtId="0" fontId="0" fillId="0" borderId="0" xfId="0" applyFill="1"/>
    <xf numFmtId="14" fontId="39" fillId="2" borderId="52" xfId="0" quotePrefix="1" applyNumberFormat="1" applyFont="1" applyFill="1" applyBorder="1" applyAlignment="1">
      <alignment vertical="center"/>
    </xf>
    <xf numFmtId="0" fontId="39" fillId="2" borderId="52" xfId="0" applyFont="1" applyFill="1" applyBorder="1" applyAlignment="1">
      <alignment vertical="center"/>
    </xf>
    <xf numFmtId="0" fontId="49" fillId="2" borderId="52" xfId="0" applyFont="1" applyFill="1" applyBorder="1" applyAlignment="1">
      <alignment vertical="center" wrapText="1"/>
    </xf>
    <xf numFmtId="0" fontId="122" fillId="2" borderId="52" xfId="0" applyFont="1" applyFill="1" applyBorder="1" applyAlignment="1">
      <alignment vertical="center" wrapText="1"/>
    </xf>
    <xf numFmtId="14" fontId="0" fillId="9" borderId="52" xfId="0" applyNumberFormat="1" applyFill="1" applyBorder="1" applyAlignment="1">
      <alignment horizontal="left"/>
    </xf>
    <xf numFmtId="0" fontId="11" fillId="9" borderId="52" xfId="0" applyFont="1" applyFill="1" applyBorder="1" applyAlignment="1">
      <alignment horizontal="left"/>
    </xf>
    <xf numFmtId="0" fontId="39" fillId="12" borderId="52" xfId="0" applyFont="1" applyFill="1" applyBorder="1" applyAlignment="1">
      <alignment horizontal="left"/>
    </xf>
    <xf numFmtId="14" fontId="0" fillId="13" borderId="52" xfId="0" applyNumberFormat="1" applyFill="1" applyBorder="1"/>
    <xf numFmtId="0" fontId="0" fillId="13" borderId="52" xfId="0" applyFill="1" applyBorder="1"/>
    <xf numFmtId="0" fontId="0" fillId="13" borderId="52" xfId="0" quotePrefix="1" applyFill="1" applyBorder="1"/>
    <xf numFmtId="0" fontId="67" fillId="2" borderId="52" xfId="0" applyFont="1" applyFill="1" applyBorder="1" applyAlignment="1" applyProtection="1">
      <alignment horizontal="center" vertical="center" readingOrder="1"/>
      <protection locked="0"/>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24" xfId="0" applyFont="1" applyBorder="1" applyAlignment="1">
      <alignment horizontal="center" vertical="center"/>
    </xf>
    <xf numFmtId="0" fontId="6" fillId="2" borderId="0" xfId="0" applyFont="1" applyFill="1" applyAlignment="1">
      <alignment horizontal="left"/>
    </xf>
    <xf numFmtId="0" fontId="2" fillId="0" borderId="39" xfId="0" applyFont="1" applyBorder="1" applyAlignment="1">
      <alignment horizontal="center" vertical="center"/>
    </xf>
    <xf numFmtId="0" fontId="2" fillId="0" borderId="16" xfId="0" applyFont="1" applyBorder="1" applyAlignment="1">
      <alignment horizontal="center" vertical="center"/>
    </xf>
    <xf numFmtId="1" fontId="0" fillId="13" borderId="52" xfId="0" applyNumberFormat="1" applyFill="1" applyBorder="1"/>
    <xf numFmtId="167" fontId="7" fillId="11" borderId="52" xfId="0" applyNumberFormat="1" applyFont="1" applyFill="1" applyBorder="1"/>
    <xf numFmtId="17" fontId="39" fillId="2" borderId="52" xfId="0" applyNumberFormat="1" applyFont="1" applyFill="1" applyBorder="1"/>
    <xf numFmtId="0" fontId="39" fillId="2" borderId="52" xfId="0" applyFont="1" applyFill="1" applyBorder="1"/>
    <xf numFmtId="0" fontId="65" fillId="2" borderId="22" xfId="0" applyFont="1" applyFill="1" applyBorder="1" applyAlignment="1" applyProtection="1">
      <alignment horizontal="center" wrapText="1" readingOrder="1"/>
      <protection locked="0"/>
    </xf>
    <xf numFmtId="0" fontId="128" fillId="2" borderId="0" xfId="0" applyFont="1" applyFill="1" applyBorder="1" applyAlignment="1">
      <alignment horizontal="center" vertical="center"/>
    </xf>
    <xf numFmtId="0" fontId="129" fillId="2" borderId="0" xfId="0" applyFont="1" applyFill="1" applyBorder="1" applyAlignment="1">
      <alignment horizontal="center" vertical="center"/>
    </xf>
    <xf numFmtId="1" fontId="66" fillId="2" borderId="0" xfId="1" applyNumberFormat="1" applyFont="1" applyFill="1" applyBorder="1" applyAlignment="1">
      <alignment horizontal="center" vertical="center"/>
    </xf>
    <xf numFmtId="14" fontId="0" fillId="11" borderId="52" xfId="0" applyNumberFormat="1" applyFill="1" applyBorder="1" applyAlignment="1">
      <alignment horizontal="left"/>
    </xf>
    <xf numFmtId="0" fontId="11" fillId="2" borderId="0" xfId="3" applyFont="1" applyFill="1" applyBorder="1" applyAlignment="1">
      <alignment horizontal="left"/>
    </xf>
    <xf numFmtId="167" fontId="68" fillId="2" borderId="0" xfId="1" applyNumberFormat="1" applyFont="1" applyFill="1" applyBorder="1" applyAlignment="1">
      <alignment wrapText="1"/>
    </xf>
    <xf numFmtId="167" fontId="68" fillId="2" borderId="0" xfId="1" applyNumberFormat="1" applyFont="1" applyFill="1" applyBorder="1"/>
    <xf numFmtId="167" fontId="11" fillId="2" borderId="0" xfId="1" applyNumberFormat="1" applyFont="1" applyFill="1" applyBorder="1"/>
    <xf numFmtId="3" fontId="62" fillId="2" borderId="0" xfId="0" applyNumberFormat="1" applyFont="1" applyFill="1" applyBorder="1" applyAlignment="1">
      <alignment horizontal="center"/>
    </xf>
    <xf numFmtId="167" fontId="42" fillId="2" borderId="0" xfId="0" applyNumberFormat="1" applyFont="1" applyFill="1" applyBorder="1" applyAlignment="1" applyProtection="1">
      <alignment horizontal="center" vertical="center" wrapText="1" readingOrder="1"/>
      <protection locked="0"/>
    </xf>
    <xf numFmtId="167" fontId="42" fillId="2" borderId="0" xfId="0" applyNumberFormat="1" applyFont="1" applyFill="1" applyBorder="1" applyAlignment="1" applyProtection="1">
      <alignment horizontal="center" vertical="top" wrapText="1" readingOrder="1"/>
      <protection locked="0"/>
    </xf>
    <xf numFmtId="167" fontId="58" fillId="2" borderId="0" xfId="0" applyNumberFormat="1" applyFont="1" applyFill="1" applyBorder="1"/>
    <xf numFmtId="0" fontId="42" fillId="2" borderId="0" xfId="0" applyNumberFormat="1" applyFont="1" applyFill="1" applyBorder="1" applyAlignment="1" applyProtection="1">
      <alignment horizontal="center" vertical="top" wrapText="1" readingOrder="1"/>
      <protection locked="0"/>
    </xf>
    <xf numFmtId="0" fontId="130" fillId="2" borderId="0" xfId="0" applyNumberFormat="1" applyFont="1" applyFill="1" applyBorder="1" applyAlignment="1" applyProtection="1">
      <alignment horizontal="center" vertical="center" wrapText="1" readingOrder="1"/>
      <protection locked="0"/>
    </xf>
    <xf numFmtId="14" fontId="42" fillId="2" borderId="0" xfId="0" applyNumberFormat="1" applyFont="1" applyFill="1" applyBorder="1" applyAlignment="1" applyProtection="1">
      <alignment vertical="top" wrapText="1" readingOrder="1"/>
      <protection locked="0"/>
    </xf>
    <xf numFmtId="1" fontId="42" fillId="2" borderId="0" xfId="0" applyNumberFormat="1" applyFont="1" applyFill="1" applyBorder="1" applyAlignment="1" applyProtection="1">
      <alignment horizontal="left" vertical="top" wrapText="1" readingOrder="1"/>
      <protection locked="0"/>
    </xf>
    <xf numFmtId="1" fontId="62" fillId="2" borderId="52" xfId="4" applyNumberFormat="1" applyFont="1" applyFill="1" applyBorder="1" applyAlignment="1">
      <alignment horizontal="left"/>
    </xf>
    <xf numFmtId="0" fontId="70" fillId="0" borderId="52" xfId="0" applyFont="1" applyBorder="1" applyAlignment="1">
      <alignment horizontal="left" wrapText="1"/>
    </xf>
    <xf numFmtId="0" fontId="70" fillId="0" borderId="52" xfId="0" applyFont="1" applyBorder="1" applyAlignment="1">
      <alignment horizontal="center" wrapText="1"/>
    </xf>
    <xf numFmtId="1" fontId="72" fillId="2" borderId="52" xfId="0" applyNumberFormat="1" applyFont="1" applyFill="1" applyBorder="1" applyAlignment="1"/>
    <xf numFmtId="1" fontId="70" fillId="0" borderId="52" xfId="0" applyNumberFormat="1" applyFont="1" applyBorder="1" applyAlignment="1">
      <alignment horizontal="center" wrapText="1"/>
    </xf>
    <xf numFmtId="1" fontId="62" fillId="2" borderId="52" xfId="0" quotePrefix="1" applyNumberFormat="1" applyFont="1" applyFill="1" applyBorder="1" applyAlignment="1">
      <alignment horizontal="left"/>
    </xf>
    <xf numFmtId="171" fontId="72" fillId="2" borderId="4" xfId="0" applyNumberFormat="1" applyFont="1" applyFill="1" applyBorder="1" applyAlignment="1"/>
    <xf numFmtId="0" fontId="89" fillId="14" borderId="52" xfId="0" applyFont="1" applyFill="1" applyBorder="1" applyAlignment="1">
      <alignment horizontal="left" vertical="center"/>
    </xf>
    <xf numFmtId="0" fontId="94" fillId="14" borderId="52" xfId="0" applyFont="1" applyFill="1" applyBorder="1" applyAlignment="1">
      <alignment horizontal="left" vertical="center"/>
    </xf>
    <xf numFmtId="0" fontId="98" fillId="14" borderId="52" xfId="0" applyFont="1" applyFill="1" applyBorder="1"/>
    <xf numFmtId="0" fontId="94" fillId="14" borderId="52" xfId="0" applyFont="1" applyFill="1" applyBorder="1" applyAlignment="1">
      <alignment horizontal="left"/>
    </xf>
    <xf numFmtId="0" fontId="57" fillId="14" borderId="52" xfId="0" applyFont="1" applyFill="1" applyBorder="1" applyAlignment="1">
      <alignment horizontal="left"/>
    </xf>
    <xf numFmtId="0" fontId="109" fillId="14" borderId="55" xfId="0" applyFont="1" applyFill="1" applyBorder="1" applyAlignment="1">
      <alignment horizontal="left"/>
    </xf>
    <xf numFmtId="0" fontId="95" fillId="14" borderId="55" xfId="0" applyFont="1" applyFill="1" applyBorder="1" applyAlignment="1">
      <alignment vertical="center"/>
    </xf>
    <xf numFmtId="0" fontId="110" fillId="14" borderId="52" xfId="0" applyFont="1" applyFill="1" applyBorder="1" applyAlignment="1">
      <alignment horizontal="left" vertical="center"/>
    </xf>
    <xf numFmtId="0" fontId="20" fillId="14" borderId="52" xfId="0" applyFont="1" applyFill="1" applyBorder="1" applyAlignment="1">
      <alignment horizontal="left" vertical="center"/>
    </xf>
    <xf numFmtId="0" fontId="39" fillId="14" borderId="52" xfId="0" applyFont="1" applyFill="1" applyBorder="1" applyAlignment="1">
      <alignment horizontal="left"/>
    </xf>
    <xf numFmtId="0" fontId="8" fillId="14" borderId="52" xfId="0" applyFont="1" applyFill="1" applyBorder="1" applyAlignment="1">
      <alignment horizontal="left"/>
    </xf>
    <xf numFmtId="0" fontId="0" fillId="14" borderId="52" xfId="0" applyFont="1" applyFill="1" applyBorder="1" applyAlignment="1">
      <alignment horizontal="left"/>
    </xf>
    <xf numFmtId="0" fontId="0" fillId="2" borderId="0" xfId="0" applyFont="1" applyFill="1" applyBorder="1" applyAlignment="1">
      <alignment horizontal="left"/>
    </xf>
    <xf numFmtId="0" fontId="39" fillId="14" borderId="55" xfId="0" applyFont="1" applyFill="1" applyBorder="1" applyAlignment="1">
      <alignment horizontal="left"/>
    </xf>
    <xf numFmtId="14" fontId="0" fillId="13" borderId="55" xfId="0" applyNumberFormat="1" applyFill="1" applyBorder="1"/>
    <xf numFmtId="0" fontId="0" fillId="13" borderId="55" xfId="0" applyFill="1" applyBorder="1"/>
    <xf numFmtId="0" fontId="118" fillId="2" borderId="55" xfId="0" applyFont="1" applyFill="1" applyBorder="1" applyAlignment="1">
      <alignment vertical="center" wrapText="1"/>
    </xf>
    <xf numFmtId="14" fontId="0" fillId="9" borderId="55" xfId="0" applyNumberFormat="1" applyFill="1" applyBorder="1" applyAlignment="1">
      <alignment horizontal="left"/>
    </xf>
    <xf numFmtId="0" fontId="106" fillId="2" borderId="52" xfId="0" applyFont="1" applyFill="1" applyBorder="1" applyAlignment="1">
      <alignment horizontal="left" vertical="center" wrapText="1"/>
    </xf>
    <xf numFmtId="0" fontId="39" fillId="12" borderId="55" xfId="0" applyFont="1" applyFill="1" applyBorder="1" applyAlignment="1">
      <alignment horizontal="left"/>
    </xf>
    <xf numFmtId="0" fontId="65" fillId="2" borderId="55" xfId="0" applyFont="1" applyFill="1" applyBorder="1"/>
    <xf numFmtId="14" fontId="0" fillId="11" borderId="55" xfId="0" applyNumberFormat="1" applyFill="1" applyBorder="1" applyAlignment="1">
      <alignment horizontal="left"/>
    </xf>
    <xf numFmtId="167" fontId="7" fillId="11" borderId="55" xfId="0" applyNumberFormat="1" applyFont="1" applyFill="1" applyBorder="1"/>
    <xf numFmtId="167" fontId="96" fillId="2" borderId="50" xfId="1" applyNumberFormat="1" applyFont="1" applyFill="1" applyBorder="1" applyAlignment="1">
      <alignment horizontal="left"/>
    </xf>
    <xf numFmtId="1" fontId="96" fillId="2" borderId="55" xfId="0" applyNumberFormat="1" applyFont="1" applyFill="1" applyBorder="1" applyAlignment="1">
      <alignment horizontal="left" vertical="center"/>
    </xf>
    <xf numFmtId="0" fontId="0" fillId="13" borderId="55" xfId="0" quotePrefix="1" applyFill="1" applyBorder="1"/>
    <xf numFmtId="1" fontId="8" fillId="2" borderId="52" xfId="0" applyNumberFormat="1" applyFont="1" applyFill="1" applyBorder="1"/>
    <xf numFmtId="0" fontId="32" fillId="14" borderId="52" xfId="0" applyFont="1" applyFill="1" applyBorder="1" applyAlignment="1">
      <alignment horizontal="left"/>
    </xf>
    <xf numFmtId="0" fontId="131" fillId="13" borderId="52" xfId="0" applyFont="1" applyFill="1" applyBorder="1"/>
    <xf numFmtId="0" fontId="131" fillId="13" borderId="52" xfId="0" quotePrefix="1" applyFont="1" applyFill="1" applyBorder="1"/>
    <xf numFmtId="0" fontId="4" fillId="13" borderId="52" xfId="0" quotePrefix="1" applyFont="1" applyFill="1" applyBorder="1"/>
    <xf numFmtId="0" fontId="131" fillId="13" borderId="52" xfId="0" applyFont="1" applyFill="1" applyBorder="1" applyAlignment="1">
      <alignment horizontal="left"/>
    </xf>
    <xf numFmtId="0" fontId="131" fillId="13" borderId="52" xfId="0" applyFont="1" applyFill="1" applyBorder="1" applyAlignment="1">
      <alignment wrapText="1"/>
    </xf>
    <xf numFmtId="0" fontId="37" fillId="13" borderId="52" xfId="0" applyFont="1" applyFill="1" applyBorder="1" applyAlignment="1">
      <alignment horizontal="left" wrapText="1"/>
    </xf>
    <xf numFmtId="0" fontId="14" fillId="13" borderId="52" xfId="0" applyFont="1" applyFill="1" applyBorder="1" applyAlignment="1">
      <alignment horizontal="left" wrapText="1"/>
    </xf>
    <xf numFmtId="0" fontId="7" fillId="13" borderId="52" xfId="0" applyFont="1" applyFill="1" applyBorder="1" applyAlignment="1">
      <alignment horizontal="left" wrapText="1"/>
    </xf>
    <xf numFmtId="0" fontId="37" fillId="13" borderId="52" xfId="0" applyFont="1" applyFill="1" applyBorder="1" applyAlignment="1">
      <alignment wrapText="1"/>
    </xf>
    <xf numFmtId="0" fontId="33" fillId="13" borderId="52" xfId="0" applyFont="1" applyFill="1" applyBorder="1" applyAlignment="1">
      <alignment horizontal="left"/>
    </xf>
    <xf numFmtId="0" fontId="37" fillId="13" borderId="55" xfId="0" applyFont="1" applyFill="1" applyBorder="1" applyAlignment="1">
      <alignment wrapText="1"/>
    </xf>
    <xf numFmtId="0" fontId="37" fillId="13" borderId="52" xfId="0" applyFont="1" applyFill="1" applyBorder="1" applyAlignment="1">
      <alignment horizontal="left" vertical="center"/>
    </xf>
    <xf numFmtId="0" fontId="0" fillId="13" borderId="52" xfId="0" applyFont="1" applyFill="1" applyBorder="1" applyAlignment="1">
      <alignment horizontal="left"/>
    </xf>
    <xf numFmtId="0" fontId="39" fillId="13" borderId="52" xfId="0" applyFont="1" applyFill="1" applyBorder="1" applyAlignment="1">
      <alignment horizontal="left"/>
    </xf>
    <xf numFmtId="0" fontId="39" fillId="13" borderId="55" xfId="0" applyFont="1" applyFill="1" applyBorder="1" applyAlignment="1">
      <alignment horizontal="left"/>
    </xf>
    <xf numFmtId="0" fontId="109" fillId="14" borderId="52" xfId="0" applyFont="1" applyFill="1" applyBorder="1" applyAlignment="1">
      <alignment horizontal="left"/>
    </xf>
    <xf numFmtId="0" fontId="9" fillId="14" borderId="52" xfId="0" applyFont="1" applyFill="1" applyBorder="1" applyAlignment="1">
      <alignment horizontal="left"/>
    </xf>
    <xf numFmtId="1" fontId="96" fillId="13" borderId="52" xfId="1" applyNumberFormat="1" applyFont="1" applyFill="1" applyBorder="1" applyAlignment="1">
      <alignment horizontal="center"/>
    </xf>
    <xf numFmtId="0" fontId="57" fillId="2" borderId="0" xfId="0" applyFont="1" applyFill="1" applyAlignment="1">
      <alignment horizontal="right" vertical="center" wrapText="1"/>
    </xf>
    <xf numFmtId="1" fontId="57" fillId="2" borderId="52" xfId="1" applyNumberFormat="1" applyFont="1" applyFill="1" applyBorder="1" applyAlignment="1">
      <alignment horizontal="right"/>
    </xf>
    <xf numFmtId="0" fontId="32" fillId="2" borderId="0" xfId="0" applyFont="1" applyFill="1" applyAlignment="1">
      <alignment horizontal="right"/>
    </xf>
    <xf numFmtId="1" fontId="32" fillId="2" borderId="52" xfId="0" applyNumberFormat="1" applyFont="1" applyFill="1" applyBorder="1" applyAlignment="1">
      <alignment horizontal="right"/>
    </xf>
    <xf numFmtId="0" fontId="65" fillId="2" borderId="52" xfId="0" applyFont="1" applyFill="1" applyBorder="1" applyAlignment="1" applyProtection="1">
      <alignment horizontal="center" wrapText="1" readingOrder="1"/>
      <protection locked="0"/>
    </xf>
    <xf numFmtId="0" fontId="128" fillId="13" borderId="52" xfId="0" applyFont="1" applyFill="1" applyBorder="1" applyAlignment="1">
      <alignment horizontal="center" vertical="center"/>
    </xf>
    <xf numFmtId="0" fontId="104" fillId="13" borderId="52" xfId="0" applyFont="1" applyFill="1" applyBorder="1" applyAlignment="1">
      <alignment horizontal="center" vertical="center"/>
    </xf>
    <xf numFmtId="0" fontId="11" fillId="2" borderId="52" xfId="3" applyFont="1" applyFill="1" applyBorder="1" applyAlignment="1">
      <alignment horizontal="left"/>
    </xf>
    <xf numFmtId="0" fontId="82" fillId="11" borderId="0" xfId="0" applyFont="1" applyFill="1" applyBorder="1"/>
    <xf numFmtId="0" fontId="82" fillId="11" borderId="20" xfId="0" applyFont="1" applyFill="1" applyBorder="1"/>
    <xf numFmtId="0" fontId="82" fillId="11" borderId="9" xfId="0" applyFont="1" applyFill="1" applyBorder="1"/>
    <xf numFmtId="0" fontId="82" fillId="11" borderId="21" xfId="0" applyFont="1" applyFill="1" applyBorder="1"/>
    <xf numFmtId="0" fontId="105" fillId="11" borderId="22" xfId="0" applyFont="1" applyFill="1" applyBorder="1"/>
    <xf numFmtId="0" fontId="82" fillId="11" borderId="23" xfId="0" applyFont="1" applyFill="1" applyBorder="1"/>
    <xf numFmtId="0" fontId="82" fillId="11" borderId="22" xfId="0" applyFont="1" applyFill="1" applyBorder="1"/>
    <xf numFmtId="0" fontId="82" fillId="11" borderId="27" xfId="0" applyFont="1" applyFill="1" applyBorder="1"/>
    <xf numFmtId="0" fontId="82" fillId="11" borderId="25" xfId="0" applyFont="1" applyFill="1" applyBorder="1"/>
    <xf numFmtId="0" fontId="82" fillId="11" borderId="26" xfId="0" applyFont="1" applyFill="1" applyBorder="1"/>
    <xf numFmtId="0" fontId="105" fillId="11" borderId="20" xfId="0" applyFont="1" applyFill="1" applyBorder="1"/>
    <xf numFmtId="0" fontId="105" fillId="11" borderId="9" xfId="0" applyFont="1" applyFill="1" applyBorder="1"/>
    <xf numFmtId="0" fontId="105" fillId="11" borderId="21" xfId="0" applyFont="1" applyFill="1" applyBorder="1"/>
    <xf numFmtId="0" fontId="105" fillId="11" borderId="0" xfId="0" applyFont="1" applyFill="1" applyBorder="1"/>
    <xf numFmtId="0" fontId="105" fillId="11" borderId="23" xfId="0" applyFont="1" applyFill="1" applyBorder="1"/>
    <xf numFmtId="0" fontId="105" fillId="11" borderId="43" xfId="0" applyFont="1" applyFill="1" applyBorder="1" applyAlignment="1">
      <alignment horizontal="left" vertical="center"/>
    </xf>
    <xf numFmtId="0" fontId="105" fillId="11" borderId="52" xfId="0" applyFont="1" applyFill="1" applyBorder="1" applyAlignment="1">
      <alignment horizontal="left" vertical="center"/>
    </xf>
    <xf numFmtId="0" fontId="105" fillId="11" borderId="16" xfId="0" applyFont="1" applyFill="1" applyBorder="1" applyAlignment="1">
      <alignment horizontal="left" vertical="center"/>
    </xf>
    <xf numFmtId="0" fontId="105" fillId="11" borderId="46" xfId="0" applyFont="1" applyFill="1" applyBorder="1"/>
    <xf numFmtId="0" fontId="105" fillId="11" borderId="24" xfId="0" applyFont="1" applyFill="1" applyBorder="1" applyAlignment="1">
      <alignment horizontal="left" vertical="center"/>
    </xf>
    <xf numFmtId="0" fontId="105" fillId="11" borderId="16" xfId="0" applyFont="1" applyFill="1" applyBorder="1" applyAlignment="1">
      <alignment horizontal="center" vertical="center"/>
    </xf>
    <xf numFmtId="0" fontId="82" fillId="11" borderId="24" xfId="0" applyFont="1" applyFill="1" applyBorder="1" applyAlignment="1">
      <alignment vertical="center"/>
    </xf>
    <xf numFmtId="1" fontId="82" fillId="11" borderId="52" xfId="0" applyNumberFormat="1" applyFont="1" applyFill="1" applyBorder="1"/>
    <xf numFmtId="0" fontId="105" fillId="11" borderId="24" xfId="0" applyFont="1" applyFill="1" applyBorder="1" applyAlignment="1">
      <alignment horizontal="center" vertical="center"/>
    </xf>
    <xf numFmtId="0" fontId="105" fillId="11" borderId="39" xfId="0" applyFont="1" applyFill="1" applyBorder="1" applyAlignment="1">
      <alignment horizontal="center" vertical="center"/>
    </xf>
    <xf numFmtId="0" fontId="105" fillId="11" borderId="18" xfId="0" applyFont="1" applyFill="1" applyBorder="1" applyAlignment="1">
      <alignment horizontal="left" vertical="center"/>
    </xf>
    <xf numFmtId="0" fontId="105" fillId="11" borderId="8" xfId="0" applyFont="1" applyFill="1" applyBorder="1" applyAlignment="1">
      <alignment horizontal="center" vertical="center"/>
    </xf>
    <xf numFmtId="0" fontId="105" fillId="11" borderId="19" xfId="0" applyFont="1" applyFill="1" applyBorder="1" applyAlignment="1">
      <alignment horizontal="center" vertical="center"/>
    </xf>
    <xf numFmtId="0" fontId="105" fillId="11" borderId="38" xfId="0" applyFont="1" applyFill="1" applyBorder="1" applyAlignment="1">
      <alignment horizontal="center" vertical="center"/>
    </xf>
    <xf numFmtId="1" fontId="105" fillId="11" borderId="24" xfId="0" applyNumberFormat="1" applyFont="1" applyFill="1" applyBorder="1" applyAlignment="1">
      <alignment horizontal="center" vertical="center"/>
    </xf>
    <xf numFmtId="1" fontId="82" fillId="11" borderId="24" xfId="0" applyNumberFormat="1" applyFont="1" applyFill="1" applyBorder="1" applyAlignment="1">
      <alignment horizontal="center" vertical="center"/>
    </xf>
    <xf numFmtId="0" fontId="105" fillId="11" borderId="52" xfId="0" applyFont="1" applyFill="1" applyBorder="1" applyAlignment="1">
      <alignment horizontal="center" vertical="center"/>
    </xf>
    <xf numFmtId="1" fontId="105" fillId="11" borderId="52" xfId="0" applyNumberFormat="1" applyFont="1" applyFill="1" applyBorder="1" applyAlignment="1">
      <alignment horizontal="center" vertical="center"/>
    </xf>
    <xf numFmtId="1" fontId="105" fillId="11" borderId="36" xfId="0" applyNumberFormat="1" applyFont="1" applyFill="1" applyBorder="1" applyAlignment="1">
      <alignment horizontal="center" vertical="center"/>
    </xf>
    <xf numFmtId="0" fontId="105" fillId="11" borderId="56" xfId="0" applyFont="1" applyFill="1" applyBorder="1"/>
    <xf numFmtId="0" fontId="105" fillId="11" borderId="53" xfId="0" applyFont="1" applyFill="1" applyBorder="1"/>
    <xf numFmtId="0" fontId="105" fillId="11" borderId="50" xfId="0" applyFont="1" applyFill="1" applyBorder="1"/>
    <xf numFmtId="0" fontId="82" fillId="11" borderId="49" xfId="0" applyFont="1" applyFill="1" applyBorder="1"/>
    <xf numFmtId="0" fontId="82" fillId="11" borderId="53" xfId="0" applyFont="1" applyFill="1" applyBorder="1"/>
    <xf numFmtId="0" fontId="82" fillId="11" borderId="40" xfId="0" applyFont="1" applyFill="1" applyBorder="1"/>
    <xf numFmtId="0" fontId="82" fillId="0" borderId="11" xfId="0" applyFont="1" applyBorder="1"/>
    <xf numFmtId="0" fontId="82" fillId="0" borderId="22" xfId="0" applyFont="1" applyBorder="1"/>
    <xf numFmtId="0" fontId="82" fillId="0" borderId="23" xfId="0" applyFont="1" applyBorder="1"/>
    <xf numFmtId="0" fontId="86" fillId="0" borderId="22" xfId="0" applyFont="1" applyBorder="1"/>
    <xf numFmtId="0" fontId="86" fillId="0" borderId="0" xfId="0" applyFont="1"/>
    <xf numFmtId="0" fontId="132" fillId="0" borderId="0" xfId="0" applyFont="1"/>
    <xf numFmtId="0" fontId="86" fillId="0" borderId="19" xfId="0" applyFont="1" applyBorder="1"/>
    <xf numFmtId="0" fontId="82" fillId="0" borderId="19" xfId="0" applyFont="1" applyBorder="1"/>
    <xf numFmtId="17" fontId="132" fillId="0" borderId="19" xfId="0" applyNumberFormat="1" applyFont="1" applyBorder="1"/>
    <xf numFmtId="0" fontId="132" fillId="0" borderId="22" xfId="0" applyFont="1" applyBorder="1"/>
    <xf numFmtId="2" fontId="86" fillId="0" borderId="19" xfId="0" applyNumberFormat="1" applyFont="1" applyBorder="1"/>
    <xf numFmtId="0" fontId="132" fillId="0" borderId="19" xfId="0" applyFont="1" applyBorder="1"/>
    <xf numFmtId="1" fontId="86" fillId="0" borderId="0" xfId="0" applyNumberFormat="1" applyFont="1"/>
    <xf numFmtId="0" fontId="86" fillId="0" borderId="45" xfId="0" applyFont="1" applyBorder="1"/>
    <xf numFmtId="0" fontId="82" fillId="0" borderId="45" xfId="0" applyFont="1" applyBorder="1"/>
    <xf numFmtId="0" fontId="86" fillId="0" borderId="0" xfId="0" applyFont="1" applyAlignment="1">
      <alignment horizontal="left"/>
    </xf>
    <xf numFmtId="1" fontId="86" fillId="0" borderId="45" xfId="0" applyNumberFormat="1" applyFont="1" applyBorder="1"/>
    <xf numFmtId="1" fontId="82" fillId="0" borderId="45" xfId="0" applyNumberFormat="1" applyFont="1" applyBorder="1"/>
    <xf numFmtId="1" fontId="86" fillId="0" borderId="19" xfId="0" applyNumberFormat="1" applyFont="1" applyBorder="1"/>
    <xf numFmtId="0" fontId="8" fillId="8" borderId="0" xfId="0" applyFont="1" applyFill="1"/>
    <xf numFmtId="0" fontId="8" fillId="8" borderId="0" xfId="0" applyFont="1" applyFill="1" applyAlignment="1">
      <alignment horizontal="left"/>
    </xf>
    <xf numFmtId="0" fontId="33" fillId="8" borderId="0" xfId="0" applyFont="1" applyFill="1" applyAlignment="1">
      <alignment horizontal="center"/>
    </xf>
    <xf numFmtId="0" fontId="8" fillId="8" borderId="0" xfId="0" applyFont="1" applyFill="1" applyAlignment="1">
      <alignment horizontal="center" vertical="center"/>
    </xf>
    <xf numFmtId="0" fontId="33" fillId="8" borderId="52" xfId="0" applyFont="1" applyFill="1" applyBorder="1" applyAlignment="1">
      <alignment horizontal="center"/>
    </xf>
    <xf numFmtId="1" fontId="96" fillId="8" borderId="52" xfId="1" applyNumberFormat="1" applyFont="1" applyFill="1" applyBorder="1" applyAlignment="1">
      <alignment horizontal="center"/>
    </xf>
    <xf numFmtId="1" fontId="8" fillId="8" borderId="52" xfId="0" applyNumberFormat="1" applyFont="1" applyFill="1" applyBorder="1"/>
    <xf numFmtId="14" fontId="33" fillId="2" borderId="52" xfId="0" applyNumberFormat="1" applyFont="1" applyFill="1" applyBorder="1" applyAlignment="1">
      <alignment horizontal="center"/>
    </xf>
    <xf numFmtId="0" fontId="82" fillId="10" borderId="0" xfId="0" applyFont="1" applyFill="1" applyAlignment="1">
      <alignment horizontal="right"/>
    </xf>
    <xf numFmtId="0" fontId="18" fillId="2" borderId="44" xfId="0" applyNumberFormat="1" applyFont="1" applyFill="1" applyBorder="1" applyAlignment="1" applyProtection="1">
      <alignment horizontal="center" vertical="center"/>
    </xf>
    <xf numFmtId="0" fontId="18" fillId="2" borderId="7" xfId="0" applyNumberFormat="1" applyFont="1" applyFill="1" applyBorder="1" applyAlignment="1" applyProtection="1">
      <alignment horizontal="center" vertical="center"/>
    </xf>
    <xf numFmtId="0" fontId="18" fillId="2" borderId="1" xfId="0" applyNumberFormat="1" applyFont="1" applyFill="1" applyBorder="1" applyAlignment="1" applyProtection="1">
      <alignment horizontal="center" vertical="center"/>
    </xf>
    <xf numFmtId="0" fontId="18" fillId="2" borderId="41" xfId="0" applyNumberFormat="1" applyFont="1" applyFill="1" applyBorder="1" applyAlignment="1" applyProtection="1">
      <alignment horizontal="center" vertical="center"/>
    </xf>
    <xf numFmtId="0" fontId="18" fillId="2" borderId="43" xfId="0" applyNumberFormat="1" applyFont="1" applyFill="1" applyBorder="1" applyAlignment="1" applyProtection="1">
      <alignment horizontal="center" vertical="center"/>
    </xf>
    <xf numFmtId="0" fontId="18" fillId="2" borderId="4" xfId="0" applyNumberFormat="1" applyFont="1" applyFill="1" applyBorder="1" applyAlignment="1" applyProtection="1">
      <alignment horizontal="center" vertical="center"/>
    </xf>
    <xf numFmtId="0" fontId="18" fillId="2" borderId="52" xfId="0" applyNumberFormat="1" applyFont="1" applyFill="1" applyBorder="1" applyAlignment="1" applyProtection="1">
      <alignment horizontal="center" vertical="center"/>
    </xf>
    <xf numFmtId="0" fontId="18" fillId="2" borderId="16" xfId="0" applyNumberFormat="1" applyFont="1" applyFill="1" applyBorder="1" applyAlignment="1" applyProtection="1">
      <alignment horizontal="center" vertical="center"/>
    </xf>
    <xf numFmtId="0" fontId="18" fillId="2" borderId="36" xfId="0" applyNumberFormat="1" applyFont="1" applyFill="1" applyBorder="1" applyAlignment="1" applyProtection="1">
      <alignment horizontal="center" vertical="center"/>
    </xf>
    <xf numFmtId="0" fontId="6" fillId="2" borderId="43" xfId="0" applyNumberFormat="1" applyFont="1" applyFill="1" applyBorder="1" applyAlignment="1" applyProtection="1">
      <alignment horizontal="center" vertical="top"/>
    </xf>
    <xf numFmtId="0" fontId="6" fillId="2" borderId="4" xfId="0" applyNumberFormat="1" applyFont="1" applyFill="1" applyBorder="1" applyAlignment="1" applyProtection="1">
      <alignment horizontal="center" vertical="top"/>
    </xf>
    <xf numFmtId="0" fontId="6" fillId="2" borderId="52" xfId="0" applyNumberFormat="1" applyFont="1" applyFill="1" applyBorder="1" applyAlignment="1" applyProtection="1">
      <alignment horizontal="center" vertical="top"/>
    </xf>
    <xf numFmtId="0" fontId="6" fillId="2" borderId="16" xfId="0" applyNumberFormat="1" applyFont="1" applyFill="1" applyBorder="1" applyAlignment="1" applyProtection="1">
      <alignment horizontal="center" vertical="top"/>
    </xf>
    <xf numFmtId="0" fontId="6" fillId="2" borderId="36" xfId="0" applyNumberFormat="1" applyFont="1" applyFill="1" applyBorder="1" applyAlignment="1" applyProtection="1">
      <alignment horizontal="center" vertical="top"/>
    </xf>
    <xf numFmtId="0" fontId="6" fillId="2" borderId="52" xfId="0" applyNumberFormat="1" applyFont="1" applyFill="1" applyBorder="1" applyAlignment="1" applyProtection="1">
      <alignment horizontal="left" vertical="top" wrapText="1"/>
    </xf>
    <xf numFmtId="0" fontId="6" fillId="2" borderId="55" xfId="0" applyNumberFormat="1" applyFont="1" applyFill="1" applyBorder="1" applyAlignment="1" applyProtection="1">
      <alignment horizontal="left" vertical="top" wrapText="1"/>
    </xf>
    <xf numFmtId="0" fontId="6" fillId="2" borderId="52" xfId="0" applyNumberFormat="1" applyFont="1" applyFill="1" applyBorder="1" applyAlignment="1" applyProtection="1">
      <alignment horizontal="left" vertical="top"/>
    </xf>
    <xf numFmtId="0" fontId="6" fillId="2" borderId="16" xfId="0" applyNumberFormat="1" applyFont="1" applyFill="1" applyBorder="1" applyAlignment="1" applyProtection="1">
      <alignment horizontal="left" vertical="top"/>
    </xf>
    <xf numFmtId="0" fontId="7" fillId="2" borderId="3" xfId="0" applyNumberFormat="1" applyFont="1" applyFill="1" applyBorder="1" applyAlignment="1" applyProtection="1">
      <alignment horizontal="center" vertical="top" wrapText="1"/>
    </xf>
    <xf numFmtId="0" fontId="7" fillId="2" borderId="4" xfId="0" applyNumberFormat="1" applyFont="1" applyFill="1" applyBorder="1" applyAlignment="1" applyProtection="1">
      <alignment horizontal="center" vertical="top" wrapText="1"/>
    </xf>
    <xf numFmtId="0" fontId="7" fillId="2" borderId="3" xfId="0" applyNumberFormat="1" applyFont="1" applyFill="1" applyBorder="1" applyAlignment="1" applyProtection="1">
      <alignment horizontal="left" vertical="top" wrapText="1"/>
    </xf>
    <xf numFmtId="0" fontId="7" fillId="2" borderId="4" xfId="0" applyNumberFormat="1" applyFont="1" applyFill="1" applyBorder="1" applyAlignment="1" applyProtection="1">
      <alignment horizontal="left" vertical="top" wrapText="1"/>
    </xf>
    <xf numFmtId="0" fontId="7" fillId="2" borderId="3" xfId="0" applyNumberFormat="1" applyFont="1" applyFill="1" applyBorder="1" applyAlignment="1" applyProtection="1">
      <alignment horizontal="left" vertical="top"/>
    </xf>
    <xf numFmtId="0" fontId="7" fillId="2" borderId="4" xfId="0" applyNumberFormat="1" applyFont="1" applyFill="1" applyBorder="1" applyAlignment="1" applyProtection="1">
      <alignment horizontal="left" vertical="top"/>
    </xf>
    <xf numFmtId="0" fontId="14" fillId="2" borderId="3" xfId="0" applyNumberFormat="1" applyFont="1" applyFill="1" applyBorder="1" applyAlignment="1" applyProtection="1">
      <alignment horizontal="left" wrapText="1"/>
    </xf>
    <xf numFmtId="0" fontId="14" fillId="2" borderId="4" xfId="0" applyNumberFormat="1" applyFont="1" applyFill="1" applyBorder="1" applyAlignment="1" applyProtection="1">
      <alignment horizontal="left" wrapText="1"/>
    </xf>
    <xf numFmtId="0" fontId="14" fillId="2" borderId="61" xfId="0" applyNumberFormat="1" applyFont="1" applyFill="1" applyBorder="1" applyAlignment="1" applyProtection="1">
      <alignment horizontal="center" wrapText="1"/>
    </xf>
    <xf numFmtId="0" fontId="14" fillId="2" borderId="3" xfId="0" applyNumberFormat="1" applyFont="1" applyFill="1" applyBorder="1" applyAlignment="1" applyProtection="1">
      <alignment horizontal="center" wrapText="1"/>
    </xf>
    <xf numFmtId="0" fontId="14" fillId="2" borderId="6" xfId="0" applyNumberFormat="1" applyFont="1" applyFill="1" applyBorder="1" applyAlignment="1" applyProtection="1">
      <alignment horizontal="center" wrapText="1"/>
    </xf>
    <xf numFmtId="0" fontId="115" fillId="2" borderId="52" xfId="0" applyFont="1" applyFill="1" applyBorder="1" applyAlignment="1">
      <alignment horizontal="center" vertical="top" wrapText="1"/>
    </xf>
    <xf numFmtId="0" fontId="33" fillId="2" borderId="52" xfId="0" applyFont="1" applyFill="1" applyBorder="1" applyAlignment="1">
      <alignment horizontal="center" vertical="center" wrapText="1"/>
    </xf>
    <xf numFmtId="0" fontId="33" fillId="2" borderId="0" xfId="0" applyFont="1" applyFill="1" applyAlignment="1">
      <alignment horizontal="left"/>
    </xf>
    <xf numFmtId="0" fontId="118" fillId="2" borderId="52" xfId="0" applyFont="1" applyFill="1" applyBorder="1" applyAlignment="1">
      <alignment horizontal="center" vertical="center" wrapText="1"/>
    </xf>
    <xf numFmtId="0" fontId="112" fillId="2" borderId="52" xfId="0" applyFont="1" applyFill="1" applyBorder="1" applyAlignment="1">
      <alignment horizontal="center" vertical="center" wrapText="1"/>
    </xf>
    <xf numFmtId="0" fontId="33" fillId="2" borderId="55" xfId="0" applyFont="1" applyFill="1" applyBorder="1" applyAlignment="1">
      <alignment horizontal="center" vertical="top"/>
    </xf>
    <xf numFmtId="0" fontId="33" fillId="2" borderId="3" xfId="0" applyFont="1" applyFill="1" applyBorder="1" applyAlignment="1">
      <alignment horizontal="center" vertical="top"/>
    </xf>
    <xf numFmtId="0" fontId="95" fillId="2" borderId="52" xfId="0" applyFont="1" applyFill="1" applyBorder="1" applyAlignment="1">
      <alignment horizontal="center" vertical="center" wrapText="1"/>
    </xf>
    <xf numFmtId="0" fontId="117" fillId="2" borderId="52" xfId="0" applyFont="1" applyFill="1" applyBorder="1" applyAlignment="1">
      <alignment horizontal="center" wrapText="1"/>
    </xf>
    <xf numFmtId="0" fontId="112" fillId="2" borderId="55" xfId="0" applyFont="1" applyFill="1" applyBorder="1" applyAlignment="1">
      <alignment horizontal="right" vertical="center" wrapText="1"/>
    </xf>
    <xf numFmtId="0" fontId="112" fillId="2" borderId="3" xfId="0" applyFont="1" applyFill="1" applyBorder="1" applyAlignment="1">
      <alignment horizontal="right" vertical="center" wrapText="1"/>
    </xf>
    <xf numFmtId="17" fontId="119" fillId="2" borderId="0" xfId="0" quotePrefix="1" applyNumberFormat="1" applyFont="1" applyFill="1" applyAlignment="1">
      <alignment horizontal="center"/>
    </xf>
    <xf numFmtId="17" fontId="119" fillId="2" borderId="0" xfId="0" applyNumberFormat="1" applyFont="1" applyFill="1" applyAlignment="1">
      <alignment horizontal="center"/>
    </xf>
    <xf numFmtId="0" fontId="117" fillId="2" borderId="52" xfId="0" applyFont="1" applyFill="1" applyBorder="1" applyAlignment="1">
      <alignment horizontal="center" vertical="center" wrapText="1"/>
    </xf>
    <xf numFmtId="0" fontId="112" fillId="2" borderId="52" xfId="0" applyFont="1" applyFill="1" applyBorder="1" applyAlignment="1">
      <alignment wrapText="1"/>
    </xf>
    <xf numFmtId="0" fontId="112" fillId="2" borderId="52" xfId="0" applyFont="1" applyFill="1" applyBorder="1" applyAlignment="1"/>
    <xf numFmtId="0" fontId="109" fillId="2" borderId="52" xfId="0" applyFont="1" applyFill="1" applyBorder="1" applyAlignment="1">
      <alignment horizontal="right" vertical="center" wrapText="1"/>
    </xf>
    <xf numFmtId="0" fontId="112" fillId="2" borderId="52" xfId="0" applyFont="1" applyFill="1" applyBorder="1" applyAlignment="1">
      <alignment horizontal="right" vertical="center" wrapText="1"/>
    </xf>
    <xf numFmtId="0" fontId="33" fillId="2" borderId="0" xfId="0" applyFont="1" applyFill="1" applyAlignment="1">
      <alignment horizontal="right" vertical="center" wrapText="1"/>
    </xf>
    <xf numFmtId="0" fontId="33" fillId="2" borderId="0" xfId="0" applyFont="1" applyFill="1" applyAlignment="1">
      <alignment horizontal="center" wrapText="1"/>
    </xf>
    <xf numFmtId="0" fontId="32" fillId="2" borderId="52" xfId="0" applyFont="1" applyFill="1" applyBorder="1" applyAlignment="1">
      <alignment horizontal="right" vertical="center" wrapText="1"/>
    </xf>
    <xf numFmtId="0" fontId="33" fillId="2" borderId="55" xfId="0" applyFont="1" applyFill="1" applyBorder="1" applyAlignment="1">
      <alignment horizontal="center" vertical="center" wrapText="1"/>
    </xf>
    <xf numFmtId="0" fontId="33" fillId="2" borderId="3" xfId="0" applyFont="1" applyFill="1" applyBorder="1" applyAlignment="1">
      <alignment horizontal="center" vertical="center" wrapText="1"/>
    </xf>
    <xf numFmtId="0" fontId="36" fillId="2" borderId="19" xfId="0" applyFont="1" applyFill="1" applyBorder="1" applyAlignment="1">
      <alignment horizontal="center" vertical="top" wrapText="1"/>
    </xf>
    <xf numFmtId="0" fontId="36" fillId="2" borderId="0" xfId="0" applyFont="1" applyFill="1" applyAlignment="1">
      <alignment horizontal="center" vertical="top" wrapText="1"/>
    </xf>
    <xf numFmtId="165" fontId="33" fillId="0" borderId="0" xfId="0" applyNumberFormat="1" applyFont="1" applyAlignment="1">
      <alignment horizontal="left" vertical="center" wrapText="1"/>
    </xf>
    <xf numFmtId="165" fontId="33" fillId="0" borderId="23" xfId="0" applyNumberFormat="1" applyFont="1" applyBorder="1" applyAlignment="1">
      <alignment horizontal="left" vertical="center" wrapText="1"/>
    </xf>
    <xf numFmtId="0" fontId="35" fillId="2" borderId="22" xfId="0" applyFont="1" applyFill="1" applyBorder="1" applyAlignment="1">
      <alignment horizontal="left" vertical="top" wrapText="1"/>
    </xf>
    <xf numFmtId="0" fontId="35" fillId="2" borderId="0" xfId="0" applyFont="1" applyFill="1" applyAlignment="1">
      <alignment horizontal="left" vertical="top" wrapText="1"/>
    </xf>
    <xf numFmtId="0" fontId="0" fillId="2" borderId="22" xfId="0" applyFill="1" applyBorder="1" applyAlignment="1">
      <alignment horizontal="justify" vertical="top" wrapText="1"/>
    </xf>
    <xf numFmtId="0" fontId="0" fillId="2" borderId="0" xfId="0" applyFill="1" applyAlignment="1">
      <alignment horizontal="justify" vertical="top" wrapText="1"/>
    </xf>
    <xf numFmtId="0" fontId="38" fillId="2" borderId="20" xfId="0" applyFont="1" applyFill="1" applyBorder="1" applyAlignment="1">
      <alignment horizontal="center" vertical="top" wrapText="1"/>
    </xf>
    <xf numFmtId="0" fontId="38" fillId="2" borderId="9" xfId="0" applyFont="1" applyFill="1" applyBorder="1" applyAlignment="1">
      <alignment horizontal="center" vertical="top" wrapText="1"/>
    </xf>
    <xf numFmtId="0" fontId="30" fillId="2" borderId="22" xfId="0" applyFont="1" applyFill="1" applyBorder="1" applyAlignment="1">
      <alignment horizontal="center" vertical="top" wrapText="1"/>
    </xf>
    <xf numFmtId="0" fontId="30" fillId="2" borderId="0" xfId="0" applyFont="1" applyFill="1" applyAlignment="1">
      <alignment horizontal="center" vertical="top" wrapText="1"/>
    </xf>
    <xf numFmtId="0" fontId="0" fillId="2" borderId="22" xfId="0" applyFill="1" applyBorder="1" applyAlignment="1">
      <alignment horizontal="center" vertical="top" wrapText="1"/>
    </xf>
    <xf numFmtId="0" fontId="0" fillId="2" borderId="0" xfId="0" applyFill="1" applyAlignment="1">
      <alignment horizontal="center" vertical="top" wrapText="1"/>
    </xf>
    <xf numFmtId="0" fontId="31" fillId="2" borderId="22" xfId="0" applyFont="1" applyFill="1" applyBorder="1" applyAlignment="1">
      <alignment horizontal="center" vertical="top" wrapText="1"/>
    </xf>
    <xf numFmtId="0" fontId="31" fillId="2" borderId="0" xfId="0" applyFont="1" applyFill="1" applyAlignment="1">
      <alignment horizontal="center" vertical="top" wrapText="1"/>
    </xf>
    <xf numFmtId="164" fontId="32" fillId="2" borderId="0" xfId="0" applyNumberFormat="1" applyFont="1" applyFill="1" applyAlignment="1">
      <alignment horizontal="center" vertical="top" wrapText="1"/>
    </xf>
    <xf numFmtId="0" fontId="7" fillId="2" borderId="25" xfId="3" applyFont="1" applyFill="1" applyBorder="1" applyAlignment="1">
      <alignment horizontal="left" vertical="center"/>
    </xf>
    <xf numFmtId="0" fontId="120" fillId="2" borderId="20" xfId="0" applyFont="1" applyFill="1" applyBorder="1" applyAlignment="1" applyProtection="1">
      <alignment vertical="top" wrapText="1" readingOrder="1"/>
      <protection locked="0"/>
    </xf>
    <xf numFmtId="0" fontId="120" fillId="2" borderId="9" xfId="0" applyFont="1" applyFill="1" applyBorder="1" applyAlignment="1" applyProtection="1">
      <alignment vertical="top" wrapText="1" readingOrder="1"/>
      <protection locked="0"/>
    </xf>
    <xf numFmtId="0" fontId="120" fillId="2" borderId="21" xfId="0" applyFont="1" applyFill="1" applyBorder="1" applyAlignment="1" applyProtection="1">
      <alignment vertical="top" wrapText="1" readingOrder="1"/>
      <protection locked="0"/>
    </xf>
    <xf numFmtId="0" fontId="121" fillId="2" borderId="22" xfId="0" applyFont="1" applyFill="1" applyBorder="1" applyAlignment="1" applyProtection="1">
      <alignment vertical="center" wrapText="1" readingOrder="1"/>
      <protection locked="0"/>
    </xf>
    <xf numFmtId="0" fontId="121" fillId="2" borderId="0" xfId="0" applyFont="1" applyFill="1" applyBorder="1" applyAlignment="1" applyProtection="1">
      <alignment vertical="center" wrapText="1" readingOrder="1"/>
      <protection locked="0"/>
    </xf>
    <xf numFmtId="0" fontId="121" fillId="2" borderId="23" xfId="0" applyFont="1" applyFill="1" applyBorder="1" applyAlignment="1" applyProtection="1">
      <alignment vertical="center" wrapText="1" readingOrder="1"/>
      <protection locked="0"/>
    </xf>
    <xf numFmtId="0" fontId="120" fillId="2" borderId="22" xfId="0" applyFont="1" applyFill="1" applyBorder="1" applyAlignment="1" applyProtection="1">
      <alignment vertical="center" wrapText="1" readingOrder="1"/>
      <protection locked="0"/>
    </xf>
    <xf numFmtId="0" fontId="120" fillId="2" borderId="0" xfId="0" applyFont="1" applyFill="1" applyBorder="1" applyAlignment="1" applyProtection="1">
      <alignment vertical="center" wrapText="1" readingOrder="1"/>
      <protection locked="0"/>
    </xf>
    <xf numFmtId="0" fontId="120" fillId="2" borderId="23" xfId="0" applyFont="1" applyFill="1" applyBorder="1" applyAlignment="1" applyProtection="1">
      <alignment vertical="center" wrapText="1" readingOrder="1"/>
      <protection locked="0"/>
    </xf>
    <xf numFmtId="0" fontId="67" fillId="2" borderId="52" xfId="0" applyFont="1" applyFill="1" applyBorder="1" applyAlignment="1" applyProtection="1">
      <alignment horizontal="center" vertical="center" wrapText="1" readingOrder="1"/>
      <protection locked="0"/>
    </xf>
    <xf numFmtId="0" fontId="67" fillId="2" borderId="52" xfId="0" applyFont="1" applyFill="1" applyBorder="1" applyAlignment="1" applyProtection="1">
      <alignment horizontal="center" vertical="center" readingOrder="1"/>
      <protection locked="0"/>
    </xf>
    <xf numFmtId="0" fontId="120" fillId="2" borderId="22" xfId="0" applyFont="1" applyFill="1" applyBorder="1" applyAlignment="1" applyProtection="1">
      <alignment vertical="top" wrapText="1" readingOrder="1"/>
      <protection locked="0"/>
    </xf>
    <xf numFmtId="0" fontId="120" fillId="2" borderId="0" xfId="0" applyFont="1" applyFill="1" applyBorder="1" applyAlignment="1" applyProtection="1">
      <alignment vertical="top" wrapText="1" readingOrder="1"/>
      <protection locked="0"/>
    </xf>
    <xf numFmtId="0" fontId="120" fillId="2" borderId="23" xfId="0" applyFont="1" applyFill="1" applyBorder="1" applyAlignment="1" applyProtection="1">
      <alignment vertical="top" wrapText="1" readingOrder="1"/>
      <protection locked="0"/>
    </xf>
    <xf numFmtId="0" fontId="7" fillId="0" borderId="25" xfId="3" applyFont="1" applyBorder="1" applyAlignment="1">
      <alignment horizontal="left" vertical="center"/>
    </xf>
    <xf numFmtId="0" fontId="18" fillId="0" borderId="20" xfId="0" applyNumberFormat="1" applyFont="1" applyFill="1" applyBorder="1" applyAlignment="1" applyProtection="1">
      <alignment horizontal="center" vertical="center"/>
    </xf>
    <xf numFmtId="0" fontId="18" fillId="0" borderId="9" xfId="0" applyNumberFormat="1" applyFont="1" applyFill="1" applyBorder="1" applyAlignment="1" applyProtection="1">
      <alignment horizontal="center" vertical="center"/>
    </xf>
    <xf numFmtId="0" fontId="18" fillId="0" borderId="27" xfId="0" applyNumberFormat="1" applyFont="1" applyFill="1" applyBorder="1" applyAlignment="1" applyProtection="1">
      <alignment horizontal="center" vertical="center"/>
    </xf>
    <xf numFmtId="0" fontId="18" fillId="0" borderId="25" xfId="0" applyNumberFormat="1" applyFont="1" applyFill="1" applyBorder="1" applyAlignment="1" applyProtection="1">
      <alignment horizontal="center" vertical="center"/>
    </xf>
    <xf numFmtId="0" fontId="6" fillId="0" borderId="10" xfId="0" applyNumberFormat="1" applyFont="1" applyFill="1" applyBorder="1" applyAlignment="1" applyProtection="1">
      <alignment horizontal="center" vertical="top"/>
    </xf>
    <xf numFmtId="0" fontId="6" fillId="0" borderId="11" xfId="0" applyNumberFormat="1" applyFont="1" applyFill="1" applyBorder="1" applyAlignment="1" applyProtection="1">
      <alignment horizontal="center" vertical="top"/>
    </xf>
    <xf numFmtId="0" fontId="6" fillId="0" borderId="20" xfId="0" applyNumberFormat="1" applyFont="1" applyFill="1" applyBorder="1" applyAlignment="1" applyProtection="1">
      <alignment horizontal="center" vertical="top" wrapText="1"/>
    </xf>
    <xf numFmtId="0" fontId="6" fillId="0" borderId="9" xfId="0" applyNumberFormat="1" applyFont="1" applyFill="1" applyBorder="1" applyAlignment="1" applyProtection="1">
      <alignment horizontal="center" vertical="top" wrapText="1"/>
    </xf>
    <xf numFmtId="0" fontId="6" fillId="0" borderId="0" xfId="0" applyNumberFormat="1" applyFont="1" applyFill="1" applyBorder="1" applyAlignment="1" applyProtection="1">
      <alignment horizontal="center" vertical="top" wrapText="1"/>
    </xf>
    <xf numFmtId="0" fontId="7" fillId="3" borderId="2" xfId="0" applyNumberFormat="1" applyFont="1" applyFill="1" applyBorder="1" applyAlignment="1" applyProtection="1">
      <alignment horizontal="center" vertical="top" wrapText="1"/>
    </xf>
    <xf numFmtId="0" fontId="7" fillId="3" borderId="43" xfId="0" applyNumberFormat="1" applyFont="1" applyFill="1" applyBorder="1" applyAlignment="1" applyProtection="1">
      <alignment horizontal="center" vertical="top" wrapText="1"/>
    </xf>
    <xf numFmtId="0" fontId="7" fillId="3" borderId="49" xfId="0" applyNumberFormat="1" applyFont="1" applyFill="1" applyBorder="1" applyAlignment="1" applyProtection="1">
      <alignment horizontal="center" vertical="top" wrapText="1"/>
    </xf>
    <xf numFmtId="0" fontId="7" fillId="3" borderId="50" xfId="0" applyNumberFormat="1" applyFont="1" applyFill="1" applyBorder="1" applyAlignment="1" applyProtection="1">
      <alignment horizontal="center" vertical="top" wrapText="1"/>
    </xf>
    <xf numFmtId="0" fontId="7" fillId="3" borderId="17" xfId="0" applyNumberFormat="1" applyFont="1" applyFill="1" applyBorder="1" applyAlignment="1" applyProtection="1">
      <alignment horizontal="center" vertical="top" wrapText="1"/>
    </xf>
    <xf numFmtId="0" fontId="7" fillId="3" borderId="31" xfId="0" applyNumberFormat="1" applyFont="1" applyFill="1" applyBorder="1" applyAlignment="1" applyProtection="1">
      <alignment horizontal="center" vertical="top" wrapText="1"/>
    </xf>
    <xf numFmtId="0" fontId="7" fillId="3" borderId="8" xfId="0" applyNumberFormat="1" applyFont="1" applyFill="1" applyBorder="1" applyAlignment="1" applyProtection="1">
      <alignment horizontal="center" vertical="top" wrapText="1"/>
    </xf>
    <xf numFmtId="0" fontId="7" fillId="3" borderId="13" xfId="0" applyNumberFormat="1" applyFont="1" applyFill="1" applyBorder="1" applyAlignment="1" applyProtection="1">
      <alignment horizontal="center" vertical="top" wrapText="1"/>
    </xf>
    <xf numFmtId="0" fontId="7" fillId="3" borderId="6" xfId="0" applyNumberFormat="1" applyFont="1" applyFill="1" applyBorder="1" applyAlignment="1" applyProtection="1">
      <alignment horizontal="center" vertical="top" wrapText="1"/>
    </xf>
    <xf numFmtId="0" fontId="7" fillId="3" borderId="3" xfId="0" applyNumberFormat="1" applyFont="1" applyFill="1" applyBorder="1" applyAlignment="1" applyProtection="1">
      <alignment horizontal="center" vertical="top" wrapText="1"/>
    </xf>
    <xf numFmtId="0" fontId="7" fillId="3" borderId="0" xfId="0" applyNumberFormat="1" applyFont="1" applyFill="1" applyBorder="1" applyAlignment="1" applyProtection="1">
      <alignment horizontal="center" vertical="top" wrapText="1"/>
    </xf>
    <xf numFmtId="0" fontId="7" fillId="3" borderId="22" xfId="0" applyNumberFormat="1" applyFont="1" applyFill="1" applyBorder="1" applyAlignment="1" applyProtection="1">
      <alignment horizontal="center" vertical="top" wrapText="1"/>
    </xf>
    <xf numFmtId="0" fontId="7" fillId="3" borderId="23" xfId="0" applyNumberFormat="1" applyFont="1" applyFill="1" applyBorder="1" applyAlignment="1" applyProtection="1">
      <alignment horizontal="center" vertical="top" wrapText="1"/>
    </xf>
    <xf numFmtId="0" fontId="7" fillId="3" borderId="27" xfId="0" applyNumberFormat="1" applyFont="1" applyFill="1" applyBorder="1" applyAlignment="1" applyProtection="1">
      <alignment horizontal="center" vertical="top" wrapText="1"/>
    </xf>
    <xf numFmtId="0" fontId="7" fillId="3" borderId="25" xfId="0" applyNumberFormat="1" applyFont="1" applyFill="1" applyBorder="1" applyAlignment="1" applyProtection="1">
      <alignment horizontal="center" vertical="top" wrapText="1"/>
    </xf>
    <xf numFmtId="0" fontId="7" fillId="3" borderId="26" xfId="0" applyNumberFormat="1" applyFont="1" applyFill="1" applyBorder="1" applyAlignment="1" applyProtection="1">
      <alignment horizontal="center" vertical="top" wrapText="1"/>
    </xf>
    <xf numFmtId="0" fontId="64" fillId="0" borderId="46" xfId="0" applyFont="1" applyBorder="1" applyAlignment="1" applyProtection="1">
      <alignment horizontal="center" vertical="top" wrapText="1" readingOrder="1"/>
      <protection locked="0"/>
    </xf>
    <xf numFmtId="0" fontId="64" fillId="0" borderId="24" xfId="0" applyFont="1" applyBorder="1" applyAlignment="1" applyProtection="1">
      <alignment horizontal="center" vertical="top" wrapText="1" readingOrder="1"/>
      <protection locked="0"/>
    </xf>
    <xf numFmtId="0" fontId="64" fillId="0" borderId="39" xfId="0" applyFont="1" applyBorder="1" applyAlignment="1" applyProtection="1">
      <alignment horizontal="center" vertical="top" wrapText="1" readingOrder="1"/>
      <protection locked="0"/>
    </xf>
    <xf numFmtId="0" fontId="63" fillId="0" borderId="46" xfId="0" applyFont="1" applyBorder="1" applyAlignment="1" applyProtection="1">
      <alignment horizontal="center" vertical="top" wrapText="1" readingOrder="1"/>
      <protection locked="0"/>
    </xf>
    <xf numFmtId="0" fontId="63" fillId="0" borderId="24" xfId="0" applyFont="1" applyBorder="1" applyAlignment="1" applyProtection="1">
      <alignment horizontal="center" vertical="top" wrapText="1" readingOrder="1"/>
      <protection locked="0"/>
    </xf>
    <xf numFmtId="0" fontId="63" fillId="0" borderId="39" xfId="0" applyFont="1" applyBorder="1" applyAlignment="1" applyProtection="1">
      <alignment horizontal="center" vertical="top" wrapText="1" readingOrder="1"/>
      <protection locked="0"/>
    </xf>
    <xf numFmtId="0" fontId="63" fillId="0" borderId="56" xfId="0" applyFont="1" applyBorder="1" applyAlignment="1" applyProtection="1">
      <alignment horizontal="center" vertical="top" wrapText="1" readingOrder="1"/>
      <protection locked="0"/>
    </xf>
    <xf numFmtId="0" fontId="63" fillId="0" borderId="53" xfId="0" applyFont="1" applyBorder="1" applyAlignment="1" applyProtection="1">
      <alignment horizontal="center" vertical="top" wrapText="1" readingOrder="1"/>
      <protection locked="0"/>
    </xf>
    <xf numFmtId="0" fontId="63" fillId="0" borderId="40" xfId="0" applyFont="1" applyBorder="1" applyAlignment="1" applyProtection="1">
      <alignment horizontal="center" vertical="top" wrapText="1" readingOrder="1"/>
      <protection locked="0"/>
    </xf>
    <xf numFmtId="0" fontId="7" fillId="0" borderId="0" xfId="3" applyFont="1" applyBorder="1" applyAlignment="1">
      <alignment horizontal="center" vertical="center"/>
    </xf>
    <xf numFmtId="0" fontId="63" fillId="0" borderId="57" xfId="0" applyFont="1" applyBorder="1" applyAlignment="1" applyProtection="1">
      <alignment horizontal="center" vertical="top" wrapText="1" readingOrder="1"/>
      <protection locked="0"/>
    </xf>
    <xf numFmtId="0" fontId="63" fillId="0" borderId="58" xfId="0" applyFont="1" applyBorder="1" applyAlignment="1" applyProtection="1">
      <alignment horizontal="center" vertical="top" wrapText="1" readingOrder="1"/>
      <protection locked="0"/>
    </xf>
    <xf numFmtId="0" fontId="63" fillId="0" borderId="59" xfId="0" applyFont="1" applyBorder="1" applyAlignment="1" applyProtection="1">
      <alignment horizontal="center" vertical="top" wrapText="1" readingOrder="1"/>
      <protection locked="0"/>
    </xf>
    <xf numFmtId="0" fontId="2" fillId="0" borderId="43" xfId="0" applyFont="1" applyBorder="1" applyAlignment="1">
      <alignment horizontal="left" vertical="center"/>
    </xf>
    <xf numFmtId="0" fontId="2" fillId="0" borderId="52" xfId="0" applyFont="1" applyBorder="1" applyAlignment="1">
      <alignment horizontal="left" vertical="center"/>
    </xf>
    <xf numFmtId="0" fontId="2" fillId="0" borderId="16" xfId="0" applyFont="1" applyBorder="1" applyAlignment="1">
      <alignment horizontal="left" vertical="center"/>
    </xf>
    <xf numFmtId="1" fontId="2" fillId="0" borderId="52" xfId="0" applyNumberFormat="1" applyFont="1" applyBorder="1" applyAlignment="1">
      <alignment horizontal="center" vertical="center"/>
    </xf>
    <xf numFmtId="0" fontId="2" fillId="0" borderId="52" xfId="0" applyFont="1" applyBorder="1" applyAlignment="1">
      <alignment horizontal="center" vertical="center"/>
    </xf>
    <xf numFmtId="0" fontId="2" fillId="0" borderId="46" xfId="0" applyFont="1" applyBorder="1" applyAlignment="1">
      <alignment horizontal="center" vertical="center"/>
    </xf>
    <xf numFmtId="0" fontId="2" fillId="0" borderId="24" xfId="0" applyFont="1" applyBorder="1" applyAlignment="1">
      <alignment horizontal="center" vertical="center"/>
    </xf>
    <xf numFmtId="0" fontId="49" fillId="0" borderId="52" xfId="0" applyFont="1" applyBorder="1" applyAlignment="1">
      <alignment horizontal="center" vertical="center" wrapText="1"/>
    </xf>
    <xf numFmtId="0" fontId="2" fillId="0" borderId="36" xfId="0" applyFont="1" applyBorder="1" applyAlignment="1">
      <alignment horizontal="center" vertical="center"/>
    </xf>
    <xf numFmtId="0" fontId="2" fillId="0" borderId="43" xfId="0" applyFont="1" applyBorder="1" applyAlignment="1">
      <alignment horizontal="left" vertical="center" wrapText="1"/>
    </xf>
    <xf numFmtId="0" fontId="2" fillId="0" borderId="52" xfId="0" applyFont="1" applyBorder="1" applyAlignment="1">
      <alignment horizontal="left" vertical="center" wrapText="1"/>
    </xf>
    <xf numFmtId="1"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14" fontId="2" fillId="0" borderId="55" xfId="0" applyNumberFormat="1" applyFont="1" applyBorder="1" applyAlignment="1">
      <alignment horizontal="center" vertical="center"/>
    </xf>
    <xf numFmtId="0" fontId="2" fillId="0" borderId="55" xfId="0" applyFont="1" applyBorder="1" applyAlignment="1">
      <alignment horizontal="center" vertical="center"/>
    </xf>
    <xf numFmtId="0" fontId="2" fillId="0" borderId="37" xfId="0" applyFont="1" applyBorder="1" applyAlignment="1">
      <alignment horizontal="center"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17" fontId="2" fillId="0" borderId="52" xfId="0" applyNumberFormat="1" applyFont="1" applyBorder="1" applyAlignment="1">
      <alignment horizontal="center" vertical="center"/>
    </xf>
    <xf numFmtId="0" fontId="19" fillId="0" borderId="20" xfId="0" applyFont="1" applyBorder="1" applyAlignment="1">
      <alignment horizontal="center"/>
    </xf>
    <xf numFmtId="0" fontId="0" fillId="0" borderId="9" xfId="0" applyBorder="1" applyAlignment="1">
      <alignment horizontal="center"/>
    </xf>
    <xf numFmtId="0" fontId="0" fillId="0" borderId="21" xfId="0" applyBorder="1" applyAlignment="1">
      <alignment horizontal="center"/>
    </xf>
    <xf numFmtId="0" fontId="20" fillId="0" borderId="22" xfId="0" applyFont="1" applyBorder="1" applyAlignment="1">
      <alignment horizontal="center"/>
    </xf>
    <xf numFmtId="0" fontId="20" fillId="0" borderId="0" xfId="0" applyFont="1" applyAlignment="1">
      <alignment horizontal="center"/>
    </xf>
    <xf numFmtId="0" fontId="20" fillId="0" borderId="23" xfId="0" applyFont="1" applyBorder="1" applyAlignment="1">
      <alignment horizontal="center"/>
    </xf>
    <xf numFmtId="0" fontId="4" fillId="0" borderId="27" xfId="0" applyFont="1" applyBorder="1" applyAlignment="1">
      <alignment horizontal="center"/>
    </xf>
    <xf numFmtId="0" fontId="4" fillId="0" borderId="25" xfId="0" applyFont="1" applyBorder="1" applyAlignment="1">
      <alignment horizontal="center"/>
    </xf>
    <xf numFmtId="0" fontId="4" fillId="0" borderId="26" xfId="0" applyFont="1" applyBorder="1" applyAlignment="1">
      <alignment horizontal="center"/>
    </xf>
    <xf numFmtId="0" fontId="2" fillId="0" borderId="22" xfId="0" applyFont="1" applyBorder="1" applyAlignment="1">
      <alignment horizontal="left" vertical="top"/>
    </xf>
    <xf numFmtId="0" fontId="2" fillId="0" borderId="0" xfId="0" applyFont="1" applyAlignment="1">
      <alignment horizontal="left" vertical="top"/>
    </xf>
    <xf numFmtId="0" fontId="2" fillId="0" borderId="0" xfId="0" applyFont="1" applyAlignment="1">
      <alignment horizontal="left" vertical="center" wrapText="1"/>
    </xf>
    <xf numFmtId="0" fontId="2" fillId="0" borderId="23" xfId="0" applyFont="1" applyBorder="1" applyAlignment="1">
      <alignment horizontal="left" vertical="center" wrapText="1"/>
    </xf>
    <xf numFmtId="0" fontId="2" fillId="0" borderId="22" xfId="0" applyFont="1" applyBorder="1" applyAlignment="1">
      <alignment horizontal="left"/>
    </xf>
    <xf numFmtId="0" fontId="2" fillId="0" borderId="0" xfId="0" applyFont="1" applyAlignment="1">
      <alignment horizontal="left"/>
    </xf>
    <xf numFmtId="0" fontId="2" fillId="0" borderId="23" xfId="0" applyFont="1" applyBorder="1" applyAlignment="1">
      <alignment horizontal="left"/>
    </xf>
    <xf numFmtId="0" fontId="105" fillId="11" borderId="22" xfId="0" applyFont="1" applyFill="1" applyBorder="1" applyAlignment="1">
      <alignment horizontal="left"/>
    </xf>
    <xf numFmtId="0" fontId="105" fillId="11" borderId="0" xfId="0" applyFont="1" applyFill="1" applyBorder="1" applyAlignment="1">
      <alignment horizontal="left"/>
    </xf>
    <xf numFmtId="0" fontId="105" fillId="11" borderId="23" xfId="0" applyFont="1" applyFill="1" applyBorder="1" applyAlignment="1">
      <alignment horizontal="left"/>
    </xf>
    <xf numFmtId="0" fontId="105" fillId="11" borderId="43" xfId="0" applyFont="1" applyFill="1" applyBorder="1" applyAlignment="1">
      <alignment horizontal="left" vertical="center"/>
    </xf>
    <xf numFmtId="0" fontId="105" fillId="11" borderId="52" xfId="0" applyFont="1" applyFill="1" applyBorder="1" applyAlignment="1">
      <alignment horizontal="left" vertical="center"/>
    </xf>
    <xf numFmtId="0" fontId="105" fillId="11" borderId="16" xfId="0" applyFont="1" applyFill="1" applyBorder="1" applyAlignment="1">
      <alignment horizontal="left" vertical="center"/>
    </xf>
    <xf numFmtId="1" fontId="105" fillId="11" borderId="20" xfId="0" applyNumberFormat="1" applyFont="1" applyFill="1" applyBorder="1" applyAlignment="1">
      <alignment horizontal="center" vertical="center"/>
    </xf>
    <xf numFmtId="0" fontId="105" fillId="11" borderId="9" xfId="0" applyFont="1" applyFill="1" applyBorder="1" applyAlignment="1">
      <alignment horizontal="center" vertical="center"/>
    </xf>
    <xf numFmtId="0" fontId="105" fillId="11" borderId="21" xfId="0" applyFont="1" applyFill="1" applyBorder="1" applyAlignment="1">
      <alignment horizontal="center" vertical="center"/>
    </xf>
    <xf numFmtId="17" fontId="105" fillId="11" borderId="52" xfId="0" applyNumberFormat="1" applyFont="1" applyFill="1" applyBorder="1" applyAlignment="1">
      <alignment horizontal="center" vertical="center"/>
    </xf>
    <xf numFmtId="0" fontId="105" fillId="11" borderId="52" xfId="0" applyFont="1" applyFill="1" applyBorder="1" applyAlignment="1">
      <alignment horizontal="center" vertical="center"/>
    </xf>
    <xf numFmtId="0" fontId="105" fillId="11" borderId="36" xfId="0" applyFont="1" applyFill="1" applyBorder="1" applyAlignment="1">
      <alignment horizontal="center" vertical="center"/>
    </xf>
    <xf numFmtId="0" fontId="133" fillId="11" borderId="52" xfId="0" applyFont="1" applyFill="1" applyBorder="1" applyAlignment="1">
      <alignment horizontal="center" vertical="center" wrapText="1"/>
    </xf>
    <xf numFmtId="0" fontId="105" fillId="11" borderId="43" xfId="0" applyFont="1" applyFill="1" applyBorder="1" applyAlignment="1">
      <alignment horizontal="left" vertical="center" wrapText="1"/>
    </xf>
    <xf numFmtId="0" fontId="105" fillId="11" borderId="52" xfId="0" applyFont="1" applyFill="1" applyBorder="1" applyAlignment="1">
      <alignment horizontal="left" vertical="center" wrapText="1"/>
    </xf>
    <xf numFmtId="1" fontId="105" fillId="11" borderId="3" xfId="0" applyNumberFormat="1" applyFont="1" applyFill="1" applyBorder="1" applyAlignment="1">
      <alignment horizontal="center" vertical="center"/>
    </xf>
    <xf numFmtId="0" fontId="105" fillId="11" borderId="3" xfId="0" applyFont="1" applyFill="1" applyBorder="1" applyAlignment="1">
      <alignment horizontal="center" vertical="center"/>
    </xf>
    <xf numFmtId="0" fontId="105" fillId="11" borderId="5" xfId="0" applyFont="1" applyFill="1" applyBorder="1" applyAlignment="1">
      <alignment horizontal="center" vertical="center"/>
    </xf>
    <xf numFmtId="1" fontId="105" fillId="11" borderId="52" xfId="0" applyNumberFormat="1" applyFont="1" applyFill="1" applyBorder="1" applyAlignment="1">
      <alignment horizontal="center" vertical="center"/>
    </xf>
    <xf numFmtId="14" fontId="105" fillId="11" borderId="55" xfId="0" applyNumberFormat="1" applyFont="1" applyFill="1" applyBorder="1" applyAlignment="1">
      <alignment horizontal="center" vertical="center"/>
    </xf>
    <xf numFmtId="0" fontId="105" fillId="11" borderId="55" xfId="0" applyFont="1" applyFill="1" applyBorder="1" applyAlignment="1">
      <alignment horizontal="center" vertical="center"/>
    </xf>
    <xf numFmtId="0" fontId="105" fillId="11" borderId="37" xfId="0" applyFont="1" applyFill="1" applyBorder="1" applyAlignment="1">
      <alignment horizontal="center" vertical="center"/>
    </xf>
    <xf numFmtId="0" fontId="105" fillId="11" borderId="2" xfId="0" applyFont="1" applyFill="1" applyBorder="1" applyAlignment="1">
      <alignment horizontal="left" vertical="center" wrapText="1"/>
    </xf>
    <xf numFmtId="0" fontId="105" fillId="11" borderId="3" xfId="0" applyFont="1" applyFill="1" applyBorder="1" applyAlignment="1">
      <alignment horizontal="left" vertical="center" wrapText="1"/>
    </xf>
    <xf numFmtId="0" fontId="105" fillId="11" borderId="22" xfId="0" applyFont="1" applyFill="1" applyBorder="1" applyAlignment="1">
      <alignment horizontal="left" vertical="top"/>
    </xf>
    <xf numFmtId="0" fontId="105" fillId="11" borderId="0" xfId="0" applyFont="1" applyFill="1" applyBorder="1" applyAlignment="1">
      <alignment horizontal="left" vertical="top"/>
    </xf>
    <xf numFmtId="0" fontId="105" fillId="11" borderId="0" xfId="0" applyFont="1" applyFill="1" applyBorder="1" applyAlignment="1">
      <alignment horizontal="left" vertical="center" wrapText="1"/>
    </xf>
    <xf numFmtId="0" fontId="105" fillId="11" borderId="23" xfId="0" applyFont="1" applyFill="1" applyBorder="1" applyAlignment="1">
      <alignment horizontal="left" vertical="center" wrapText="1"/>
    </xf>
    <xf numFmtId="0" fontId="20" fillId="0" borderId="0" xfId="0" applyFont="1" applyBorder="1" applyAlignment="1">
      <alignment horizontal="center"/>
    </xf>
    <xf numFmtId="0" fontId="49" fillId="0" borderId="27" xfId="0" applyFont="1" applyBorder="1" applyAlignment="1">
      <alignment horizontal="center" vertical="center" wrapText="1"/>
    </xf>
    <xf numFmtId="0" fontId="49" fillId="0" borderId="25" xfId="0" applyFont="1" applyBorder="1" applyAlignment="1">
      <alignment horizontal="center" vertical="center" wrapText="1"/>
    </xf>
    <xf numFmtId="0" fontId="49" fillId="0" borderId="26" xfId="0" applyFont="1" applyBorder="1" applyAlignment="1">
      <alignment horizontal="center" vertical="center" wrapText="1"/>
    </xf>
    <xf numFmtId="0" fontId="2" fillId="0" borderId="0" xfId="0" applyFont="1" applyBorder="1" applyAlignment="1">
      <alignment horizontal="left" vertical="top"/>
    </xf>
    <xf numFmtId="0" fontId="2" fillId="0" borderId="0" xfId="0" applyFont="1" applyBorder="1" applyAlignment="1">
      <alignment horizontal="left" vertical="center" wrapText="1"/>
    </xf>
    <xf numFmtId="0" fontId="2" fillId="0" borderId="0" xfId="0" applyFont="1" applyBorder="1" applyAlignment="1">
      <alignment horizontal="left"/>
    </xf>
    <xf numFmtId="1" fontId="2" fillId="0" borderId="20" xfId="0" applyNumberFormat="1" applyFont="1" applyBorder="1" applyAlignment="1">
      <alignment horizontal="center" vertical="center"/>
    </xf>
    <xf numFmtId="0" fontId="2" fillId="0" borderId="9" xfId="0" applyFont="1" applyBorder="1" applyAlignment="1">
      <alignment horizontal="center" vertical="center"/>
    </xf>
    <xf numFmtId="0" fontId="2" fillId="0" borderId="21" xfId="0" applyFont="1" applyBorder="1" applyAlignment="1">
      <alignment horizontal="center" vertical="center"/>
    </xf>
    <xf numFmtId="1" fontId="2" fillId="0" borderId="55" xfId="0" applyNumberFormat="1" applyFont="1" applyBorder="1" applyAlignment="1">
      <alignment horizontal="center" vertical="center"/>
    </xf>
    <xf numFmtId="1" fontId="2" fillId="0" borderId="37" xfId="0" applyNumberFormat="1" applyFont="1" applyBorder="1" applyAlignment="1">
      <alignment horizontal="center" vertical="center"/>
    </xf>
    <xf numFmtId="0" fontId="2" fillId="0" borderId="52" xfId="0" applyNumberFormat="1" applyFont="1" applyBorder="1" applyAlignment="1">
      <alignment horizontal="center" vertical="center"/>
    </xf>
    <xf numFmtId="0" fontId="2" fillId="0" borderId="36" xfId="0" applyNumberFormat="1" applyFont="1" applyBorder="1" applyAlignment="1">
      <alignment horizontal="center" vertical="center"/>
    </xf>
    <xf numFmtId="170" fontId="52" fillId="0" borderId="24" xfId="0" applyNumberFormat="1" applyFont="1" applyBorder="1" applyAlignment="1">
      <alignment horizontal="center" vertical="center"/>
    </xf>
    <xf numFmtId="14" fontId="2" fillId="0" borderId="37" xfId="0" applyNumberFormat="1" applyFont="1" applyBorder="1" applyAlignment="1">
      <alignment horizontal="center" vertical="center"/>
    </xf>
    <xf numFmtId="0" fontId="6" fillId="2" borderId="0" xfId="0" applyFont="1" applyFill="1" applyAlignment="1">
      <alignment horizontal="left"/>
    </xf>
    <xf numFmtId="0" fontId="0" fillId="2" borderId="25" xfId="0" applyFill="1" applyBorder="1" applyAlignment="1">
      <alignment horizontal="center"/>
    </xf>
    <xf numFmtId="0" fontId="0" fillId="2" borderId="26" xfId="0" applyFill="1" applyBorder="1" applyAlignment="1">
      <alignment horizontal="center"/>
    </xf>
    <xf numFmtId="0" fontId="6" fillId="2" borderId="22" xfId="0" applyFont="1" applyFill="1" applyBorder="1" applyAlignment="1">
      <alignment horizontal="left"/>
    </xf>
    <xf numFmtId="0" fontId="6" fillId="2" borderId="0" xfId="0" applyFont="1" applyFill="1" applyAlignment="1">
      <alignment horizontal="left" vertical="center" wrapText="1"/>
    </xf>
    <xf numFmtId="0" fontId="12" fillId="2" borderId="10" xfId="0" applyFont="1" applyFill="1" applyBorder="1" applyAlignment="1">
      <alignment horizontal="center"/>
    </xf>
    <xf numFmtId="0" fontId="12" fillId="2" borderId="11" xfId="0" applyFont="1" applyFill="1" applyBorder="1" applyAlignment="1">
      <alignment horizontal="center"/>
    </xf>
    <xf numFmtId="0" fontId="12" fillId="2" borderId="12" xfId="0" applyFont="1" applyFill="1" applyBorder="1" applyAlignment="1">
      <alignment horizontal="center"/>
    </xf>
    <xf numFmtId="0" fontId="52" fillId="2" borderId="22" xfId="0" applyFont="1" applyFill="1" applyBorder="1" applyAlignment="1">
      <alignment horizontal="center"/>
    </xf>
    <xf numFmtId="0" fontId="52" fillId="2" borderId="0" xfId="0" applyFont="1" applyFill="1" applyBorder="1" applyAlignment="1">
      <alignment horizontal="center"/>
    </xf>
    <xf numFmtId="0" fontId="52" fillId="2" borderId="23" xfId="0" applyFont="1" applyFill="1" applyBorder="1" applyAlignment="1">
      <alignment horizontal="center"/>
    </xf>
    <xf numFmtId="0" fontId="6" fillId="2" borderId="22" xfId="0" applyFont="1" applyFill="1" applyBorder="1" applyAlignment="1">
      <alignment horizontal="left" vertical="center" wrapText="1"/>
    </xf>
    <xf numFmtId="0" fontId="0" fillId="0" borderId="25" xfId="0" applyBorder="1" applyAlignment="1">
      <alignment horizontal="center"/>
    </xf>
    <xf numFmtId="0" fontId="0" fillId="0" borderId="26" xfId="0" applyBorder="1" applyAlignment="1">
      <alignment horizontal="center"/>
    </xf>
    <xf numFmtId="0" fontId="86" fillId="0" borderId="0" xfId="0" applyFont="1" applyAlignment="1">
      <alignment horizontal="left"/>
    </xf>
    <xf numFmtId="0" fontId="86" fillId="0" borderId="0" xfId="0" applyFont="1" applyAlignment="1">
      <alignment horizontal="left" vertical="center" wrapText="1"/>
    </xf>
    <xf numFmtId="0" fontId="86" fillId="0" borderId="22" xfId="0" applyFont="1" applyBorder="1" applyAlignment="1">
      <alignment horizontal="left"/>
    </xf>
    <xf numFmtId="0" fontId="6" fillId="0" borderId="0" xfId="0" applyFont="1" applyAlignment="1">
      <alignment horizontal="left"/>
    </xf>
    <xf numFmtId="0" fontId="127" fillId="0" borderId="22" xfId="0" applyFont="1" applyBorder="1" applyAlignment="1">
      <alignment horizontal="center"/>
    </xf>
    <xf numFmtId="0" fontId="127" fillId="0" borderId="0" xfId="0" applyFont="1" applyBorder="1" applyAlignment="1">
      <alignment horizontal="center"/>
    </xf>
    <xf numFmtId="0" fontId="127" fillId="0" borderId="23" xfId="0" applyFont="1" applyBorder="1" applyAlignment="1">
      <alignment horizontal="center"/>
    </xf>
    <xf numFmtId="0" fontId="86" fillId="0" borderId="22" xfId="0" applyFont="1" applyBorder="1" applyAlignment="1">
      <alignment horizontal="left" vertical="center" wrapText="1"/>
    </xf>
    <xf numFmtId="0" fontId="134" fillId="0" borderId="10" xfId="0" applyFont="1" applyBorder="1" applyAlignment="1">
      <alignment horizontal="center"/>
    </xf>
    <xf numFmtId="0" fontId="134" fillId="0" borderId="11" xfId="0" applyFont="1" applyBorder="1" applyAlignment="1">
      <alignment horizontal="center"/>
    </xf>
    <xf numFmtId="0" fontId="134" fillId="0" borderId="12" xfId="0" applyFont="1" applyBorder="1" applyAlignment="1">
      <alignment horizontal="center"/>
    </xf>
    <xf numFmtId="0" fontId="6" fillId="0" borderId="0" xfId="0" applyFont="1" applyAlignment="1">
      <alignment horizontal="left" vertical="center" wrapText="1"/>
    </xf>
    <xf numFmtId="0" fontId="6" fillId="0" borderId="22" xfId="0" applyFont="1" applyBorder="1" applyAlignment="1">
      <alignment horizontal="left" vertical="center" wrapText="1"/>
    </xf>
    <xf numFmtId="0" fontId="6" fillId="0" borderId="22" xfId="0" applyFont="1" applyBorder="1" applyAlignment="1">
      <alignment horizontal="left"/>
    </xf>
    <xf numFmtId="0" fontId="12" fillId="0" borderId="10" xfId="0" applyFont="1" applyBorder="1" applyAlignment="1">
      <alignment horizontal="center"/>
    </xf>
    <xf numFmtId="0" fontId="12" fillId="0" borderId="11" xfId="0" applyFont="1" applyBorder="1" applyAlignment="1">
      <alignment horizontal="center"/>
    </xf>
    <xf numFmtId="0" fontId="12" fillId="0" borderId="12" xfId="0" applyFont="1" applyBorder="1" applyAlignment="1">
      <alignment horizontal="center"/>
    </xf>
    <xf numFmtId="0" fontId="52" fillId="0" borderId="22" xfId="0" applyFont="1" applyBorder="1" applyAlignment="1">
      <alignment horizontal="center"/>
    </xf>
    <xf numFmtId="0" fontId="52" fillId="0" borderId="0" xfId="0" applyFont="1" applyBorder="1" applyAlignment="1">
      <alignment horizontal="center"/>
    </xf>
    <xf numFmtId="0" fontId="52" fillId="0" borderId="23" xfId="0" applyFont="1" applyBorder="1" applyAlignment="1">
      <alignment horizontal="center"/>
    </xf>
    <xf numFmtId="0" fontId="27" fillId="0" borderId="32" xfId="0" applyFont="1" applyBorder="1" applyAlignment="1">
      <alignment horizontal="center" wrapText="1"/>
    </xf>
    <xf numFmtId="0" fontId="27" fillId="0" borderId="3" xfId="0" applyFont="1" applyBorder="1" applyAlignment="1">
      <alignment horizontal="center" wrapText="1"/>
    </xf>
    <xf numFmtId="0" fontId="22" fillId="0" borderId="0" xfId="0" applyFont="1" applyAlignment="1">
      <alignment horizontal="center"/>
    </xf>
    <xf numFmtId="0" fontId="23" fillId="0" borderId="0" xfId="0" applyFont="1" applyAlignment="1">
      <alignment horizontal="center"/>
    </xf>
    <xf numFmtId="0" fontId="26" fillId="0" borderId="32"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4" xfId="0" applyFont="1" applyBorder="1" applyAlignment="1">
      <alignment horizontal="center" wrapText="1"/>
    </xf>
    <xf numFmtId="0" fontId="26" fillId="0" borderId="32" xfId="0" applyFont="1" applyBorder="1" applyAlignment="1">
      <alignment horizontal="center" wrapText="1"/>
    </xf>
    <xf numFmtId="0" fontId="26" fillId="0" borderId="3" xfId="0" applyFont="1" applyBorder="1" applyAlignment="1">
      <alignment horizontal="center" wrapText="1"/>
    </xf>
    <xf numFmtId="0" fontId="27" fillId="0" borderId="4" xfId="0" applyFont="1" applyBorder="1" applyAlignment="1">
      <alignment horizontal="center"/>
    </xf>
    <xf numFmtId="0" fontId="27" fillId="0" borderId="4" xfId="0" applyFont="1" applyBorder="1" applyAlignment="1">
      <alignment horizontal="center" wrapText="1"/>
    </xf>
    <xf numFmtId="0" fontId="7" fillId="3" borderId="4" xfId="0" applyFont="1" applyFill="1" applyBorder="1" applyAlignment="1">
      <alignment horizontal="left" vertical="top" wrapText="1"/>
    </xf>
    <xf numFmtId="0" fontId="7" fillId="3" borderId="4" xfId="0" applyFont="1" applyFill="1" applyBorder="1" applyAlignment="1">
      <alignment horizontal="center" vertical="top" wrapText="1"/>
    </xf>
    <xf numFmtId="0" fontId="12" fillId="0" borderId="4" xfId="0" applyFont="1" applyBorder="1" applyAlignment="1">
      <alignment horizontal="center" vertical="center"/>
    </xf>
    <xf numFmtId="0" fontId="6" fillId="0" borderId="4" xfId="0" applyFont="1" applyBorder="1" applyAlignment="1">
      <alignment horizontal="center" vertical="top"/>
    </xf>
    <xf numFmtId="0" fontId="16" fillId="0" borderId="4" xfId="0" applyFont="1" applyBorder="1" applyAlignment="1">
      <alignment horizontal="center" vertical="center"/>
    </xf>
    <xf numFmtId="0" fontId="7" fillId="3" borderId="14" xfId="0" applyFont="1" applyFill="1" applyBorder="1" applyAlignment="1">
      <alignment horizontal="center" vertical="top" wrapText="1"/>
    </xf>
    <xf numFmtId="0" fontId="7" fillId="3" borderId="15" xfId="0" applyFont="1" applyFill="1" applyBorder="1" applyAlignment="1">
      <alignment horizontal="center" vertical="top" wrapText="1"/>
    </xf>
    <xf numFmtId="0" fontId="7" fillId="3" borderId="14" xfId="0" applyFont="1" applyFill="1" applyBorder="1" applyAlignment="1">
      <alignment horizontal="left" vertical="top" wrapText="1"/>
    </xf>
    <xf numFmtId="0" fontId="7" fillId="3" borderId="15" xfId="0" applyFont="1" applyFill="1" applyBorder="1" applyAlignment="1">
      <alignment horizontal="left" vertical="top" wrapText="1"/>
    </xf>
    <xf numFmtId="0" fontId="6" fillId="0" borderId="52" xfId="0" applyFont="1" applyBorder="1" applyAlignment="1">
      <alignment horizontal="right" vertical="top"/>
    </xf>
    <xf numFmtId="0" fontId="6" fillId="0" borderId="10" xfId="0" applyFont="1" applyBorder="1" applyAlignment="1">
      <alignment horizontal="right" vertical="top"/>
    </xf>
    <xf numFmtId="0" fontId="6" fillId="0" borderId="11" xfId="0" applyFont="1" applyBorder="1" applyAlignment="1">
      <alignment horizontal="right" vertical="top"/>
    </xf>
    <xf numFmtId="0" fontId="6" fillId="0" borderId="12" xfId="0" applyFont="1" applyBorder="1" applyAlignment="1">
      <alignment horizontal="right" vertical="top"/>
    </xf>
    <xf numFmtId="0" fontId="7" fillId="0" borderId="16" xfId="0" applyFont="1" applyBorder="1" applyAlignment="1">
      <alignment horizontal="right" vertical="top"/>
    </xf>
    <xf numFmtId="0" fontId="7" fillId="0" borderId="24" xfId="0" applyFont="1" applyBorder="1" applyAlignment="1">
      <alignment horizontal="right" vertical="top"/>
    </xf>
    <xf numFmtId="0" fontId="7" fillId="0" borderId="18" xfId="0" applyFont="1" applyBorder="1" applyAlignment="1">
      <alignment horizontal="right" vertical="top"/>
    </xf>
    <xf numFmtId="0" fontId="6" fillId="0" borderId="32" xfId="0" applyFont="1" applyBorder="1" applyAlignment="1">
      <alignment horizontal="center" vertical="top"/>
    </xf>
    <xf numFmtId="0" fontId="7" fillId="3" borderId="3" xfId="0" applyFont="1" applyFill="1" applyBorder="1" applyAlignment="1">
      <alignment horizontal="left" vertical="top" wrapText="1"/>
    </xf>
    <xf numFmtId="0" fontId="7" fillId="3" borderId="3" xfId="0" applyFont="1" applyFill="1" applyBorder="1" applyAlignment="1">
      <alignment horizontal="center" vertical="top" wrapText="1"/>
    </xf>
    <xf numFmtId="0" fontId="7" fillId="3" borderId="6" xfId="0" applyFont="1" applyFill="1" applyBorder="1" applyAlignment="1">
      <alignment horizontal="center" vertical="top" wrapText="1"/>
    </xf>
    <xf numFmtId="0" fontId="6" fillId="0" borderId="16" xfId="0" applyFont="1" applyBorder="1" applyAlignment="1">
      <alignment horizontal="right" vertical="top"/>
    </xf>
    <xf numFmtId="0" fontId="6" fillId="0" borderId="24" xfId="0" applyFont="1" applyBorder="1" applyAlignment="1">
      <alignment horizontal="right" vertical="top"/>
    </xf>
    <xf numFmtId="0" fontId="6" fillId="0" borderId="18" xfId="0" applyFont="1" applyBorder="1" applyAlignment="1">
      <alignment horizontal="right" vertical="top"/>
    </xf>
    <xf numFmtId="0" fontId="7" fillId="3" borderId="16" xfId="0" applyFont="1" applyFill="1" applyBorder="1" applyAlignment="1">
      <alignment horizontal="center" vertical="top" wrapText="1"/>
    </xf>
    <xf numFmtId="0" fontId="7" fillId="3" borderId="18" xfId="0" applyFont="1" applyFill="1" applyBorder="1" applyAlignment="1">
      <alignment horizontal="left" vertical="top" wrapText="1"/>
    </xf>
    <xf numFmtId="0" fontId="7" fillId="3" borderId="32" xfId="0" applyFont="1" applyFill="1" applyBorder="1" applyAlignment="1">
      <alignment horizontal="center" vertical="top" wrapText="1"/>
    </xf>
    <xf numFmtId="0" fontId="12" fillId="0" borderId="49" xfId="0" applyNumberFormat="1" applyFont="1" applyFill="1" applyBorder="1" applyAlignment="1" applyProtection="1">
      <alignment horizontal="center" vertical="center"/>
    </xf>
    <xf numFmtId="0" fontId="12" fillId="0" borderId="53" xfId="0" applyNumberFormat="1" applyFont="1" applyFill="1" applyBorder="1" applyAlignment="1" applyProtection="1">
      <alignment horizontal="center" vertical="center"/>
    </xf>
    <xf numFmtId="0" fontId="12" fillId="0" borderId="50" xfId="0" applyNumberFormat="1" applyFont="1" applyFill="1" applyBorder="1" applyAlignment="1" applyProtection="1">
      <alignment horizontal="center" vertical="center"/>
    </xf>
    <xf numFmtId="0" fontId="12" fillId="0" borderId="8" xfId="0" applyNumberFormat="1" applyFont="1" applyFill="1" applyBorder="1" applyAlignment="1" applyProtection="1">
      <alignment horizontal="center" vertical="center"/>
    </xf>
    <xf numFmtId="0" fontId="12" fillId="0" borderId="19" xfId="0" applyNumberFormat="1" applyFont="1" applyFill="1" applyBorder="1" applyAlignment="1" applyProtection="1">
      <alignment horizontal="center" vertical="center"/>
    </xf>
    <xf numFmtId="0" fontId="12" fillId="0" borderId="13" xfId="0" applyNumberFormat="1" applyFont="1" applyFill="1" applyBorder="1" applyAlignment="1" applyProtection="1">
      <alignment horizontal="center" vertical="center"/>
    </xf>
    <xf numFmtId="0" fontId="7" fillId="0" borderId="52" xfId="0" applyNumberFormat="1" applyFont="1" applyFill="1" applyBorder="1" applyAlignment="1" applyProtection="1">
      <alignment horizontal="center" vertical="top"/>
    </xf>
    <xf numFmtId="0" fontId="6" fillId="0" borderId="52" xfId="0" applyNumberFormat="1" applyFont="1" applyFill="1" applyBorder="1" applyAlignment="1" applyProtection="1">
      <alignment horizontal="left" vertical="top"/>
    </xf>
    <xf numFmtId="0" fontId="6" fillId="0" borderId="55" xfId="0" applyNumberFormat="1" applyFont="1" applyFill="1" applyBorder="1" applyAlignment="1" applyProtection="1">
      <alignment horizontal="left" vertical="top"/>
    </xf>
    <xf numFmtId="0" fontId="7" fillId="3" borderId="55" xfId="0" applyNumberFormat="1" applyFont="1" applyFill="1" applyBorder="1" applyAlignment="1" applyProtection="1">
      <alignment horizontal="center" vertical="center" textRotation="90"/>
    </xf>
    <xf numFmtId="0" fontId="7" fillId="3" borderId="6" xfId="0" applyNumberFormat="1" applyFont="1" applyFill="1" applyBorder="1" applyAlignment="1" applyProtection="1">
      <alignment horizontal="center" vertical="center" textRotation="90"/>
    </xf>
    <xf numFmtId="0" fontId="7" fillId="3" borderId="3" xfId="0" applyNumberFormat="1" applyFont="1" applyFill="1" applyBorder="1" applyAlignment="1" applyProtection="1">
      <alignment horizontal="center" vertical="center" textRotation="90"/>
    </xf>
    <xf numFmtId="0" fontId="7" fillId="3" borderId="55" xfId="0" applyNumberFormat="1" applyFont="1" applyFill="1" applyBorder="1" applyAlignment="1" applyProtection="1">
      <alignment horizontal="center" vertical="center" textRotation="90" wrapText="1"/>
    </xf>
    <xf numFmtId="0" fontId="7" fillId="3" borderId="6" xfId="0" applyNumberFormat="1" applyFont="1" applyFill="1" applyBorder="1" applyAlignment="1" applyProtection="1">
      <alignment horizontal="center" vertical="center" textRotation="90" wrapText="1"/>
    </xf>
    <xf numFmtId="0" fontId="7" fillId="3" borderId="3" xfId="0" applyNumberFormat="1" applyFont="1" applyFill="1" applyBorder="1" applyAlignment="1" applyProtection="1">
      <alignment horizontal="center" vertical="center" textRotation="90" wrapText="1"/>
    </xf>
    <xf numFmtId="0" fontId="7" fillId="3" borderId="55" xfId="0" applyNumberFormat="1" applyFont="1" applyFill="1" applyBorder="1" applyAlignment="1" applyProtection="1">
      <alignment horizontal="center" vertical="top" textRotation="90" wrapText="1"/>
    </xf>
    <xf numFmtId="0" fontId="7" fillId="3" borderId="6" xfId="0" applyNumberFormat="1" applyFont="1" applyFill="1" applyBorder="1" applyAlignment="1" applyProtection="1">
      <alignment horizontal="center" vertical="top" textRotation="90" wrapText="1"/>
    </xf>
    <xf numFmtId="0" fontId="7" fillId="3" borderId="3" xfId="0" applyNumberFormat="1" applyFont="1" applyFill="1" applyBorder="1" applyAlignment="1" applyProtection="1">
      <alignment horizontal="center" vertical="top" textRotation="90" wrapText="1"/>
    </xf>
    <xf numFmtId="0" fontId="7" fillId="3" borderId="49" xfId="0" applyNumberFormat="1" applyFont="1" applyFill="1" applyBorder="1" applyAlignment="1" applyProtection="1">
      <alignment horizontal="center" vertical="center" wrapText="1"/>
    </xf>
    <xf numFmtId="0" fontId="7" fillId="3" borderId="53" xfId="0" applyNumberFormat="1" applyFont="1" applyFill="1" applyBorder="1" applyAlignment="1" applyProtection="1">
      <alignment horizontal="center" vertical="center" wrapText="1"/>
    </xf>
    <xf numFmtId="0" fontId="7" fillId="3" borderId="8" xfId="0" applyNumberFormat="1" applyFont="1" applyFill="1" applyBorder="1" applyAlignment="1" applyProtection="1">
      <alignment horizontal="center" vertical="center" wrapText="1"/>
    </xf>
    <xf numFmtId="0" fontId="7" fillId="3" borderId="19" xfId="0" applyNumberFormat="1" applyFont="1" applyFill="1" applyBorder="1" applyAlignment="1" applyProtection="1">
      <alignment horizontal="center" vertical="center" wrapText="1"/>
    </xf>
    <xf numFmtId="0" fontId="7" fillId="3" borderId="18" xfId="0" applyNumberFormat="1" applyFont="1" applyFill="1" applyBorder="1" applyAlignment="1" applyProtection="1">
      <alignment horizontal="left" vertical="top" textRotation="90" wrapText="1"/>
    </xf>
    <xf numFmtId="0" fontId="7" fillId="3" borderId="52" xfId="0" applyNumberFormat="1" applyFont="1" applyFill="1" applyBorder="1" applyAlignment="1" applyProtection="1">
      <alignment horizontal="left" vertical="top" textRotation="90" wrapText="1"/>
    </xf>
    <xf numFmtId="0" fontId="77" fillId="0" borderId="0" xfId="0" applyFont="1" applyBorder="1" applyAlignment="1">
      <alignment horizontal="left"/>
    </xf>
    <xf numFmtId="0" fontId="0" fillId="0" borderId="0" xfId="0" applyBorder="1" applyAlignment="1">
      <alignment horizontal="left"/>
    </xf>
    <xf numFmtId="0" fontId="75" fillId="5" borderId="57" xfId="0" applyFont="1" applyFill="1" applyBorder="1" applyAlignment="1">
      <alignment horizontal="center"/>
    </xf>
    <xf numFmtId="0" fontId="75" fillId="5" borderId="58" xfId="0" applyFont="1" applyFill="1" applyBorder="1" applyAlignment="1">
      <alignment horizontal="center"/>
    </xf>
    <xf numFmtId="0" fontId="75" fillId="5" borderId="59" xfId="0" applyFont="1" applyFill="1" applyBorder="1" applyAlignment="1">
      <alignment horizontal="center"/>
    </xf>
    <xf numFmtId="0" fontId="76" fillId="6" borderId="22" xfId="0" applyFont="1" applyFill="1" applyBorder="1" applyAlignment="1">
      <alignment horizontal="center"/>
    </xf>
    <xf numFmtId="0" fontId="76" fillId="6" borderId="0" xfId="0" applyFont="1" applyFill="1" applyBorder="1" applyAlignment="1">
      <alignment horizontal="center"/>
    </xf>
    <xf numFmtId="0" fontId="76" fillId="6" borderId="23" xfId="0" applyFont="1" applyFill="1" applyBorder="1" applyAlignment="1">
      <alignment horizontal="center"/>
    </xf>
    <xf numFmtId="0" fontId="75" fillId="7" borderId="46" xfId="0" applyFont="1" applyFill="1" applyBorder="1" applyAlignment="1">
      <alignment horizontal="center" wrapText="1"/>
    </xf>
    <xf numFmtId="0" fontId="75" fillId="7" borderId="24" xfId="0" applyFont="1" applyFill="1" applyBorder="1" applyAlignment="1">
      <alignment horizontal="center" wrapText="1"/>
    </xf>
    <xf numFmtId="0" fontId="75" fillId="7" borderId="39" xfId="0" applyFont="1" applyFill="1" applyBorder="1" applyAlignment="1">
      <alignment horizontal="center" wrapText="1"/>
    </xf>
    <xf numFmtId="0" fontId="25" fillId="0" borderId="16" xfId="0" applyFont="1" applyBorder="1" applyAlignment="1">
      <alignment horizontal="left" wrapText="1"/>
    </xf>
    <xf numFmtId="0" fontId="25" fillId="0" borderId="24" xfId="0" applyFont="1" applyBorder="1" applyAlignment="1">
      <alignment horizontal="left" wrapText="1"/>
    </xf>
    <xf numFmtId="0" fontId="25" fillId="0" borderId="18" xfId="0" applyFont="1" applyBorder="1" applyAlignment="1">
      <alignment horizontal="left" wrapText="1"/>
    </xf>
    <xf numFmtId="0" fontId="77" fillId="0" borderId="16" xfId="0" applyFont="1" applyBorder="1" applyAlignment="1">
      <alignment horizontal="left" wrapText="1"/>
    </xf>
    <xf numFmtId="0" fontId="0" fillId="0" borderId="24" xfId="0" applyBorder="1" applyAlignment="1">
      <alignment horizontal="left" wrapText="1"/>
    </xf>
    <xf numFmtId="0" fontId="0" fillId="0" borderId="39" xfId="0" applyBorder="1" applyAlignment="1">
      <alignment horizontal="left" wrapText="1"/>
    </xf>
    <xf numFmtId="0" fontId="78" fillId="0" borderId="22" xfId="0" applyFont="1" applyBorder="1" applyAlignment="1">
      <alignment horizontal="right"/>
    </xf>
    <xf numFmtId="0" fontId="2" fillId="0" borderId="0" xfId="0" applyFont="1" applyBorder="1" applyAlignment="1">
      <alignment horizontal="right"/>
    </xf>
    <xf numFmtId="0" fontId="76" fillId="6" borderId="46" xfId="0" applyFont="1" applyFill="1" applyBorder="1" applyAlignment="1">
      <alignment horizontal="center"/>
    </xf>
    <xf numFmtId="0" fontId="76" fillId="6" borderId="24" xfId="0" applyFont="1" applyFill="1" applyBorder="1" applyAlignment="1">
      <alignment horizontal="center"/>
    </xf>
    <xf numFmtId="0" fontId="76" fillId="6" borderId="39" xfId="0" applyFont="1" applyFill="1" applyBorder="1" applyAlignment="1">
      <alignment horizontal="center"/>
    </xf>
    <xf numFmtId="0" fontId="53" fillId="0" borderId="22" xfId="0" applyFont="1" applyBorder="1" applyAlignment="1">
      <alignment horizontal="left"/>
    </xf>
    <xf numFmtId="0" fontId="53" fillId="0" borderId="0" xfId="0" applyFont="1" applyBorder="1" applyAlignment="1">
      <alignment horizontal="left"/>
    </xf>
    <xf numFmtId="0" fontId="53" fillId="0" borderId="23" xfId="0" applyFont="1" applyBorder="1" applyAlignment="1">
      <alignment horizontal="left"/>
    </xf>
    <xf numFmtId="0" fontId="25" fillId="0" borderId="0" xfId="0" applyFont="1" applyBorder="1" applyAlignment="1">
      <alignment horizontal="left" wrapText="1"/>
    </xf>
    <xf numFmtId="0" fontId="76" fillId="6" borderId="49" xfId="0" applyFont="1" applyFill="1" applyBorder="1" applyAlignment="1">
      <alignment horizontal="center"/>
    </xf>
    <xf numFmtId="0" fontId="76" fillId="6" borderId="53" xfId="0" applyFont="1" applyFill="1" applyBorder="1" applyAlignment="1">
      <alignment horizontal="center"/>
    </xf>
    <xf numFmtId="0" fontId="76" fillId="6" borderId="50" xfId="0" applyFont="1" applyFill="1" applyBorder="1" applyAlignment="1">
      <alignment horizontal="center"/>
    </xf>
    <xf numFmtId="0" fontId="77" fillId="0" borderId="0" xfId="0" applyFont="1" applyBorder="1" applyAlignment="1">
      <alignment horizontal="left" wrapText="1"/>
    </xf>
    <xf numFmtId="0" fontId="0" fillId="0" borderId="0" xfId="0" applyBorder="1" applyAlignment="1">
      <alignment horizontal="left" wrapText="1"/>
    </xf>
    <xf numFmtId="0" fontId="0" fillId="0" borderId="23" xfId="0" applyBorder="1" applyAlignment="1">
      <alignment horizontal="left" wrapText="1"/>
    </xf>
    <xf numFmtId="1"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17" fontId="2" fillId="0" borderId="0" xfId="0" applyNumberFormat="1" applyFont="1" applyAlignment="1">
      <alignment horizontal="center" vertical="center"/>
    </xf>
    <xf numFmtId="14" fontId="2" fillId="0" borderId="0" xfId="0" applyNumberFormat="1" applyFont="1" applyAlignment="1">
      <alignment horizontal="center" vertical="center"/>
    </xf>
    <xf numFmtId="0" fontId="4" fillId="0" borderId="0" xfId="0" applyFont="1" applyAlignment="1">
      <alignment horizontal="center"/>
    </xf>
    <xf numFmtId="0" fontId="19" fillId="0" borderId="0" xfId="0" applyFont="1" applyAlignment="1">
      <alignment horizontal="center"/>
    </xf>
    <xf numFmtId="0" fontId="0" fillId="0" borderId="0" xfId="0" applyAlignment="1">
      <alignment horizontal="center"/>
    </xf>
    <xf numFmtId="1" fontId="2" fillId="0" borderId="16" xfId="0" applyNumberFormat="1" applyFont="1" applyBorder="1" applyAlignment="1">
      <alignment horizontal="center" vertical="center"/>
    </xf>
    <xf numFmtId="0" fontId="2" fillId="0" borderId="39" xfId="0" applyFont="1" applyBorder="1" applyAlignment="1">
      <alignment horizontal="center" vertical="center"/>
    </xf>
    <xf numFmtId="1" fontId="2" fillId="0" borderId="16" xfId="0" applyNumberFormat="1" applyFont="1" applyBorder="1" applyAlignment="1">
      <alignment horizontal="center" vertical="center" wrapText="1"/>
    </xf>
    <xf numFmtId="1" fontId="2" fillId="0" borderId="18" xfId="0" applyNumberFormat="1" applyFont="1" applyBorder="1" applyAlignment="1">
      <alignment horizontal="center" vertical="center" wrapText="1"/>
    </xf>
    <xf numFmtId="1" fontId="2" fillId="0" borderId="39" xfId="0" applyNumberFormat="1" applyFont="1" applyBorder="1" applyAlignment="1">
      <alignment horizontal="center" vertical="center" wrapText="1"/>
    </xf>
    <xf numFmtId="0" fontId="0" fillId="0" borderId="16" xfId="0" applyBorder="1" applyAlignment="1">
      <alignment horizontal="center"/>
    </xf>
    <xf numFmtId="0" fontId="0" fillId="0" borderId="39" xfId="0" applyBorder="1" applyAlignment="1">
      <alignment horizontal="center"/>
    </xf>
    <xf numFmtId="1" fontId="2" fillId="0" borderId="16" xfId="0" applyNumberFormat="1" applyFont="1" applyBorder="1" applyAlignment="1">
      <alignment horizontal="center"/>
    </xf>
    <xf numFmtId="1" fontId="2" fillId="0" borderId="24" xfId="0" applyNumberFormat="1" applyFont="1" applyBorder="1" applyAlignment="1">
      <alignment horizontal="center"/>
    </xf>
    <xf numFmtId="1" fontId="2" fillId="0" borderId="39" xfId="0" applyNumberFormat="1" applyFont="1" applyBorder="1" applyAlignment="1">
      <alignment horizontal="center"/>
    </xf>
    <xf numFmtId="0" fontId="2" fillId="0" borderId="4" xfId="0" applyFont="1" applyBorder="1" applyAlignment="1">
      <alignment horizontal="left" vertical="center"/>
    </xf>
    <xf numFmtId="17" fontId="2" fillId="0" borderId="4" xfId="0" applyNumberFormat="1" applyFont="1" applyBorder="1" applyAlignment="1">
      <alignment horizontal="center" vertical="center"/>
    </xf>
    <xf numFmtId="0" fontId="2" fillId="0" borderId="4" xfId="0" applyFont="1" applyBorder="1" applyAlignment="1">
      <alignment horizontal="center" vertical="center"/>
    </xf>
    <xf numFmtId="1" fontId="2" fillId="0" borderId="4" xfId="0" applyNumberFormat="1" applyFont="1" applyBorder="1" applyAlignment="1">
      <alignment horizontal="center" vertical="center"/>
    </xf>
    <xf numFmtId="0" fontId="2" fillId="0" borderId="4" xfId="0" applyFont="1" applyBorder="1" applyAlignment="1">
      <alignment horizontal="left" vertical="center" wrapText="1"/>
    </xf>
    <xf numFmtId="14" fontId="2" fillId="0" borderId="4" xfId="0" applyNumberFormat="1" applyFont="1" applyBorder="1" applyAlignment="1">
      <alignment horizontal="center" vertical="center"/>
    </xf>
    <xf numFmtId="0" fontId="0" fillId="0" borderId="18" xfId="0" applyBorder="1" applyAlignment="1">
      <alignment horizontal="center"/>
    </xf>
    <xf numFmtId="0" fontId="19" fillId="0" borderId="9" xfId="0" applyFont="1" applyBorder="1" applyAlignment="1">
      <alignment horizontal="center"/>
    </xf>
    <xf numFmtId="0" fontId="0" fillId="0" borderId="24" xfId="0" applyBorder="1" applyAlignment="1">
      <alignment horizontal="center"/>
    </xf>
    <xf numFmtId="1" fontId="2" fillId="0" borderId="24" xfId="0" applyNumberFormat="1" applyFont="1" applyBorder="1" applyAlignment="1">
      <alignment horizontal="center" vertical="center" wrapText="1"/>
    </xf>
    <xf numFmtId="0" fontId="2" fillId="0" borderId="16" xfId="0" applyFont="1" applyBorder="1" applyAlignment="1">
      <alignment horizontal="center" vertical="center"/>
    </xf>
    <xf numFmtId="0" fontId="2" fillId="0" borderId="18" xfId="0" applyFont="1" applyBorder="1" applyAlignment="1">
      <alignment horizontal="center" vertical="center"/>
    </xf>
    <xf numFmtId="0" fontId="2" fillId="0" borderId="16" xfId="0" applyFont="1" applyBorder="1" applyAlignment="1">
      <alignment horizontal="center"/>
    </xf>
    <xf numFmtId="0" fontId="2" fillId="0" borderId="24" xfId="0" applyFont="1" applyBorder="1" applyAlignment="1">
      <alignment horizontal="center"/>
    </xf>
    <xf numFmtId="0" fontId="2" fillId="0" borderId="39" xfId="0" applyFont="1" applyBorder="1" applyAlignment="1">
      <alignment horizontal="center"/>
    </xf>
    <xf numFmtId="1" fontId="2" fillId="0" borderId="24" xfId="0" applyNumberFormat="1" applyFont="1" applyBorder="1" applyAlignment="1">
      <alignment horizontal="left" vertical="center" wrapText="1"/>
    </xf>
    <xf numFmtId="1" fontId="2" fillId="0" borderId="39" xfId="0" applyNumberFormat="1" applyFont="1" applyBorder="1" applyAlignment="1">
      <alignment horizontal="left" vertical="center" wrapText="1"/>
    </xf>
    <xf numFmtId="0" fontId="41" fillId="0" borderId="0" xfId="0" applyFont="1" applyAlignment="1">
      <alignment horizontal="center"/>
    </xf>
    <xf numFmtId="0" fontId="41" fillId="0" borderId="23" xfId="0" applyFont="1" applyBorder="1" applyAlignment="1">
      <alignment horizontal="center"/>
    </xf>
    <xf numFmtId="0" fontId="4" fillId="0" borderId="23" xfId="0" applyFont="1" applyBorder="1" applyAlignment="1">
      <alignment horizontal="center"/>
    </xf>
    <xf numFmtId="0" fontId="42" fillId="2" borderId="16" xfId="0" applyFont="1" applyFill="1" applyBorder="1" applyAlignment="1">
      <alignment horizontal="center" vertical="center"/>
    </xf>
    <xf numFmtId="0" fontId="42" fillId="2" borderId="24" xfId="0" applyFont="1" applyFill="1" applyBorder="1" applyAlignment="1">
      <alignment horizontal="center" vertical="center"/>
    </xf>
    <xf numFmtId="0" fontId="42" fillId="2" borderId="39" xfId="0" applyFont="1" applyFill="1" applyBorder="1" applyAlignment="1">
      <alignment horizontal="center" vertical="center"/>
    </xf>
    <xf numFmtId="0" fontId="0" fillId="0" borderId="16" xfId="0" applyBorder="1" applyAlignment="1">
      <alignment horizontal="left"/>
    </xf>
    <xf numFmtId="0" fontId="0" fillId="0" borderId="24" xfId="0" applyBorder="1" applyAlignment="1">
      <alignment horizontal="left"/>
    </xf>
    <xf numFmtId="0" fontId="42" fillId="2" borderId="18" xfId="0" applyFont="1" applyFill="1" applyBorder="1" applyAlignment="1">
      <alignment horizontal="center" vertical="center"/>
    </xf>
    <xf numFmtId="1" fontId="2" fillId="0" borderId="0" xfId="0" applyNumberFormat="1" applyFont="1" applyAlignment="1">
      <alignment horizontal="center" vertical="center" wrapText="1"/>
    </xf>
    <xf numFmtId="1" fontId="2" fillId="0" borderId="23" xfId="0" applyNumberFormat="1" applyFont="1" applyBorder="1" applyAlignment="1">
      <alignment horizontal="center" vertical="center" wrapText="1"/>
    </xf>
    <xf numFmtId="0" fontId="52" fillId="0" borderId="0" xfId="0" applyFont="1" applyAlignment="1">
      <alignment vertical="center" wrapText="1"/>
    </xf>
    <xf numFmtId="0" fontId="52" fillId="0" borderId="23" xfId="0" applyFont="1" applyBorder="1" applyAlignment="1">
      <alignment vertical="center" wrapText="1"/>
    </xf>
    <xf numFmtId="0" fontId="0" fillId="0" borderId="0" xfId="0" applyAlignment="1">
      <alignment horizontal="right"/>
    </xf>
    <xf numFmtId="0" fontId="47" fillId="0" borderId="0" xfId="0" applyFont="1" applyAlignment="1">
      <alignment horizontal="center"/>
    </xf>
    <xf numFmtId="0" fontId="47" fillId="0" borderId="23" xfId="0" applyFont="1" applyBorder="1" applyAlignment="1">
      <alignment horizontal="center"/>
    </xf>
    <xf numFmtId="0" fontId="42" fillId="2" borderId="28" xfId="0" applyFont="1" applyFill="1" applyBorder="1" applyAlignment="1">
      <alignment vertical="center"/>
    </xf>
    <xf numFmtId="0" fontId="42" fillId="2" borderId="29" xfId="0" applyFont="1" applyFill="1" applyBorder="1" applyAlignment="1">
      <alignment vertical="center"/>
    </xf>
    <xf numFmtId="0" fontId="42" fillId="2" borderId="28" xfId="0" applyFont="1" applyFill="1" applyBorder="1" applyAlignment="1">
      <alignment horizontal="center" vertical="center"/>
    </xf>
    <xf numFmtId="0" fontId="42" fillId="2" borderId="29" xfId="0" applyFont="1" applyFill="1" applyBorder="1" applyAlignment="1">
      <alignment horizontal="center" vertical="center"/>
    </xf>
    <xf numFmtId="0" fontId="42" fillId="2" borderId="40" xfId="0" applyFont="1" applyFill="1" applyBorder="1" applyAlignment="1">
      <alignment horizontal="center" vertical="center"/>
    </xf>
    <xf numFmtId="0" fontId="42" fillId="2" borderId="8" xfId="0" applyFont="1" applyFill="1" applyBorder="1" applyAlignment="1">
      <alignment horizontal="center" vertical="center"/>
    </xf>
    <xf numFmtId="0" fontId="42" fillId="2" borderId="19" xfId="0" applyFont="1" applyFill="1" applyBorder="1" applyAlignment="1">
      <alignment horizontal="center" vertical="center"/>
    </xf>
    <xf numFmtId="0" fontId="42" fillId="2" borderId="38" xfId="0" applyFont="1" applyFill="1" applyBorder="1" applyAlignment="1">
      <alignment horizontal="center" vertical="center"/>
    </xf>
    <xf numFmtId="1" fontId="50" fillId="2" borderId="0" xfId="0" applyNumberFormat="1" applyFont="1" applyFill="1" applyAlignment="1">
      <alignment horizontal="center" vertical="center"/>
    </xf>
    <xf numFmtId="0" fontId="50" fillId="2" borderId="0" xfId="0" applyFont="1" applyFill="1" applyAlignment="1">
      <alignment horizontal="center" vertical="center"/>
    </xf>
    <xf numFmtId="0" fontId="0" fillId="0" borderId="0" xfId="0" applyAlignment="1">
      <alignment horizontal="left"/>
    </xf>
    <xf numFmtId="0" fontId="0" fillId="0" borderId="23" xfId="0" applyBorder="1" applyAlignment="1">
      <alignment horizontal="left"/>
    </xf>
    <xf numFmtId="0" fontId="2" fillId="0" borderId="16" xfId="0" applyFont="1" applyBorder="1" applyAlignment="1">
      <alignment horizontal="left"/>
    </xf>
    <xf numFmtId="0" fontId="2" fillId="0" borderId="24" xfId="0" applyFont="1" applyBorder="1" applyAlignment="1">
      <alignment horizontal="left"/>
    </xf>
    <xf numFmtId="0" fontId="2" fillId="0" borderId="39" xfId="0" applyFont="1" applyBorder="1" applyAlignment="1">
      <alignment horizontal="left"/>
    </xf>
    <xf numFmtId="0" fontId="17" fillId="0" borderId="43" xfId="0" applyFont="1" applyBorder="1" applyAlignment="1">
      <alignment horizontal="left"/>
    </xf>
    <xf numFmtId="0" fontId="17" fillId="0" borderId="4" xfId="0" applyFont="1" applyBorder="1" applyAlignment="1">
      <alignment horizontal="left"/>
    </xf>
    <xf numFmtId="1" fontId="0" fillId="0" borderId="4" xfId="0" applyNumberFormat="1" applyBorder="1" applyAlignment="1">
      <alignment horizontal="center"/>
    </xf>
    <xf numFmtId="0" fontId="0" fillId="0" borderId="36" xfId="0" applyBorder="1" applyAlignment="1">
      <alignment horizontal="center"/>
    </xf>
    <xf numFmtId="0" fontId="6" fillId="0" borderId="22" xfId="0" applyFont="1" applyBorder="1" applyAlignment="1">
      <alignment horizontal="left" vertical="center"/>
    </xf>
    <xf numFmtId="0" fontId="6" fillId="0" borderId="0" xfId="0" applyFont="1" applyAlignment="1">
      <alignment horizontal="left" vertical="center"/>
    </xf>
    <xf numFmtId="0" fontId="6" fillId="0" borderId="23" xfId="0" applyFont="1" applyBorder="1" applyAlignment="1">
      <alignment horizontal="left" vertical="center"/>
    </xf>
    <xf numFmtId="0" fontId="37" fillId="0" borderId="0" xfId="0" applyFont="1" applyAlignment="1">
      <alignment horizontal="left"/>
    </xf>
    <xf numFmtId="0" fontId="37" fillId="0" borderId="23" xfId="0" applyFont="1" applyBorder="1" applyAlignment="1">
      <alignment horizontal="left"/>
    </xf>
    <xf numFmtId="0" fontId="7" fillId="0" borderId="0" xfId="0" applyFont="1" applyAlignment="1">
      <alignment horizontal="left" vertical="center" wrapText="1"/>
    </xf>
    <xf numFmtId="0" fontId="7" fillId="0" borderId="23" xfId="0" applyFont="1" applyBorder="1" applyAlignment="1">
      <alignment horizontal="left" vertical="center" wrapText="1"/>
    </xf>
    <xf numFmtId="0" fontId="37" fillId="0" borderId="22" xfId="0" applyFont="1" applyBorder="1" applyAlignment="1">
      <alignment horizontal="center"/>
    </xf>
    <xf numFmtId="0" fontId="37" fillId="0" borderId="0" xfId="0" applyFont="1" applyAlignment="1">
      <alignment horizontal="center"/>
    </xf>
    <xf numFmtId="0" fontId="37" fillId="0" borderId="23" xfId="0" applyFont="1" applyBorder="1" applyAlignment="1">
      <alignment horizontal="center"/>
    </xf>
    <xf numFmtId="0" fontId="17" fillId="0" borderId="22" xfId="0" applyFont="1" applyBorder="1" applyAlignment="1">
      <alignment horizontal="left"/>
    </xf>
    <xf numFmtId="0" fontId="17" fillId="0" borderId="0" xfId="0" applyFont="1" applyAlignment="1">
      <alignment horizontal="left"/>
    </xf>
    <xf numFmtId="0" fontId="17" fillId="0" borderId="23" xfId="0" applyFont="1" applyBorder="1" applyAlignment="1">
      <alignment horizontal="left"/>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14" fontId="0" fillId="0" borderId="4" xfId="0" applyNumberFormat="1" applyBorder="1" applyAlignment="1">
      <alignment horizontal="center"/>
    </xf>
    <xf numFmtId="0" fontId="0" fillId="0" borderId="4" xfId="0" applyBorder="1" applyAlignment="1">
      <alignment horizontal="center"/>
    </xf>
    <xf numFmtId="0" fontId="55" fillId="0" borderId="20" xfId="0" applyFont="1" applyBorder="1" applyAlignment="1">
      <alignment horizontal="center"/>
    </xf>
    <xf numFmtId="0" fontId="55" fillId="0" borderId="9" xfId="0" applyFont="1" applyBorder="1" applyAlignment="1">
      <alignment horizontal="center"/>
    </xf>
    <xf numFmtId="0" fontId="55" fillId="0" borderId="21" xfId="0" applyFont="1" applyBorder="1" applyAlignment="1">
      <alignment horizontal="center"/>
    </xf>
    <xf numFmtId="0" fontId="56" fillId="0" borderId="22" xfId="0" applyFont="1" applyBorder="1" applyAlignment="1">
      <alignment horizontal="center"/>
    </xf>
    <xf numFmtId="0" fontId="56" fillId="0" borderId="0" xfId="0" applyFont="1" applyAlignment="1">
      <alignment horizontal="center"/>
    </xf>
    <xf numFmtId="0" fontId="56" fillId="0" borderId="23" xfId="0" applyFont="1" applyBorder="1" applyAlignment="1">
      <alignment horizontal="center"/>
    </xf>
    <xf numFmtId="0" fontId="57" fillId="0" borderId="22" xfId="0" applyFont="1" applyBorder="1" applyAlignment="1">
      <alignment horizontal="center"/>
    </xf>
    <xf numFmtId="0" fontId="57" fillId="0" borderId="0" xfId="0" applyFont="1" applyAlignment="1">
      <alignment horizontal="center"/>
    </xf>
    <xf numFmtId="0" fontId="57" fillId="0" borderId="23" xfId="0" applyFont="1" applyBorder="1" applyAlignment="1">
      <alignment horizontal="center"/>
    </xf>
    <xf numFmtId="0" fontId="17" fillId="0" borderId="22" xfId="0" applyFont="1" applyBorder="1" applyAlignment="1">
      <alignment horizontal="justify" vertical="justify" wrapText="1"/>
    </xf>
    <xf numFmtId="0" fontId="17" fillId="0" borderId="0" xfId="0" applyFont="1" applyAlignment="1">
      <alignment horizontal="justify" vertical="justify" wrapText="1"/>
    </xf>
    <xf numFmtId="0" fontId="17" fillId="0" borderId="23" xfId="0" applyFont="1" applyBorder="1" applyAlignment="1">
      <alignment horizontal="justify" vertical="justify" wrapText="1"/>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41" xfId="0" applyBorder="1" applyAlignment="1">
      <alignment horizontal="center" vertical="center" wrapText="1"/>
    </xf>
    <xf numFmtId="0" fontId="0" fillId="0" borderId="36" xfId="0" applyBorder="1" applyAlignment="1">
      <alignment horizontal="center" vertical="center" wrapText="1"/>
    </xf>
    <xf numFmtId="0" fontId="58" fillId="0" borderId="4" xfId="0" applyFont="1" applyBorder="1" applyAlignment="1">
      <alignment horizontal="center"/>
    </xf>
    <xf numFmtId="0" fontId="7" fillId="0" borderId="0" xfId="0" applyFont="1" applyAlignment="1">
      <alignment horizontal="left"/>
    </xf>
    <xf numFmtId="0" fontId="0" fillId="0" borderId="44" xfId="0" applyBorder="1" applyAlignment="1">
      <alignment horizontal="center" vertical="center" wrapText="1"/>
    </xf>
    <xf numFmtId="0" fontId="0" fillId="0" borderId="43"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12" fillId="0" borderId="9" xfId="0" applyFont="1" applyBorder="1" applyAlignment="1">
      <alignment horizontal="center"/>
    </xf>
    <xf numFmtId="0" fontId="18" fillId="0" borderId="0" xfId="0" applyFont="1" applyAlignment="1">
      <alignment horizontal="center"/>
    </xf>
  </cellXfs>
  <cellStyles count="11">
    <cellStyle name="Comma 2" xfId="1" xr:uid="{00000000-0005-0000-0000-000000000000}"/>
    <cellStyle name="Comma 2 2" xfId="9" xr:uid="{00000000-0005-0000-0000-000001000000}"/>
    <cellStyle name="Comma 2 3" xfId="10" xr:uid="{00000000-0005-0000-0000-000002000000}"/>
    <cellStyle name="Excel Built-in Normal 1" xfId="6" xr:uid="{00000000-0005-0000-0000-000003000000}"/>
    <cellStyle name="Excel Built-in Normal 2" xfId="7" xr:uid="{00000000-0005-0000-0000-000004000000}"/>
    <cellStyle name="Normal" xfId="0" builtinId="0"/>
    <cellStyle name="Normal 2" xfId="3" xr:uid="{00000000-0005-0000-0000-000006000000}"/>
    <cellStyle name="Normal 3" xfId="8" xr:uid="{00000000-0005-0000-0000-000007000000}"/>
    <cellStyle name="Normal 4 3 3 2 2" xfId="2" xr:uid="{00000000-0005-0000-0000-000008000000}"/>
    <cellStyle name="Normal 4 3 3 2 2 2" xfId="4" xr:uid="{00000000-0005-0000-0000-000009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1.jpeg"/><Relationship Id="rId2" Type="http://schemas.openxmlformats.org/officeDocument/2006/relationships/image" Target="../media/image20.jpeg"/><Relationship Id="rId1" Type="http://schemas.openxmlformats.org/officeDocument/2006/relationships/image" Target="../media/image19.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1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5.emf"/></Relationships>
</file>

<file path=xl/drawings/_rels/drawing15.xml.rels><?xml version="1.0" encoding="UTF-8" standalone="yes"?>
<Relationships xmlns="http://schemas.openxmlformats.org/package/2006/relationships"><Relationship Id="rId1" Type="http://schemas.openxmlformats.org/officeDocument/2006/relationships/image" Target="../media/image25.emf"/></Relationships>
</file>

<file path=xl/drawings/drawing1.xml><?xml version="1.0" encoding="utf-8"?>
<xdr:wsDr xmlns:xdr="http://schemas.openxmlformats.org/drawingml/2006/spreadsheetDrawing" xmlns:a="http://schemas.openxmlformats.org/drawingml/2006/main">
  <xdr:twoCellAnchor editAs="oneCell">
    <xdr:from>
      <xdr:col>9</xdr:col>
      <xdr:colOff>207066</xdr:colOff>
      <xdr:row>18</xdr:row>
      <xdr:rowOff>16564</xdr:rowOff>
    </xdr:from>
    <xdr:to>
      <xdr:col>9</xdr:col>
      <xdr:colOff>1250675</xdr:colOff>
      <xdr:row>18</xdr:row>
      <xdr:rowOff>223177</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57283" y="2551042"/>
          <a:ext cx="1043609" cy="206613"/>
        </a:xfrm>
        <a:prstGeom prst="rect">
          <a:avLst/>
        </a:prstGeom>
      </xdr:spPr>
    </xdr:pic>
    <xdr:clientData/>
  </xdr:twoCellAnchor>
  <xdr:twoCellAnchor editAs="oneCell">
    <xdr:from>
      <xdr:col>9</xdr:col>
      <xdr:colOff>248478</xdr:colOff>
      <xdr:row>18</xdr:row>
      <xdr:rowOff>181593</xdr:rowOff>
    </xdr:from>
    <xdr:to>
      <xdr:col>9</xdr:col>
      <xdr:colOff>720587</xdr:colOff>
      <xdr:row>18</xdr:row>
      <xdr:rowOff>427653</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098695" y="2716071"/>
          <a:ext cx="472109" cy="257993"/>
        </a:xfrm>
        <a:prstGeom prst="rect">
          <a:avLst/>
        </a:prstGeom>
      </xdr:spPr>
    </xdr:pic>
    <xdr:clientData/>
  </xdr:twoCellAnchor>
  <xdr:twoCellAnchor editAs="oneCell">
    <xdr:from>
      <xdr:col>9</xdr:col>
      <xdr:colOff>281609</xdr:colOff>
      <xdr:row>23</xdr:row>
      <xdr:rowOff>0</xdr:rowOff>
    </xdr:from>
    <xdr:to>
      <xdr:col>9</xdr:col>
      <xdr:colOff>1242391</xdr:colOff>
      <xdr:row>23</xdr:row>
      <xdr:rowOff>253840</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31826" y="2998304"/>
          <a:ext cx="960782" cy="252487"/>
        </a:xfrm>
        <a:prstGeom prst="rect">
          <a:avLst/>
        </a:prstGeom>
      </xdr:spPr>
    </xdr:pic>
    <xdr:clientData/>
  </xdr:twoCellAnchor>
  <xdr:twoCellAnchor editAs="oneCell">
    <xdr:from>
      <xdr:col>9</xdr:col>
      <xdr:colOff>149087</xdr:colOff>
      <xdr:row>27</xdr:row>
      <xdr:rowOff>26851</xdr:rowOff>
    </xdr:from>
    <xdr:to>
      <xdr:col>9</xdr:col>
      <xdr:colOff>1002196</xdr:colOff>
      <xdr:row>27</xdr:row>
      <xdr:rowOff>231102</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999304" y="3257068"/>
          <a:ext cx="853109" cy="204251"/>
        </a:xfrm>
        <a:prstGeom prst="rect">
          <a:avLst/>
        </a:prstGeom>
      </xdr:spPr>
    </xdr:pic>
    <xdr:clientData/>
  </xdr:twoCellAnchor>
  <xdr:twoCellAnchor editAs="oneCell">
    <xdr:from>
      <xdr:col>9</xdr:col>
      <xdr:colOff>256762</xdr:colOff>
      <xdr:row>29</xdr:row>
      <xdr:rowOff>23387</xdr:rowOff>
    </xdr:from>
    <xdr:to>
      <xdr:col>9</xdr:col>
      <xdr:colOff>712304</xdr:colOff>
      <xdr:row>29</xdr:row>
      <xdr:rowOff>224361</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106979" y="3485517"/>
          <a:ext cx="455542" cy="200974"/>
        </a:xfrm>
        <a:prstGeom prst="rect">
          <a:avLst/>
        </a:prstGeom>
      </xdr:spPr>
    </xdr:pic>
    <xdr:clientData/>
  </xdr:twoCellAnchor>
  <xdr:twoCellAnchor editAs="oneCell">
    <xdr:from>
      <xdr:col>9</xdr:col>
      <xdr:colOff>124239</xdr:colOff>
      <xdr:row>30</xdr:row>
      <xdr:rowOff>7362</xdr:rowOff>
    </xdr:from>
    <xdr:to>
      <xdr:col>9</xdr:col>
      <xdr:colOff>869674</xdr:colOff>
      <xdr:row>30</xdr:row>
      <xdr:rowOff>244308</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974456" y="3701405"/>
          <a:ext cx="745435" cy="235594"/>
        </a:xfrm>
        <a:prstGeom prst="rect">
          <a:avLst/>
        </a:prstGeom>
      </xdr:spPr>
    </xdr:pic>
    <xdr:clientData/>
  </xdr:twoCellAnchor>
  <xdr:twoCellAnchor editAs="oneCell">
    <xdr:from>
      <xdr:col>9</xdr:col>
      <xdr:colOff>66261</xdr:colOff>
      <xdr:row>31</xdr:row>
      <xdr:rowOff>18144</xdr:rowOff>
    </xdr:from>
    <xdr:to>
      <xdr:col>9</xdr:col>
      <xdr:colOff>919371</xdr:colOff>
      <xdr:row>31</xdr:row>
      <xdr:rowOff>242929</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916478" y="3944101"/>
          <a:ext cx="853110" cy="223433"/>
        </a:xfrm>
        <a:prstGeom prst="rect">
          <a:avLst/>
        </a:prstGeom>
      </xdr:spPr>
    </xdr:pic>
    <xdr:clientData/>
  </xdr:twoCellAnchor>
  <xdr:twoCellAnchor editAs="oneCell">
    <xdr:from>
      <xdr:col>9</xdr:col>
      <xdr:colOff>74544</xdr:colOff>
      <xdr:row>32</xdr:row>
      <xdr:rowOff>8282</xdr:rowOff>
    </xdr:from>
    <xdr:to>
      <xdr:col>9</xdr:col>
      <xdr:colOff>969066</xdr:colOff>
      <xdr:row>32</xdr:row>
      <xdr:rowOff>215347</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924761" y="4166152"/>
          <a:ext cx="894522" cy="207065"/>
        </a:xfrm>
        <a:prstGeom prst="rect">
          <a:avLst/>
        </a:prstGeom>
      </xdr:spPr>
    </xdr:pic>
    <xdr:clientData/>
  </xdr:twoCellAnchor>
  <xdr:twoCellAnchor editAs="oneCell">
    <xdr:from>
      <xdr:col>9</xdr:col>
      <xdr:colOff>0</xdr:colOff>
      <xdr:row>33</xdr:row>
      <xdr:rowOff>0</xdr:rowOff>
    </xdr:from>
    <xdr:to>
      <xdr:col>9</xdr:col>
      <xdr:colOff>1300370</xdr:colOff>
      <xdr:row>33</xdr:row>
      <xdr:rowOff>233266</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850217" y="4389783"/>
          <a:ext cx="1300370" cy="231913"/>
        </a:xfrm>
        <a:prstGeom prst="rect">
          <a:avLst/>
        </a:prstGeom>
      </xdr:spPr>
    </xdr:pic>
    <xdr:clientData/>
  </xdr:twoCellAnchor>
  <xdr:twoCellAnchor editAs="oneCell">
    <xdr:from>
      <xdr:col>9</xdr:col>
      <xdr:colOff>223631</xdr:colOff>
      <xdr:row>34</xdr:row>
      <xdr:rowOff>215347</xdr:rowOff>
    </xdr:from>
    <xdr:to>
      <xdr:col>9</xdr:col>
      <xdr:colOff>1164351</xdr:colOff>
      <xdr:row>34</xdr:row>
      <xdr:rowOff>455983</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073848" y="4605130"/>
          <a:ext cx="940720" cy="247058"/>
        </a:xfrm>
        <a:prstGeom prst="rect">
          <a:avLst/>
        </a:prstGeom>
      </xdr:spPr>
    </xdr:pic>
    <xdr:clientData/>
  </xdr:twoCellAnchor>
  <xdr:twoCellAnchor editAs="oneCell">
    <xdr:from>
      <xdr:col>9</xdr:col>
      <xdr:colOff>115957</xdr:colOff>
      <xdr:row>36</xdr:row>
      <xdr:rowOff>12235</xdr:rowOff>
    </xdr:from>
    <xdr:to>
      <xdr:col>9</xdr:col>
      <xdr:colOff>960783</xdr:colOff>
      <xdr:row>36</xdr:row>
      <xdr:rowOff>190501</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966174" y="4865844"/>
          <a:ext cx="844826" cy="178266"/>
        </a:xfrm>
        <a:prstGeom prst="rect">
          <a:avLst/>
        </a:prstGeom>
      </xdr:spPr>
    </xdr:pic>
    <xdr:clientData/>
  </xdr:twoCellAnchor>
  <xdr:twoCellAnchor editAs="oneCell">
    <xdr:from>
      <xdr:col>9</xdr:col>
      <xdr:colOff>281610</xdr:colOff>
      <xdr:row>37</xdr:row>
      <xdr:rowOff>27517</xdr:rowOff>
    </xdr:from>
    <xdr:to>
      <xdr:col>9</xdr:col>
      <xdr:colOff>977348</xdr:colOff>
      <xdr:row>37</xdr:row>
      <xdr:rowOff>242493</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131827" y="5113039"/>
          <a:ext cx="695738" cy="213624"/>
        </a:xfrm>
        <a:prstGeom prst="rect">
          <a:avLst/>
        </a:prstGeom>
      </xdr:spPr>
    </xdr:pic>
    <xdr:clientData/>
  </xdr:twoCellAnchor>
  <xdr:twoCellAnchor editAs="oneCell">
    <xdr:from>
      <xdr:col>9</xdr:col>
      <xdr:colOff>182217</xdr:colOff>
      <xdr:row>38</xdr:row>
      <xdr:rowOff>36837</xdr:rowOff>
    </xdr:from>
    <xdr:to>
      <xdr:col>9</xdr:col>
      <xdr:colOff>985631</xdr:colOff>
      <xdr:row>38</xdr:row>
      <xdr:rowOff>219198</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032434" y="5354272"/>
          <a:ext cx="803414" cy="182361"/>
        </a:xfrm>
        <a:prstGeom prst="rect">
          <a:avLst/>
        </a:prstGeom>
      </xdr:spPr>
    </xdr:pic>
    <xdr:clientData/>
  </xdr:twoCellAnchor>
  <xdr:twoCellAnchor editAs="oneCell">
    <xdr:from>
      <xdr:col>9</xdr:col>
      <xdr:colOff>281609</xdr:colOff>
      <xdr:row>40</xdr:row>
      <xdr:rowOff>91109</xdr:rowOff>
    </xdr:from>
    <xdr:to>
      <xdr:col>9</xdr:col>
      <xdr:colOff>911321</xdr:colOff>
      <xdr:row>40</xdr:row>
      <xdr:rowOff>543508</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131826" y="6096000"/>
          <a:ext cx="629712" cy="460174"/>
        </a:xfrm>
        <a:prstGeom prst="rect">
          <a:avLst/>
        </a:prstGeom>
      </xdr:spPr>
    </xdr:pic>
    <xdr:clientData/>
  </xdr:twoCellAnchor>
  <xdr:twoCellAnchor editAs="oneCell">
    <xdr:from>
      <xdr:col>9</xdr:col>
      <xdr:colOff>331306</xdr:colOff>
      <xdr:row>39</xdr:row>
      <xdr:rowOff>16565</xdr:rowOff>
    </xdr:from>
    <xdr:to>
      <xdr:col>9</xdr:col>
      <xdr:colOff>1010480</xdr:colOff>
      <xdr:row>39</xdr:row>
      <xdr:rowOff>399634</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181523" y="5565913"/>
          <a:ext cx="679174" cy="390845"/>
        </a:xfrm>
        <a:prstGeom prst="rect">
          <a:avLst/>
        </a:prstGeom>
      </xdr:spPr>
    </xdr:pic>
    <xdr:clientData/>
  </xdr:twoCellAnchor>
  <xdr:twoCellAnchor editAs="oneCell">
    <xdr:from>
      <xdr:col>9</xdr:col>
      <xdr:colOff>0</xdr:colOff>
      <xdr:row>57</xdr:row>
      <xdr:rowOff>93306</xdr:rowOff>
    </xdr:from>
    <xdr:to>
      <xdr:col>10</xdr:col>
      <xdr:colOff>227060</xdr:colOff>
      <xdr:row>60</xdr:row>
      <xdr:rowOff>31102</xdr:rowOff>
    </xdr:to>
    <xdr:pic>
      <xdr:nvPicPr>
        <xdr:cNvPr id="30" name="Picture 29">
          <a:extLst>
            <a:ext uri="{FF2B5EF4-FFF2-40B4-BE49-F238E27FC236}">
              <a16:creationId xmlns:a16="http://schemas.microsoft.com/office/drawing/2014/main" id="{9E62356F-463B-49F3-BB77-3A927C9F6FB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187265" y="36039490"/>
          <a:ext cx="1867693" cy="8941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38100</xdr:colOff>
      <xdr:row>43</xdr:row>
      <xdr:rowOff>0</xdr:rowOff>
    </xdr:from>
    <xdr:to>
      <xdr:col>10</xdr:col>
      <xdr:colOff>713467</xdr:colOff>
      <xdr:row>49</xdr:row>
      <xdr:rowOff>9525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67600" y="8229600"/>
          <a:ext cx="2285092" cy="1152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27</xdr:col>
      <xdr:colOff>180976</xdr:colOff>
      <xdr:row>31</xdr:row>
      <xdr:rowOff>47626</xdr:rowOff>
    </xdr:from>
    <xdr:to>
      <xdr:col>35</xdr:col>
      <xdr:colOff>9526</xdr:colOff>
      <xdr:row>34</xdr:row>
      <xdr:rowOff>180975</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10526" y="6591301"/>
          <a:ext cx="1962150" cy="7334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219075</xdr:colOff>
      <xdr:row>38</xdr:row>
      <xdr:rowOff>114300</xdr:rowOff>
    </xdr:from>
    <xdr:to>
      <xdr:col>8</xdr:col>
      <xdr:colOff>600074</xdr:colOff>
      <xdr:row>43</xdr:row>
      <xdr:rowOff>36145</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10275" y="31346775"/>
          <a:ext cx="1733550" cy="874345"/>
        </a:xfrm>
        <a:prstGeom prst="rect">
          <a:avLst/>
        </a:prstGeom>
      </xdr:spPr>
    </xdr:pic>
    <xdr:clientData/>
  </xdr:twoCellAnchor>
  <xdr:twoCellAnchor editAs="oneCell">
    <xdr:from>
      <xdr:col>6</xdr:col>
      <xdr:colOff>114300</xdr:colOff>
      <xdr:row>99</xdr:row>
      <xdr:rowOff>47625</xdr:rowOff>
    </xdr:from>
    <xdr:to>
      <xdr:col>8</xdr:col>
      <xdr:colOff>495299</xdr:colOff>
      <xdr:row>103</xdr:row>
      <xdr:rowOff>159970</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05500" y="19050000"/>
          <a:ext cx="1733550" cy="874345"/>
        </a:xfrm>
        <a:prstGeom prst="rect">
          <a:avLst/>
        </a:prstGeom>
      </xdr:spPr>
    </xdr:pic>
    <xdr:clientData/>
  </xdr:twoCellAnchor>
  <xdr:oneCellAnchor>
    <xdr:from>
      <xdr:col>6</xdr:col>
      <xdr:colOff>266700</xdr:colOff>
      <xdr:row>157</xdr:row>
      <xdr:rowOff>161925</xdr:rowOff>
    </xdr:from>
    <xdr:ext cx="1771650" cy="842595"/>
    <xdr:pic>
      <xdr:nvPicPr>
        <xdr:cNvPr id="18" name="Picture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56960" y="108503085"/>
          <a:ext cx="1771650" cy="842595"/>
        </a:xfrm>
        <a:prstGeom prst="rect">
          <a:avLst/>
        </a:prstGeom>
      </xdr:spPr>
    </xdr:pic>
    <xdr:clientData/>
  </xdr:oneCellAnchor>
  <xdr:oneCellAnchor>
    <xdr:from>
      <xdr:col>6</xdr:col>
      <xdr:colOff>266700</xdr:colOff>
      <xdr:row>218</xdr:row>
      <xdr:rowOff>161925</xdr:rowOff>
    </xdr:from>
    <xdr:ext cx="1771650" cy="842595"/>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56960" y="108503085"/>
          <a:ext cx="1771650" cy="842595"/>
        </a:xfrm>
        <a:prstGeom prst="rect">
          <a:avLst/>
        </a:prstGeom>
      </xdr:spPr>
    </xdr:pic>
    <xdr:clientData/>
  </xdr:oneCellAnchor>
  <xdr:oneCellAnchor>
    <xdr:from>
      <xdr:col>6</xdr:col>
      <xdr:colOff>266700</xdr:colOff>
      <xdr:row>279</xdr:row>
      <xdr:rowOff>161925</xdr:rowOff>
    </xdr:from>
    <xdr:ext cx="1771650" cy="842595"/>
    <xdr:pic>
      <xdr:nvPicPr>
        <xdr:cNvPr id="20" name="Picture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56960" y="117121305"/>
          <a:ext cx="1771650" cy="842595"/>
        </a:xfrm>
        <a:prstGeom prst="rect">
          <a:avLst/>
        </a:prstGeom>
      </xdr:spPr>
    </xdr:pic>
    <xdr:clientData/>
  </xdr:oneCellAnchor>
  <xdr:oneCellAnchor>
    <xdr:from>
      <xdr:col>6</xdr:col>
      <xdr:colOff>266700</xdr:colOff>
      <xdr:row>340</xdr:row>
      <xdr:rowOff>161925</xdr:rowOff>
    </xdr:from>
    <xdr:ext cx="1771650" cy="842595"/>
    <xdr:pic>
      <xdr:nvPicPr>
        <xdr:cNvPr id="22" name="Picture 2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56960" y="117121305"/>
          <a:ext cx="1771650" cy="842595"/>
        </a:xfrm>
        <a:prstGeom prst="rect">
          <a:avLst/>
        </a:prstGeom>
      </xdr:spPr>
    </xdr:pic>
    <xdr:clientData/>
  </xdr:oneCellAnchor>
  <xdr:oneCellAnchor>
    <xdr:from>
      <xdr:col>6</xdr:col>
      <xdr:colOff>266700</xdr:colOff>
      <xdr:row>398</xdr:row>
      <xdr:rowOff>161925</xdr:rowOff>
    </xdr:from>
    <xdr:ext cx="1771650" cy="842595"/>
    <xdr:pic>
      <xdr:nvPicPr>
        <xdr:cNvPr id="16" name="Picture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16650" y="155273375"/>
          <a:ext cx="1771650" cy="842595"/>
        </a:xfrm>
        <a:prstGeom prst="rect">
          <a:avLst/>
        </a:prstGeom>
      </xdr:spPr>
    </xdr:pic>
    <xdr:clientData/>
  </xdr:oneCellAnchor>
  <xdr:oneCellAnchor>
    <xdr:from>
      <xdr:col>6</xdr:col>
      <xdr:colOff>266700</xdr:colOff>
      <xdr:row>457</xdr:row>
      <xdr:rowOff>161925</xdr:rowOff>
    </xdr:from>
    <xdr:ext cx="1771650" cy="842595"/>
    <xdr:pic>
      <xdr:nvPicPr>
        <xdr:cNvPr id="25" name="Picture 24">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16650" y="166290625"/>
          <a:ext cx="1771650" cy="842595"/>
        </a:xfrm>
        <a:prstGeom prst="rect">
          <a:avLst/>
        </a:prstGeom>
      </xdr:spPr>
    </xdr:pic>
    <xdr:clientData/>
  </xdr:oneCellAnchor>
  <xdr:oneCellAnchor>
    <xdr:from>
      <xdr:col>6</xdr:col>
      <xdr:colOff>266700</xdr:colOff>
      <xdr:row>514</xdr:row>
      <xdr:rowOff>161925</xdr:rowOff>
    </xdr:from>
    <xdr:ext cx="1771650" cy="842595"/>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16650" y="166290625"/>
          <a:ext cx="1771650" cy="842595"/>
        </a:xfrm>
        <a:prstGeom prst="rect">
          <a:avLst/>
        </a:prstGeom>
      </xdr:spPr>
    </xdr:pic>
    <xdr:clientData/>
  </xdr:oneCellAnchor>
  <xdr:oneCellAnchor>
    <xdr:from>
      <xdr:col>6</xdr:col>
      <xdr:colOff>266700</xdr:colOff>
      <xdr:row>573</xdr:row>
      <xdr:rowOff>161925</xdr:rowOff>
    </xdr:from>
    <xdr:ext cx="1771650" cy="842595"/>
    <xdr:pic>
      <xdr:nvPicPr>
        <xdr:cNvPr id="28" name="Picture 27">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16650" y="166290625"/>
          <a:ext cx="1771650" cy="842595"/>
        </a:xfrm>
        <a:prstGeom prst="rect">
          <a:avLst/>
        </a:prstGeom>
      </xdr:spPr>
    </xdr:pic>
    <xdr:clientData/>
  </xdr:oneCellAnchor>
  <xdr:oneCellAnchor>
    <xdr:from>
      <xdr:col>6</xdr:col>
      <xdr:colOff>266700</xdr:colOff>
      <xdr:row>632</xdr:row>
      <xdr:rowOff>161925</xdr:rowOff>
    </xdr:from>
    <xdr:ext cx="1771650" cy="842595"/>
    <xdr:pic>
      <xdr:nvPicPr>
        <xdr:cNvPr id="29" name="Picture 28">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16650" y="177492025"/>
          <a:ext cx="1771650" cy="842595"/>
        </a:xfrm>
        <a:prstGeom prst="rect">
          <a:avLst/>
        </a:prstGeom>
      </xdr:spPr>
    </xdr:pic>
    <xdr:clientData/>
  </xdr:oneCellAnchor>
  <xdr:oneCellAnchor>
    <xdr:from>
      <xdr:col>6</xdr:col>
      <xdr:colOff>266700</xdr:colOff>
      <xdr:row>689</xdr:row>
      <xdr:rowOff>161925</xdr:rowOff>
    </xdr:from>
    <xdr:ext cx="1771650" cy="842595"/>
    <xdr:pic>
      <xdr:nvPicPr>
        <xdr:cNvPr id="30" name="Picture 29">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56960" y="187560585"/>
          <a:ext cx="1771650" cy="842595"/>
        </a:xfrm>
        <a:prstGeom prst="rect">
          <a:avLst/>
        </a:prstGeom>
      </xdr:spPr>
    </xdr:pic>
    <xdr:clientData/>
  </xdr:oneCellAnchor>
  <xdr:oneCellAnchor>
    <xdr:from>
      <xdr:col>6</xdr:col>
      <xdr:colOff>266700</xdr:colOff>
      <xdr:row>748</xdr:row>
      <xdr:rowOff>161925</xdr:rowOff>
    </xdr:from>
    <xdr:ext cx="1771650" cy="842595"/>
    <xdr:pic>
      <xdr:nvPicPr>
        <xdr:cNvPr id="31" name="Picture 30">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56960" y="198723885"/>
          <a:ext cx="1771650" cy="842595"/>
        </a:xfrm>
        <a:prstGeom prst="rect">
          <a:avLst/>
        </a:prstGeom>
      </xdr:spPr>
    </xdr:pic>
    <xdr:clientData/>
  </xdr:oneCellAnchor>
  <xdr:oneCellAnchor>
    <xdr:from>
      <xdr:col>6</xdr:col>
      <xdr:colOff>266700</xdr:colOff>
      <xdr:row>806</xdr:row>
      <xdr:rowOff>161925</xdr:rowOff>
    </xdr:from>
    <xdr:ext cx="1771650" cy="842595"/>
    <xdr:pic>
      <xdr:nvPicPr>
        <xdr:cNvPr id="32" name="Picture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56960" y="209704305"/>
          <a:ext cx="1771650" cy="842595"/>
        </a:xfrm>
        <a:prstGeom prst="rect">
          <a:avLst/>
        </a:prstGeom>
      </xdr:spPr>
    </xdr:pic>
    <xdr:clientData/>
  </xdr:oneCellAnchor>
  <xdr:oneCellAnchor>
    <xdr:from>
      <xdr:col>6</xdr:col>
      <xdr:colOff>266700</xdr:colOff>
      <xdr:row>924</xdr:row>
      <xdr:rowOff>161925</xdr:rowOff>
    </xdr:from>
    <xdr:ext cx="1771650" cy="842595"/>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56960" y="220867605"/>
          <a:ext cx="1771650" cy="842595"/>
        </a:xfrm>
        <a:prstGeom prst="rect">
          <a:avLst/>
        </a:prstGeom>
      </xdr:spPr>
    </xdr:pic>
    <xdr:clientData/>
  </xdr:oneCellAnchor>
  <xdr:oneCellAnchor>
    <xdr:from>
      <xdr:col>6</xdr:col>
      <xdr:colOff>266700</xdr:colOff>
      <xdr:row>864</xdr:row>
      <xdr:rowOff>161925</xdr:rowOff>
    </xdr:from>
    <xdr:ext cx="1771650" cy="842595"/>
    <xdr:pic>
      <xdr:nvPicPr>
        <xdr:cNvPr id="21" name="Picture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03950" y="181327425"/>
          <a:ext cx="1771650" cy="842595"/>
        </a:xfrm>
        <a:prstGeom prst="rect">
          <a:avLst/>
        </a:prstGeom>
      </xdr:spPr>
    </xdr:pic>
    <xdr:clientData/>
  </xdr:oneCellAnchor>
  <xdr:oneCellAnchor>
    <xdr:from>
      <xdr:col>6</xdr:col>
      <xdr:colOff>266700</xdr:colOff>
      <xdr:row>982</xdr:row>
      <xdr:rowOff>161925</xdr:rowOff>
    </xdr:from>
    <xdr:ext cx="1771650" cy="842595"/>
    <xdr:pic>
      <xdr:nvPicPr>
        <xdr:cNvPr id="23" name="Picture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03950" y="181327425"/>
          <a:ext cx="1771650" cy="842595"/>
        </a:xfrm>
        <a:prstGeom prst="rect">
          <a:avLst/>
        </a:prstGeom>
      </xdr:spPr>
    </xdr:pic>
    <xdr:clientData/>
  </xdr:oneCellAnchor>
  <xdr:oneCellAnchor>
    <xdr:from>
      <xdr:col>6</xdr:col>
      <xdr:colOff>266700</xdr:colOff>
      <xdr:row>1040</xdr:row>
      <xdr:rowOff>161925</xdr:rowOff>
    </xdr:from>
    <xdr:ext cx="1771650" cy="842595"/>
    <xdr:pic>
      <xdr:nvPicPr>
        <xdr:cNvPr id="24" name="Picture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03950" y="181327425"/>
          <a:ext cx="1771650" cy="842595"/>
        </a:xfrm>
        <a:prstGeom prst="rect">
          <a:avLst/>
        </a:prstGeom>
      </xdr:spPr>
    </xdr:pic>
    <xdr:clientData/>
  </xdr:oneCellAnchor>
  <xdr:oneCellAnchor>
    <xdr:from>
      <xdr:col>6</xdr:col>
      <xdr:colOff>266700</xdr:colOff>
      <xdr:row>1100</xdr:row>
      <xdr:rowOff>161925</xdr:rowOff>
    </xdr:from>
    <xdr:ext cx="1771650" cy="842595"/>
    <xdr:pic>
      <xdr:nvPicPr>
        <xdr:cNvPr id="34" name="Picture 33">
          <a:extLst>
            <a:ext uri="{FF2B5EF4-FFF2-40B4-BE49-F238E27FC236}">
              <a16:creationId xmlns:a16="http://schemas.microsoft.com/office/drawing/2014/main" id="{CE4E4A14-01F6-43E7-9088-DFDE470E5F0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28833" y="201126725"/>
          <a:ext cx="1771650" cy="842595"/>
        </a:xfrm>
        <a:prstGeom prst="rect">
          <a:avLst/>
        </a:prstGeom>
      </xdr:spPr>
    </xdr:pic>
    <xdr:clientData/>
  </xdr:oneCellAnchor>
  <xdr:oneCellAnchor>
    <xdr:from>
      <xdr:col>6</xdr:col>
      <xdr:colOff>266700</xdr:colOff>
      <xdr:row>1158</xdr:row>
      <xdr:rowOff>161925</xdr:rowOff>
    </xdr:from>
    <xdr:ext cx="1771650" cy="842595"/>
    <xdr:pic>
      <xdr:nvPicPr>
        <xdr:cNvPr id="35" name="Picture 34">
          <a:extLst>
            <a:ext uri="{FF2B5EF4-FFF2-40B4-BE49-F238E27FC236}">
              <a16:creationId xmlns:a16="http://schemas.microsoft.com/office/drawing/2014/main" id="{6D026497-8FB1-4609-93B3-B24EB6E081C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28833" y="212302725"/>
          <a:ext cx="1771650" cy="842595"/>
        </a:xfrm>
        <a:prstGeom prst="rect">
          <a:avLst/>
        </a:prstGeom>
      </xdr:spPr>
    </xdr:pic>
    <xdr:clientData/>
  </xdr:oneCellAnchor>
  <xdr:oneCellAnchor>
    <xdr:from>
      <xdr:col>6</xdr:col>
      <xdr:colOff>266700</xdr:colOff>
      <xdr:row>1216</xdr:row>
      <xdr:rowOff>161925</xdr:rowOff>
    </xdr:from>
    <xdr:ext cx="1771650" cy="842595"/>
    <xdr:pic>
      <xdr:nvPicPr>
        <xdr:cNvPr id="36" name="Picture 35">
          <a:extLst>
            <a:ext uri="{FF2B5EF4-FFF2-40B4-BE49-F238E27FC236}">
              <a16:creationId xmlns:a16="http://schemas.microsoft.com/office/drawing/2014/main" id="{67CCEF20-F730-4F58-8D54-CC3C421F0C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28833" y="223478725"/>
          <a:ext cx="1771650" cy="84259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20</xdr:col>
      <xdr:colOff>0</xdr:colOff>
      <xdr:row>34</xdr:row>
      <xdr:rowOff>133351</xdr:rowOff>
    </xdr:from>
    <xdr:to>
      <xdr:col>22</xdr:col>
      <xdr:colOff>180975</xdr:colOff>
      <xdr:row>39</xdr:row>
      <xdr:rowOff>28575</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82725" y="10058401"/>
          <a:ext cx="1695450" cy="8477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40</xdr:row>
      <xdr:rowOff>0</xdr:rowOff>
    </xdr:from>
    <xdr:to>
      <xdr:col>11</xdr:col>
      <xdr:colOff>709137</xdr:colOff>
      <xdr:row>46</xdr:row>
      <xdr:rowOff>9525</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55227" y="37874864"/>
          <a:ext cx="2285092" cy="1152525"/>
        </a:xfrm>
        <a:prstGeom prst="rect">
          <a:avLst/>
        </a:prstGeom>
      </xdr:spPr>
    </xdr:pic>
    <xdr:clientData/>
  </xdr:twoCellAnchor>
  <xdr:twoCellAnchor editAs="oneCell">
    <xdr:from>
      <xdr:col>9</xdr:col>
      <xdr:colOff>0</xdr:colOff>
      <xdr:row>94</xdr:row>
      <xdr:rowOff>0</xdr:rowOff>
    </xdr:from>
    <xdr:to>
      <xdr:col>11</xdr:col>
      <xdr:colOff>709137</xdr:colOff>
      <xdr:row>100</xdr:row>
      <xdr:rowOff>9524</xdr:rowOff>
    </xdr:to>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55227" y="91457318"/>
          <a:ext cx="2285092" cy="1152525"/>
        </a:xfrm>
        <a:prstGeom prst="rect">
          <a:avLst/>
        </a:prstGeom>
      </xdr:spPr>
    </xdr:pic>
    <xdr:clientData/>
  </xdr:twoCellAnchor>
  <xdr:oneCellAnchor>
    <xdr:from>
      <xdr:col>9</xdr:col>
      <xdr:colOff>0</xdr:colOff>
      <xdr:row>149</xdr:row>
      <xdr:rowOff>0</xdr:rowOff>
    </xdr:from>
    <xdr:ext cx="2337046" cy="1117888"/>
    <xdr:pic>
      <xdr:nvPicPr>
        <xdr:cNvPr id="14" name="Picture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07182" y="130706091"/>
          <a:ext cx="2337046" cy="1117888"/>
        </a:xfrm>
        <a:prstGeom prst="rect">
          <a:avLst/>
        </a:prstGeom>
      </xdr:spPr>
    </xdr:pic>
    <xdr:clientData/>
  </xdr:oneCellAnchor>
  <xdr:oneCellAnchor>
    <xdr:from>
      <xdr:col>9</xdr:col>
      <xdr:colOff>0</xdr:colOff>
      <xdr:row>201</xdr:row>
      <xdr:rowOff>0</xdr:rowOff>
    </xdr:from>
    <xdr:ext cx="2337046" cy="1117888"/>
    <xdr:pic>
      <xdr:nvPicPr>
        <xdr:cNvPr id="20" name="Picture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400" y="153321327"/>
          <a:ext cx="2337046" cy="1117888"/>
        </a:xfrm>
        <a:prstGeom prst="rect">
          <a:avLst/>
        </a:prstGeom>
      </xdr:spPr>
    </xdr:pic>
    <xdr:clientData/>
  </xdr:oneCellAnchor>
  <xdr:oneCellAnchor>
    <xdr:from>
      <xdr:col>9</xdr:col>
      <xdr:colOff>0</xdr:colOff>
      <xdr:row>254</xdr:row>
      <xdr:rowOff>0</xdr:rowOff>
    </xdr:from>
    <xdr:ext cx="2337046" cy="1117888"/>
    <xdr:pic>
      <xdr:nvPicPr>
        <xdr:cNvPr id="21" name="Picture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400" y="153321327"/>
          <a:ext cx="2337046" cy="1117888"/>
        </a:xfrm>
        <a:prstGeom prst="rect">
          <a:avLst/>
        </a:prstGeom>
      </xdr:spPr>
    </xdr:pic>
    <xdr:clientData/>
  </xdr:oneCellAnchor>
  <xdr:oneCellAnchor>
    <xdr:from>
      <xdr:col>9</xdr:col>
      <xdr:colOff>0</xdr:colOff>
      <xdr:row>307</xdr:row>
      <xdr:rowOff>0</xdr:rowOff>
    </xdr:from>
    <xdr:ext cx="2337046" cy="1117888"/>
    <xdr:pic>
      <xdr:nvPicPr>
        <xdr:cNvPr id="22" name="Picture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400" y="163864636"/>
          <a:ext cx="2337046" cy="1117888"/>
        </a:xfrm>
        <a:prstGeom prst="rect">
          <a:avLst/>
        </a:prstGeom>
      </xdr:spPr>
    </xdr:pic>
    <xdr:clientData/>
  </xdr:oneCellAnchor>
  <xdr:oneCellAnchor>
    <xdr:from>
      <xdr:col>9</xdr:col>
      <xdr:colOff>0</xdr:colOff>
      <xdr:row>359</xdr:row>
      <xdr:rowOff>0</xdr:rowOff>
    </xdr:from>
    <xdr:ext cx="2337046" cy="1117888"/>
    <xdr:pic>
      <xdr:nvPicPr>
        <xdr:cNvPr id="24" name="Picture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400" y="163864636"/>
          <a:ext cx="2337046" cy="1117888"/>
        </a:xfrm>
        <a:prstGeom prst="rect">
          <a:avLst/>
        </a:prstGeom>
      </xdr:spPr>
    </xdr:pic>
    <xdr:clientData/>
  </xdr:oneCellAnchor>
  <xdr:oneCellAnchor>
    <xdr:from>
      <xdr:col>9</xdr:col>
      <xdr:colOff>0</xdr:colOff>
      <xdr:row>412</xdr:row>
      <xdr:rowOff>0</xdr:rowOff>
    </xdr:from>
    <xdr:ext cx="2337046" cy="1117888"/>
    <xdr:pic>
      <xdr:nvPicPr>
        <xdr:cNvPr id="25" name="Picture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400" y="153321327"/>
          <a:ext cx="2337046" cy="1117888"/>
        </a:xfrm>
        <a:prstGeom prst="rect">
          <a:avLst/>
        </a:prstGeom>
      </xdr:spPr>
    </xdr:pic>
    <xdr:clientData/>
  </xdr:oneCellAnchor>
  <xdr:oneCellAnchor>
    <xdr:from>
      <xdr:col>9</xdr:col>
      <xdr:colOff>0</xdr:colOff>
      <xdr:row>468</xdr:row>
      <xdr:rowOff>0</xdr:rowOff>
    </xdr:from>
    <xdr:ext cx="2337046" cy="1117888"/>
    <xdr:pic>
      <xdr:nvPicPr>
        <xdr:cNvPr id="26" name="Picture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400" y="163864636"/>
          <a:ext cx="2337046" cy="1117888"/>
        </a:xfrm>
        <a:prstGeom prst="rect">
          <a:avLst/>
        </a:prstGeom>
      </xdr:spPr>
    </xdr:pic>
    <xdr:clientData/>
  </xdr:oneCellAnchor>
  <xdr:oneCellAnchor>
    <xdr:from>
      <xdr:col>9</xdr:col>
      <xdr:colOff>0</xdr:colOff>
      <xdr:row>525</xdr:row>
      <xdr:rowOff>0</xdr:rowOff>
    </xdr:from>
    <xdr:ext cx="2337046" cy="1117888"/>
    <xdr:pic>
      <xdr:nvPicPr>
        <xdr:cNvPr id="27" name="Picture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400" y="153321327"/>
          <a:ext cx="2337046" cy="1117888"/>
        </a:xfrm>
        <a:prstGeom prst="rect">
          <a:avLst/>
        </a:prstGeom>
      </xdr:spPr>
    </xdr:pic>
    <xdr:clientData/>
  </xdr:oneCellAnchor>
  <xdr:oneCellAnchor>
    <xdr:from>
      <xdr:col>9</xdr:col>
      <xdr:colOff>0</xdr:colOff>
      <xdr:row>581</xdr:row>
      <xdr:rowOff>0</xdr:rowOff>
    </xdr:from>
    <xdr:ext cx="2337046" cy="1117888"/>
    <xdr:pic>
      <xdr:nvPicPr>
        <xdr:cNvPr id="29" name="Picture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400" y="203711175"/>
          <a:ext cx="2337046" cy="1117888"/>
        </a:xfrm>
        <a:prstGeom prst="rect">
          <a:avLst/>
        </a:prstGeom>
      </xdr:spPr>
    </xdr:pic>
    <xdr:clientData/>
  </xdr:oneCellAnchor>
  <xdr:oneCellAnchor>
    <xdr:from>
      <xdr:col>9</xdr:col>
      <xdr:colOff>0</xdr:colOff>
      <xdr:row>642</xdr:row>
      <xdr:rowOff>0</xdr:rowOff>
    </xdr:from>
    <xdr:ext cx="2337046" cy="1117888"/>
    <xdr:pic>
      <xdr:nvPicPr>
        <xdr:cNvPr id="30" name="Picture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400" y="218284425"/>
          <a:ext cx="2337046" cy="1117888"/>
        </a:xfrm>
        <a:prstGeom prst="rect">
          <a:avLst/>
        </a:prstGeom>
      </xdr:spPr>
    </xdr:pic>
    <xdr:clientData/>
  </xdr:oneCellAnchor>
  <xdr:oneCellAnchor>
    <xdr:from>
      <xdr:col>9</xdr:col>
      <xdr:colOff>0</xdr:colOff>
      <xdr:row>691</xdr:row>
      <xdr:rowOff>0</xdr:rowOff>
    </xdr:from>
    <xdr:ext cx="2337046" cy="1117888"/>
    <xdr:pic>
      <xdr:nvPicPr>
        <xdr:cNvPr id="31" name="Picture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0" y="208121250"/>
          <a:ext cx="2337046" cy="1117888"/>
        </a:xfrm>
        <a:prstGeom prst="rect">
          <a:avLst/>
        </a:prstGeom>
      </xdr:spPr>
    </xdr:pic>
    <xdr:clientData/>
  </xdr:oneCellAnchor>
  <xdr:oneCellAnchor>
    <xdr:from>
      <xdr:col>9</xdr:col>
      <xdr:colOff>0</xdr:colOff>
      <xdr:row>741</xdr:row>
      <xdr:rowOff>0</xdr:rowOff>
    </xdr:from>
    <xdr:ext cx="2337046" cy="1117888"/>
    <xdr:pic>
      <xdr:nvPicPr>
        <xdr:cNvPr id="23" name="Picture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0" y="221107000"/>
          <a:ext cx="2337046" cy="1117888"/>
        </a:xfrm>
        <a:prstGeom prst="rect">
          <a:avLst/>
        </a:prstGeom>
      </xdr:spPr>
    </xdr:pic>
    <xdr:clientData/>
  </xdr:oneCellAnchor>
  <xdr:oneCellAnchor>
    <xdr:from>
      <xdr:col>9</xdr:col>
      <xdr:colOff>0</xdr:colOff>
      <xdr:row>791</xdr:row>
      <xdr:rowOff>0</xdr:rowOff>
    </xdr:from>
    <xdr:ext cx="2337046" cy="1117888"/>
    <xdr:pic>
      <xdr:nvPicPr>
        <xdr:cNvPr id="32" name="Picture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0" y="235309833"/>
          <a:ext cx="2337046" cy="1117888"/>
        </a:xfrm>
        <a:prstGeom prst="rect">
          <a:avLst/>
        </a:prstGeom>
      </xdr:spPr>
    </xdr:pic>
    <xdr:clientData/>
  </xdr:oneCellAnchor>
  <xdr:oneCellAnchor>
    <xdr:from>
      <xdr:col>9</xdr:col>
      <xdr:colOff>0</xdr:colOff>
      <xdr:row>841</xdr:row>
      <xdr:rowOff>0</xdr:rowOff>
    </xdr:from>
    <xdr:ext cx="2337046" cy="1117888"/>
    <xdr:pic>
      <xdr:nvPicPr>
        <xdr:cNvPr id="33" name="Picture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0" y="235309833"/>
          <a:ext cx="2337046" cy="1117888"/>
        </a:xfrm>
        <a:prstGeom prst="rect">
          <a:avLst/>
        </a:prstGeom>
      </xdr:spPr>
    </xdr:pic>
    <xdr:clientData/>
  </xdr:oneCellAnchor>
  <xdr:oneCellAnchor>
    <xdr:from>
      <xdr:col>9</xdr:col>
      <xdr:colOff>0</xdr:colOff>
      <xdr:row>891</xdr:row>
      <xdr:rowOff>0</xdr:rowOff>
    </xdr:from>
    <xdr:ext cx="2337046" cy="1117888"/>
    <xdr:pic>
      <xdr:nvPicPr>
        <xdr:cNvPr id="34" name="Picture 33">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0" y="235309833"/>
          <a:ext cx="2337046" cy="1117888"/>
        </a:xfrm>
        <a:prstGeom prst="rect">
          <a:avLst/>
        </a:prstGeom>
      </xdr:spPr>
    </xdr:pic>
    <xdr:clientData/>
  </xdr:oneCellAnchor>
  <xdr:oneCellAnchor>
    <xdr:from>
      <xdr:col>9</xdr:col>
      <xdr:colOff>0</xdr:colOff>
      <xdr:row>943</xdr:row>
      <xdr:rowOff>0</xdr:rowOff>
    </xdr:from>
    <xdr:ext cx="2337046" cy="1117888"/>
    <xdr:pic>
      <xdr:nvPicPr>
        <xdr:cNvPr id="36" name="Picture 35">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89083" y="250888500"/>
          <a:ext cx="2337046" cy="1117888"/>
        </a:xfrm>
        <a:prstGeom prst="rect">
          <a:avLst/>
        </a:prstGeom>
      </xdr:spPr>
    </xdr:pic>
    <xdr:clientData/>
  </xdr:oneCellAnchor>
  <xdr:oneCellAnchor>
    <xdr:from>
      <xdr:col>9</xdr:col>
      <xdr:colOff>0</xdr:colOff>
      <xdr:row>995</xdr:row>
      <xdr:rowOff>0</xdr:rowOff>
    </xdr:from>
    <xdr:ext cx="2337046" cy="1117888"/>
    <xdr:pic>
      <xdr:nvPicPr>
        <xdr:cNvPr id="37" name="Picture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89083" y="261016750"/>
          <a:ext cx="2337046" cy="1117888"/>
        </a:xfrm>
        <a:prstGeom prst="rect">
          <a:avLst/>
        </a:prstGeom>
      </xdr:spPr>
    </xdr:pic>
    <xdr:clientData/>
  </xdr:oneCellAnchor>
  <xdr:oneCellAnchor>
    <xdr:from>
      <xdr:col>9</xdr:col>
      <xdr:colOff>0</xdr:colOff>
      <xdr:row>1045</xdr:row>
      <xdr:rowOff>0</xdr:rowOff>
    </xdr:from>
    <xdr:ext cx="2337046" cy="1117888"/>
    <xdr:pic>
      <xdr:nvPicPr>
        <xdr:cNvPr id="38" name="Picture 37">
          <a:extLst>
            <a:ext uri="{FF2B5EF4-FFF2-40B4-BE49-F238E27FC236}">
              <a16:creationId xmlns:a16="http://schemas.microsoft.com/office/drawing/2014/main" id="{00000000-0008-0000-0600-00002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89083" y="270954500"/>
          <a:ext cx="2337046" cy="1117888"/>
        </a:xfrm>
        <a:prstGeom prst="rect">
          <a:avLst/>
        </a:prstGeom>
      </xdr:spPr>
    </xdr:pic>
    <xdr:clientData/>
  </xdr:oneCellAnchor>
  <xdr:oneCellAnchor>
    <xdr:from>
      <xdr:col>9</xdr:col>
      <xdr:colOff>0</xdr:colOff>
      <xdr:row>1096</xdr:row>
      <xdr:rowOff>0</xdr:rowOff>
    </xdr:from>
    <xdr:ext cx="2337046" cy="1117888"/>
    <xdr:pic>
      <xdr:nvPicPr>
        <xdr:cNvPr id="39" name="Picture 38">
          <a:extLst>
            <a:ext uri="{FF2B5EF4-FFF2-40B4-BE49-F238E27FC236}">
              <a16:creationId xmlns:a16="http://schemas.microsoft.com/office/drawing/2014/main" id="{CF80C74E-A4C3-499D-983C-90A1ACD834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08133" y="258834467"/>
          <a:ext cx="2337046" cy="1117888"/>
        </a:xfrm>
        <a:prstGeom prst="rect">
          <a:avLst/>
        </a:prstGeom>
      </xdr:spPr>
    </xdr:pic>
    <xdr:clientData/>
  </xdr:oneCellAnchor>
  <xdr:oneCellAnchor>
    <xdr:from>
      <xdr:col>9</xdr:col>
      <xdr:colOff>0</xdr:colOff>
      <xdr:row>1146</xdr:row>
      <xdr:rowOff>0</xdr:rowOff>
    </xdr:from>
    <xdr:ext cx="2337046" cy="1117888"/>
    <xdr:pic>
      <xdr:nvPicPr>
        <xdr:cNvPr id="40" name="Picture 39">
          <a:extLst>
            <a:ext uri="{FF2B5EF4-FFF2-40B4-BE49-F238E27FC236}">
              <a16:creationId xmlns:a16="http://schemas.microsoft.com/office/drawing/2014/main" id="{F8FEE8ED-2395-49BA-9D9E-58EFB35CD2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08133" y="268554200"/>
          <a:ext cx="2337046" cy="1117888"/>
        </a:xfrm>
        <a:prstGeom prst="rect">
          <a:avLst/>
        </a:prstGeom>
      </xdr:spPr>
    </xdr:pic>
    <xdr:clientData/>
  </xdr:oneCellAnchor>
  <xdr:oneCellAnchor>
    <xdr:from>
      <xdr:col>9</xdr:col>
      <xdr:colOff>0</xdr:colOff>
      <xdr:row>1198</xdr:row>
      <xdr:rowOff>0</xdr:rowOff>
    </xdr:from>
    <xdr:ext cx="2337046" cy="1117888"/>
    <xdr:pic>
      <xdr:nvPicPr>
        <xdr:cNvPr id="41" name="Picture 40">
          <a:extLst>
            <a:ext uri="{FF2B5EF4-FFF2-40B4-BE49-F238E27FC236}">
              <a16:creationId xmlns:a16="http://schemas.microsoft.com/office/drawing/2014/main" id="{52060EF7-4118-474D-B153-107830583A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08133" y="278646467"/>
          <a:ext cx="2337046" cy="1117888"/>
        </a:xfrm>
        <a:prstGeom prst="rect">
          <a:avLst/>
        </a:prstGeom>
      </xdr:spPr>
    </xdr:pic>
    <xdr:clientData/>
  </xdr:oneCellAnchor>
  <xdr:oneCellAnchor>
    <xdr:from>
      <xdr:col>9</xdr:col>
      <xdr:colOff>0</xdr:colOff>
      <xdr:row>1248</xdr:row>
      <xdr:rowOff>0</xdr:rowOff>
    </xdr:from>
    <xdr:ext cx="2337046" cy="1117888"/>
    <xdr:pic>
      <xdr:nvPicPr>
        <xdr:cNvPr id="42" name="Picture 41">
          <a:extLst>
            <a:ext uri="{FF2B5EF4-FFF2-40B4-BE49-F238E27FC236}">
              <a16:creationId xmlns:a16="http://schemas.microsoft.com/office/drawing/2014/main" id="{6E5E826F-B010-4BC8-A1BE-458C42C332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08133" y="288366200"/>
          <a:ext cx="2337046" cy="1117888"/>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33</xdr:row>
      <xdr:rowOff>0</xdr:rowOff>
    </xdr:from>
    <xdr:to>
      <xdr:col>8</xdr:col>
      <xdr:colOff>456292</xdr:colOff>
      <xdr:row>39</xdr:row>
      <xdr:rowOff>9525</xdr:rowOff>
    </xdr:to>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0" y="24507825"/>
          <a:ext cx="2285092" cy="1152525"/>
        </a:xfrm>
        <a:prstGeom prst="rect">
          <a:avLst/>
        </a:prstGeom>
      </xdr:spPr>
    </xdr:pic>
    <xdr:clientData/>
  </xdr:twoCellAnchor>
  <xdr:twoCellAnchor editAs="oneCell">
    <xdr:from>
      <xdr:col>15</xdr:col>
      <xdr:colOff>0</xdr:colOff>
      <xdr:row>33</xdr:row>
      <xdr:rowOff>0</xdr:rowOff>
    </xdr:from>
    <xdr:to>
      <xdr:col>18</xdr:col>
      <xdr:colOff>456292</xdr:colOff>
      <xdr:row>39</xdr:row>
      <xdr:rowOff>9525</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72575" y="24507825"/>
          <a:ext cx="2285092" cy="1152525"/>
        </a:xfrm>
        <a:prstGeom prst="rect">
          <a:avLst/>
        </a:prstGeom>
      </xdr:spPr>
    </xdr:pic>
    <xdr:clientData/>
  </xdr:twoCellAnchor>
  <xdr:twoCellAnchor editAs="oneCell">
    <xdr:from>
      <xdr:col>5</xdr:col>
      <xdr:colOff>0</xdr:colOff>
      <xdr:row>80</xdr:row>
      <xdr:rowOff>0</xdr:rowOff>
    </xdr:from>
    <xdr:to>
      <xdr:col>8</xdr:col>
      <xdr:colOff>456292</xdr:colOff>
      <xdr:row>86</xdr:row>
      <xdr:rowOff>9525</xdr:rowOff>
    </xdr:to>
    <xdr:pic>
      <xdr:nvPicPr>
        <xdr:cNvPr id="14" name="Picture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0" y="61007625"/>
          <a:ext cx="2285092" cy="1152525"/>
        </a:xfrm>
        <a:prstGeom prst="rect">
          <a:avLst/>
        </a:prstGeom>
      </xdr:spPr>
    </xdr:pic>
    <xdr:clientData/>
  </xdr:twoCellAnchor>
  <xdr:twoCellAnchor editAs="oneCell">
    <xdr:from>
      <xdr:col>15</xdr:col>
      <xdr:colOff>0</xdr:colOff>
      <xdr:row>80</xdr:row>
      <xdr:rowOff>0</xdr:rowOff>
    </xdr:from>
    <xdr:to>
      <xdr:col>18</xdr:col>
      <xdr:colOff>456292</xdr:colOff>
      <xdr:row>86</xdr:row>
      <xdr:rowOff>9525</xdr:rowOff>
    </xdr:to>
    <xdr:pic>
      <xdr:nvPicPr>
        <xdr:cNvPr id="15" name="Picture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72575" y="61007625"/>
          <a:ext cx="2285092" cy="1152525"/>
        </a:xfrm>
        <a:prstGeom prst="rect">
          <a:avLst/>
        </a:prstGeom>
      </xdr:spPr>
    </xdr:pic>
    <xdr:clientData/>
  </xdr:twoCellAnchor>
  <xdr:twoCellAnchor editAs="oneCell">
    <xdr:from>
      <xdr:col>5</xdr:col>
      <xdr:colOff>0</xdr:colOff>
      <xdr:row>127</xdr:row>
      <xdr:rowOff>0</xdr:rowOff>
    </xdr:from>
    <xdr:to>
      <xdr:col>8</xdr:col>
      <xdr:colOff>457398</xdr:colOff>
      <xdr:row>133</xdr:row>
      <xdr:rowOff>10765</xdr:rowOff>
    </xdr:to>
    <xdr:pic>
      <xdr:nvPicPr>
        <xdr:cNvPr id="22" name="Picture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2" cstate="print"/>
        <a:stretch>
          <a:fillRect/>
        </a:stretch>
      </xdr:blipFill>
      <xdr:spPr>
        <a:xfrm>
          <a:off x="3048000" y="94068900"/>
          <a:ext cx="2286198" cy="1115665"/>
        </a:xfrm>
        <a:prstGeom prst="rect">
          <a:avLst/>
        </a:prstGeom>
      </xdr:spPr>
    </xdr:pic>
    <xdr:clientData/>
  </xdr:twoCellAnchor>
  <xdr:twoCellAnchor editAs="oneCell">
    <xdr:from>
      <xdr:col>16</xdr:col>
      <xdr:colOff>0</xdr:colOff>
      <xdr:row>127</xdr:row>
      <xdr:rowOff>0</xdr:rowOff>
    </xdr:from>
    <xdr:to>
      <xdr:col>19</xdr:col>
      <xdr:colOff>198</xdr:colOff>
      <xdr:row>133</xdr:row>
      <xdr:rowOff>10765</xdr:rowOff>
    </xdr:to>
    <xdr:pic>
      <xdr:nvPicPr>
        <xdr:cNvPr id="23" name="Picture 22">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2" cstate="print"/>
        <a:stretch>
          <a:fillRect/>
        </a:stretch>
      </xdr:blipFill>
      <xdr:spPr>
        <a:xfrm>
          <a:off x="9842500" y="94068900"/>
          <a:ext cx="2286198" cy="1115665"/>
        </a:xfrm>
        <a:prstGeom prst="rect">
          <a:avLst/>
        </a:prstGeom>
      </xdr:spPr>
    </xdr:pic>
    <xdr:clientData/>
  </xdr:twoCellAnchor>
  <xdr:oneCellAnchor>
    <xdr:from>
      <xdr:col>5</xdr:col>
      <xdr:colOff>0</xdr:colOff>
      <xdr:row>175</xdr:row>
      <xdr:rowOff>0</xdr:rowOff>
    </xdr:from>
    <xdr:ext cx="2286198" cy="1153765"/>
    <xdr:pic>
      <xdr:nvPicPr>
        <xdr:cNvPr id="34" name="Picture 33">
          <a:extLst>
            <a:ext uri="{FF2B5EF4-FFF2-40B4-BE49-F238E27FC236}">
              <a16:creationId xmlns:a16="http://schemas.microsoft.com/office/drawing/2014/main" id="{00000000-0008-0000-0700-000022000000}"/>
            </a:ext>
          </a:extLst>
        </xdr:cNvPr>
        <xdr:cNvPicPr>
          <a:picLocks noChangeAspect="1"/>
        </xdr:cNvPicPr>
      </xdr:nvPicPr>
      <xdr:blipFill>
        <a:blip xmlns:r="http://schemas.openxmlformats.org/officeDocument/2006/relationships" r:embed="rId3" cstate="print"/>
        <a:stretch>
          <a:fillRect/>
        </a:stretch>
      </xdr:blipFill>
      <xdr:spPr>
        <a:xfrm>
          <a:off x="3048000" y="102763320"/>
          <a:ext cx="2286198" cy="1153765"/>
        </a:xfrm>
        <a:prstGeom prst="rect">
          <a:avLst/>
        </a:prstGeom>
      </xdr:spPr>
    </xdr:pic>
    <xdr:clientData/>
  </xdr:oneCellAnchor>
  <xdr:oneCellAnchor>
    <xdr:from>
      <xdr:col>15</xdr:col>
      <xdr:colOff>0</xdr:colOff>
      <xdr:row>175</xdr:row>
      <xdr:rowOff>0</xdr:rowOff>
    </xdr:from>
    <xdr:ext cx="2286198" cy="1153765"/>
    <xdr:pic>
      <xdr:nvPicPr>
        <xdr:cNvPr id="35" name="Picture 34">
          <a:extLst>
            <a:ext uri="{FF2B5EF4-FFF2-40B4-BE49-F238E27FC236}">
              <a16:creationId xmlns:a16="http://schemas.microsoft.com/office/drawing/2014/main" id="{00000000-0008-0000-0700-000023000000}"/>
            </a:ext>
          </a:extLst>
        </xdr:cNvPr>
        <xdr:cNvPicPr>
          <a:picLocks noChangeAspect="1"/>
        </xdr:cNvPicPr>
      </xdr:nvPicPr>
      <xdr:blipFill>
        <a:blip xmlns:r="http://schemas.openxmlformats.org/officeDocument/2006/relationships" r:embed="rId3" cstate="print"/>
        <a:stretch>
          <a:fillRect/>
        </a:stretch>
      </xdr:blipFill>
      <xdr:spPr>
        <a:xfrm>
          <a:off x="9204960" y="102763320"/>
          <a:ext cx="2286198" cy="1153765"/>
        </a:xfrm>
        <a:prstGeom prst="rect">
          <a:avLst/>
        </a:prstGeom>
      </xdr:spPr>
    </xdr:pic>
    <xdr:clientData/>
  </xdr:oneCellAnchor>
  <xdr:oneCellAnchor>
    <xdr:from>
      <xdr:col>5</xdr:col>
      <xdr:colOff>0</xdr:colOff>
      <xdr:row>222</xdr:row>
      <xdr:rowOff>0</xdr:rowOff>
    </xdr:from>
    <xdr:ext cx="2286198" cy="1153765"/>
    <xdr:pic>
      <xdr:nvPicPr>
        <xdr:cNvPr id="36" name="Picture 35">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3" cstate="print"/>
        <a:stretch>
          <a:fillRect/>
        </a:stretch>
      </xdr:blipFill>
      <xdr:spPr>
        <a:xfrm>
          <a:off x="3048000" y="102763320"/>
          <a:ext cx="2286198" cy="1153765"/>
        </a:xfrm>
        <a:prstGeom prst="rect">
          <a:avLst/>
        </a:prstGeom>
      </xdr:spPr>
    </xdr:pic>
    <xdr:clientData/>
  </xdr:oneCellAnchor>
  <xdr:oneCellAnchor>
    <xdr:from>
      <xdr:col>15</xdr:col>
      <xdr:colOff>0</xdr:colOff>
      <xdr:row>222</xdr:row>
      <xdr:rowOff>0</xdr:rowOff>
    </xdr:from>
    <xdr:ext cx="2286198" cy="1153765"/>
    <xdr:pic>
      <xdr:nvPicPr>
        <xdr:cNvPr id="37" name="Picture 36">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3" cstate="print"/>
        <a:stretch>
          <a:fillRect/>
        </a:stretch>
      </xdr:blipFill>
      <xdr:spPr>
        <a:xfrm>
          <a:off x="9204960" y="102763320"/>
          <a:ext cx="2286198" cy="1153765"/>
        </a:xfrm>
        <a:prstGeom prst="rect">
          <a:avLst/>
        </a:prstGeom>
      </xdr:spPr>
    </xdr:pic>
    <xdr:clientData/>
  </xdr:oneCellAnchor>
  <xdr:oneCellAnchor>
    <xdr:from>
      <xdr:col>5</xdr:col>
      <xdr:colOff>0</xdr:colOff>
      <xdr:row>270</xdr:row>
      <xdr:rowOff>0</xdr:rowOff>
    </xdr:from>
    <xdr:ext cx="2286198" cy="1153765"/>
    <xdr:pic>
      <xdr:nvPicPr>
        <xdr:cNvPr id="38" name="Picture 37">
          <a:extLst>
            <a:ext uri="{FF2B5EF4-FFF2-40B4-BE49-F238E27FC236}">
              <a16:creationId xmlns:a16="http://schemas.microsoft.com/office/drawing/2014/main" id="{00000000-0008-0000-0700-000026000000}"/>
            </a:ext>
          </a:extLst>
        </xdr:cNvPr>
        <xdr:cNvPicPr>
          <a:picLocks noChangeAspect="1"/>
        </xdr:cNvPicPr>
      </xdr:nvPicPr>
      <xdr:blipFill>
        <a:blip xmlns:r="http://schemas.openxmlformats.org/officeDocument/2006/relationships" r:embed="rId3" cstate="print"/>
        <a:stretch>
          <a:fillRect/>
        </a:stretch>
      </xdr:blipFill>
      <xdr:spPr>
        <a:xfrm>
          <a:off x="3048000" y="111152940"/>
          <a:ext cx="2286198" cy="1153765"/>
        </a:xfrm>
        <a:prstGeom prst="rect">
          <a:avLst/>
        </a:prstGeom>
      </xdr:spPr>
    </xdr:pic>
    <xdr:clientData/>
  </xdr:oneCellAnchor>
  <xdr:oneCellAnchor>
    <xdr:from>
      <xdr:col>15</xdr:col>
      <xdr:colOff>0</xdr:colOff>
      <xdr:row>270</xdr:row>
      <xdr:rowOff>0</xdr:rowOff>
    </xdr:from>
    <xdr:ext cx="2286198" cy="1153765"/>
    <xdr:pic>
      <xdr:nvPicPr>
        <xdr:cNvPr id="39" name="Picture 38">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3" cstate="print"/>
        <a:stretch>
          <a:fillRect/>
        </a:stretch>
      </xdr:blipFill>
      <xdr:spPr>
        <a:xfrm>
          <a:off x="9204960" y="111152940"/>
          <a:ext cx="2286198" cy="1153765"/>
        </a:xfrm>
        <a:prstGeom prst="rect">
          <a:avLst/>
        </a:prstGeom>
      </xdr:spPr>
    </xdr:pic>
    <xdr:clientData/>
  </xdr:oneCellAnchor>
  <xdr:oneCellAnchor>
    <xdr:from>
      <xdr:col>5</xdr:col>
      <xdr:colOff>0</xdr:colOff>
      <xdr:row>317</xdr:row>
      <xdr:rowOff>0</xdr:rowOff>
    </xdr:from>
    <xdr:ext cx="2286198" cy="1153765"/>
    <xdr:pic>
      <xdr:nvPicPr>
        <xdr:cNvPr id="40" name="Picture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3" cstate="print"/>
        <a:stretch>
          <a:fillRect/>
        </a:stretch>
      </xdr:blipFill>
      <xdr:spPr>
        <a:xfrm>
          <a:off x="3048000" y="102763320"/>
          <a:ext cx="2286198" cy="1153765"/>
        </a:xfrm>
        <a:prstGeom prst="rect">
          <a:avLst/>
        </a:prstGeom>
      </xdr:spPr>
    </xdr:pic>
    <xdr:clientData/>
  </xdr:oneCellAnchor>
  <xdr:oneCellAnchor>
    <xdr:from>
      <xdr:col>15</xdr:col>
      <xdr:colOff>0</xdr:colOff>
      <xdr:row>317</xdr:row>
      <xdr:rowOff>0</xdr:rowOff>
    </xdr:from>
    <xdr:ext cx="2286198" cy="1153765"/>
    <xdr:pic>
      <xdr:nvPicPr>
        <xdr:cNvPr id="41" name="Picture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3" cstate="print"/>
        <a:stretch>
          <a:fillRect/>
        </a:stretch>
      </xdr:blipFill>
      <xdr:spPr>
        <a:xfrm>
          <a:off x="9204960" y="102763320"/>
          <a:ext cx="2286198" cy="1153765"/>
        </a:xfrm>
        <a:prstGeom prst="rect">
          <a:avLst/>
        </a:prstGeom>
      </xdr:spPr>
    </xdr:pic>
    <xdr:clientData/>
  </xdr:oneCellAnchor>
  <xdr:oneCellAnchor>
    <xdr:from>
      <xdr:col>5</xdr:col>
      <xdr:colOff>0</xdr:colOff>
      <xdr:row>364</xdr:row>
      <xdr:rowOff>0</xdr:rowOff>
    </xdr:from>
    <xdr:ext cx="2286198" cy="1153765"/>
    <xdr:pic>
      <xdr:nvPicPr>
        <xdr:cNvPr id="42" name="Picture 41">
          <a:extLst>
            <a:ext uri="{FF2B5EF4-FFF2-40B4-BE49-F238E27FC236}">
              <a16:creationId xmlns:a16="http://schemas.microsoft.com/office/drawing/2014/main" id="{00000000-0008-0000-0700-00002A000000}"/>
            </a:ext>
          </a:extLst>
        </xdr:cNvPr>
        <xdr:cNvPicPr>
          <a:picLocks noChangeAspect="1"/>
        </xdr:cNvPicPr>
      </xdr:nvPicPr>
      <xdr:blipFill>
        <a:blip xmlns:r="http://schemas.openxmlformats.org/officeDocument/2006/relationships" r:embed="rId3" cstate="print"/>
        <a:stretch>
          <a:fillRect/>
        </a:stretch>
      </xdr:blipFill>
      <xdr:spPr>
        <a:xfrm>
          <a:off x="3048000" y="111152940"/>
          <a:ext cx="2286198" cy="1153765"/>
        </a:xfrm>
        <a:prstGeom prst="rect">
          <a:avLst/>
        </a:prstGeom>
      </xdr:spPr>
    </xdr:pic>
    <xdr:clientData/>
  </xdr:oneCellAnchor>
  <xdr:oneCellAnchor>
    <xdr:from>
      <xdr:col>15</xdr:col>
      <xdr:colOff>0</xdr:colOff>
      <xdr:row>364</xdr:row>
      <xdr:rowOff>0</xdr:rowOff>
    </xdr:from>
    <xdr:ext cx="2286198" cy="1153765"/>
    <xdr:pic>
      <xdr:nvPicPr>
        <xdr:cNvPr id="43" name="Picture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3" cstate="print"/>
        <a:stretch>
          <a:fillRect/>
        </a:stretch>
      </xdr:blipFill>
      <xdr:spPr>
        <a:xfrm>
          <a:off x="9204960" y="111152940"/>
          <a:ext cx="2286198" cy="1153765"/>
        </a:xfrm>
        <a:prstGeom prst="rect">
          <a:avLst/>
        </a:prstGeom>
      </xdr:spPr>
    </xdr:pic>
    <xdr:clientData/>
  </xdr:oneCellAnchor>
  <xdr:oneCellAnchor>
    <xdr:from>
      <xdr:col>5</xdr:col>
      <xdr:colOff>0</xdr:colOff>
      <xdr:row>411</xdr:row>
      <xdr:rowOff>0</xdr:rowOff>
    </xdr:from>
    <xdr:ext cx="2286198" cy="1153765"/>
    <xdr:pic>
      <xdr:nvPicPr>
        <xdr:cNvPr id="44" name="Picture 43">
          <a:extLst>
            <a:ext uri="{FF2B5EF4-FFF2-40B4-BE49-F238E27FC236}">
              <a16:creationId xmlns:a16="http://schemas.microsoft.com/office/drawing/2014/main" id="{00000000-0008-0000-0700-00002C000000}"/>
            </a:ext>
          </a:extLst>
        </xdr:cNvPr>
        <xdr:cNvPicPr>
          <a:picLocks noChangeAspect="1"/>
        </xdr:cNvPicPr>
      </xdr:nvPicPr>
      <xdr:blipFill>
        <a:blip xmlns:r="http://schemas.openxmlformats.org/officeDocument/2006/relationships" r:embed="rId3" cstate="print"/>
        <a:stretch>
          <a:fillRect/>
        </a:stretch>
      </xdr:blipFill>
      <xdr:spPr>
        <a:xfrm>
          <a:off x="3048000" y="102763320"/>
          <a:ext cx="2286198" cy="1153765"/>
        </a:xfrm>
        <a:prstGeom prst="rect">
          <a:avLst/>
        </a:prstGeom>
      </xdr:spPr>
    </xdr:pic>
    <xdr:clientData/>
  </xdr:oneCellAnchor>
  <xdr:oneCellAnchor>
    <xdr:from>
      <xdr:col>15</xdr:col>
      <xdr:colOff>0</xdr:colOff>
      <xdr:row>411</xdr:row>
      <xdr:rowOff>0</xdr:rowOff>
    </xdr:from>
    <xdr:ext cx="2286198" cy="1153765"/>
    <xdr:pic>
      <xdr:nvPicPr>
        <xdr:cNvPr id="45" name="Picture 44">
          <a:extLst>
            <a:ext uri="{FF2B5EF4-FFF2-40B4-BE49-F238E27FC236}">
              <a16:creationId xmlns:a16="http://schemas.microsoft.com/office/drawing/2014/main" id="{00000000-0008-0000-0700-00002D000000}"/>
            </a:ext>
          </a:extLst>
        </xdr:cNvPr>
        <xdr:cNvPicPr>
          <a:picLocks noChangeAspect="1"/>
        </xdr:cNvPicPr>
      </xdr:nvPicPr>
      <xdr:blipFill>
        <a:blip xmlns:r="http://schemas.openxmlformats.org/officeDocument/2006/relationships" r:embed="rId3" cstate="print"/>
        <a:stretch>
          <a:fillRect/>
        </a:stretch>
      </xdr:blipFill>
      <xdr:spPr>
        <a:xfrm>
          <a:off x="9204960" y="102763320"/>
          <a:ext cx="2286198" cy="1153765"/>
        </a:xfrm>
        <a:prstGeom prst="rect">
          <a:avLst/>
        </a:prstGeom>
      </xdr:spPr>
    </xdr:pic>
    <xdr:clientData/>
  </xdr:oneCellAnchor>
  <xdr:oneCellAnchor>
    <xdr:from>
      <xdr:col>5</xdr:col>
      <xdr:colOff>0</xdr:colOff>
      <xdr:row>456</xdr:row>
      <xdr:rowOff>0</xdr:rowOff>
    </xdr:from>
    <xdr:ext cx="2286198" cy="1153765"/>
    <xdr:pic>
      <xdr:nvPicPr>
        <xdr:cNvPr id="46" name="Picture 45">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3" cstate="print"/>
        <a:stretch>
          <a:fillRect/>
        </a:stretch>
      </xdr:blipFill>
      <xdr:spPr>
        <a:xfrm>
          <a:off x="3048000" y="111152940"/>
          <a:ext cx="2286198" cy="1153765"/>
        </a:xfrm>
        <a:prstGeom prst="rect">
          <a:avLst/>
        </a:prstGeom>
      </xdr:spPr>
    </xdr:pic>
    <xdr:clientData/>
  </xdr:oneCellAnchor>
  <xdr:oneCellAnchor>
    <xdr:from>
      <xdr:col>15</xdr:col>
      <xdr:colOff>0</xdr:colOff>
      <xdr:row>456</xdr:row>
      <xdr:rowOff>0</xdr:rowOff>
    </xdr:from>
    <xdr:ext cx="2286198" cy="1153765"/>
    <xdr:pic>
      <xdr:nvPicPr>
        <xdr:cNvPr id="47" name="Picture 46">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3" cstate="print"/>
        <a:stretch>
          <a:fillRect/>
        </a:stretch>
      </xdr:blipFill>
      <xdr:spPr>
        <a:xfrm>
          <a:off x="9204960" y="111152940"/>
          <a:ext cx="2286198" cy="1153765"/>
        </a:xfrm>
        <a:prstGeom prst="rect">
          <a:avLst/>
        </a:prstGeom>
      </xdr:spPr>
    </xdr:pic>
    <xdr:clientData/>
  </xdr:oneCellAnchor>
  <xdr:oneCellAnchor>
    <xdr:from>
      <xdr:col>5</xdr:col>
      <xdr:colOff>0</xdr:colOff>
      <xdr:row>502</xdr:row>
      <xdr:rowOff>0</xdr:rowOff>
    </xdr:from>
    <xdr:ext cx="2286198" cy="1153765"/>
    <xdr:pic>
      <xdr:nvPicPr>
        <xdr:cNvPr id="54" name="Picture 53">
          <a:extLst>
            <a:ext uri="{FF2B5EF4-FFF2-40B4-BE49-F238E27FC236}">
              <a16:creationId xmlns:a16="http://schemas.microsoft.com/office/drawing/2014/main" id="{00000000-0008-0000-0700-000036000000}"/>
            </a:ext>
          </a:extLst>
        </xdr:cNvPr>
        <xdr:cNvPicPr>
          <a:picLocks noChangeAspect="1"/>
        </xdr:cNvPicPr>
      </xdr:nvPicPr>
      <xdr:blipFill>
        <a:blip xmlns:r="http://schemas.openxmlformats.org/officeDocument/2006/relationships" r:embed="rId3" cstate="print"/>
        <a:stretch>
          <a:fillRect/>
        </a:stretch>
      </xdr:blipFill>
      <xdr:spPr>
        <a:xfrm>
          <a:off x="3048000" y="146875500"/>
          <a:ext cx="2286198" cy="1153765"/>
        </a:xfrm>
        <a:prstGeom prst="rect">
          <a:avLst/>
        </a:prstGeom>
      </xdr:spPr>
    </xdr:pic>
    <xdr:clientData/>
  </xdr:oneCellAnchor>
  <xdr:oneCellAnchor>
    <xdr:from>
      <xdr:col>15</xdr:col>
      <xdr:colOff>0</xdr:colOff>
      <xdr:row>502</xdr:row>
      <xdr:rowOff>0</xdr:rowOff>
    </xdr:from>
    <xdr:ext cx="2286198" cy="1153765"/>
    <xdr:pic>
      <xdr:nvPicPr>
        <xdr:cNvPr id="55" name="Picture 54">
          <a:extLst>
            <a:ext uri="{FF2B5EF4-FFF2-40B4-BE49-F238E27FC236}">
              <a16:creationId xmlns:a16="http://schemas.microsoft.com/office/drawing/2014/main" id="{00000000-0008-0000-0700-000037000000}"/>
            </a:ext>
          </a:extLst>
        </xdr:cNvPr>
        <xdr:cNvPicPr>
          <a:picLocks noChangeAspect="1"/>
        </xdr:cNvPicPr>
      </xdr:nvPicPr>
      <xdr:blipFill>
        <a:blip xmlns:r="http://schemas.openxmlformats.org/officeDocument/2006/relationships" r:embed="rId3" cstate="print"/>
        <a:stretch>
          <a:fillRect/>
        </a:stretch>
      </xdr:blipFill>
      <xdr:spPr>
        <a:xfrm>
          <a:off x="9204960" y="146875500"/>
          <a:ext cx="2286198" cy="1153765"/>
        </a:xfrm>
        <a:prstGeom prst="rect">
          <a:avLst/>
        </a:prstGeom>
      </xdr:spPr>
    </xdr:pic>
    <xdr:clientData/>
  </xdr:oneCellAnchor>
  <xdr:oneCellAnchor>
    <xdr:from>
      <xdr:col>5</xdr:col>
      <xdr:colOff>0</xdr:colOff>
      <xdr:row>547</xdr:row>
      <xdr:rowOff>0</xdr:rowOff>
    </xdr:from>
    <xdr:ext cx="2286198" cy="1153765"/>
    <xdr:pic>
      <xdr:nvPicPr>
        <xdr:cNvPr id="56" name="Picture 55">
          <a:extLst>
            <a:ext uri="{FF2B5EF4-FFF2-40B4-BE49-F238E27FC236}">
              <a16:creationId xmlns:a16="http://schemas.microsoft.com/office/drawing/2014/main" id="{00000000-0008-0000-0700-000038000000}"/>
            </a:ext>
          </a:extLst>
        </xdr:cNvPr>
        <xdr:cNvPicPr>
          <a:picLocks noChangeAspect="1"/>
        </xdr:cNvPicPr>
      </xdr:nvPicPr>
      <xdr:blipFill>
        <a:blip xmlns:r="http://schemas.openxmlformats.org/officeDocument/2006/relationships" r:embed="rId3" cstate="print"/>
        <a:stretch>
          <a:fillRect/>
        </a:stretch>
      </xdr:blipFill>
      <xdr:spPr>
        <a:xfrm>
          <a:off x="3048000" y="146875500"/>
          <a:ext cx="2286198" cy="1153765"/>
        </a:xfrm>
        <a:prstGeom prst="rect">
          <a:avLst/>
        </a:prstGeom>
      </xdr:spPr>
    </xdr:pic>
    <xdr:clientData/>
  </xdr:oneCellAnchor>
  <xdr:oneCellAnchor>
    <xdr:from>
      <xdr:col>15</xdr:col>
      <xdr:colOff>0</xdr:colOff>
      <xdr:row>547</xdr:row>
      <xdr:rowOff>0</xdr:rowOff>
    </xdr:from>
    <xdr:ext cx="2286198" cy="1153765"/>
    <xdr:pic>
      <xdr:nvPicPr>
        <xdr:cNvPr id="57" name="Picture 56">
          <a:extLst>
            <a:ext uri="{FF2B5EF4-FFF2-40B4-BE49-F238E27FC236}">
              <a16:creationId xmlns:a16="http://schemas.microsoft.com/office/drawing/2014/main" id="{00000000-0008-0000-0700-000039000000}"/>
            </a:ext>
          </a:extLst>
        </xdr:cNvPr>
        <xdr:cNvPicPr>
          <a:picLocks noChangeAspect="1"/>
        </xdr:cNvPicPr>
      </xdr:nvPicPr>
      <xdr:blipFill>
        <a:blip xmlns:r="http://schemas.openxmlformats.org/officeDocument/2006/relationships" r:embed="rId3" cstate="print"/>
        <a:stretch>
          <a:fillRect/>
        </a:stretch>
      </xdr:blipFill>
      <xdr:spPr>
        <a:xfrm>
          <a:off x="9204960" y="146875500"/>
          <a:ext cx="2286198" cy="1153765"/>
        </a:xfrm>
        <a:prstGeom prst="rect">
          <a:avLst/>
        </a:prstGeom>
      </xdr:spPr>
    </xdr:pic>
    <xdr:clientData/>
  </xdr:oneCellAnchor>
  <xdr:oneCellAnchor>
    <xdr:from>
      <xdr:col>5</xdr:col>
      <xdr:colOff>0</xdr:colOff>
      <xdr:row>593</xdr:row>
      <xdr:rowOff>0</xdr:rowOff>
    </xdr:from>
    <xdr:ext cx="2286198" cy="1153765"/>
    <xdr:pic>
      <xdr:nvPicPr>
        <xdr:cNvPr id="58" name="Picture 57">
          <a:extLst>
            <a:ext uri="{FF2B5EF4-FFF2-40B4-BE49-F238E27FC236}">
              <a16:creationId xmlns:a16="http://schemas.microsoft.com/office/drawing/2014/main" id="{00000000-0008-0000-0700-00003A000000}"/>
            </a:ext>
          </a:extLst>
        </xdr:cNvPr>
        <xdr:cNvPicPr>
          <a:picLocks noChangeAspect="1"/>
        </xdr:cNvPicPr>
      </xdr:nvPicPr>
      <xdr:blipFill>
        <a:blip xmlns:r="http://schemas.openxmlformats.org/officeDocument/2006/relationships" r:embed="rId3" cstate="print"/>
        <a:stretch>
          <a:fillRect/>
        </a:stretch>
      </xdr:blipFill>
      <xdr:spPr>
        <a:xfrm>
          <a:off x="3048000" y="146875500"/>
          <a:ext cx="2286198" cy="1153765"/>
        </a:xfrm>
        <a:prstGeom prst="rect">
          <a:avLst/>
        </a:prstGeom>
      </xdr:spPr>
    </xdr:pic>
    <xdr:clientData/>
  </xdr:oneCellAnchor>
  <xdr:oneCellAnchor>
    <xdr:from>
      <xdr:col>15</xdr:col>
      <xdr:colOff>0</xdr:colOff>
      <xdr:row>593</xdr:row>
      <xdr:rowOff>0</xdr:rowOff>
    </xdr:from>
    <xdr:ext cx="2286198" cy="1153765"/>
    <xdr:pic>
      <xdr:nvPicPr>
        <xdr:cNvPr id="59" name="Picture 58">
          <a:extLst>
            <a:ext uri="{FF2B5EF4-FFF2-40B4-BE49-F238E27FC236}">
              <a16:creationId xmlns:a16="http://schemas.microsoft.com/office/drawing/2014/main" id="{00000000-0008-0000-0700-00003B000000}"/>
            </a:ext>
          </a:extLst>
        </xdr:cNvPr>
        <xdr:cNvPicPr>
          <a:picLocks noChangeAspect="1"/>
        </xdr:cNvPicPr>
      </xdr:nvPicPr>
      <xdr:blipFill>
        <a:blip xmlns:r="http://schemas.openxmlformats.org/officeDocument/2006/relationships" r:embed="rId3" cstate="print"/>
        <a:stretch>
          <a:fillRect/>
        </a:stretch>
      </xdr:blipFill>
      <xdr:spPr>
        <a:xfrm>
          <a:off x="9204960" y="146875500"/>
          <a:ext cx="2286198" cy="1153765"/>
        </a:xfrm>
        <a:prstGeom prst="rect">
          <a:avLst/>
        </a:prstGeom>
      </xdr:spPr>
    </xdr:pic>
    <xdr:clientData/>
  </xdr:oneCellAnchor>
  <xdr:oneCellAnchor>
    <xdr:from>
      <xdr:col>5</xdr:col>
      <xdr:colOff>0</xdr:colOff>
      <xdr:row>639</xdr:row>
      <xdr:rowOff>0</xdr:rowOff>
    </xdr:from>
    <xdr:ext cx="2286198" cy="1153765"/>
    <xdr:pic>
      <xdr:nvPicPr>
        <xdr:cNvPr id="60" name="Picture 59">
          <a:extLst>
            <a:ext uri="{FF2B5EF4-FFF2-40B4-BE49-F238E27FC236}">
              <a16:creationId xmlns:a16="http://schemas.microsoft.com/office/drawing/2014/main" id="{00000000-0008-0000-0700-00003C000000}"/>
            </a:ext>
          </a:extLst>
        </xdr:cNvPr>
        <xdr:cNvPicPr>
          <a:picLocks noChangeAspect="1"/>
        </xdr:cNvPicPr>
      </xdr:nvPicPr>
      <xdr:blipFill>
        <a:blip xmlns:r="http://schemas.openxmlformats.org/officeDocument/2006/relationships" r:embed="rId3" cstate="print"/>
        <a:stretch>
          <a:fillRect/>
        </a:stretch>
      </xdr:blipFill>
      <xdr:spPr>
        <a:xfrm>
          <a:off x="3048000" y="155448000"/>
          <a:ext cx="2286198" cy="1153765"/>
        </a:xfrm>
        <a:prstGeom prst="rect">
          <a:avLst/>
        </a:prstGeom>
      </xdr:spPr>
    </xdr:pic>
    <xdr:clientData/>
  </xdr:oneCellAnchor>
  <xdr:oneCellAnchor>
    <xdr:from>
      <xdr:col>15</xdr:col>
      <xdr:colOff>0</xdr:colOff>
      <xdr:row>639</xdr:row>
      <xdr:rowOff>0</xdr:rowOff>
    </xdr:from>
    <xdr:ext cx="2286198" cy="1153765"/>
    <xdr:pic>
      <xdr:nvPicPr>
        <xdr:cNvPr id="61" name="Picture 60">
          <a:extLst>
            <a:ext uri="{FF2B5EF4-FFF2-40B4-BE49-F238E27FC236}">
              <a16:creationId xmlns:a16="http://schemas.microsoft.com/office/drawing/2014/main" id="{00000000-0008-0000-0700-00003D000000}"/>
            </a:ext>
          </a:extLst>
        </xdr:cNvPr>
        <xdr:cNvPicPr>
          <a:picLocks noChangeAspect="1"/>
        </xdr:cNvPicPr>
      </xdr:nvPicPr>
      <xdr:blipFill>
        <a:blip xmlns:r="http://schemas.openxmlformats.org/officeDocument/2006/relationships" r:embed="rId3" cstate="print"/>
        <a:stretch>
          <a:fillRect/>
        </a:stretch>
      </xdr:blipFill>
      <xdr:spPr>
        <a:xfrm>
          <a:off x="9204960" y="155448000"/>
          <a:ext cx="2286198" cy="1153765"/>
        </a:xfrm>
        <a:prstGeom prst="rect">
          <a:avLst/>
        </a:prstGeom>
      </xdr:spPr>
    </xdr:pic>
    <xdr:clientData/>
  </xdr:oneCellAnchor>
  <xdr:oneCellAnchor>
    <xdr:from>
      <xdr:col>5</xdr:col>
      <xdr:colOff>0</xdr:colOff>
      <xdr:row>684</xdr:row>
      <xdr:rowOff>0</xdr:rowOff>
    </xdr:from>
    <xdr:ext cx="2286198" cy="1153765"/>
    <xdr:pic>
      <xdr:nvPicPr>
        <xdr:cNvPr id="62" name="Picture 61">
          <a:extLst>
            <a:ext uri="{FF2B5EF4-FFF2-40B4-BE49-F238E27FC236}">
              <a16:creationId xmlns:a16="http://schemas.microsoft.com/office/drawing/2014/main" id="{00000000-0008-0000-0700-00003E000000}"/>
            </a:ext>
          </a:extLst>
        </xdr:cNvPr>
        <xdr:cNvPicPr>
          <a:picLocks noChangeAspect="1"/>
        </xdr:cNvPicPr>
      </xdr:nvPicPr>
      <xdr:blipFill>
        <a:blip xmlns:r="http://schemas.openxmlformats.org/officeDocument/2006/relationships" r:embed="rId3" cstate="print"/>
        <a:stretch>
          <a:fillRect/>
        </a:stretch>
      </xdr:blipFill>
      <xdr:spPr>
        <a:xfrm>
          <a:off x="3048000" y="163837620"/>
          <a:ext cx="2286198" cy="1153765"/>
        </a:xfrm>
        <a:prstGeom prst="rect">
          <a:avLst/>
        </a:prstGeom>
      </xdr:spPr>
    </xdr:pic>
    <xdr:clientData/>
  </xdr:oneCellAnchor>
  <xdr:oneCellAnchor>
    <xdr:from>
      <xdr:col>15</xdr:col>
      <xdr:colOff>0</xdr:colOff>
      <xdr:row>684</xdr:row>
      <xdr:rowOff>0</xdr:rowOff>
    </xdr:from>
    <xdr:ext cx="2286198" cy="1153765"/>
    <xdr:pic>
      <xdr:nvPicPr>
        <xdr:cNvPr id="63" name="Picture 62">
          <a:extLst>
            <a:ext uri="{FF2B5EF4-FFF2-40B4-BE49-F238E27FC236}">
              <a16:creationId xmlns:a16="http://schemas.microsoft.com/office/drawing/2014/main" id="{00000000-0008-0000-0700-00003F000000}"/>
            </a:ext>
          </a:extLst>
        </xdr:cNvPr>
        <xdr:cNvPicPr>
          <a:picLocks noChangeAspect="1"/>
        </xdr:cNvPicPr>
      </xdr:nvPicPr>
      <xdr:blipFill>
        <a:blip xmlns:r="http://schemas.openxmlformats.org/officeDocument/2006/relationships" r:embed="rId3" cstate="print"/>
        <a:stretch>
          <a:fillRect/>
        </a:stretch>
      </xdr:blipFill>
      <xdr:spPr>
        <a:xfrm>
          <a:off x="9204960" y="163837620"/>
          <a:ext cx="2286198" cy="1153765"/>
        </a:xfrm>
        <a:prstGeom prst="rect">
          <a:avLst/>
        </a:prstGeom>
      </xdr:spPr>
    </xdr:pic>
    <xdr:clientData/>
  </xdr:oneCellAnchor>
  <xdr:oneCellAnchor>
    <xdr:from>
      <xdr:col>5</xdr:col>
      <xdr:colOff>0</xdr:colOff>
      <xdr:row>732</xdr:row>
      <xdr:rowOff>0</xdr:rowOff>
    </xdr:from>
    <xdr:ext cx="2286198" cy="1153765"/>
    <xdr:pic>
      <xdr:nvPicPr>
        <xdr:cNvPr id="48" name="Picture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3" cstate="print"/>
        <a:stretch>
          <a:fillRect/>
        </a:stretch>
      </xdr:blipFill>
      <xdr:spPr>
        <a:xfrm>
          <a:off x="3069167" y="151839083"/>
          <a:ext cx="2286198" cy="1153765"/>
        </a:xfrm>
        <a:prstGeom prst="rect">
          <a:avLst/>
        </a:prstGeom>
      </xdr:spPr>
    </xdr:pic>
    <xdr:clientData/>
  </xdr:oneCellAnchor>
  <xdr:oneCellAnchor>
    <xdr:from>
      <xdr:col>15</xdr:col>
      <xdr:colOff>0</xdr:colOff>
      <xdr:row>732</xdr:row>
      <xdr:rowOff>0</xdr:rowOff>
    </xdr:from>
    <xdr:ext cx="2286198" cy="1153765"/>
    <xdr:pic>
      <xdr:nvPicPr>
        <xdr:cNvPr id="49" name="Picture 48">
          <a:extLst>
            <a:ext uri="{FF2B5EF4-FFF2-40B4-BE49-F238E27FC236}">
              <a16:creationId xmlns:a16="http://schemas.microsoft.com/office/drawing/2014/main" id="{00000000-0008-0000-0700-000031000000}"/>
            </a:ext>
          </a:extLst>
        </xdr:cNvPr>
        <xdr:cNvPicPr>
          <a:picLocks noChangeAspect="1"/>
        </xdr:cNvPicPr>
      </xdr:nvPicPr>
      <xdr:blipFill>
        <a:blip xmlns:r="http://schemas.openxmlformats.org/officeDocument/2006/relationships" r:embed="rId3" cstate="print"/>
        <a:stretch>
          <a:fillRect/>
        </a:stretch>
      </xdr:blipFill>
      <xdr:spPr>
        <a:xfrm>
          <a:off x="9228667" y="151839083"/>
          <a:ext cx="2286198" cy="1153765"/>
        </a:xfrm>
        <a:prstGeom prst="rect">
          <a:avLst/>
        </a:prstGeom>
      </xdr:spPr>
    </xdr:pic>
    <xdr:clientData/>
  </xdr:oneCellAnchor>
  <xdr:oneCellAnchor>
    <xdr:from>
      <xdr:col>5</xdr:col>
      <xdr:colOff>0</xdr:colOff>
      <xdr:row>777</xdr:row>
      <xdr:rowOff>0</xdr:rowOff>
    </xdr:from>
    <xdr:ext cx="2286198" cy="1153765"/>
    <xdr:pic>
      <xdr:nvPicPr>
        <xdr:cNvPr id="50" name="Picture 49">
          <a:extLst>
            <a:ext uri="{FF2B5EF4-FFF2-40B4-BE49-F238E27FC236}">
              <a16:creationId xmlns:a16="http://schemas.microsoft.com/office/drawing/2014/main" id="{00000000-0008-0000-0700-000032000000}"/>
            </a:ext>
          </a:extLst>
        </xdr:cNvPr>
        <xdr:cNvPicPr>
          <a:picLocks noChangeAspect="1"/>
        </xdr:cNvPicPr>
      </xdr:nvPicPr>
      <xdr:blipFill>
        <a:blip xmlns:r="http://schemas.openxmlformats.org/officeDocument/2006/relationships" r:embed="rId3" cstate="print"/>
        <a:stretch>
          <a:fillRect/>
        </a:stretch>
      </xdr:blipFill>
      <xdr:spPr>
        <a:xfrm>
          <a:off x="3069167" y="160591500"/>
          <a:ext cx="2286198" cy="1153765"/>
        </a:xfrm>
        <a:prstGeom prst="rect">
          <a:avLst/>
        </a:prstGeom>
      </xdr:spPr>
    </xdr:pic>
    <xdr:clientData/>
  </xdr:oneCellAnchor>
  <xdr:oneCellAnchor>
    <xdr:from>
      <xdr:col>15</xdr:col>
      <xdr:colOff>0</xdr:colOff>
      <xdr:row>777</xdr:row>
      <xdr:rowOff>0</xdr:rowOff>
    </xdr:from>
    <xdr:ext cx="2286198" cy="1153765"/>
    <xdr:pic>
      <xdr:nvPicPr>
        <xdr:cNvPr id="51" name="Picture 50">
          <a:extLst>
            <a:ext uri="{FF2B5EF4-FFF2-40B4-BE49-F238E27FC236}">
              <a16:creationId xmlns:a16="http://schemas.microsoft.com/office/drawing/2014/main" id="{00000000-0008-0000-0700-000033000000}"/>
            </a:ext>
          </a:extLst>
        </xdr:cNvPr>
        <xdr:cNvPicPr>
          <a:picLocks noChangeAspect="1"/>
        </xdr:cNvPicPr>
      </xdr:nvPicPr>
      <xdr:blipFill>
        <a:blip xmlns:r="http://schemas.openxmlformats.org/officeDocument/2006/relationships" r:embed="rId3" cstate="print"/>
        <a:stretch>
          <a:fillRect/>
        </a:stretch>
      </xdr:blipFill>
      <xdr:spPr>
        <a:xfrm>
          <a:off x="9228667" y="160591500"/>
          <a:ext cx="2286198" cy="1153765"/>
        </a:xfrm>
        <a:prstGeom prst="rect">
          <a:avLst/>
        </a:prstGeom>
      </xdr:spPr>
    </xdr:pic>
    <xdr:clientData/>
  </xdr:oneCellAnchor>
  <xdr:oneCellAnchor>
    <xdr:from>
      <xdr:col>5</xdr:col>
      <xdr:colOff>0</xdr:colOff>
      <xdr:row>827</xdr:row>
      <xdr:rowOff>0</xdr:rowOff>
    </xdr:from>
    <xdr:ext cx="2286198" cy="1153765"/>
    <xdr:pic>
      <xdr:nvPicPr>
        <xdr:cNvPr id="64" name="Picture 63">
          <a:extLst>
            <a:ext uri="{FF2B5EF4-FFF2-40B4-BE49-F238E27FC236}">
              <a16:creationId xmlns:a16="http://schemas.microsoft.com/office/drawing/2014/main" id="{00000000-0008-0000-0700-000040000000}"/>
            </a:ext>
          </a:extLst>
        </xdr:cNvPr>
        <xdr:cNvPicPr>
          <a:picLocks noChangeAspect="1"/>
        </xdr:cNvPicPr>
      </xdr:nvPicPr>
      <xdr:blipFill>
        <a:blip xmlns:r="http://schemas.openxmlformats.org/officeDocument/2006/relationships" r:embed="rId3" cstate="print"/>
        <a:stretch>
          <a:fillRect/>
        </a:stretch>
      </xdr:blipFill>
      <xdr:spPr>
        <a:xfrm>
          <a:off x="3153833" y="151267583"/>
          <a:ext cx="2286198" cy="1153765"/>
        </a:xfrm>
        <a:prstGeom prst="rect">
          <a:avLst/>
        </a:prstGeom>
      </xdr:spPr>
    </xdr:pic>
    <xdr:clientData/>
  </xdr:oneCellAnchor>
  <xdr:oneCellAnchor>
    <xdr:from>
      <xdr:col>15</xdr:col>
      <xdr:colOff>0</xdr:colOff>
      <xdr:row>827</xdr:row>
      <xdr:rowOff>0</xdr:rowOff>
    </xdr:from>
    <xdr:ext cx="2286198" cy="1153765"/>
    <xdr:pic>
      <xdr:nvPicPr>
        <xdr:cNvPr id="65" name="Picture 64">
          <a:extLst>
            <a:ext uri="{FF2B5EF4-FFF2-40B4-BE49-F238E27FC236}">
              <a16:creationId xmlns:a16="http://schemas.microsoft.com/office/drawing/2014/main" id="{00000000-0008-0000-0700-000041000000}"/>
            </a:ext>
          </a:extLst>
        </xdr:cNvPr>
        <xdr:cNvPicPr>
          <a:picLocks noChangeAspect="1"/>
        </xdr:cNvPicPr>
      </xdr:nvPicPr>
      <xdr:blipFill>
        <a:blip xmlns:r="http://schemas.openxmlformats.org/officeDocument/2006/relationships" r:embed="rId3" cstate="print"/>
        <a:stretch>
          <a:fillRect/>
        </a:stretch>
      </xdr:blipFill>
      <xdr:spPr>
        <a:xfrm>
          <a:off x="9313333" y="151267583"/>
          <a:ext cx="2286198" cy="1153765"/>
        </a:xfrm>
        <a:prstGeom prst="rect">
          <a:avLst/>
        </a:prstGeom>
      </xdr:spPr>
    </xdr:pic>
    <xdr:clientData/>
  </xdr:oneCellAnchor>
  <xdr:oneCellAnchor>
    <xdr:from>
      <xdr:col>5</xdr:col>
      <xdr:colOff>0</xdr:colOff>
      <xdr:row>872</xdr:row>
      <xdr:rowOff>0</xdr:rowOff>
    </xdr:from>
    <xdr:ext cx="2286198" cy="1153765"/>
    <xdr:pic>
      <xdr:nvPicPr>
        <xdr:cNvPr id="66" name="Picture 65">
          <a:extLst>
            <a:ext uri="{FF2B5EF4-FFF2-40B4-BE49-F238E27FC236}">
              <a16:creationId xmlns:a16="http://schemas.microsoft.com/office/drawing/2014/main" id="{00000000-0008-0000-0700-000042000000}"/>
            </a:ext>
          </a:extLst>
        </xdr:cNvPr>
        <xdr:cNvPicPr>
          <a:picLocks noChangeAspect="1"/>
        </xdr:cNvPicPr>
      </xdr:nvPicPr>
      <xdr:blipFill>
        <a:blip xmlns:r="http://schemas.openxmlformats.org/officeDocument/2006/relationships" r:embed="rId3" cstate="print"/>
        <a:stretch>
          <a:fillRect/>
        </a:stretch>
      </xdr:blipFill>
      <xdr:spPr>
        <a:xfrm>
          <a:off x="3153833" y="160020000"/>
          <a:ext cx="2286198" cy="1153765"/>
        </a:xfrm>
        <a:prstGeom prst="rect">
          <a:avLst/>
        </a:prstGeom>
      </xdr:spPr>
    </xdr:pic>
    <xdr:clientData/>
  </xdr:oneCellAnchor>
  <xdr:oneCellAnchor>
    <xdr:from>
      <xdr:col>15</xdr:col>
      <xdr:colOff>0</xdr:colOff>
      <xdr:row>872</xdr:row>
      <xdr:rowOff>0</xdr:rowOff>
    </xdr:from>
    <xdr:ext cx="2286198" cy="1153765"/>
    <xdr:pic>
      <xdr:nvPicPr>
        <xdr:cNvPr id="67" name="Picture 66">
          <a:extLst>
            <a:ext uri="{FF2B5EF4-FFF2-40B4-BE49-F238E27FC236}">
              <a16:creationId xmlns:a16="http://schemas.microsoft.com/office/drawing/2014/main" id="{00000000-0008-0000-0700-000043000000}"/>
            </a:ext>
          </a:extLst>
        </xdr:cNvPr>
        <xdr:cNvPicPr>
          <a:picLocks noChangeAspect="1"/>
        </xdr:cNvPicPr>
      </xdr:nvPicPr>
      <xdr:blipFill>
        <a:blip xmlns:r="http://schemas.openxmlformats.org/officeDocument/2006/relationships" r:embed="rId3" cstate="print"/>
        <a:stretch>
          <a:fillRect/>
        </a:stretch>
      </xdr:blipFill>
      <xdr:spPr>
        <a:xfrm>
          <a:off x="9313333" y="160020000"/>
          <a:ext cx="2286198" cy="1153765"/>
        </a:xfrm>
        <a:prstGeom prst="rect">
          <a:avLst/>
        </a:prstGeom>
      </xdr:spPr>
    </xdr:pic>
    <xdr:clientData/>
  </xdr:oneCellAnchor>
  <xdr:oneCellAnchor>
    <xdr:from>
      <xdr:col>5</xdr:col>
      <xdr:colOff>0</xdr:colOff>
      <xdr:row>922</xdr:row>
      <xdr:rowOff>0</xdr:rowOff>
    </xdr:from>
    <xdr:ext cx="2286198" cy="1153765"/>
    <xdr:pic>
      <xdr:nvPicPr>
        <xdr:cNvPr id="68" name="Picture 67">
          <a:extLst>
            <a:ext uri="{FF2B5EF4-FFF2-40B4-BE49-F238E27FC236}">
              <a16:creationId xmlns:a16="http://schemas.microsoft.com/office/drawing/2014/main" id="{00000000-0008-0000-0700-000044000000}"/>
            </a:ext>
          </a:extLst>
        </xdr:cNvPr>
        <xdr:cNvPicPr>
          <a:picLocks noChangeAspect="1"/>
        </xdr:cNvPicPr>
      </xdr:nvPicPr>
      <xdr:blipFill>
        <a:blip xmlns:r="http://schemas.openxmlformats.org/officeDocument/2006/relationships" r:embed="rId3" cstate="print"/>
        <a:stretch>
          <a:fillRect/>
        </a:stretch>
      </xdr:blipFill>
      <xdr:spPr>
        <a:xfrm>
          <a:off x="3153833" y="151267583"/>
          <a:ext cx="2286198" cy="1153765"/>
        </a:xfrm>
        <a:prstGeom prst="rect">
          <a:avLst/>
        </a:prstGeom>
      </xdr:spPr>
    </xdr:pic>
    <xdr:clientData/>
  </xdr:oneCellAnchor>
  <xdr:oneCellAnchor>
    <xdr:from>
      <xdr:col>15</xdr:col>
      <xdr:colOff>0</xdr:colOff>
      <xdr:row>922</xdr:row>
      <xdr:rowOff>0</xdr:rowOff>
    </xdr:from>
    <xdr:ext cx="2286198" cy="1153765"/>
    <xdr:pic>
      <xdr:nvPicPr>
        <xdr:cNvPr id="69" name="Picture 68">
          <a:extLst>
            <a:ext uri="{FF2B5EF4-FFF2-40B4-BE49-F238E27FC236}">
              <a16:creationId xmlns:a16="http://schemas.microsoft.com/office/drawing/2014/main" id="{00000000-0008-0000-0700-000045000000}"/>
            </a:ext>
          </a:extLst>
        </xdr:cNvPr>
        <xdr:cNvPicPr>
          <a:picLocks noChangeAspect="1"/>
        </xdr:cNvPicPr>
      </xdr:nvPicPr>
      <xdr:blipFill>
        <a:blip xmlns:r="http://schemas.openxmlformats.org/officeDocument/2006/relationships" r:embed="rId3" cstate="print"/>
        <a:stretch>
          <a:fillRect/>
        </a:stretch>
      </xdr:blipFill>
      <xdr:spPr>
        <a:xfrm>
          <a:off x="9313333" y="151267583"/>
          <a:ext cx="2286198" cy="1153765"/>
        </a:xfrm>
        <a:prstGeom prst="rect">
          <a:avLst/>
        </a:prstGeom>
      </xdr:spPr>
    </xdr:pic>
    <xdr:clientData/>
  </xdr:oneCellAnchor>
  <xdr:oneCellAnchor>
    <xdr:from>
      <xdr:col>5</xdr:col>
      <xdr:colOff>0</xdr:colOff>
      <xdr:row>967</xdr:row>
      <xdr:rowOff>0</xdr:rowOff>
    </xdr:from>
    <xdr:ext cx="2286198" cy="1153765"/>
    <xdr:pic>
      <xdr:nvPicPr>
        <xdr:cNvPr id="70" name="Picture 69">
          <a:extLst>
            <a:ext uri="{FF2B5EF4-FFF2-40B4-BE49-F238E27FC236}">
              <a16:creationId xmlns:a16="http://schemas.microsoft.com/office/drawing/2014/main" id="{00000000-0008-0000-0700-000046000000}"/>
            </a:ext>
          </a:extLst>
        </xdr:cNvPr>
        <xdr:cNvPicPr>
          <a:picLocks noChangeAspect="1"/>
        </xdr:cNvPicPr>
      </xdr:nvPicPr>
      <xdr:blipFill>
        <a:blip xmlns:r="http://schemas.openxmlformats.org/officeDocument/2006/relationships" r:embed="rId3" cstate="print"/>
        <a:stretch>
          <a:fillRect/>
        </a:stretch>
      </xdr:blipFill>
      <xdr:spPr>
        <a:xfrm>
          <a:off x="3153833" y="160020000"/>
          <a:ext cx="2286198" cy="1153765"/>
        </a:xfrm>
        <a:prstGeom prst="rect">
          <a:avLst/>
        </a:prstGeom>
      </xdr:spPr>
    </xdr:pic>
    <xdr:clientData/>
  </xdr:oneCellAnchor>
  <xdr:oneCellAnchor>
    <xdr:from>
      <xdr:col>15</xdr:col>
      <xdr:colOff>0</xdr:colOff>
      <xdr:row>967</xdr:row>
      <xdr:rowOff>0</xdr:rowOff>
    </xdr:from>
    <xdr:ext cx="2286198" cy="1153765"/>
    <xdr:pic>
      <xdr:nvPicPr>
        <xdr:cNvPr id="71" name="Picture 70">
          <a:extLst>
            <a:ext uri="{FF2B5EF4-FFF2-40B4-BE49-F238E27FC236}">
              <a16:creationId xmlns:a16="http://schemas.microsoft.com/office/drawing/2014/main" id="{00000000-0008-0000-0700-000047000000}"/>
            </a:ext>
          </a:extLst>
        </xdr:cNvPr>
        <xdr:cNvPicPr>
          <a:picLocks noChangeAspect="1"/>
        </xdr:cNvPicPr>
      </xdr:nvPicPr>
      <xdr:blipFill>
        <a:blip xmlns:r="http://schemas.openxmlformats.org/officeDocument/2006/relationships" r:embed="rId3" cstate="print"/>
        <a:stretch>
          <a:fillRect/>
        </a:stretch>
      </xdr:blipFill>
      <xdr:spPr>
        <a:xfrm>
          <a:off x="9313333" y="160020000"/>
          <a:ext cx="2286198" cy="1153765"/>
        </a:xfrm>
        <a:prstGeom prst="rect">
          <a:avLst/>
        </a:prstGeom>
      </xdr:spPr>
    </xdr:pic>
    <xdr:clientData/>
  </xdr:oneCellAnchor>
  <xdr:oneCellAnchor>
    <xdr:from>
      <xdr:col>5</xdr:col>
      <xdr:colOff>0</xdr:colOff>
      <xdr:row>1019</xdr:row>
      <xdr:rowOff>0</xdr:rowOff>
    </xdr:from>
    <xdr:ext cx="2286198" cy="1153765"/>
    <xdr:pic>
      <xdr:nvPicPr>
        <xdr:cNvPr id="80" name="Picture 79">
          <a:extLst>
            <a:ext uri="{FF2B5EF4-FFF2-40B4-BE49-F238E27FC236}">
              <a16:creationId xmlns:a16="http://schemas.microsoft.com/office/drawing/2014/main" id="{CD390C9F-F50D-4773-BCBF-D11FDB018A07}"/>
            </a:ext>
          </a:extLst>
        </xdr:cNvPr>
        <xdr:cNvPicPr>
          <a:picLocks noChangeAspect="1"/>
        </xdr:cNvPicPr>
      </xdr:nvPicPr>
      <xdr:blipFill>
        <a:blip xmlns:r="http://schemas.openxmlformats.org/officeDocument/2006/relationships" r:embed="rId3" cstate="print"/>
        <a:stretch>
          <a:fillRect/>
        </a:stretch>
      </xdr:blipFill>
      <xdr:spPr>
        <a:xfrm>
          <a:off x="3158067" y="165718067"/>
          <a:ext cx="2286198" cy="1153765"/>
        </a:xfrm>
        <a:prstGeom prst="rect">
          <a:avLst/>
        </a:prstGeom>
      </xdr:spPr>
    </xdr:pic>
    <xdr:clientData/>
  </xdr:oneCellAnchor>
  <xdr:oneCellAnchor>
    <xdr:from>
      <xdr:col>15</xdr:col>
      <xdr:colOff>0</xdr:colOff>
      <xdr:row>1019</xdr:row>
      <xdr:rowOff>0</xdr:rowOff>
    </xdr:from>
    <xdr:ext cx="2286198" cy="1153765"/>
    <xdr:pic>
      <xdr:nvPicPr>
        <xdr:cNvPr id="81" name="Picture 80">
          <a:extLst>
            <a:ext uri="{FF2B5EF4-FFF2-40B4-BE49-F238E27FC236}">
              <a16:creationId xmlns:a16="http://schemas.microsoft.com/office/drawing/2014/main" id="{D366FBAE-5703-4378-8B14-DB1E5659C86E}"/>
            </a:ext>
          </a:extLst>
        </xdr:cNvPr>
        <xdr:cNvPicPr>
          <a:picLocks noChangeAspect="1"/>
        </xdr:cNvPicPr>
      </xdr:nvPicPr>
      <xdr:blipFill>
        <a:blip xmlns:r="http://schemas.openxmlformats.org/officeDocument/2006/relationships" r:embed="rId3" cstate="print"/>
        <a:stretch>
          <a:fillRect/>
        </a:stretch>
      </xdr:blipFill>
      <xdr:spPr>
        <a:xfrm>
          <a:off x="9313333" y="165718067"/>
          <a:ext cx="2286198" cy="1153765"/>
        </a:xfrm>
        <a:prstGeom prst="rect">
          <a:avLst/>
        </a:prstGeom>
      </xdr:spPr>
    </xdr:pic>
    <xdr:clientData/>
  </xdr:oneCellAnchor>
  <xdr:oneCellAnchor>
    <xdr:from>
      <xdr:col>5</xdr:col>
      <xdr:colOff>0</xdr:colOff>
      <xdr:row>1064</xdr:row>
      <xdr:rowOff>0</xdr:rowOff>
    </xdr:from>
    <xdr:ext cx="2286198" cy="1153765"/>
    <xdr:pic>
      <xdr:nvPicPr>
        <xdr:cNvPr id="82" name="Picture 81">
          <a:extLst>
            <a:ext uri="{FF2B5EF4-FFF2-40B4-BE49-F238E27FC236}">
              <a16:creationId xmlns:a16="http://schemas.microsoft.com/office/drawing/2014/main" id="{FDFADB4F-E409-4812-AC50-0FABABA5AA27}"/>
            </a:ext>
          </a:extLst>
        </xdr:cNvPr>
        <xdr:cNvPicPr>
          <a:picLocks noChangeAspect="1"/>
        </xdr:cNvPicPr>
      </xdr:nvPicPr>
      <xdr:blipFill>
        <a:blip xmlns:r="http://schemas.openxmlformats.org/officeDocument/2006/relationships" r:embed="rId3" cstate="print"/>
        <a:stretch>
          <a:fillRect/>
        </a:stretch>
      </xdr:blipFill>
      <xdr:spPr>
        <a:xfrm>
          <a:off x="3158067" y="174260933"/>
          <a:ext cx="2286198" cy="1153765"/>
        </a:xfrm>
        <a:prstGeom prst="rect">
          <a:avLst/>
        </a:prstGeom>
      </xdr:spPr>
    </xdr:pic>
    <xdr:clientData/>
  </xdr:oneCellAnchor>
  <xdr:oneCellAnchor>
    <xdr:from>
      <xdr:col>15</xdr:col>
      <xdr:colOff>0</xdr:colOff>
      <xdr:row>1064</xdr:row>
      <xdr:rowOff>0</xdr:rowOff>
    </xdr:from>
    <xdr:ext cx="2286198" cy="1153765"/>
    <xdr:pic>
      <xdr:nvPicPr>
        <xdr:cNvPr id="83" name="Picture 82">
          <a:extLst>
            <a:ext uri="{FF2B5EF4-FFF2-40B4-BE49-F238E27FC236}">
              <a16:creationId xmlns:a16="http://schemas.microsoft.com/office/drawing/2014/main" id="{BB36DB65-485F-4E8E-BAAE-CE21F41E0CC5}"/>
            </a:ext>
          </a:extLst>
        </xdr:cNvPr>
        <xdr:cNvPicPr>
          <a:picLocks noChangeAspect="1"/>
        </xdr:cNvPicPr>
      </xdr:nvPicPr>
      <xdr:blipFill>
        <a:blip xmlns:r="http://schemas.openxmlformats.org/officeDocument/2006/relationships" r:embed="rId3" cstate="print"/>
        <a:stretch>
          <a:fillRect/>
        </a:stretch>
      </xdr:blipFill>
      <xdr:spPr>
        <a:xfrm>
          <a:off x="9313333" y="174260933"/>
          <a:ext cx="2286198" cy="1153765"/>
        </a:xfrm>
        <a:prstGeom prst="rect">
          <a:avLst/>
        </a:prstGeom>
      </xdr:spPr>
    </xdr:pic>
    <xdr:clientData/>
  </xdr:oneCellAnchor>
  <xdr:oneCellAnchor>
    <xdr:from>
      <xdr:col>5</xdr:col>
      <xdr:colOff>0</xdr:colOff>
      <xdr:row>1114</xdr:row>
      <xdr:rowOff>0</xdr:rowOff>
    </xdr:from>
    <xdr:ext cx="2286198" cy="1153765"/>
    <xdr:pic>
      <xdr:nvPicPr>
        <xdr:cNvPr id="84" name="Picture 83">
          <a:extLst>
            <a:ext uri="{FF2B5EF4-FFF2-40B4-BE49-F238E27FC236}">
              <a16:creationId xmlns:a16="http://schemas.microsoft.com/office/drawing/2014/main" id="{02D109BF-90A8-4237-B7AF-BF42EE49369B}"/>
            </a:ext>
          </a:extLst>
        </xdr:cNvPr>
        <xdr:cNvPicPr>
          <a:picLocks noChangeAspect="1"/>
        </xdr:cNvPicPr>
      </xdr:nvPicPr>
      <xdr:blipFill>
        <a:blip xmlns:r="http://schemas.openxmlformats.org/officeDocument/2006/relationships" r:embed="rId3" cstate="print"/>
        <a:stretch>
          <a:fillRect/>
        </a:stretch>
      </xdr:blipFill>
      <xdr:spPr>
        <a:xfrm>
          <a:off x="3158067" y="183735133"/>
          <a:ext cx="2286198" cy="1153765"/>
        </a:xfrm>
        <a:prstGeom prst="rect">
          <a:avLst/>
        </a:prstGeom>
      </xdr:spPr>
    </xdr:pic>
    <xdr:clientData/>
  </xdr:oneCellAnchor>
  <xdr:oneCellAnchor>
    <xdr:from>
      <xdr:col>15</xdr:col>
      <xdr:colOff>0</xdr:colOff>
      <xdr:row>1114</xdr:row>
      <xdr:rowOff>0</xdr:rowOff>
    </xdr:from>
    <xdr:ext cx="2286198" cy="1153765"/>
    <xdr:pic>
      <xdr:nvPicPr>
        <xdr:cNvPr id="85" name="Picture 84">
          <a:extLst>
            <a:ext uri="{FF2B5EF4-FFF2-40B4-BE49-F238E27FC236}">
              <a16:creationId xmlns:a16="http://schemas.microsoft.com/office/drawing/2014/main" id="{7351D9DA-8480-4A14-9224-C90B5994E52D}"/>
            </a:ext>
          </a:extLst>
        </xdr:cNvPr>
        <xdr:cNvPicPr>
          <a:picLocks noChangeAspect="1"/>
        </xdr:cNvPicPr>
      </xdr:nvPicPr>
      <xdr:blipFill>
        <a:blip xmlns:r="http://schemas.openxmlformats.org/officeDocument/2006/relationships" r:embed="rId3" cstate="print"/>
        <a:stretch>
          <a:fillRect/>
        </a:stretch>
      </xdr:blipFill>
      <xdr:spPr>
        <a:xfrm>
          <a:off x="9313333" y="183735133"/>
          <a:ext cx="2286198" cy="1153765"/>
        </a:xfrm>
        <a:prstGeom prst="rect">
          <a:avLst/>
        </a:prstGeom>
      </xdr:spPr>
    </xdr:pic>
    <xdr:clientData/>
  </xdr:oneCellAnchor>
  <xdr:oneCellAnchor>
    <xdr:from>
      <xdr:col>5</xdr:col>
      <xdr:colOff>0</xdr:colOff>
      <xdr:row>1159</xdr:row>
      <xdr:rowOff>0</xdr:rowOff>
    </xdr:from>
    <xdr:ext cx="2286198" cy="1153765"/>
    <xdr:pic>
      <xdr:nvPicPr>
        <xdr:cNvPr id="86" name="Picture 85">
          <a:extLst>
            <a:ext uri="{FF2B5EF4-FFF2-40B4-BE49-F238E27FC236}">
              <a16:creationId xmlns:a16="http://schemas.microsoft.com/office/drawing/2014/main" id="{87C8B59F-A85A-4F84-8427-EB600483FCC2}"/>
            </a:ext>
          </a:extLst>
        </xdr:cNvPr>
        <xdr:cNvPicPr>
          <a:picLocks noChangeAspect="1"/>
        </xdr:cNvPicPr>
      </xdr:nvPicPr>
      <xdr:blipFill>
        <a:blip xmlns:r="http://schemas.openxmlformats.org/officeDocument/2006/relationships" r:embed="rId3" cstate="print"/>
        <a:stretch>
          <a:fillRect/>
        </a:stretch>
      </xdr:blipFill>
      <xdr:spPr>
        <a:xfrm>
          <a:off x="3158067" y="192278000"/>
          <a:ext cx="2286198" cy="1153765"/>
        </a:xfrm>
        <a:prstGeom prst="rect">
          <a:avLst/>
        </a:prstGeom>
      </xdr:spPr>
    </xdr:pic>
    <xdr:clientData/>
  </xdr:oneCellAnchor>
  <xdr:oneCellAnchor>
    <xdr:from>
      <xdr:col>15</xdr:col>
      <xdr:colOff>0</xdr:colOff>
      <xdr:row>1159</xdr:row>
      <xdr:rowOff>0</xdr:rowOff>
    </xdr:from>
    <xdr:ext cx="2286198" cy="1153765"/>
    <xdr:pic>
      <xdr:nvPicPr>
        <xdr:cNvPr id="87" name="Picture 86">
          <a:extLst>
            <a:ext uri="{FF2B5EF4-FFF2-40B4-BE49-F238E27FC236}">
              <a16:creationId xmlns:a16="http://schemas.microsoft.com/office/drawing/2014/main" id="{7244F92A-47A4-4EA1-A26B-B12C582AB2E8}"/>
            </a:ext>
          </a:extLst>
        </xdr:cNvPr>
        <xdr:cNvPicPr>
          <a:picLocks noChangeAspect="1"/>
        </xdr:cNvPicPr>
      </xdr:nvPicPr>
      <xdr:blipFill>
        <a:blip xmlns:r="http://schemas.openxmlformats.org/officeDocument/2006/relationships" r:embed="rId3" cstate="print"/>
        <a:stretch>
          <a:fillRect/>
        </a:stretch>
      </xdr:blipFill>
      <xdr:spPr>
        <a:xfrm>
          <a:off x="9313333" y="192278000"/>
          <a:ext cx="2286198" cy="115376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11</xdr:col>
      <xdr:colOff>0</xdr:colOff>
      <xdr:row>35</xdr:row>
      <xdr:rowOff>0</xdr:rowOff>
    </xdr:from>
    <xdr:to>
      <xdr:col>14</xdr:col>
      <xdr:colOff>456292</xdr:colOff>
      <xdr:row>40</xdr:row>
      <xdr:rowOff>9525</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28150" y="9017000"/>
          <a:ext cx="2285092" cy="9302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0</xdr:colOff>
      <xdr:row>32</xdr:row>
      <xdr:rowOff>57150</xdr:rowOff>
    </xdr:from>
    <xdr:to>
      <xdr:col>8</xdr:col>
      <xdr:colOff>456292</xdr:colOff>
      <xdr:row>38</xdr:row>
      <xdr:rowOff>66675</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62575" y="6781800"/>
          <a:ext cx="2285092" cy="1152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0</xdr:colOff>
      <xdr:row>30</xdr:row>
      <xdr:rowOff>0</xdr:rowOff>
    </xdr:from>
    <xdr:to>
      <xdr:col>8</xdr:col>
      <xdr:colOff>456292</xdr:colOff>
      <xdr:row>36</xdr:row>
      <xdr:rowOff>9525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53025" y="6276975"/>
          <a:ext cx="2285092" cy="11525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590550</xdr:colOff>
      <xdr:row>31</xdr:row>
      <xdr:rowOff>95250</xdr:rowOff>
    </xdr:from>
    <xdr:to>
      <xdr:col>9</xdr:col>
      <xdr:colOff>437242</xdr:colOff>
      <xdr:row>37</xdr:row>
      <xdr:rowOff>104775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57900" y="6638925"/>
          <a:ext cx="2285092" cy="1152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0</xdr:colOff>
      <xdr:row>28</xdr:row>
      <xdr:rowOff>0</xdr:rowOff>
    </xdr:from>
    <xdr:to>
      <xdr:col>9</xdr:col>
      <xdr:colOff>456292</xdr:colOff>
      <xdr:row>34</xdr:row>
      <xdr:rowOff>9525</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0" y="6496050"/>
          <a:ext cx="2285092" cy="1152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11</xdr:col>
      <xdr:colOff>647700</xdr:colOff>
      <xdr:row>24</xdr:row>
      <xdr:rowOff>152400</xdr:rowOff>
    </xdr:from>
    <xdr:to>
      <xdr:col>15</xdr:col>
      <xdr:colOff>27667</xdr:colOff>
      <xdr:row>30</xdr:row>
      <xdr:rowOff>161925</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91550" y="7067550"/>
          <a:ext cx="2285092" cy="11525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65937</xdr:rowOff>
    </xdr:to>
    <xdr:pic>
      <xdr:nvPicPr>
        <xdr:cNvPr id="3" name="Picture 7">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65937</xdr:rowOff>
    </xdr:to>
    <xdr:pic>
      <xdr:nvPicPr>
        <xdr:cNvPr id="4" name="Picture 7">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14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14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14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65937</xdr:rowOff>
    </xdr:to>
    <xdr:pic>
      <xdr:nvPicPr>
        <xdr:cNvPr id="8" name="Picture 7">
          <a:extLst>
            <a:ext uri="{FF2B5EF4-FFF2-40B4-BE49-F238E27FC236}">
              <a16:creationId xmlns:a16="http://schemas.microsoft.com/office/drawing/2014/main" id="{00000000-0008-0000-14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65937</xdr:rowOff>
    </xdr:to>
    <xdr:pic>
      <xdr:nvPicPr>
        <xdr:cNvPr id="9" name="Picture 7">
          <a:extLst>
            <a:ext uri="{FF2B5EF4-FFF2-40B4-BE49-F238E27FC236}">
              <a16:creationId xmlns:a16="http://schemas.microsoft.com/office/drawing/2014/main" id="{00000000-0008-0000-14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51954</xdr:rowOff>
    </xdr:to>
    <xdr:pic>
      <xdr:nvPicPr>
        <xdr:cNvPr id="10" name="Picture 7">
          <a:extLst>
            <a:ext uri="{FF2B5EF4-FFF2-40B4-BE49-F238E27FC236}">
              <a16:creationId xmlns:a16="http://schemas.microsoft.com/office/drawing/2014/main" id="{00000000-0008-0000-14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129886</xdr:rowOff>
    </xdr:to>
    <xdr:pic>
      <xdr:nvPicPr>
        <xdr:cNvPr id="11" name="Picture 7">
          <a:extLst>
            <a:ext uri="{FF2B5EF4-FFF2-40B4-BE49-F238E27FC236}">
              <a16:creationId xmlns:a16="http://schemas.microsoft.com/office/drawing/2014/main" id="{00000000-0008-0000-14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14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5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5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5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5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5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5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5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5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5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20B%20URGEON-PAY%20SHEET%20April-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APRIL- 2022"/>
      <sheetName val="Emp Details "/>
      <sheetName val="kaja Venkat Ragavendra"/>
      <sheetName val="Venegella Kanaka durga"/>
      <sheetName val="Moeenahmed Shakilahmed Shaikh"/>
      <sheetName val="AKASH DEEP CHUNAP "/>
      <sheetName val="Gaunda Mohammad Arief"/>
      <sheetName val="KRANTHI KUMAR VEDULLA"/>
      <sheetName val="Vipin U.N"/>
      <sheetName val="VeerendraBabu Galam"/>
      <sheetName val="Haneef"/>
      <sheetName val="Ved Prakash"/>
      <sheetName val="GauravVispute"/>
      <sheetName val="Amith a"/>
      <sheetName val="RajasekharReddy KN"/>
      <sheetName val="Moulika GM"/>
      <sheetName val="AsokKumar J"/>
      <sheetName val="RUKNUDEEN S"/>
      <sheetName val="Rajesh Kongara"/>
      <sheetName val="Yarramaddu Raveendra Reddy"/>
      <sheetName val="Naresh Kandhula"/>
      <sheetName val="Reno Vijayan"/>
      <sheetName val="Majed Khan"/>
      <sheetName val="SathishKumar V"/>
      <sheetName val="Madan"/>
      <sheetName val="Kutagolla Mohazzer"/>
      <sheetName val="Sachin Ameshram"/>
      <sheetName val="Srikanth Thota"/>
      <sheetName val="Shekhar Panchal"/>
      <sheetName val="Girish Bandi"/>
      <sheetName val="DESIR KOIPURATH"/>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Bhaskar Reddy Sudha"/>
      <sheetName val="BHARGAVI .R"/>
      <sheetName val="Shiva Krishna"/>
      <sheetName val="ARJUN PUNDLIK JOSHI"/>
      <sheetName val="Karthick G"/>
      <sheetName val="Somisetty VenkataKrishna"/>
      <sheetName val="CHEREDDY MURALI KRISHNA NAIDU"/>
      <sheetName val="Gangadhar Yarabham"/>
      <sheetName val="Himanshu Anand"/>
      <sheetName val="Kanchupati Kondaiah"/>
      <sheetName val="Santosh Patel"/>
      <sheetName val="Saleem Ahmed Natamkar"/>
      <sheetName val="Sambasivarao M"/>
      <sheetName val="Basweshwar Pawar"/>
      <sheetName val="K V Kannan"/>
      <sheetName val="Thanigaivel.J"/>
      <sheetName val="gopi reddy chirra"/>
      <sheetName val="Anil kumar Redd kusam"/>
      <sheetName val="Vijay Kumar Sundara"/>
      <sheetName val="Paparao"/>
      <sheetName val="Bhaskar Idagottu"/>
      <sheetName val="Snehal Shirsat"/>
      <sheetName val="Shaikh Mohammed Sartaj"/>
      <sheetName val="Dinesh Kumar Maran"/>
      <sheetName val="Ranjith Kumar Karanam"/>
      <sheetName val="Shashanki Mishra"/>
      <sheetName val="Anjali Dubey"/>
      <sheetName val="Manzoor Ahamed"/>
      <sheetName val="Moin Ahemad jahur"/>
      <sheetName val="Hemanth Mishra"/>
      <sheetName val="Sandeep Kumar Gupta"/>
      <sheetName val="FAZALAHMED IRKAL"/>
      <sheetName val="Savana Saritha Dora"/>
      <sheetName val="SUKRUTH YELLAMBOTLA"/>
      <sheetName val="Mandar Shetty"/>
      <sheetName val="Ramakrishna J Reddy"/>
      <sheetName val="Vivek Dongre "/>
      <sheetName val="Praveen Kumar Beesabat"/>
      <sheetName val="Amit Chawadi"/>
      <sheetName val="Nikhila Kaveri "/>
      <sheetName val="Ashwini Nanaware"/>
      <sheetName val="Kaushal Sushil Sharma"/>
      <sheetName val="Praveen Kumar Tandra"/>
      <sheetName val="Arvind Akhare"/>
      <sheetName val="Pallavi Rishikesh Naik"/>
      <sheetName val="Ajay Singh"/>
      <sheetName val="TUSHAR UCHAGAONKAR"/>
      <sheetName val="PRAVEEN M"/>
      <sheetName val="Amit Kumar"/>
      <sheetName val="Pranav Thakare"/>
      <sheetName val="Nagarjun KV"/>
      <sheetName val="Thaposh Ghosh"/>
      <sheetName val="Boopathi Palani "/>
      <sheetName val="Sneha Hande"/>
      <sheetName val="JNANESWARARAO G"/>
      <sheetName val="Asita Kumar Sahoo"/>
      <sheetName val="Nagashree Narayan"/>
      <sheetName val="Amarnath Reddy"/>
      <sheetName val=" Rajesh Dhumal"/>
      <sheetName val="Amol Gole "/>
      <sheetName val="Srinivasa Rao yellaneni"/>
      <sheetName val="Sandeep Dixit"/>
      <sheetName val="Shridhar Madlur"/>
      <sheetName val="Samarjit Saha"/>
      <sheetName val="Arun kh"/>
      <sheetName val="Ajay Pal Singh"/>
      <sheetName val="Narasimha rao Gurazala"/>
      <sheetName val="Arun Arra"/>
      <sheetName val="Ramya Nalla"/>
      <sheetName val="SYED  MOHAMMED AZHER"/>
      <sheetName val="Uma  Mahesh P"/>
      <sheetName val="GONTHINI  SAIBABU"/>
      <sheetName val="Pavan  Nagendra Tatina"/>
      <sheetName val="Mohd  Azhar Shareef"/>
      <sheetName val="NAGA SAI TEJA NUTHI"/>
      <sheetName val="Mani Krishna Nandineedi"/>
      <sheetName val="Sushma P"/>
      <sheetName val="PAVANKUMAR"/>
      <sheetName val="Jaikesh Upadhyay  "/>
      <sheetName val="Mahanth Devasani"/>
      <sheetName val="ROOPINI CHIYYARAPU"/>
      <sheetName val="Jyoti Singh"/>
      <sheetName val="Inturi Ramakrishna"/>
      <sheetName val="D.Santhoshi"/>
      <sheetName val="Bharath"/>
      <sheetName val="NEERUDU SAI KUMAR"/>
      <sheetName val="Ramineni Abhilash"/>
      <sheetName val="SRILATHA"/>
      <sheetName val="Reshma Punde"/>
      <sheetName val="Shantanu Patankar "/>
      <sheetName val="YAMUNA S "/>
      <sheetName val="ChetanMadhukar Mundhe "/>
      <sheetName val="Chandrashekar Patil"/>
      <sheetName val="ShaikFarooq Basha "/>
      <sheetName val="SathishKumar dhandu"/>
      <sheetName val=" SURESH Kumar KOLA"/>
      <sheetName val="Varalakshmi Vijay"/>
      <sheetName val="Rammohan Mothukuri"/>
      <sheetName val="NILOTPAL BHOWAL"/>
      <sheetName val="PraveenKumar GATTU"/>
      <sheetName val="ANILKUMAR MUMMANA"/>
      <sheetName val="susheelKumar Gabndla"/>
      <sheetName val="Ravi Gande "/>
      <sheetName val="Rahul Suryawanshi"/>
    </sheetNames>
    <sheetDataSet>
      <sheetData sheetId="0">
        <row r="5">
          <cell r="C5" t="str">
            <v>BITS-461</v>
          </cell>
          <cell r="D5">
            <v>261521</v>
          </cell>
          <cell r="E5" t="str">
            <v>Venegella Kanaka durga</v>
          </cell>
          <cell r="F5" t="str">
            <v>PUNE SEZ 1</v>
          </cell>
          <cell r="G5">
            <v>85000</v>
          </cell>
          <cell r="H5">
            <v>75643</v>
          </cell>
          <cell r="I5">
            <v>30</v>
          </cell>
          <cell r="J5">
            <v>29</v>
          </cell>
          <cell r="K5">
            <v>1</v>
          </cell>
          <cell r="L5">
            <v>30</v>
          </cell>
          <cell r="M5">
            <v>45385.8</v>
          </cell>
          <cell r="N5">
            <v>18154.320000000003</v>
          </cell>
          <cell r="O5">
            <v>2083</v>
          </cell>
          <cell r="P5">
            <v>2083</v>
          </cell>
          <cell r="Q5">
            <v>8049.8799999999901</v>
          </cell>
          <cell r="R5">
            <v>75756</v>
          </cell>
          <cell r="S5">
            <v>1950</v>
          </cell>
          <cell r="T5">
            <v>1554.6089999999999</v>
          </cell>
          <cell r="U5">
            <v>2183.0569799999998</v>
          </cell>
          <cell r="V5">
            <v>3782.15</v>
          </cell>
          <cell r="W5">
            <v>85225.815979999985</v>
          </cell>
          <cell r="Y5">
            <v>75756</v>
          </cell>
          <cell r="AA5">
            <v>200</v>
          </cell>
          <cell r="AB5">
            <v>1800</v>
          </cell>
          <cell r="AC5">
            <v>391.787848</v>
          </cell>
          <cell r="AE5">
            <v>2391.7878479999999</v>
          </cell>
          <cell r="AF5">
            <v>80883.815979999985</v>
          </cell>
        </row>
        <row r="6">
          <cell r="C6" t="str">
            <v>BITS-469</v>
          </cell>
          <cell r="D6">
            <v>2100155</v>
          </cell>
          <cell r="E6" t="str">
            <v>Moeenahmed Shakilahmed Shaikh</v>
          </cell>
          <cell r="F6" t="str">
            <v>PUNE SEZ 1</v>
          </cell>
          <cell r="G6">
            <v>165000</v>
          </cell>
          <cell r="H6">
            <v>149795</v>
          </cell>
          <cell r="I6">
            <v>30</v>
          </cell>
          <cell r="J6">
            <v>30</v>
          </cell>
          <cell r="L6">
            <v>30</v>
          </cell>
          <cell r="M6">
            <v>89877</v>
          </cell>
          <cell r="N6">
            <v>35950.800000000003</v>
          </cell>
          <cell r="O6">
            <v>2083</v>
          </cell>
          <cell r="P6">
            <v>2083</v>
          </cell>
          <cell r="Q6">
            <v>19914.199999999997</v>
          </cell>
          <cell r="R6">
            <v>149908</v>
          </cell>
          <cell r="S6">
            <v>1950</v>
          </cell>
          <cell r="T6">
            <v>1554.6089999999999</v>
          </cell>
          <cell r="U6">
            <v>4323.0836999999992</v>
          </cell>
          <cell r="V6">
            <v>7489.75</v>
          </cell>
          <cell r="W6">
            <v>165225.44269999996</v>
          </cell>
          <cell r="Y6">
            <v>149908</v>
          </cell>
          <cell r="AA6">
            <v>200</v>
          </cell>
          <cell r="AB6">
            <v>6000</v>
          </cell>
          <cell r="AC6">
            <v>440.76132899999999</v>
          </cell>
          <cell r="AE6">
            <v>6640.7613289999999</v>
          </cell>
          <cell r="AF6">
            <v>156634.44269999999</v>
          </cell>
        </row>
        <row r="7">
          <cell r="C7" t="str">
            <v>BITS-485</v>
          </cell>
          <cell r="D7">
            <v>2101796</v>
          </cell>
          <cell r="E7" t="str">
            <v xml:space="preserve">AKASH DEEP CHUNAP </v>
          </cell>
          <cell r="F7" t="str">
            <v>BNG STP</v>
          </cell>
          <cell r="G7">
            <v>150000</v>
          </cell>
          <cell r="H7">
            <v>135892</v>
          </cell>
          <cell r="I7">
            <v>30</v>
          </cell>
          <cell r="J7">
            <v>30</v>
          </cell>
          <cell r="L7">
            <v>30</v>
          </cell>
          <cell r="M7">
            <v>81535.199999999997</v>
          </cell>
          <cell r="N7">
            <v>32614.080000000002</v>
          </cell>
          <cell r="O7">
            <v>2083</v>
          </cell>
          <cell r="P7">
            <v>2083</v>
          </cell>
          <cell r="Q7">
            <v>17689.72</v>
          </cell>
          <cell r="R7">
            <v>136005</v>
          </cell>
          <cell r="S7">
            <v>1950</v>
          </cell>
          <cell r="T7">
            <v>1554.6089999999999</v>
          </cell>
          <cell r="U7">
            <v>3921.8431199999995</v>
          </cell>
          <cell r="V7">
            <v>6794.5999999999995</v>
          </cell>
          <cell r="W7">
            <v>150226.05212000001</v>
          </cell>
          <cell r="Y7">
            <v>136005</v>
          </cell>
          <cell r="AA7">
            <v>200</v>
          </cell>
          <cell r="AB7">
            <v>1800</v>
          </cell>
          <cell r="AE7">
            <v>2000</v>
          </cell>
          <cell r="AF7">
            <v>146276.05212000001</v>
          </cell>
        </row>
        <row r="8">
          <cell r="C8" t="str">
            <v>BITS-500</v>
          </cell>
          <cell r="D8">
            <v>2103494</v>
          </cell>
          <cell r="E8" t="str">
            <v>Gaunda Mohammad Arief</v>
          </cell>
          <cell r="F8" t="str">
            <v>Gurgaon STP</v>
          </cell>
          <cell r="G8">
            <v>90000</v>
          </cell>
          <cell r="H8">
            <v>80278</v>
          </cell>
          <cell r="I8">
            <v>30</v>
          </cell>
          <cell r="J8">
            <v>28</v>
          </cell>
          <cell r="K8">
            <v>2</v>
          </cell>
          <cell r="L8">
            <v>29</v>
          </cell>
          <cell r="M8">
            <v>46561.24</v>
          </cell>
          <cell r="N8">
            <v>18624.495999999999</v>
          </cell>
          <cell r="O8">
            <v>2014</v>
          </cell>
          <cell r="P8">
            <v>2014</v>
          </cell>
          <cell r="Q8">
            <v>8501.3306666666613</v>
          </cell>
          <cell r="R8">
            <v>77715.066666666666</v>
          </cell>
          <cell r="S8">
            <v>1950</v>
          </cell>
          <cell r="T8">
            <v>1554.6089999999999</v>
          </cell>
          <cell r="U8">
            <v>2239.5956439999995</v>
          </cell>
          <cell r="V8">
            <v>3880.103333333333</v>
          </cell>
          <cell r="W8">
            <v>87339.374643999996</v>
          </cell>
          <cell r="Y8">
            <v>77715.066666666666</v>
          </cell>
          <cell r="AA8">
            <v>200</v>
          </cell>
          <cell r="AB8">
            <v>1800</v>
          </cell>
          <cell r="AC8">
            <v>440.76132899999999</v>
          </cell>
          <cell r="AE8">
            <v>2440.7613289999999</v>
          </cell>
          <cell r="AF8">
            <v>82948.30797733333</v>
          </cell>
        </row>
        <row r="9">
          <cell r="C9" t="str">
            <v>BITS-501</v>
          </cell>
          <cell r="D9">
            <v>2104022</v>
          </cell>
          <cell r="E9" t="str">
            <v>KRANTHI KUMAR VEDULLA</v>
          </cell>
          <cell r="F9" t="str">
            <v>Bhubaneshwar STP</v>
          </cell>
          <cell r="G9">
            <v>95000</v>
          </cell>
          <cell r="H9">
            <v>84912</v>
          </cell>
          <cell r="I9">
            <v>30</v>
          </cell>
          <cell r="J9">
            <v>30</v>
          </cell>
          <cell r="L9">
            <v>30</v>
          </cell>
          <cell r="M9">
            <v>50947.199999999997</v>
          </cell>
          <cell r="N9">
            <v>20378.88</v>
          </cell>
          <cell r="O9">
            <v>2083</v>
          </cell>
          <cell r="P9">
            <v>2083</v>
          </cell>
          <cell r="Q9">
            <v>9532.9199999999983</v>
          </cell>
          <cell r="R9">
            <v>85025</v>
          </cell>
          <cell r="S9">
            <v>1950</v>
          </cell>
          <cell r="T9">
            <v>1554.6089999999999</v>
          </cell>
          <cell r="U9">
            <v>2450.5603199999996</v>
          </cell>
          <cell r="V9">
            <v>4245.5999999999995</v>
          </cell>
          <cell r="W9">
            <v>95225.769320000007</v>
          </cell>
          <cell r="Y9">
            <v>85025</v>
          </cell>
          <cell r="AA9">
            <v>200</v>
          </cell>
          <cell r="AB9">
            <v>1800</v>
          </cell>
          <cell r="AC9">
            <v>391.787848</v>
          </cell>
          <cell r="AE9">
            <v>2391.7878479999999</v>
          </cell>
          <cell r="AF9">
            <v>90883.769320000007</v>
          </cell>
        </row>
        <row r="10">
          <cell r="C10" t="str">
            <v>BITS-507</v>
          </cell>
          <cell r="D10">
            <v>2104015</v>
          </cell>
          <cell r="E10" t="str">
            <v>Vipin U.N 8-4-2022</v>
          </cell>
          <cell r="F10" t="str">
            <v>Bhubaneshwar STP</v>
          </cell>
          <cell r="G10" t="str">
            <v xml:space="preserve"> 1,17,000</v>
          </cell>
          <cell r="H10">
            <v>105304</v>
          </cell>
          <cell r="I10">
            <v>30</v>
          </cell>
          <cell r="J10">
            <v>8</v>
          </cell>
          <cell r="L10">
            <v>8</v>
          </cell>
          <cell r="M10">
            <v>16848.64</v>
          </cell>
          <cell r="N10">
            <v>6739.4560000000001</v>
          </cell>
          <cell r="O10">
            <v>555</v>
          </cell>
          <cell r="P10">
            <v>555</v>
          </cell>
          <cell r="Q10">
            <v>3495.970666666668</v>
          </cell>
          <cell r="R10">
            <v>28194.066666666666</v>
          </cell>
          <cell r="S10">
            <v>1950</v>
          </cell>
          <cell r="T10">
            <v>1554.6089999999999</v>
          </cell>
          <cell r="U10">
            <v>810.41958399999987</v>
          </cell>
          <cell r="V10">
            <v>1404.0533333333333</v>
          </cell>
          <cell r="W10">
            <v>33913.148583999995</v>
          </cell>
          <cell r="Y10">
            <v>28194.066666666666</v>
          </cell>
          <cell r="AA10">
            <v>200</v>
          </cell>
          <cell r="AB10">
            <v>1800</v>
          </cell>
          <cell r="AC10">
            <v>391.787848</v>
          </cell>
          <cell r="AE10">
            <v>2391.7878479999999</v>
          </cell>
          <cell r="AF10">
            <v>29571.081917333333</v>
          </cell>
        </row>
        <row r="11">
          <cell r="C11" t="str">
            <v>BITS-528</v>
          </cell>
          <cell r="D11">
            <v>2107380</v>
          </cell>
          <cell r="E11" t="str">
            <v>VeerendraBabu Galam</v>
          </cell>
          <cell r="F11" t="str">
            <v>HYD SEZ</v>
          </cell>
          <cell r="G11">
            <v>75000</v>
          </cell>
          <cell r="H11">
            <v>66374</v>
          </cell>
          <cell r="I11">
            <v>30</v>
          </cell>
          <cell r="J11">
            <v>30</v>
          </cell>
          <cell r="L11">
            <v>30</v>
          </cell>
          <cell r="M11">
            <v>39824.400000000001</v>
          </cell>
          <cell r="N11">
            <v>15929.760000000002</v>
          </cell>
          <cell r="O11">
            <v>2083</v>
          </cell>
          <cell r="P11">
            <v>2083</v>
          </cell>
          <cell r="Q11">
            <v>6566.8399999999965</v>
          </cell>
          <cell r="R11">
            <v>66487</v>
          </cell>
          <cell r="S11">
            <v>1950</v>
          </cell>
          <cell r="T11">
            <v>1554.6089999999999</v>
          </cell>
          <cell r="U11">
            <v>1915.5536400000001</v>
          </cell>
          <cell r="V11">
            <v>3318.7000000000003</v>
          </cell>
          <cell r="W11">
            <v>75225.862639999992</v>
          </cell>
          <cell r="Y11">
            <v>66487</v>
          </cell>
          <cell r="AA11">
            <v>200</v>
          </cell>
          <cell r="AB11">
            <v>1800</v>
          </cell>
          <cell r="AC11">
            <v>391.787848</v>
          </cell>
          <cell r="AE11">
            <v>2391.7878479999999</v>
          </cell>
          <cell r="AF11">
            <v>70883.862639999992</v>
          </cell>
        </row>
        <row r="12">
          <cell r="C12" t="str">
            <v>BITS-542</v>
          </cell>
          <cell r="D12">
            <v>2108578</v>
          </cell>
          <cell r="E12" t="str">
            <v>Haneef</v>
          </cell>
          <cell r="F12" t="str">
            <v>PUNE ASC SEZ</v>
          </cell>
          <cell r="G12">
            <v>70000</v>
          </cell>
          <cell r="H12">
            <v>61740</v>
          </cell>
          <cell r="I12">
            <v>30</v>
          </cell>
          <cell r="J12">
            <v>30</v>
          </cell>
          <cell r="L12">
            <v>30</v>
          </cell>
          <cell r="M12">
            <v>37044</v>
          </cell>
          <cell r="N12">
            <v>14817.6</v>
          </cell>
          <cell r="O12">
            <v>2083</v>
          </cell>
          <cell r="P12">
            <v>2083</v>
          </cell>
          <cell r="Q12">
            <v>5825.4000000000015</v>
          </cell>
          <cell r="R12">
            <v>61853</v>
          </cell>
          <cell r="S12">
            <v>1950</v>
          </cell>
          <cell r="T12">
            <v>1554.6089999999999</v>
          </cell>
          <cell r="U12">
            <v>1781.8163999999999</v>
          </cell>
          <cell r="V12">
            <v>3087</v>
          </cell>
          <cell r="W12">
            <v>70226.425400000007</v>
          </cell>
          <cell r="Y12">
            <v>61853</v>
          </cell>
          <cell r="AA12">
            <v>200</v>
          </cell>
          <cell r="AB12">
            <v>1800</v>
          </cell>
          <cell r="AC12">
            <v>391.787848</v>
          </cell>
          <cell r="AE12">
            <v>2391.7878479999999</v>
          </cell>
          <cell r="AF12">
            <v>65884.425400000007</v>
          </cell>
        </row>
        <row r="13">
          <cell r="C13" t="str">
            <v>BITS-557</v>
          </cell>
          <cell r="D13">
            <v>2109800</v>
          </cell>
          <cell r="E13" t="str">
            <v>Ved Prakash 20-4-2022</v>
          </cell>
          <cell r="F13" t="str">
            <v>PUNE ASC SEZ</v>
          </cell>
          <cell r="G13">
            <v>80000</v>
          </cell>
          <cell r="H13">
            <v>71009</v>
          </cell>
          <cell r="I13">
            <v>30</v>
          </cell>
          <cell r="J13">
            <v>20</v>
          </cell>
          <cell r="L13">
            <v>20</v>
          </cell>
          <cell r="M13">
            <v>28403.599999999999</v>
          </cell>
          <cell r="N13">
            <v>11361.44</v>
          </cell>
          <cell r="O13">
            <v>1389</v>
          </cell>
          <cell r="P13">
            <v>1389</v>
          </cell>
          <cell r="Q13">
            <v>4909.2933333333349</v>
          </cell>
          <cell r="R13">
            <v>47452.333333333336</v>
          </cell>
          <cell r="S13">
            <v>1950</v>
          </cell>
          <cell r="T13">
            <v>1554.6089999999999</v>
          </cell>
          <cell r="U13">
            <v>1366.21316</v>
          </cell>
          <cell r="V13">
            <v>2366.9666666666667</v>
          </cell>
          <cell r="W13">
            <v>54690.122159999999</v>
          </cell>
          <cell r="Y13">
            <v>47452.333333333336</v>
          </cell>
          <cell r="AA13">
            <v>200</v>
          </cell>
          <cell r="AB13">
            <v>1800</v>
          </cell>
          <cell r="AC13">
            <v>440.76132899999999</v>
          </cell>
          <cell r="AE13">
            <v>2440.7613289999999</v>
          </cell>
          <cell r="AF13">
            <v>50299.788826666663</v>
          </cell>
        </row>
        <row r="14">
          <cell r="C14" t="str">
            <v>BITS-559</v>
          </cell>
          <cell r="D14">
            <v>2110592</v>
          </cell>
          <cell r="E14" t="str">
            <v>GauravVispute</v>
          </cell>
          <cell r="F14" t="str">
            <v>PUNE ASC SEZ</v>
          </cell>
          <cell r="G14">
            <v>50000</v>
          </cell>
          <cell r="H14">
            <v>43202</v>
          </cell>
          <cell r="I14">
            <v>30</v>
          </cell>
          <cell r="J14">
            <v>28</v>
          </cell>
          <cell r="K14">
            <v>2</v>
          </cell>
          <cell r="L14">
            <v>29</v>
          </cell>
          <cell r="M14">
            <v>25057.16</v>
          </cell>
          <cell r="N14">
            <v>10022.864000000001</v>
          </cell>
          <cell r="O14">
            <v>2014</v>
          </cell>
          <cell r="P14">
            <v>2014</v>
          </cell>
          <cell r="Q14">
            <v>2766.9093333333294</v>
          </cell>
          <cell r="R14">
            <v>41874.933333333334</v>
          </cell>
          <cell r="S14">
            <v>1950</v>
          </cell>
          <cell r="T14">
            <v>1554.6089999999999</v>
          </cell>
          <cell r="U14">
            <v>1205.2493959999999</v>
          </cell>
          <cell r="V14">
            <v>2088.0966666666668</v>
          </cell>
          <cell r="W14">
            <v>48672.888395999995</v>
          </cell>
          <cell r="Y14">
            <v>41874.933333333334</v>
          </cell>
          <cell r="AA14">
            <v>200</v>
          </cell>
          <cell r="AB14">
            <v>1800</v>
          </cell>
          <cell r="AC14">
            <v>391.787848</v>
          </cell>
          <cell r="AE14">
            <v>2391.7878479999999</v>
          </cell>
          <cell r="AF14">
            <v>44330.955062666661</v>
          </cell>
        </row>
        <row r="15">
          <cell r="C15" t="str">
            <v>BITS-564</v>
          </cell>
          <cell r="D15">
            <v>2110635</v>
          </cell>
          <cell r="E15" t="str">
            <v>Amith a</v>
          </cell>
          <cell r="F15" t="str">
            <v>PUNE STP</v>
          </cell>
          <cell r="G15">
            <v>65000</v>
          </cell>
          <cell r="H15">
            <v>57105</v>
          </cell>
          <cell r="I15">
            <v>30</v>
          </cell>
          <cell r="J15">
            <v>30</v>
          </cell>
          <cell r="L15">
            <v>30</v>
          </cell>
          <cell r="M15">
            <v>34263</v>
          </cell>
          <cell r="N15">
            <v>13705.2</v>
          </cell>
          <cell r="O15">
            <v>2083</v>
          </cell>
          <cell r="P15">
            <v>2083</v>
          </cell>
          <cell r="Q15">
            <v>5083.8000000000029</v>
          </cell>
          <cell r="R15">
            <v>57218</v>
          </cell>
          <cell r="S15">
            <v>1950</v>
          </cell>
          <cell r="T15">
            <v>1554.6089999999999</v>
          </cell>
          <cell r="U15">
            <v>1648.0502999999999</v>
          </cell>
          <cell r="V15">
            <v>2855.25</v>
          </cell>
          <cell r="W15">
            <v>65225.909299999999</v>
          </cell>
          <cell r="Y15">
            <v>57218</v>
          </cell>
          <cell r="AA15">
            <v>200</v>
          </cell>
          <cell r="AB15">
            <v>1800</v>
          </cell>
          <cell r="AC15">
            <v>440.76132899999999</v>
          </cell>
          <cell r="AE15">
            <v>2440.7613289999999</v>
          </cell>
          <cell r="AF15">
            <v>60834.909299999999</v>
          </cell>
        </row>
        <row r="16">
          <cell r="C16" t="str">
            <v>BITS-565</v>
          </cell>
          <cell r="D16">
            <v>2110700</v>
          </cell>
          <cell r="E16" t="str">
            <v>RajasekharReddy KN</v>
          </cell>
          <cell r="F16" t="str">
            <v>BNG STP</v>
          </cell>
          <cell r="G16">
            <v>75000</v>
          </cell>
          <cell r="H16">
            <v>66374</v>
          </cell>
          <cell r="I16">
            <v>30</v>
          </cell>
          <cell r="J16">
            <v>29</v>
          </cell>
          <cell r="K16">
            <v>1</v>
          </cell>
          <cell r="L16">
            <v>30</v>
          </cell>
          <cell r="M16">
            <v>39824.400000000001</v>
          </cell>
          <cell r="N16">
            <v>15929.760000000002</v>
          </cell>
          <cell r="O16">
            <v>2083</v>
          </cell>
          <cell r="P16">
            <v>2083</v>
          </cell>
          <cell r="Q16">
            <v>6566.8399999999965</v>
          </cell>
          <cell r="R16">
            <v>66487</v>
          </cell>
          <cell r="S16">
            <v>1950</v>
          </cell>
          <cell r="T16">
            <v>1554.6089999999999</v>
          </cell>
          <cell r="U16">
            <v>1915.5536400000001</v>
          </cell>
          <cell r="V16">
            <v>3318.7000000000003</v>
          </cell>
          <cell r="W16">
            <v>75225.862639999992</v>
          </cell>
          <cell r="Y16">
            <v>66487</v>
          </cell>
          <cell r="AA16">
            <v>200</v>
          </cell>
          <cell r="AB16">
            <v>1800</v>
          </cell>
          <cell r="AC16">
            <v>391.787848</v>
          </cell>
          <cell r="AE16">
            <v>2391.7878479999999</v>
          </cell>
          <cell r="AF16">
            <v>70883.862639999992</v>
          </cell>
        </row>
        <row r="17">
          <cell r="C17" t="str">
            <v>BITS-566</v>
          </cell>
          <cell r="D17">
            <v>2110684</v>
          </cell>
          <cell r="E17" t="str">
            <v>Moulika GM</v>
          </cell>
          <cell r="F17" t="str">
            <v>BNG STP</v>
          </cell>
          <cell r="G17">
            <v>25000</v>
          </cell>
          <cell r="H17">
            <v>20029</v>
          </cell>
          <cell r="I17">
            <v>30</v>
          </cell>
          <cell r="J17">
            <v>30</v>
          </cell>
          <cell r="L17">
            <v>30</v>
          </cell>
          <cell r="M17">
            <v>12017.4</v>
          </cell>
          <cell r="N17">
            <v>4806.96</v>
          </cell>
          <cell r="O17">
            <v>2083</v>
          </cell>
          <cell r="P17">
            <v>2083</v>
          </cell>
          <cell r="Q17">
            <v>-848.36000000000058</v>
          </cell>
          <cell r="R17">
            <v>20142</v>
          </cell>
          <cell r="S17">
            <v>1562.2619999999999</v>
          </cell>
          <cell r="T17">
            <v>1554.6089999999999</v>
          </cell>
          <cell r="U17">
            <v>578.03693999999996</v>
          </cell>
          <cell r="V17">
            <v>1001.4499999999999</v>
          </cell>
          <cell r="W17">
            <v>24838.357939999998</v>
          </cell>
          <cell r="Y17">
            <v>20142</v>
          </cell>
          <cell r="AA17">
            <v>200</v>
          </cell>
          <cell r="AB17">
            <v>1442</v>
          </cell>
          <cell r="AC17">
            <v>391.787848</v>
          </cell>
          <cell r="AE17">
            <v>2033.7878479999999</v>
          </cell>
          <cell r="AF17">
            <v>21242.095940000003</v>
          </cell>
        </row>
        <row r="18">
          <cell r="C18" t="str">
            <v>BITS-567</v>
          </cell>
          <cell r="D18">
            <v>2110899</v>
          </cell>
          <cell r="E18" t="str">
            <v>AsokKumar J</v>
          </cell>
          <cell r="F18" t="str">
            <v>BNG STP</v>
          </cell>
          <cell r="G18">
            <v>135000</v>
          </cell>
          <cell r="H18">
            <v>121988</v>
          </cell>
          <cell r="I18">
            <v>30</v>
          </cell>
          <cell r="J18">
            <v>27</v>
          </cell>
          <cell r="K18">
            <v>3</v>
          </cell>
          <cell r="L18">
            <v>28</v>
          </cell>
          <cell r="M18">
            <v>68313.279999999999</v>
          </cell>
          <cell r="N18">
            <v>27325.312000000002</v>
          </cell>
          <cell r="O18">
            <v>1944</v>
          </cell>
          <cell r="P18">
            <v>1944</v>
          </cell>
          <cell r="Q18">
            <v>14441.874666666656</v>
          </cell>
          <cell r="R18">
            <v>113968.46666666666</v>
          </cell>
          <cell r="S18">
            <v>1950</v>
          </cell>
          <cell r="T18">
            <v>1554.6089999999999</v>
          </cell>
          <cell r="U18">
            <v>3285.8687679999998</v>
          </cell>
          <cell r="V18">
            <v>5692.7733333333335</v>
          </cell>
          <cell r="W18">
            <v>126451.71776799999</v>
          </cell>
          <cell r="Y18">
            <v>113968.46666666666</v>
          </cell>
          <cell r="AA18">
            <v>200</v>
          </cell>
          <cell r="AB18">
            <v>1800</v>
          </cell>
          <cell r="AC18">
            <v>391.787848</v>
          </cell>
          <cell r="AE18">
            <v>2391.7878479999999</v>
          </cell>
          <cell r="AF18">
            <v>122110.25110133333</v>
          </cell>
        </row>
        <row r="19">
          <cell r="C19" t="str">
            <v>BITS-568</v>
          </cell>
          <cell r="D19">
            <v>2110947</v>
          </cell>
          <cell r="E19" t="str">
            <v>RUKNUDEEN S</v>
          </cell>
          <cell r="F19" t="str">
            <v>HYD SEZ</v>
          </cell>
          <cell r="G19">
            <v>100000</v>
          </cell>
          <cell r="H19">
            <v>89547</v>
          </cell>
          <cell r="I19">
            <v>30</v>
          </cell>
          <cell r="J19">
            <v>29</v>
          </cell>
          <cell r="K19">
            <v>1</v>
          </cell>
          <cell r="L19">
            <v>30</v>
          </cell>
          <cell r="M19">
            <v>53728.2</v>
          </cell>
          <cell r="N19">
            <v>21491.279999999999</v>
          </cell>
          <cell r="O19">
            <v>2083</v>
          </cell>
          <cell r="P19">
            <v>2083</v>
          </cell>
          <cell r="Q19">
            <v>10274.520000000004</v>
          </cell>
          <cell r="R19">
            <v>89660</v>
          </cell>
          <cell r="S19">
            <v>1950</v>
          </cell>
          <cell r="T19">
            <v>1554.6089999999999</v>
          </cell>
          <cell r="U19">
            <v>2584.3264199999994</v>
          </cell>
          <cell r="V19">
            <v>4477.3499999999995</v>
          </cell>
          <cell r="W19">
            <v>100226.28542</v>
          </cell>
          <cell r="Y19">
            <v>89660</v>
          </cell>
          <cell r="AA19">
            <v>200</v>
          </cell>
          <cell r="AB19">
            <v>1800</v>
          </cell>
          <cell r="AC19">
            <v>391.787848</v>
          </cell>
          <cell r="AE19">
            <v>2391.7878479999999</v>
          </cell>
          <cell r="AF19">
            <v>95884.28542</v>
          </cell>
        </row>
        <row r="20">
          <cell r="C20" t="str">
            <v>BITS-569</v>
          </cell>
          <cell r="D20">
            <v>2110966</v>
          </cell>
          <cell r="E20" t="str">
            <v>Rajesh Kongara</v>
          </cell>
          <cell r="F20" t="str">
            <v>BNG SEZ</v>
          </cell>
          <cell r="G20">
            <v>130000</v>
          </cell>
          <cell r="H20">
            <v>117354</v>
          </cell>
          <cell r="I20">
            <v>30</v>
          </cell>
          <cell r="J20">
            <v>29</v>
          </cell>
          <cell r="K20">
            <v>1</v>
          </cell>
          <cell r="L20">
            <v>30</v>
          </cell>
          <cell r="M20">
            <v>70412.399999999994</v>
          </cell>
          <cell r="N20">
            <v>28164.959999999999</v>
          </cell>
          <cell r="O20">
            <v>2083</v>
          </cell>
          <cell r="P20">
            <v>2083</v>
          </cell>
          <cell r="Q20">
            <v>14723.640000000014</v>
          </cell>
          <cell r="R20">
            <v>117467</v>
          </cell>
          <cell r="S20">
            <v>1950</v>
          </cell>
          <cell r="T20">
            <v>1554.6089999999999</v>
          </cell>
          <cell r="U20">
            <v>3386.8364399999996</v>
          </cell>
          <cell r="V20">
            <v>5867.7</v>
          </cell>
          <cell r="W20">
            <v>130226.14543999999</v>
          </cell>
          <cell r="Y20">
            <v>117467</v>
          </cell>
          <cell r="AA20">
            <v>200</v>
          </cell>
          <cell r="AB20">
            <v>1800</v>
          </cell>
          <cell r="AC20">
            <v>391.787848</v>
          </cell>
          <cell r="AE20">
            <v>2391.7878479999999</v>
          </cell>
          <cell r="AF20">
            <v>125884.14543999999</v>
          </cell>
        </row>
        <row r="21">
          <cell r="C21" t="str">
            <v>BITS-572</v>
          </cell>
          <cell r="D21">
            <v>2111448</v>
          </cell>
          <cell r="E21" t="str">
            <v>Yarramaddu Raveendra Reddy</v>
          </cell>
          <cell r="F21" t="str">
            <v>PUNE SEZ 1</v>
          </cell>
          <cell r="G21">
            <v>70000</v>
          </cell>
          <cell r="H21">
            <v>61740</v>
          </cell>
          <cell r="I21">
            <v>30</v>
          </cell>
          <cell r="J21">
            <v>29</v>
          </cell>
          <cell r="K21">
            <v>1</v>
          </cell>
          <cell r="L21">
            <v>30</v>
          </cell>
          <cell r="M21">
            <v>37044</v>
          </cell>
          <cell r="N21">
            <v>14817.6</v>
          </cell>
          <cell r="O21">
            <v>2083</v>
          </cell>
          <cell r="P21">
            <v>2083</v>
          </cell>
          <cell r="Q21">
            <v>5825.4000000000015</v>
          </cell>
          <cell r="R21">
            <v>61853</v>
          </cell>
          <cell r="S21">
            <v>1950</v>
          </cell>
          <cell r="T21">
            <v>1554.6089999999999</v>
          </cell>
          <cell r="U21">
            <v>1781.8163999999999</v>
          </cell>
          <cell r="V21">
            <v>3087</v>
          </cell>
          <cell r="W21">
            <v>70226.425400000007</v>
          </cell>
          <cell r="Y21">
            <v>61853</v>
          </cell>
          <cell r="AA21">
            <v>200</v>
          </cell>
          <cell r="AB21">
            <v>1800</v>
          </cell>
          <cell r="AC21">
            <v>391.787848</v>
          </cell>
          <cell r="AE21">
            <v>2391.7878479999999</v>
          </cell>
          <cell r="AF21">
            <v>65884.425400000007</v>
          </cell>
        </row>
        <row r="22">
          <cell r="C22" t="str">
            <v>BITS-574</v>
          </cell>
          <cell r="E22" t="str">
            <v>Naresh Kandhula</v>
          </cell>
          <cell r="F22" t="str">
            <v>Mumbai</v>
          </cell>
          <cell r="G22">
            <v>125000</v>
          </cell>
          <cell r="H22">
            <v>112719</v>
          </cell>
          <cell r="I22">
            <v>30</v>
          </cell>
          <cell r="J22">
            <v>30</v>
          </cell>
          <cell r="L22">
            <v>30</v>
          </cell>
          <cell r="M22">
            <v>67631.399999999994</v>
          </cell>
          <cell r="N22">
            <v>27052.559999999998</v>
          </cell>
          <cell r="O22">
            <v>2083</v>
          </cell>
          <cell r="P22">
            <v>2083</v>
          </cell>
          <cell r="Q22">
            <v>13982.040000000008</v>
          </cell>
          <cell r="R22">
            <v>112832</v>
          </cell>
          <cell r="S22">
            <v>1950</v>
          </cell>
          <cell r="T22">
            <v>1554.6089999999999</v>
          </cell>
          <cell r="U22">
            <v>3253.0703399999993</v>
          </cell>
          <cell r="V22">
            <v>5635.95</v>
          </cell>
          <cell r="W22">
            <v>125225.62934</v>
          </cell>
          <cell r="Y22">
            <v>112832</v>
          </cell>
          <cell r="AA22">
            <v>200</v>
          </cell>
          <cell r="AB22">
            <v>1800</v>
          </cell>
          <cell r="AC22">
            <v>440.76132899999999</v>
          </cell>
          <cell r="AE22">
            <v>2440.7613289999999</v>
          </cell>
          <cell r="AF22">
            <v>120834.62934</v>
          </cell>
        </row>
        <row r="23">
          <cell r="C23" t="str">
            <v>BITS-577</v>
          </cell>
          <cell r="D23">
            <v>2112033</v>
          </cell>
          <cell r="E23" t="str">
            <v>Majed Khan</v>
          </cell>
          <cell r="F23" t="str">
            <v>BNG STP</v>
          </cell>
          <cell r="G23">
            <v>150000</v>
          </cell>
          <cell r="H23">
            <v>135892</v>
          </cell>
          <cell r="I23">
            <v>30</v>
          </cell>
          <cell r="J23">
            <v>29</v>
          </cell>
          <cell r="K23">
            <v>1</v>
          </cell>
          <cell r="L23">
            <v>30</v>
          </cell>
          <cell r="M23">
            <v>81535.199999999997</v>
          </cell>
          <cell r="N23">
            <v>32614.080000000002</v>
          </cell>
          <cell r="O23">
            <v>2083</v>
          </cell>
          <cell r="P23">
            <v>2083</v>
          </cell>
          <cell r="Q23">
            <v>17689.72</v>
          </cell>
          <cell r="R23">
            <v>136005</v>
          </cell>
          <cell r="S23">
            <v>1950</v>
          </cell>
          <cell r="T23">
            <v>1554.6089999999999</v>
          </cell>
          <cell r="U23">
            <v>3921.8431199999995</v>
          </cell>
          <cell r="V23">
            <v>6794.5999999999995</v>
          </cell>
          <cell r="W23">
            <v>150226.05212000001</v>
          </cell>
          <cell r="Y23">
            <v>136005</v>
          </cell>
          <cell r="AA23">
            <v>200</v>
          </cell>
          <cell r="AB23">
            <v>1800</v>
          </cell>
          <cell r="AC23">
            <v>391.787848</v>
          </cell>
          <cell r="AE23">
            <v>2391.7878479999999</v>
          </cell>
          <cell r="AF23">
            <v>145884.05212000001</v>
          </cell>
        </row>
        <row r="24">
          <cell r="C24" t="str">
            <v>BITS-587</v>
          </cell>
          <cell r="E24" t="str">
            <v>Madan</v>
          </cell>
          <cell r="F24" t="str">
            <v>BNG STP</v>
          </cell>
          <cell r="G24">
            <v>105000</v>
          </cell>
          <cell r="H24">
            <v>94181</v>
          </cell>
          <cell r="I24">
            <v>30</v>
          </cell>
          <cell r="J24">
            <v>30</v>
          </cell>
          <cell r="L24">
            <v>30</v>
          </cell>
          <cell r="M24">
            <v>56508.6</v>
          </cell>
          <cell r="N24">
            <v>22603.440000000002</v>
          </cell>
          <cell r="O24">
            <v>2083</v>
          </cell>
          <cell r="P24">
            <v>2083</v>
          </cell>
          <cell r="Q24">
            <v>11015.959999999992</v>
          </cell>
          <cell r="R24">
            <v>94294</v>
          </cell>
          <cell r="S24">
            <v>1950</v>
          </cell>
          <cell r="T24">
            <v>1554.6089999999999</v>
          </cell>
          <cell r="U24">
            <v>2718.0636599999998</v>
          </cell>
          <cell r="V24">
            <v>4709.05</v>
          </cell>
          <cell r="W24">
            <v>105225.72266</v>
          </cell>
          <cell r="Y24">
            <v>94294</v>
          </cell>
          <cell r="AA24">
            <v>200</v>
          </cell>
          <cell r="AB24">
            <v>1800</v>
          </cell>
          <cell r="AC24">
            <v>391.787848</v>
          </cell>
          <cell r="AE24">
            <v>2391.7878479999999</v>
          </cell>
          <cell r="AF24">
            <v>100883.72266</v>
          </cell>
        </row>
        <row r="25">
          <cell r="C25" t="str">
            <v>BITS-592</v>
          </cell>
          <cell r="E25" t="str">
            <v>Sachin Ameshram</v>
          </cell>
          <cell r="F25" t="str">
            <v>BNG STP</v>
          </cell>
          <cell r="G25">
            <v>95000</v>
          </cell>
          <cell r="H25">
            <v>84912</v>
          </cell>
          <cell r="I25">
            <v>30</v>
          </cell>
          <cell r="J25">
            <v>13</v>
          </cell>
          <cell r="L25">
            <v>13</v>
          </cell>
          <cell r="M25">
            <v>22077.119999999999</v>
          </cell>
          <cell r="N25">
            <v>8830.848</v>
          </cell>
          <cell r="O25">
            <v>903</v>
          </cell>
          <cell r="P25">
            <v>903</v>
          </cell>
          <cell r="Q25">
            <v>4194.2319999999963</v>
          </cell>
          <cell r="R25">
            <v>36908.199999999997</v>
          </cell>
          <cell r="S25">
            <v>1950</v>
          </cell>
          <cell r="T25">
            <v>1554.6089999999999</v>
          </cell>
          <cell r="U25">
            <v>1061.9094719999998</v>
          </cell>
          <cell r="V25">
            <v>1839.76</v>
          </cell>
          <cell r="W25">
            <v>43314.478471999995</v>
          </cell>
          <cell r="Y25">
            <v>36908.199999999997</v>
          </cell>
          <cell r="AA25">
            <v>200</v>
          </cell>
          <cell r="AB25">
            <v>1800</v>
          </cell>
          <cell r="AC25">
            <v>391.787848</v>
          </cell>
          <cell r="AE25">
            <v>2391.7878479999999</v>
          </cell>
          <cell r="AF25">
            <v>38972.278471999998</v>
          </cell>
        </row>
        <row r="26">
          <cell r="C26" t="str">
            <v>BITS-597</v>
          </cell>
          <cell r="E26" t="str">
            <v>Srikanth Thota</v>
          </cell>
          <cell r="F26" t="str">
            <v>HYD SEZ</v>
          </cell>
          <cell r="G26">
            <v>115000</v>
          </cell>
          <cell r="H26">
            <v>103451</v>
          </cell>
          <cell r="I26">
            <v>30</v>
          </cell>
          <cell r="J26">
            <v>29</v>
          </cell>
          <cell r="K26">
            <v>1</v>
          </cell>
          <cell r="L26">
            <v>30</v>
          </cell>
          <cell r="M26">
            <v>62070.6</v>
          </cell>
          <cell r="N26">
            <v>24828.240000000002</v>
          </cell>
          <cell r="O26">
            <v>2083</v>
          </cell>
          <cell r="P26">
            <v>2083</v>
          </cell>
          <cell r="Q26">
            <v>12499.160000000003</v>
          </cell>
          <cell r="R26">
            <v>103564</v>
          </cell>
          <cell r="S26">
            <v>1950</v>
          </cell>
          <cell r="T26">
            <v>1554.6089999999999</v>
          </cell>
          <cell r="U26">
            <v>2985.5958599999994</v>
          </cell>
          <cell r="V26">
            <v>5172.55</v>
          </cell>
          <cell r="W26">
            <v>115226.75486</v>
          </cell>
          <cell r="Y26">
            <v>103564</v>
          </cell>
          <cell r="AA26">
            <v>200</v>
          </cell>
          <cell r="AB26">
            <v>1800</v>
          </cell>
          <cell r="AC26">
            <v>377</v>
          </cell>
          <cell r="AE26">
            <v>2377</v>
          </cell>
          <cell r="AF26">
            <v>110899.75486</v>
          </cell>
        </row>
        <row r="27">
          <cell r="C27" t="str">
            <v>BITS-600</v>
          </cell>
          <cell r="E27" t="str">
            <v>Shekhar Panchal</v>
          </cell>
          <cell r="F27" t="str">
            <v>HYD SEZ</v>
          </cell>
          <cell r="G27">
            <v>75000</v>
          </cell>
          <cell r="H27">
            <v>66374</v>
          </cell>
          <cell r="I27">
            <v>30</v>
          </cell>
          <cell r="J27">
            <v>30</v>
          </cell>
          <cell r="L27">
            <v>30</v>
          </cell>
          <cell r="M27">
            <v>39824.400000000001</v>
          </cell>
          <cell r="N27">
            <v>15929.760000000002</v>
          </cell>
          <cell r="O27">
            <v>2083</v>
          </cell>
          <cell r="P27">
            <v>2083</v>
          </cell>
          <cell r="Q27">
            <v>6566.8399999999965</v>
          </cell>
          <cell r="R27">
            <v>66487</v>
          </cell>
          <cell r="S27">
            <v>1950</v>
          </cell>
          <cell r="T27">
            <v>1554.6089999999999</v>
          </cell>
          <cell r="U27">
            <v>1915.5536400000001</v>
          </cell>
          <cell r="V27">
            <v>3318.7000000000003</v>
          </cell>
          <cell r="W27">
            <v>75225.862639999992</v>
          </cell>
          <cell r="Y27">
            <v>66487</v>
          </cell>
          <cell r="AA27">
            <v>200</v>
          </cell>
          <cell r="AB27">
            <v>1800</v>
          </cell>
          <cell r="AC27">
            <v>336</v>
          </cell>
          <cell r="AE27">
            <v>2336</v>
          </cell>
          <cell r="AF27">
            <v>70939.862639999992</v>
          </cell>
        </row>
        <row r="28">
          <cell r="C28" t="str">
            <v>BITS-602</v>
          </cell>
          <cell r="E28" t="str">
            <v>Girish Bandi</v>
          </cell>
          <cell r="F28" t="str">
            <v>BNG SEZ</v>
          </cell>
          <cell r="G28">
            <v>80000</v>
          </cell>
          <cell r="H28">
            <v>71009</v>
          </cell>
          <cell r="I28">
            <v>30</v>
          </cell>
          <cell r="J28">
            <v>29</v>
          </cell>
          <cell r="K28">
            <v>1</v>
          </cell>
          <cell r="L28">
            <v>30</v>
          </cell>
          <cell r="M28">
            <v>42605.4</v>
          </cell>
          <cell r="N28">
            <v>17042.16</v>
          </cell>
          <cell r="O28">
            <v>2083</v>
          </cell>
          <cell r="P28">
            <v>2083</v>
          </cell>
          <cell r="Q28">
            <v>7308.4400000000023</v>
          </cell>
          <cell r="R28">
            <v>71122</v>
          </cell>
          <cell r="S28">
            <v>1950</v>
          </cell>
          <cell r="T28">
            <v>1554.6089999999999</v>
          </cell>
          <cell r="U28">
            <v>2049.3197399999999</v>
          </cell>
          <cell r="V28">
            <v>3550.4500000000003</v>
          </cell>
          <cell r="W28">
            <v>80226.37874</v>
          </cell>
          <cell r="Y28">
            <v>71122</v>
          </cell>
          <cell r="AA28">
            <v>200</v>
          </cell>
          <cell r="AB28">
            <v>1800</v>
          </cell>
          <cell r="AC28">
            <v>335</v>
          </cell>
          <cell r="AE28">
            <v>2335</v>
          </cell>
          <cell r="AF28">
            <v>75941.37874</v>
          </cell>
        </row>
        <row r="29">
          <cell r="C29" t="str">
            <v>BITS-605</v>
          </cell>
          <cell r="E29" t="str">
            <v>Chitra Kulkarni</v>
          </cell>
          <cell r="F29" t="str">
            <v>PUNE SEZ 1</v>
          </cell>
          <cell r="G29">
            <v>92000</v>
          </cell>
          <cell r="H29">
            <v>82132</v>
          </cell>
          <cell r="I29">
            <v>30</v>
          </cell>
          <cell r="J29">
            <v>29</v>
          </cell>
          <cell r="K29">
            <v>1</v>
          </cell>
          <cell r="L29">
            <v>30</v>
          </cell>
          <cell r="M29">
            <v>49279.199999999997</v>
          </cell>
          <cell r="N29">
            <v>19711.68</v>
          </cell>
          <cell r="O29">
            <v>2083</v>
          </cell>
          <cell r="P29">
            <v>2083</v>
          </cell>
          <cell r="Q29">
            <v>9088.1199999999953</v>
          </cell>
          <cell r="R29">
            <v>82245</v>
          </cell>
          <cell r="S29">
            <v>1950</v>
          </cell>
          <cell r="T29">
            <v>1554.6089999999999</v>
          </cell>
          <cell r="U29">
            <v>2370.3295199999998</v>
          </cell>
          <cell r="V29">
            <v>4106.5999999999995</v>
          </cell>
          <cell r="W29">
            <v>92226.538520000002</v>
          </cell>
          <cell r="Y29">
            <v>82245</v>
          </cell>
          <cell r="AA29">
            <v>200</v>
          </cell>
          <cell r="AB29">
            <v>1800</v>
          </cell>
          <cell r="AC29">
            <v>335</v>
          </cell>
          <cell r="AE29">
            <v>2335</v>
          </cell>
          <cell r="AF29">
            <v>87941.538520000002</v>
          </cell>
        </row>
        <row r="30">
          <cell r="C30" t="str">
            <v>BITS-606</v>
          </cell>
          <cell r="E30" t="str">
            <v>Barathiyar A 14-4-2022</v>
          </cell>
          <cell r="F30" t="str">
            <v>BNG STP</v>
          </cell>
          <cell r="G30">
            <v>67000</v>
          </cell>
          <cell r="H30">
            <v>58959</v>
          </cell>
          <cell r="I30">
            <v>30</v>
          </cell>
          <cell r="J30">
            <v>12</v>
          </cell>
          <cell r="K30">
            <v>1</v>
          </cell>
          <cell r="L30">
            <v>13</v>
          </cell>
          <cell r="M30">
            <v>15329.34</v>
          </cell>
          <cell r="N30">
            <v>6131.7360000000008</v>
          </cell>
          <cell r="O30">
            <v>903</v>
          </cell>
          <cell r="P30">
            <v>903</v>
          </cell>
          <cell r="Q30">
            <v>2394.8240000000005</v>
          </cell>
          <cell r="R30">
            <v>25661.9</v>
          </cell>
          <cell r="S30">
            <v>1950</v>
          </cell>
          <cell r="T30">
            <v>1554.6089999999999</v>
          </cell>
          <cell r="U30">
            <v>737.34125399999994</v>
          </cell>
          <cell r="V30">
            <v>1277.4449999999999</v>
          </cell>
          <cell r="W30">
            <v>31181.295254000001</v>
          </cell>
          <cell r="Y30">
            <v>25661.9</v>
          </cell>
          <cell r="AA30">
            <v>200</v>
          </cell>
          <cell r="AB30">
            <v>1800</v>
          </cell>
          <cell r="AC30">
            <v>335</v>
          </cell>
          <cell r="AE30">
            <v>2335</v>
          </cell>
          <cell r="AF30">
            <v>26896.395253999999</v>
          </cell>
        </row>
        <row r="31">
          <cell r="C31" t="str">
            <v>BITS-607</v>
          </cell>
          <cell r="E31" t="str">
            <v>Kumaravel M</v>
          </cell>
          <cell r="F31" t="str">
            <v>BNG STP</v>
          </cell>
          <cell r="G31">
            <v>55000</v>
          </cell>
          <cell r="H31">
            <v>47836</v>
          </cell>
          <cell r="I31">
            <v>30</v>
          </cell>
          <cell r="J31">
            <v>29</v>
          </cell>
          <cell r="K31">
            <v>1</v>
          </cell>
          <cell r="L31">
            <v>30</v>
          </cell>
          <cell r="M31">
            <v>28701.599999999999</v>
          </cell>
          <cell r="N31">
            <v>11480.64</v>
          </cell>
          <cell r="O31">
            <v>2083</v>
          </cell>
          <cell r="P31">
            <v>2083</v>
          </cell>
          <cell r="Q31">
            <v>3600.760000000002</v>
          </cell>
          <cell r="R31">
            <v>47949</v>
          </cell>
          <cell r="S31">
            <v>1950</v>
          </cell>
          <cell r="T31">
            <v>1554.6089999999999</v>
          </cell>
          <cell r="U31">
            <v>1380.5469599999999</v>
          </cell>
          <cell r="V31">
            <v>2391.7999999999997</v>
          </cell>
          <cell r="W31">
            <v>55225.955959999999</v>
          </cell>
          <cell r="Y31">
            <v>47949</v>
          </cell>
          <cell r="AA31">
            <v>200</v>
          </cell>
          <cell r="AB31">
            <v>1800</v>
          </cell>
          <cell r="AC31">
            <v>335</v>
          </cell>
          <cell r="AE31">
            <v>2335</v>
          </cell>
          <cell r="AF31">
            <v>50940.955959999999</v>
          </cell>
        </row>
        <row r="32">
          <cell r="C32" t="str">
            <v>BITS-609</v>
          </cell>
          <cell r="E32" t="str">
            <v>CHANDRASEHARAN GERORGE 15-4-2022</v>
          </cell>
          <cell r="F32" t="str">
            <v>BNG STP</v>
          </cell>
          <cell r="G32">
            <v>58000</v>
          </cell>
          <cell r="H32">
            <v>50617</v>
          </cell>
          <cell r="I32">
            <v>30</v>
          </cell>
          <cell r="J32">
            <v>15</v>
          </cell>
          <cell r="L32">
            <v>15</v>
          </cell>
          <cell r="M32">
            <v>15185.1</v>
          </cell>
          <cell r="N32">
            <v>6074.0400000000009</v>
          </cell>
          <cell r="O32">
            <v>1042</v>
          </cell>
          <cell r="P32">
            <v>1042</v>
          </cell>
          <cell r="Q32">
            <v>2078.3600000000006</v>
          </cell>
          <cell r="R32">
            <v>25421.5</v>
          </cell>
          <cell r="S32">
            <v>1950</v>
          </cell>
          <cell r="T32">
            <v>1554.6089999999999</v>
          </cell>
          <cell r="U32">
            <v>730.40330999999992</v>
          </cell>
          <cell r="V32">
            <v>1265.425</v>
          </cell>
          <cell r="W32">
            <v>30921.937310000001</v>
          </cell>
          <cell r="Y32">
            <v>25421.5</v>
          </cell>
          <cell r="AA32">
            <v>200</v>
          </cell>
          <cell r="AB32">
            <v>1800</v>
          </cell>
          <cell r="AC32">
            <v>335</v>
          </cell>
          <cell r="AE32">
            <v>2335</v>
          </cell>
          <cell r="AF32">
            <v>26637.437310000001</v>
          </cell>
        </row>
        <row r="33">
          <cell r="C33" t="str">
            <v>BITS-611</v>
          </cell>
          <cell r="E33" t="str">
            <v>VISHNUPRASATH T</v>
          </cell>
          <cell r="F33" t="str">
            <v>BNG STP</v>
          </cell>
          <cell r="G33">
            <v>55000</v>
          </cell>
          <cell r="H33">
            <v>47836</v>
          </cell>
          <cell r="I33">
            <v>30</v>
          </cell>
          <cell r="J33">
            <v>29</v>
          </cell>
          <cell r="K33">
            <v>1</v>
          </cell>
          <cell r="L33">
            <v>30</v>
          </cell>
          <cell r="M33">
            <v>28701.599999999999</v>
          </cell>
          <cell r="N33">
            <v>11480.64</v>
          </cell>
          <cell r="O33">
            <v>2083</v>
          </cell>
          <cell r="P33">
            <v>2083</v>
          </cell>
          <cell r="Q33">
            <v>3600.760000000002</v>
          </cell>
          <cell r="R33">
            <v>47949</v>
          </cell>
          <cell r="S33">
            <v>1950</v>
          </cell>
          <cell r="T33">
            <v>1554.6089999999999</v>
          </cell>
          <cell r="U33">
            <v>1380.5469599999999</v>
          </cell>
          <cell r="V33">
            <v>2391.7999999999997</v>
          </cell>
          <cell r="W33">
            <v>55225.955959999999</v>
          </cell>
          <cell r="Y33">
            <v>47949</v>
          </cell>
          <cell r="AA33">
            <v>200</v>
          </cell>
          <cell r="AB33">
            <v>1800</v>
          </cell>
          <cell r="AC33">
            <v>335</v>
          </cell>
          <cell r="AE33">
            <v>2335</v>
          </cell>
          <cell r="AF33">
            <v>50940.955959999999</v>
          </cell>
        </row>
        <row r="34">
          <cell r="C34" t="str">
            <v>BITS-612</v>
          </cell>
          <cell r="E34" t="str">
            <v>Nagaranjan S</v>
          </cell>
          <cell r="F34" t="str">
            <v>BNG STP</v>
          </cell>
          <cell r="G34">
            <v>55000</v>
          </cell>
          <cell r="H34">
            <v>47836</v>
          </cell>
          <cell r="I34">
            <v>30</v>
          </cell>
          <cell r="J34">
            <v>30</v>
          </cell>
          <cell r="L34">
            <v>30</v>
          </cell>
          <cell r="M34">
            <v>28701.599999999999</v>
          </cell>
          <cell r="N34">
            <v>11480.64</v>
          </cell>
          <cell r="O34">
            <v>2083</v>
          </cell>
          <cell r="P34">
            <v>2083</v>
          </cell>
          <cell r="Q34">
            <v>3600.760000000002</v>
          </cell>
          <cell r="R34">
            <v>47949</v>
          </cell>
          <cell r="S34">
            <v>1950</v>
          </cell>
          <cell r="T34">
            <v>1554.6089999999999</v>
          </cell>
          <cell r="U34">
            <v>1380.5469599999999</v>
          </cell>
          <cell r="V34">
            <v>2391.7999999999997</v>
          </cell>
          <cell r="W34">
            <v>55225.955959999999</v>
          </cell>
          <cell r="Y34">
            <v>47949</v>
          </cell>
          <cell r="AA34">
            <v>200</v>
          </cell>
          <cell r="AB34">
            <v>1800</v>
          </cell>
          <cell r="AC34">
            <v>335</v>
          </cell>
          <cell r="AE34">
            <v>2335</v>
          </cell>
          <cell r="AF34">
            <v>50940.955959999999</v>
          </cell>
        </row>
        <row r="35">
          <cell r="C35" t="str">
            <v>BITS-613</v>
          </cell>
          <cell r="E35" t="str">
            <v>ELAMPARITHI SB 20-4-2022</v>
          </cell>
          <cell r="F35" t="str">
            <v>BNG STP</v>
          </cell>
          <cell r="G35">
            <v>55000</v>
          </cell>
          <cell r="H35">
            <v>47836</v>
          </cell>
          <cell r="I35">
            <v>30</v>
          </cell>
          <cell r="J35">
            <v>20</v>
          </cell>
          <cell r="L35">
            <v>20</v>
          </cell>
          <cell r="M35">
            <v>19134.400000000001</v>
          </cell>
          <cell r="N35">
            <v>7653.7600000000011</v>
          </cell>
          <cell r="O35">
            <v>1389</v>
          </cell>
          <cell r="P35">
            <v>1389</v>
          </cell>
          <cell r="Q35">
            <v>2437.5066666666644</v>
          </cell>
          <cell r="R35">
            <v>32003.666666666668</v>
          </cell>
          <cell r="S35">
            <v>1950</v>
          </cell>
          <cell r="T35">
            <v>1554.6089999999999</v>
          </cell>
          <cell r="U35">
            <v>920.36463999999989</v>
          </cell>
          <cell r="V35">
            <v>1594.5333333333335</v>
          </cell>
          <cell r="W35">
            <v>38023.173639999994</v>
          </cell>
          <cell r="Y35">
            <v>32003.666666666668</v>
          </cell>
          <cell r="AA35">
            <v>200</v>
          </cell>
          <cell r="AB35">
            <v>1800</v>
          </cell>
          <cell r="AC35">
            <v>335</v>
          </cell>
          <cell r="AE35">
            <v>2335</v>
          </cell>
          <cell r="AF35">
            <v>33738.506973333337</v>
          </cell>
        </row>
        <row r="36">
          <cell r="C36" t="str">
            <v>BITS-614</v>
          </cell>
          <cell r="E36" t="str">
            <v>KISHANPRASAD GANDHE</v>
          </cell>
          <cell r="F36" t="str">
            <v>HYD STP</v>
          </cell>
          <cell r="G36">
            <v>152000</v>
          </cell>
          <cell r="H36">
            <v>137746</v>
          </cell>
          <cell r="I36">
            <v>30</v>
          </cell>
          <cell r="J36">
            <v>30</v>
          </cell>
          <cell r="L36">
            <v>30</v>
          </cell>
          <cell r="M36">
            <v>82647.600000000006</v>
          </cell>
          <cell r="N36">
            <v>33059.040000000001</v>
          </cell>
          <cell r="O36">
            <v>2083</v>
          </cell>
          <cell r="P36">
            <v>2083</v>
          </cell>
          <cell r="Q36">
            <v>17986.359999999986</v>
          </cell>
          <cell r="R36">
            <v>137859</v>
          </cell>
          <cell r="S36">
            <v>1950</v>
          </cell>
          <cell r="T36">
            <v>1554.6089999999999</v>
          </cell>
          <cell r="U36">
            <v>3975.3495600000001</v>
          </cell>
          <cell r="V36">
            <v>6887.3</v>
          </cell>
          <cell r="W36">
            <v>152226.25855999999</v>
          </cell>
          <cell r="X36">
            <v>5066</v>
          </cell>
          <cell r="Y36">
            <v>142925</v>
          </cell>
          <cell r="AA36">
            <v>200</v>
          </cell>
          <cell r="AB36">
            <v>1800</v>
          </cell>
          <cell r="AC36">
            <v>839</v>
          </cell>
          <cell r="AE36">
            <v>2839</v>
          </cell>
          <cell r="AF36">
            <v>152503.25855999999</v>
          </cell>
        </row>
        <row r="37">
          <cell r="C37" t="str">
            <v>BITS-617</v>
          </cell>
          <cell r="E37" t="str">
            <v>Sunnapalli Anil</v>
          </cell>
          <cell r="F37" t="str">
            <v>PUNE SEZ 1</v>
          </cell>
          <cell r="G37">
            <v>80000</v>
          </cell>
          <cell r="H37">
            <v>69580</v>
          </cell>
          <cell r="I37">
            <v>30</v>
          </cell>
          <cell r="J37">
            <v>30</v>
          </cell>
          <cell r="L37">
            <v>30</v>
          </cell>
          <cell r="M37">
            <v>41748</v>
          </cell>
          <cell r="N37">
            <v>16699.2</v>
          </cell>
          <cell r="O37">
            <v>2083</v>
          </cell>
          <cell r="P37">
            <v>2083</v>
          </cell>
          <cell r="Q37">
            <v>7079.8000000000029</v>
          </cell>
          <cell r="R37">
            <v>69693</v>
          </cell>
          <cell r="S37">
            <v>1950</v>
          </cell>
          <cell r="T37">
            <v>1554.6089999999999</v>
          </cell>
          <cell r="U37">
            <v>2008.0787999999998</v>
          </cell>
          <cell r="V37">
            <v>3479</v>
          </cell>
          <cell r="W37">
            <v>78684.6878</v>
          </cell>
          <cell r="Y37">
            <v>69693</v>
          </cell>
          <cell r="AA37">
            <v>200</v>
          </cell>
          <cell r="AB37">
            <v>1800</v>
          </cell>
          <cell r="AC37">
            <v>335</v>
          </cell>
          <cell r="AE37">
            <v>2335</v>
          </cell>
          <cell r="AF37">
            <v>74399.6878</v>
          </cell>
        </row>
        <row r="38">
          <cell r="C38" t="str">
            <v>BITS-619</v>
          </cell>
          <cell r="D38" t="str">
            <v>Cognizant</v>
          </cell>
          <cell r="E38" t="str">
            <v>Varsha Bollu</v>
          </cell>
          <cell r="G38">
            <v>85000</v>
          </cell>
          <cell r="H38">
            <v>75643</v>
          </cell>
          <cell r="I38">
            <v>30</v>
          </cell>
          <cell r="J38">
            <v>30</v>
          </cell>
          <cell r="L38">
            <v>30</v>
          </cell>
          <cell r="M38">
            <v>45385.8</v>
          </cell>
          <cell r="N38">
            <v>18154.320000000003</v>
          </cell>
          <cell r="O38">
            <v>2083</v>
          </cell>
          <cell r="P38">
            <v>2083</v>
          </cell>
          <cell r="Q38">
            <v>8049.8799999999901</v>
          </cell>
          <cell r="R38">
            <v>75756</v>
          </cell>
          <cell r="S38">
            <v>1950</v>
          </cell>
          <cell r="T38">
            <v>1554.6089999999999</v>
          </cell>
          <cell r="U38">
            <v>2183.0569799999998</v>
          </cell>
          <cell r="V38">
            <v>3782.15</v>
          </cell>
          <cell r="W38">
            <v>85225.815979999985</v>
          </cell>
          <cell r="Y38">
            <v>75756</v>
          </cell>
          <cell r="AA38">
            <v>200</v>
          </cell>
          <cell r="AB38">
            <v>1800</v>
          </cell>
          <cell r="AC38">
            <v>335</v>
          </cell>
          <cell r="AE38">
            <v>2335</v>
          </cell>
          <cell r="AF38">
            <v>80940.815979999985</v>
          </cell>
        </row>
        <row r="39">
          <cell r="C39" t="str">
            <v>BITS-620</v>
          </cell>
          <cell r="D39" t="str">
            <v>Cognizant</v>
          </cell>
          <cell r="E39" t="str">
            <v>Bhaskar Reddy Sudha</v>
          </cell>
          <cell r="G39">
            <v>110000</v>
          </cell>
          <cell r="H39">
            <v>98816</v>
          </cell>
          <cell r="I39">
            <v>30</v>
          </cell>
          <cell r="J39">
            <v>28</v>
          </cell>
          <cell r="K39">
            <v>2</v>
          </cell>
          <cell r="L39">
            <v>29</v>
          </cell>
          <cell r="M39">
            <v>57313.279999999999</v>
          </cell>
          <cell r="N39">
            <v>22925.312000000002</v>
          </cell>
          <cell r="O39">
            <v>2014</v>
          </cell>
          <cell r="P39">
            <v>2014</v>
          </cell>
          <cell r="Q39">
            <v>11368.541333333327</v>
          </cell>
          <cell r="R39">
            <v>95635.133333333331</v>
          </cell>
          <cell r="S39">
            <v>1950</v>
          </cell>
          <cell r="T39">
            <v>1554.6089999999999</v>
          </cell>
          <cell r="U39">
            <v>2756.7687679999999</v>
          </cell>
          <cell r="V39">
            <v>4776.1066666666666</v>
          </cell>
          <cell r="W39">
            <v>106672.617768</v>
          </cell>
          <cell r="Y39">
            <v>95635.133333333331</v>
          </cell>
          <cell r="AA39">
            <v>200</v>
          </cell>
          <cell r="AB39">
            <v>1800</v>
          </cell>
          <cell r="AC39">
            <v>335</v>
          </cell>
          <cell r="AE39">
            <v>2335</v>
          </cell>
          <cell r="AF39">
            <v>102387.48443466667</v>
          </cell>
        </row>
        <row r="40">
          <cell r="C40" t="str">
            <v>BITS-645</v>
          </cell>
          <cell r="D40" t="str">
            <v>Cognizant</v>
          </cell>
          <cell r="E40" t="str">
            <v>BHARGAVI .R</v>
          </cell>
          <cell r="G40">
            <v>105000</v>
          </cell>
          <cell r="H40">
            <v>94181</v>
          </cell>
          <cell r="I40">
            <v>30</v>
          </cell>
          <cell r="J40">
            <v>29</v>
          </cell>
          <cell r="K40">
            <v>1</v>
          </cell>
          <cell r="L40">
            <v>30</v>
          </cell>
          <cell r="M40">
            <v>56508.6</v>
          </cell>
          <cell r="N40">
            <v>22603.440000000002</v>
          </cell>
          <cell r="O40">
            <v>2083</v>
          </cell>
          <cell r="P40">
            <v>2083</v>
          </cell>
          <cell r="Q40">
            <v>11015.959999999992</v>
          </cell>
          <cell r="R40">
            <v>94294</v>
          </cell>
          <cell r="S40">
            <v>1950</v>
          </cell>
          <cell r="T40">
            <v>1554.6089999999999</v>
          </cell>
          <cell r="U40">
            <v>2718.0636599999998</v>
          </cell>
          <cell r="V40">
            <v>4709.05</v>
          </cell>
          <cell r="W40">
            <v>105225.72266</v>
          </cell>
          <cell r="Y40">
            <v>94294</v>
          </cell>
          <cell r="AA40">
            <v>200</v>
          </cell>
          <cell r="AB40">
            <v>1800</v>
          </cell>
          <cell r="AC40">
            <v>378</v>
          </cell>
          <cell r="AE40">
            <v>2378</v>
          </cell>
          <cell r="AF40">
            <v>100897.72266</v>
          </cell>
        </row>
        <row r="41">
          <cell r="C41" t="str">
            <v>BITS-676</v>
          </cell>
          <cell r="D41" t="str">
            <v>Cognizant</v>
          </cell>
          <cell r="E41" t="str">
            <v>Siva Krishna</v>
          </cell>
          <cell r="G41">
            <v>80000</v>
          </cell>
          <cell r="H41">
            <v>71009</v>
          </cell>
          <cell r="I41">
            <v>30</v>
          </cell>
          <cell r="J41">
            <v>30</v>
          </cell>
          <cell r="L41">
            <v>30</v>
          </cell>
          <cell r="M41">
            <v>42605.4</v>
          </cell>
          <cell r="N41">
            <v>17042.16</v>
          </cell>
          <cell r="O41">
            <v>2083</v>
          </cell>
          <cell r="P41">
            <v>2083</v>
          </cell>
          <cell r="Q41">
            <v>7308.4400000000023</v>
          </cell>
          <cell r="R41">
            <v>71122</v>
          </cell>
          <cell r="S41">
            <v>1950</v>
          </cell>
          <cell r="T41">
            <v>1554.6089999999999</v>
          </cell>
          <cell r="U41">
            <v>2049.3197399999999</v>
          </cell>
          <cell r="V41">
            <v>3550.4500000000003</v>
          </cell>
          <cell r="W41">
            <v>80226.37874</v>
          </cell>
          <cell r="Y41">
            <v>71122</v>
          </cell>
          <cell r="AA41">
            <v>200</v>
          </cell>
          <cell r="AB41">
            <v>1800</v>
          </cell>
          <cell r="AC41">
            <v>378</v>
          </cell>
          <cell r="AE41">
            <v>2378</v>
          </cell>
          <cell r="AF41">
            <v>75898.37874</v>
          </cell>
        </row>
        <row r="42">
          <cell r="C42" t="str">
            <v>BITS-621</v>
          </cell>
          <cell r="E42" t="str">
            <v>ARJUN PUNDLIK JOSHI</v>
          </cell>
          <cell r="F42" t="str">
            <v>Mysore SEZ</v>
          </cell>
          <cell r="G42">
            <v>85000</v>
          </cell>
          <cell r="H42">
            <v>75643</v>
          </cell>
          <cell r="I42">
            <v>30</v>
          </cell>
          <cell r="J42">
            <v>30</v>
          </cell>
          <cell r="L42">
            <v>30</v>
          </cell>
          <cell r="M42">
            <v>45385.8</v>
          </cell>
          <cell r="N42">
            <v>18154.320000000003</v>
          </cell>
          <cell r="O42">
            <v>2083</v>
          </cell>
          <cell r="P42">
            <v>2083</v>
          </cell>
          <cell r="Q42">
            <v>8049.8799999999901</v>
          </cell>
          <cell r="R42">
            <v>75756</v>
          </cell>
          <cell r="S42">
            <v>1950</v>
          </cell>
          <cell r="T42">
            <v>1554.6089999999999</v>
          </cell>
          <cell r="U42">
            <v>2183.0569799999998</v>
          </cell>
          <cell r="V42">
            <v>3782.15</v>
          </cell>
          <cell r="W42">
            <v>85225.815979999985</v>
          </cell>
          <cell r="X42">
            <v>1000</v>
          </cell>
          <cell r="Y42">
            <v>76756</v>
          </cell>
          <cell r="AA42">
            <v>200</v>
          </cell>
          <cell r="AB42">
            <v>1800</v>
          </cell>
          <cell r="AC42">
            <v>336</v>
          </cell>
          <cell r="AE42">
            <v>2336</v>
          </cell>
          <cell r="AF42">
            <v>81939.815979999985</v>
          </cell>
        </row>
        <row r="43">
          <cell r="C43" t="str">
            <v>BITS-624</v>
          </cell>
          <cell r="E43" t="str">
            <v>Karthick G</v>
          </cell>
          <cell r="F43" t="str">
            <v>BNG STP</v>
          </cell>
          <cell r="G43">
            <v>100000</v>
          </cell>
          <cell r="H43">
            <v>89547</v>
          </cell>
          <cell r="I43">
            <v>30</v>
          </cell>
          <cell r="J43">
            <v>30</v>
          </cell>
          <cell r="L43">
            <v>30</v>
          </cell>
          <cell r="M43">
            <v>53728.2</v>
          </cell>
          <cell r="N43">
            <v>21491.279999999999</v>
          </cell>
          <cell r="O43">
            <v>2083</v>
          </cell>
          <cell r="P43">
            <v>2083</v>
          </cell>
          <cell r="Q43">
            <v>10274.520000000004</v>
          </cell>
          <cell r="R43">
            <v>89660</v>
          </cell>
          <cell r="S43">
            <v>1950</v>
          </cell>
          <cell r="T43">
            <v>1554.6089999999999</v>
          </cell>
          <cell r="U43">
            <v>2584.3264199999994</v>
          </cell>
          <cell r="V43">
            <v>4477.3499999999995</v>
          </cell>
          <cell r="W43">
            <v>100226.28542</v>
          </cell>
          <cell r="Y43">
            <v>89660</v>
          </cell>
          <cell r="AA43">
            <v>200</v>
          </cell>
          <cell r="AB43">
            <v>1800</v>
          </cell>
          <cell r="AC43">
            <v>336</v>
          </cell>
          <cell r="AE43">
            <v>2336</v>
          </cell>
          <cell r="AF43">
            <v>95940.28542</v>
          </cell>
        </row>
        <row r="44">
          <cell r="C44" t="str">
            <v>BITS-626</v>
          </cell>
          <cell r="E44" t="str">
            <v>Somisetty VenkataKrishna</v>
          </cell>
          <cell r="F44" t="str">
            <v>BNG SEZ</v>
          </cell>
          <cell r="G44">
            <v>75000</v>
          </cell>
          <cell r="H44">
            <v>66374</v>
          </cell>
          <cell r="I44">
            <v>30</v>
          </cell>
          <cell r="J44">
            <v>29</v>
          </cell>
          <cell r="K44">
            <v>1</v>
          </cell>
          <cell r="L44">
            <v>30</v>
          </cell>
          <cell r="M44">
            <v>39824.400000000001</v>
          </cell>
          <cell r="N44">
            <v>15929.760000000002</v>
          </cell>
          <cell r="O44">
            <v>2083</v>
          </cell>
          <cell r="P44">
            <v>2083</v>
          </cell>
          <cell r="Q44">
            <v>6566.8399999999965</v>
          </cell>
          <cell r="R44">
            <v>66487</v>
          </cell>
          <cell r="S44">
            <v>1950</v>
          </cell>
          <cell r="T44">
            <v>1554.6089999999999</v>
          </cell>
          <cell r="U44">
            <v>1915.5536400000001</v>
          </cell>
          <cell r="V44">
            <v>3318.7000000000003</v>
          </cell>
          <cell r="W44">
            <v>75225.862639999992</v>
          </cell>
          <cell r="Y44">
            <v>66487</v>
          </cell>
          <cell r="AA44">
            <v>200</v>
          </cell>
          <cell r="AB44">
            <v>1800</v>
          </cell>
          <cell r="AC44">
            <v>335</v>
          </cell>
          <cell r="AE44">
            <v>2335</v>
          </cell>
          <cell r="AF44">
            <v>70940.862639999992</v>
          </cell>
        </row>
        <row r="45">
          <cell r="C45" t="str">
            <v>BITS-629</v>
          </cell>
          <cell r="E45" t="str">
            <v>CHEREDDY MURALI KRISHNA NAIDU</v>
          </cell>
          <cell r="F45" t="str">
            <v>BNG SEZ</v>
          </cell>
          <cell r="G45">
            <v>115000</v>
          </cell>
          <cell r="H45">
            <v>103451</v>
          </cell>
          <cell r="I45">
            <v>30</v>
          </cell>
          <cell r="J45">
            <v>29</v>
          </cell>
          <cell r="K45">
            <v>1</v>
          </cell>
          <cell r="L45">
            <v>30</v>
          </cell>
          <cell r="M45">
            <v>62070.6</v>
          </cell>
          <cell r="N45">
            <v>24828.240000000002</v>
          </cell>
          <cell r="O45">
            <v>2083</v>
          </cell>
          <cell r="P45">
            <v>2083</v>
          </cell>
          <cell r="Q45">
            <v>12499.160000000003</v>
          </cell>
          <cell r="R45">
            <v>103564</v>
          </cell>
          <cell r="S45">
            <v>1950</v>
          </cell>
          <cell r="T45">
            <v>1554.6089999999999</v>
          </cell>
          <cell r="U45">
            <v>2985.5958599999994</v>
          </cell>
          <cell r="V45">
            <v>5172.55</v>
          </cell>
          <cell r="W45">
            <v>115226.75486</v>
          </cell>
          <cell r="Y45">
            <v>103564</v>
          </cell>
          <cell r="AA45">
            <v>200</v>
          </cell>
          <cell r="AB45">
            <v>1800</v>
          </cell>
          <cell r="AC45">
            <v>336</v>
          </cell>
          <cell r="AE45">
            <v>2336</v>
          </cell>
          <cell r="AF45">
            <v>110940.75486</v>
          </cell>
        </row>
        <row r="46">
          <cell r="C46" t="str">
            <v>BITS-630</v>
          </cell>
          <cell r="E46" t="str">
            <v>Gangadhar Yarabham</v>
          </cell>
          <cell r="F46" t="str">
            <v>HYD SEZ</v>
          </cell>
          <cell r="G46">
            <v>95000</v>
          </cell>
          <cell r="H46">
            <v>84912</v>
          </cell>
          <cell r="I46">
            <v>30</v>
          </cell>
          <cell r="J46">
            <v>30</v>
          </cell>
          <cell r="L46">
            <v>30</v>
          </cell>
          <cell r="M46">
            <v>50947.199999999997</v>
          </cell>
          <cell r="N46">
            <v>20378.88</v>
          </cell>
          <cell r="O46">
            <v>2083</v>
          </cell>
          <cell r="P46">
            <v>2083</v>
          </cell>
          <cell r="Q46">
            <v>9532.9199999999983</v>
          </cell>
          <cell r="R46">
            <v>85025</v>
          </cell>
          <cell r="S46">
            <v>1950</v>
          </cell>
          <cell r="T46">
            <v>1554.6089999999999</v>
          </cell>
          <cell r="U46">
            <v>2450.5603199999996</v>
          </cell>
          <cell r="V46">
            <v>4245.5999999999995</v>
          </cell>
          <cell r="W46">
            <v>95225.769320000007</v>
          </cell>
          <cell r="Y46">
            <v>85025</v>
          </cell>
          <cell r="AA46">
            <v>200</v>
          </cell>
          <cell r="AB46">
            <v>1800</v>
          </cell>
          <cell r="AC46">
            <v>377</v>
          </cell>
          <cell r="AE46">
            <v>2377</v>
          </cell>
          <cell r="AF46">
            <v>90898.769320000007</v>
          </cell>
        </row>
        <row r="47">
          <cell r="C47" t="str">
            <v>BITS-632</v>
          </cell>
          <cell r="E47" t="str">
            <v>Himanshu Anand</v>
          </cell>
          <cell r="F47" t="str">
            <v>PUNE SEZ 1</v>
          </cell>
          <cell r="G47">
            <v>110000</v>
          </cell>
          <cell r="H47">
            <v>98501</v>
          </cell>
          <cell r="I47">
            <v>30</v>
          </cell>
          <cell r="J47">
            <v>30</v>
          </cell>
          <cell r="L47">
            <v>30</v>
          </cell>
          <cell r="M47">
            <v>59100.6</v>
          </cell>
          <cell r="N47">
            <v>23640.240000000002</v>
          </cell>
          <cell r="O47">
            <v>2083</v>
          </cell>
          <cell r="P47">
            <v>2083</v>
          </cell>
          <cell r="Q47">
            <v>11707.160000000003</v>
          </cell>
          <cell r="R47">
            <v>98614</v>
          </cell>
          <cell r="S47">
            <v>1950</v>
          </cell>
          <cell r="T47">
            <v>1554.6089999999999</v>
          </cell>
          <cell r="U47">
            <v>2842.7388599999999</v>
          </cell>
          <cell r="V47">
            <v>4925.05</v>
          </cell>
          <cell r="W47">
            <v>109886.39786</v>
          </cell>
          <cell r="Y47">
            <v>98614</v>
          </cell>
          <cell r="AA47">
            <v>200</v>
          </cell>
          <cell r="AB47">
            <v>1800</v>
          </cell>
          <cell r="AC47">
            <v>336</v>
          </cell>
          <cell r="AE47">
            <v>2336</v>
          </cell>
          <cell r="AF47">
            <v>105600.39786</v>
          </cell>
        </row>
        <row r="48">
          <cell r="C48" t="str">
            <v>BITS-633</v>
          </cell>
          <cell r="E48" t="str">
            <v>Kanchupati Kondaiah</v>
          </cell>
          <cell r="F48" t="str">
            <v>PUNE SEZ 1</v>
          </cell>
          <cell r="G48">
            <v>54000</v>
          </cell>
          <cell r="H48">
            <v>46909</v>
          </cell>
          <cell r="I48">
            <v>30</v>
          </cell>
          <cell r="J48">
            <v>29</v>
          </cell>
          <cell r="K48">
            <v>1</v>
          </cell>
          <cell r="L48">
            <v>30</v>
          </cell>
          <cell r="M48">
            <v>28145.4</v>
          </cell>
          <cell r="N48">
            <v>11258.160000000002</v>
          </cell>
          <cell r="O48">
            <v>2083</v>
          </cell>
          <cell r="P48">
            <v>2083</v>
          </cell>
          <cell r="Q48">
            <v>3452.4399999999951</v>
          </cell>
          <cell r="R48">
            <v>47022</v>
          </cell>
          <cell r="S48">
            <v>1950</v>
          </cell>
          <cell r="T48">
            <v>1554.6089999999999</v>
          </cell>
          <cell r="U48">
            <v>1353.7937399999998</v>
          </cell>
          <cell r="V48">
            <v>2345.4500000000003</v>
          </cell>
          <cell r="W48">
            <v>54225.852739999995</v>
          </cell>
          <cell r="Y48">
            <v>47022</v>
          </cell>
          <cell r="AA48">
            <v>200</v>
          </cell>
          <cell r="AB48">
            <v>1800</v>
          </cell>
          <cell r="AC48">
            <v>336</v>
          </cell>
          <cell r="AE48">
            <v>2336</v>
          </cell>
          <cell r="AF48">
            <v>49939.852739999995</v>
          </cell>
        </row>
        <row r="49">
          <cell r="C49" t="str">
            <v>BITS-634</v>
          </cell>
          <cell r="E49" t="str">
            <v>Santosh Patel</v>
          </cell>
          <cell r="F49" t="str">
            <v>PUNE SEZ 1</v>
          </cell>
          <cell r="G49">
            <v>145000</v>
          </cell>
          <cell r="H49">
            <v>131257</v>
          </cell>
          <cell r="I49">
            <v>30</v>
          </cell>
          <cell r="J49">
            <v>30</v>
          </cell>
          <cell r="L49">
            <v>30</v>
          </cell>
          <cell r="M49">
            <v>78754.2</v>
          </cell>
          <cell r="N49">
            <v>31501.68</v>
          </cell>
          <cell r="O49">
            <v>2083</v>
          </cell>
          <cell r="P49">
            <v>2083</v>
          </cell>
          <cell r="Q49">
            <v>16948.119999999995</v>
          </cell>
          <cell r="R49">
            <v>131370</v>
          </cell>
          <cell r="S49">
            <v>1950</v>
          </cell>
          <cell r="T49">
            <v>1554.6089999999999</v>
          </cell>
          <cell r="U49">
            <v>3788.0770199999993</v>
          </cell>
          <cell r="V49">
            <v>6562.8499999999995</v>
          </cell>
          <cell r="W49">
            <v>145225.53602</v>
          </cell>
          <cell r="Y49">
            <v>131370</v>
          </cell>
          <cell r="AA49">
            <v>200</v>
          </cell>
          <cell r="AB49">
            <v>1800</v>
          </cell>
          <cell r="AC49">
            <v>336</v>
          </cell>
          <cell r="AE49">
            <v>2336</v>
          </cell>
          <cell r="AF49">
            <v>140939.53602</v>
          </cell>
        </row>
        <row r="50">
          <cell r="C50" t="str">
            <v>BITS-638</v>
          </cell>
          <cell r="E50" t="str">
            <v>Basweshwar Pawar</v>
          </cell>
          <cell r="F50" t="str">
            <v>PUNE SEZ 1</v>
          </cell>
          <cell r="G50">
            <v>100000</v>
          </cell>
          <cell r="H50">
            <v>89547</v>
          </cell>
          <cell r="I50">
            <v>30</v>
          </cell>
          <cell r="J50">
            <v>30</v>
          </cell>
          <cell r="L50">
            <v>30</v>
          </cell>
          <cell r="M50">
            <v>53728.2</v>
          </cell>
          <cell r="N50">
            <v>21491.279999999999</v>
          </cell>
          <cell r="O50">
            <v>2083</v>
          </cell>
          <cell r="P50">
            <v>2083</v>
          </cell>
          <cell r="Q50">
            <v>10274.520000000004</v>
          </cell>
          <cell r="R50">
            <v>89660</v>
          </cell>
          <cell r="S50">
            <v>1950</v>
          </cell>
          <cell r="T50">
            <v>1554.6089999999999</v>
          </cell>
          <cell r="U50">
            <v>2584.3264199999994</v>
          </cell>
          <cell r="V50">
            <v>4477.3499999999995</v>
          </cell>
          <cell r="W50">
            <v>100226.28542</v>
          </cell>
          <cell r="Y50">
            <v>89660</v>
          </cell>
          <cell r="AA50">
            <v>200</v>
          </cell>
          <cell r="AB50">
            <v>1800</v>
          </cell>
          <cell r="AC50">
            <v>224</v>
          </cell>
          <cell r="AE50">
            <v>2224</v>
          </cell>
          <cell r="AF50">
            <v>96052.28542</v>
          </cell>
        </row>
        <row r="51">
          <cell r="C51" t="str">
            <v>BITS-640</v>
          </cell>
          <cell r="E51" t="str">
            <v>K V Kannan</v>
          </cell>
          <cell r="F51" t="str">
            <v>BNG STP</v>
          </cell>
          <cell r="G51">
            <v>43000</v>
          </cell>
          <cell r="H51">
            <v>36713</v>
          </cell>
          <cell r="I51">
            <v>30</v>
          </cell>
          <cell r="J51">
            <v>29</v>
          </cell>
          <cell r="K51">
            <v>1</v>
          </cell>
          <cell r="L51">
            <v>30</v>
          </cell>
          <cell r="M51">
            <v>22027.8</v>
          </cell>
          <cell r="N51">
            <v>8811.1200000000008</v>
          </cell>
          <cell r="O51">
            <v>2083</v>
          </cell>
          <cell r="P51">
            <v>2083</v>
          </cell>
          <cell r="Q51">
            <v>1821.0800000000017</v>
          </cell>
          <cell r="R51">
            <v>36826</v>
          </cell>
          <cell r="S51">
            <v>1950</v>
          </cell>
          <cell r="T51">
            <v>1554.6089999999999</v>
          </cell>
          <cell r="U51">
            <v>1059.53718</v>
          </cell>
          <cell r="V51">
            <v>1835.6499999999999</v>
          </cell>
          <cell r="W51">
            <v>43225.796179999998</v>
          </cell>
          <cell r="Y51">
            <v>36826</v>
          </cell>
          <cell r="AA51">
            <v>200</v>
          </cell>
          <cell r="AB51">
            <v>1800</v>
          </cell>
          <cell r="AC51">
            <v>252</v>
          </cell>
          <cell r="AE51">
            <v>2252</v>
          </cell>
          <cell r="AF51">
            <v>39023.796179999998</v>
          </cell>
        </row>
        <row r="52">
          <cell r="C52" t="str">
            <v>BITS-641</v>
          </cell>
          <cell r="E52" t="str">
            <v>Thanigaivel.J</v>
          </cell>
          <cell r="F52" t="str">
            <v>BNG STP</v>
          </cell>
          <cell r="G52">
            <v>43000</v>
          </cell>
          <cell r="H52">
            <v>36713</v>
          </cell>
          <cell r="I52">
            <v>30</v>
          </cell>
          <cell r="J52">
            <v>30</v>
          </cell>
          <cell r="L52">
            <v>30</v>
          </cell>
          <cell r="M52">
            <v>22027.8</v>
          </cell>
          <cell r="N52">
            <v>8811.1200000000008</v>
          </cell>
          <cell r="O52">
            <v>2083</v>
          </cell>
          <cell r="P52">
            <v>2083</v>
          </cell>
          <cell r="Q52">
            <v>1821.0800000000017</v>
          </cell>
          <cell r="R52">
            <v>36826</v>
          </cell>
          <cell r="S52">
            <v>1950</v>
          </cell>
          <cell r="T52">
            <v>1554.6089999999999</v>
          </cell>
          <cell r="U52">
            <v>1059.53718</v>
          </cell>
          <cell r="V52">
            <v>1835.6499999999999</v>
          </cell>
          <cell r="W52">
            <v>43225.796179999998</v>
          </cell>
          <cell r="Y52">
            <v>36826</v>
          </cell>
          <cell r="AA52">
            <v>200</v>
          </cell>
          <cell r="AB52">
            <v>1800</v>
          </cell>
          <cell r="AC52">
            <v>224</v>
          </cell>
          <cell r="AE52">
            <v>2224</v>
          </cell>
          <cell r="AF52">
            <v>39051.796179999998</v>
          </cell>
        </row>
        <row r="53">
          <cell r="C53" t="str">
            <v>BITS-644</v>
          </cell>
          <cell r="E53" t="str">
            <v>gopi reddy chirra</v>
          </cell>
          <cell r="F53" t="str">
            <v>Chandigarh</v>
          </cell>
          <cell r="G53">
            <v>66000</v>
          </cell>
          <cell r="H53">
            <v>58032</v>
          </cell>
          <cell r="I53">
            <v>30</v>
          </cell>
          <cell r="J53">
            <v>29</v>
          </cell>
          <cell r="K53">
            <v>1</v>
          </cell>
          <cell r="L53">
            <v>30</v>
          </cell>
          <cell r="M53">
            <v>34819.199999999997</v>
          </cell>
          <cell r="N53">
            <v>13927.68</v>
          </cell>
          <cell r="O53">
            <v>2083</v>
          </cell>
          <cell r="P53">
            <v>2083</v>
          </cell>
          <cell r="Q53">
            <v>5232.1200000000026</v>
          </cell>
          <cell r="R53">
            <v>58145</v>
          </cell>
          <cell r="S53">
            <v>1950</v>
          </cell>
          <cell r="T53">
            <v>1554.6089999999999</v>
          </cell>
          <cell r="U53">
            <v>1674.8035199999999</v>
          </cell>
          <cell r="V53">
            <v>2901.6</v>
          </cell>
          <cell r="W53">
            <v>66226.012519999989</v>
          </cell>
          <cell r="Y53">
            <v>58145</v>
          </cell>
          <cell r="AA53">
            <v>200</v>
          </cell>
          <cell r="AB53">
            <v>1800</v>
          </cell>
          <cell r="AC53">
            <v>224</v>
          </cell>
          <cell r="AE53">
            <v>2224</v>
          </cell>
          <cell r="AF53">
            <v>62052.012519999997</v>
          </cell>
        </row>
        <row r="54">
          <cell r="C54" t="str">
            <v>BITS-645</v>
          </cell>
          <cell r="E54" t="str">
            <v>Anil kumar Redd kusam</v>
          </cell>
          <cell r="F54" t="str">
            <v>BNG STP</v>
          </cell>
          <cell r="G54">
            <v>90000</v>
          </cell>
          <cell r="H54">
            <v>80278</v>
          </cell>
          <cell r="I54">
            <v>30</v>
          </cell>
          <cell r="J54">
            <v>30</v>
          </cell>
          <cell r="L54">
            <v>30</v>
          </cell>
          <cell r="M54">
            <v>48166.8</v>
          </cell>
          <cell r="N54">
            <v>19266.72</v>
          </cell>
          <cell r="O54">
            <v>2083</v>
          </cell>
          <cell r="P54">
            <v>2083</v>
          </cell>
          <cell r="Q54">
            <v>8791.4799999999959</v>
          </cell>
          <cell r="R54">
            <v>80391</v>
          </cell>
          <cell r="S54">
            <v>1950</v>
          </cell>
          <cell r="T54">
            <v>1554.6089999999999</v>
          </cell>
          <cell r="U54">
            <v>2316.8230800000001</v>
          </cell>
          <cell r="V54">
            <v>4013.9</v>
          </cell>
          <cell r="W54">
            <v>90226.332079999993</v>
          </cell>
          <cell r="Y54">
            <v>80391</v>
          </cell>
          <cell r="AA54">
            <v>200</v>
          </cell>
          <cell r="AB54">
            <v>1800</v>
          </cell>
          <cell r="AC54">
            <v>224</v>
          </cell>
          <cell r="AE54">
            <v>2224</v>
          </cell>
          <cell r="AF54">
            <v>86052.332079999993</v>
          </cell>
        </row>
        <row r="55">
          <cell r="C55" t="str">
            <v>BITS-646</v>
          </cell>
          <cell r="E55" t="str">
            <v>Vijay Kumar Sundara</v>
          </cell>
          <cell r="F55" t="str">
            <v>HYD STP</v>
          </cell>
          <cell r="G55">
            <v>90000</v>
          </cell>
          <cell r="H55">
            <v>80278</v>
          </cell>
          <cell r="I55">
            <v>30</v>
          </cell>
          <cell r="J55">
            <v>30</v>
          </cell>
          <cell r="L55">
            <v>30</v>
          </cell>
          <cell r="M55">
            <v>48166.8</v>
          </cell>
          <cell r="N55">
            <v>19266.72</v>
          </cell>
          <cell r="O55">
            <v>2083</v>
          </cell>
          <cell r="P55">
            <v>2083</v>
          </cell>
          <cell r="Q55">
            <v>8791.4799999999959</v>
          </cell>
          <cell r="R55">
            <v>80391</v>
          </cell>
          <cell r="S55">
            <v>1950</v>
          </cell>
          <cell r="T55">
            <v>1554.6089999999999</v>
          </cell>
          <cell r="U55">
            <v>2316.8230800000001</v>
          </cell>
          <cell r="V55">
            <v>4013.9</v>
          </cell>
          <cell r="W55">
            <v>90226.332079999993</v>
          </cell>
          <cell r="Y55">
            <v>80391</v>
          </cell>
          <cell r="AA55">
            <v>200</v>
          </cell>
          <cell r="AB55">
            <v>1800</v>
          </cell>
          <cell r="AC55">
            <v>224</v>
          </cell>
          <cell r="AE55">
            <v>2224</v>
          </cell>
          <cell r="AF55">
            <v>86052.332079999993</v>
          </cell>
        </row>
        <row r="56">
          <cell r="C56" t="str">
            <v>BITS-650</v>
          </cell>
          <cell r="E56" t="str">
            <v>Bhaskar Idagottu</v>
          </cell>
          <cell r="G56">
            <v>125000</v>
          </cell>
          <cell r="H56">
            <v>112719</v>
          </cell>
          <cell r="I56">
            <v>30</v>
          </cell>
          <cell r="J56">
            <v>26</v>
          </cell>
          <cell r="K56">
            <v>4</v>
          </cell>
          <cell r="L56">
            <v>27</v>
          </cell>
          <cell r="M56">
            <v>60868.26</v>
          </cell>
          <cell r="N56">
            <v>24347.304000000004</v>
          </cell>
          <cell r="O56">
            <v>1875</v>
          </cell>
          <cell r="P56">
            <v>1875</v>
          </cell>
          <cell r="Q56">
            <v>12594.535999999993</v>
          </cell>
          <cell r="R56">
            <v>101560.1</v>
          </cell>
          <cell r="T56">
            <v>1554.6089999999999</v>
          </cell>
          <cell r="U56">
            <v>2927.7633059999998</v>
          </cell>
          <cell r="V56">
            <v>5072.3550000000005</v>
          </cell>
          <cell r="W56">
            <v>111114.82730599999</v>
          </cell>
          <cell r="Y56">
            <v>101560.1</v>
          </cell>
          <cell r="AA56">
            <v>200</v>
          </cell>
          <cell r="AC56">
            <v>283</v>
          </cell>
          <cell r="AE56">
            <v>483</v>
          </cell>
          <cell r="AF56">
            <v>110631.72730599999</v>
          </cell>
        </row>
        <row r="57">
          <cell r="C57" t="str">
            <v>BITS-652</v>
          </cell>
          <cell r="E57" t="str">
            <v>Shaikh Mohammed Sartaj</v>
          </cell>
          <cell r="F57" t="str">
            <v>PUNE SEZ 2</v>
          </cell>
          <cell r="G57">
            <v>90000</v>
          </cell>
          <cell r="H57">
            <v>80278</v>
          </cell>
          <cell r="I57">
            <v>30</v>
          </cell>
          <cell r="J57">
            <v>29</v>
          </cell>
          <cell r="K57">
            <v>1</v>
          </cell>
          <cell r="L57">
            <v>30</v>
          </cell>
          <cell r="M57">
            <v>48166.8</v>
          </cell>
          <cell r="N57">
            <v>19266.72</v>
          </cell>
          <cell r="O57">
            <v>2083</v>
          </cell>
          <cell r="P57">
            <v>2083</v>
          </cell>
          <cell r="Q57">
            <v>8791.4799999999959</v>
          </cell>
          <cell r="R57">
            <v>80391</v>
          </cell>
          <cell r="S57">
            <v>1950</v>
          </cell>
          <cell r="T57">
            <v>1554.6089999999999</v>
          </cell>
          <cell r="U57">
            <v>2316.8230800000001</v>
          </cell>
          <cell r="V57">
            <v>4013.9</v>
          </cell>
          <cell r="W57">
            <v>90226.332079999993</v>
          </cell>
          <cell r="Y57">
            <v>80391</v>
          </cell>
          <cell r="AA57">
            <v>200</v>
          </cell>
          <cell r="AB57">
            <v>1800</v>
          </cell>
          <cell r="AC57">
            <v>254</v>
          </cell>
          <cell r="AE57">
            <v>2254</v>
          </cell>
          <cell r="AF57">
            <v>86022.332079999993</v>
          </cell>
        </row>
        <row r="58">
          <cell r="C58" t="str">
            <v>BITS-654</v>
          </cell>
          <cell r="E58" t="str">
            <v>Dinesh Kumar Maran</v>
          </cell>
          <cell r="F58" t="str">
            <v>Chennai STP</v>
          </cell>
          <cell r="G58">
            <v>50000</v>
          </cell>
          <cell r="H58">
            <v>43202</v>
          </cell>
          <cell r="I58">
            <v>30</v>
          </cell>
          <cell r="J58">
            <v>29</v>
          </cell>
          <cell r="K58">
            <v>1</v>
          </cell>
          <cell r="L58">
            <v>30</v>
          </cell>
          <cell r="M58">
            <v>25921.200000000001</v>
          </cell>
          <cell r="N58">
            <v>10368.480000000001</v>
          </cell>
          <cell r="O58">
            <v>2083</v>
          </cell>
          <cell r="P58">
            <v>2083</v>
          </cell>
          <cell r="Q58">
            <v>2859.3199999999997</v>
          </cell>
          <cell r="R58">
            <v>43315</v>
          </cell>
          <cell r="S58">
            <v>1950</v>
          </cell>
          <cell r="T58">
            <v>1554.6089999999999</v>
          </cell>
          <cell r="U58">
            <v>1246.80972</v>
          </cell>
          <cell r="V58">
            <v>2160.1</v>
          </cell>
          <cell r="W58">
            <v>50226.518719999993</v>
          </cell>
          <cell r="Y58">
            <v>43315</v>
          </cell>
          <cell r="AA58">
            <v>200</v>
          </cell>
          <cell r="AB58">
            <v>1800</v>
          </cell>
          <cell r="AC58">
            <v>254</v>
          </cell>
          <cell r="AE58">
            <v>2254</v>
          </cell>
          <cell r="AF58">
            <v>46022.518719999993</v>
          </cell>
        </row>
        <row r="59">
          <cell r="C59" t="str">
            <v>BITS-656</v>
          </cell>
          <cell r="E59" t="str">
            <v>Ranjith Kumar Karanam</v>
          </cell>
          <cell r="F59" t="str">
            <v>HYD STP</v>
          </cell>
          <cell r="G59">
            <v>120000</v>
          </cell>
          <cell r="H59">
            <v>108085</v>
          </cell>
          <cell r="I59">
            <v>30</v>
          </cell>
          <cell r="J59">
            <v>29</v>
          </cell>
          <cell r="K59">
            <v>1</v>
          </cell>
          <cell r="L59">
            <v>30</v>
          </cell>
          <cell r="M59">
            <v>64851</v>
          </cell>
          <cell r="N59">
            <v>25940.400000000001</v>
          </cell>
          <cell r="O59">
            <v>2083</v>
          </cell>
          <cell r="P59">
            <v>2083</v>
          </cell>
          <cell r="Q59">
            <v>13240.600000000006</v>
          </cell>
          <cell r="R59">
            <v>108198</v>
          </cell>
          <cell r="S59">
            <v>1950</v>
          </cell>
          <cell r="T59">
            <v>1554.6089999999999</v>
          </cell>
          <cell r="U59">
            <v>3119.3330999999998</v>
          </cell>
          <cell r="V59">
            <v>5404.25</v>
          </cell>
          <cell r="W59">
            <v>120226.1921</v>
          </cell>
          <cell r="Y59">
            <v>108198</v>
          </cell>
          <cell r="AA59">
            <v>200</v>
          </cell>
          <cell r="AB59">
            <v>1800</v>
          </cell>
          <cell r="AC59">
            <v>254</v>
          </cell>
          <cell r="AE59">
            <v>2254</v>
          </cell>
          <cell r="AF59">
            <v>116022.1921</v>
          </cell>
        </row>
        <row r="60">
          <cell r="C60" t="str">
            <v>BITS-658</v>
          </cell>
          <cell r="E60" t="str">
            <v>Anjali Dubey</v>
          </cell>
          <cell r="F60" t="str">
            <v>PUNE ASC SEZ</v>
          </cell>
          <cell r="G60">
            <v>67000</v>
          </cell>
          <cell r="H60">
            <v>58959</v>
          </cell>
          <cell r="I60">
            <v>30</v>
          </cell>
          <cell r="J60">
            <v>27</v>
          </cell>
          <cell r="K60">
            <v>3</v>
          </cell>
          <cell r="L60">
            <v>28</v>
          </cell>
          <cell r="M60">
            <v>33017.040000000001</v>
          </cell>
          <cell r="N60">
            <v>13206.816000000001</v>
          </cell>
          <cell r="O60">
            <v>1944</v>
          </cell>
          <cell r="P60">
            <v>1944</v>
          </cell>
          <cell r="Q60">
            <v>5029.5440000000017</v>
          </cell>
          <cell r="R60">
            <v>55141.4</v>
          </cell>
          <cell r="S60">
            <v>1950</v>
          </cell>
          <cell r="T60">
            <v>1554.6089999999999</v>
          </cell>
          <cell r="U60">
            <v>1588.1196239999999</v>
          </cell>
          <cell r="V60">
            <v>2751.42</v>
          </cell>
          <cell r="W60">
            <v>62985.548623999995</v>
          </cell>
          <cell r="Y60">
            <v>55141.4</v>
          </cell>
          <cell r="AA60">
            <v>200</v>
          </cell>
          <cell r="AB60">
            <v>1800</v>
          </cell>
          <cell r="AC60">
            <v>254</v>
          </cell>
          <cell r="AE60">
            <v>2254</v>
          </cell>
          <cell r="AF60">
            <v>58781.148623999994</v>
          </cell>
        </row>
        <row r="61">
          <cell r="C61" t="str">
            <v>BITS-659</v>
          </cell>
          <cell r="E61" t="str">
            <v>Manzoor Ahamed</v>
          </cell>
          <cell r="F61" t="str">
            <v>BNG STP</v>
          </cell>
          <cell r="G61">
            <v>245000</v>
          </cell>
          <cell r="H61">
            <v>223948</v>
          </cell>
          <cell r="I61">
            <v>30</v>
          </cell>
          <cell r="J61">
            <v>30</v>
          </cell>
          <cell r="L61">
            <v>30</v>
          </cell>
          <cell r="M61">
            <v>134368.79999999999</v>
          </cell>
          <cell r="N61">
            <v>53747.519999999997</v>
          </cell>
          <cell r="O61">
            <v>2083</v>
          </cell>
          <cell r="P61">
            <v>2083</v>
          </cell>
          <cell r="Q61">
            <v>31778.680000000022</v>
          </cell>
          <cell r="R61">
            <v>224061</v>
          </cell>
          <cell r="S61">
            <v>1950</v>
          </cell>
          <cell r="T61">
            <v>1554.6089999999999</v>
          </cell>
          <cell r="U61">
            <v>6463.1392799999985</v>
          </cell>
          <cell r="V61">
            <v>11197.4</v>
          </cell>
          <cell r="W61">
            <v>245226.14827999999</v>
          </cell>
          <cell r="Y61">
            <v>224061</v>
          </cell>
          <cell r="AA61">
            <v>200</v>
          </cell>
          <cell r="AB61">
            <v>1800</v>
          </cell>
          <cell r="AC61">
            <v>286</v>
          </cell>
          <cell r="AE61">
            <v>2286</v>
          </cell>
          <cell r="AF61">
            <v>240990.14827999999</v>
          </cell>
        </row>
        <row r="62">
          <cell r="C62" t="str">
            <v>BITS-660</v>
          </cell>
          <cell r="E62" t="str">
            <v>Moin Ahemad Jahur Ahemad Kumarkiri</v>
          </cell>
          <cell r="F62" t="str">
            <v>PUNE SEZ 2</v>
          </cell>
          <cell r="G62">
            <v>158000</v>
          </cell>
          <cell r="H62">
            <v>143307</v>
          </cell>
          <cell r="I62">
            <v>30</v>
          </cell>
          <cell r="J62">
            <v>30</v>
          </cell>
          <cell r="L62">
            <v>30</v>
          </cell>
          <cell r="M62">
            <v>85984.2</v>
          </cell>
          <cell r="N62">
            <v>34393.68</v>
          </cell>
          <cell r="O62">
            <v>2083</v>
          </cell>
          <cell r="P62">
            <v>2083</v>
          </cell>
          <cell r="Q62">
            <v>18876.119999999995</v>
          </cell>
          <cell r="R62">
            <v>143420</v>
          </cell>
          <cell r="S62">
            <v>1950</v>
          </cell>
          <cell r="T62">
            <v>1554.6089999999999</v>
          </cell>
          <cell r="U62">
            <v>4135.8400199999996</v>
          </cell>
          <cell r="V62">
            <v>7165.3499999999995</v>
          </cell>
          <cell r="W62">
            <v>158225.79902000001</v>
          </cell>
          <cell r="Y62">
            <v>143420</v>
          </cell>
          <cell r="AA62">
            <v>200</v>
          </cell>
          <cell r="AB62">
            <v>1800</v>
          </cell>
          <cell r="AC62">
            <v>254</v>
          </cell>
          <cell r="AE62">
            <v>2254</v>
          </cell>
          <cell r="AF62">
            <v>154021.79902000001</v>
          </cell>
        </row>
        <row r="63">
          <cell r="C63" t="str">
            <v>BITS-661</v>
          </cell>
          <cell r="E63" t="str">
            <v>Hemanth Mishra</v>
          </cell>
          <cell r="F63" t="str">
            <v>PUNE SEZ 1</v>
          </cell>
          <cell r="G63">
            <v>110000</v>
          </cell>
          <cell r="H63">
            <v>98816</v>
          </cell>
          <cell r="I63">
            <v>30</v>
          </cell>
          <cell r="J63">
            <v>29</v>
          </cell>
          <cell r="K63">
            <v>1</v>
          </cell>
          <cell r="L63">
            <v>30</v>
          </cell>
          <cell r="M63">
            <v>59289.599999999999</v>
          </cell>
          <cell r="N63">
            <v>23715.84</v>
          </cell>
          <cell r="O63">
            <v>2083</v>
          </cell>
          <cell r="P63">
            <v>2083</v>
          </cell>
          <cell r="Q63">
            <v>11757.559999999998</v>
          </cell>
          <cell r="R63">
            <v>98929</v>
          </cell>
          <cell r="S63">
            <v>1950</v>
          </cell>
          <cell r="T63">
            <v>1554.6089999999999</v>
          </cell>
          <cell r="U63">
            <v>2851.8297599999996</v>
          </cell>
          <cell r="V63">
            <v>4940.8</v>
          </cell>
          <cell r="W63">
            <v>110226.23875999999</v>
          </cell>
          <cell r="Y63">
            <v>98929</v>
          </cell>
          <cell r="AA63">
            <v>200</v>
          </cell>
          <cell r="AB63">
            <v>1800</v>
          </cell>
          <cell r="AC63">
            <v>254</v>
          </cell>
          <cell r="AE63">
            <v>2254</v>
          </cell>
          <cell r="AF63">
            <v>106022.23875999999</v>
          </cell>
        </row>
        <row r="64">
          <cell r="C64" t="str">
            <v>BITS-663</v>
          </cell>
          <cell r="E64" t="str">
            <v>FAZALAHMED IRKAL 22-4-2022</v>
          </cell>
          <cell r="F64" t="str">
            <v>PUNE SEZ 1</v>
          </cell>
          <cell r="G64">
            <v>68000</v>
          </cell>
          <cell r="H64">
            <v>59886</v>
          </cell>
          <cell r="I64">
            <v>30</v>
          </cell>
          <cell r="J64">
            <v>22</v>
          </cell>
          <cell r="L64">
            <v>22</v>
          </cell>
          <cell r="M64">
            <v>26349.84</v>
          </cell>
          <cell r="N64">
            <v>10539.936000000002</v>
          </cell>
          <cell r="O64">
            <v>1528</v>
          </cell>
          <cell r="P64">
            <v>1528</v>
          </cell>
          <cell r="Q64">
            <v>4083.6240000000034</v>
          </cell>
          <cell r="R64">
            <v>44029.4</v>
          </cell>
          <cell r="S64">
            <v>1950</v>
          </cell>
          <cell r="T64">
            <v>1554.6089999999999</v>
          </cell>
          <cell r="U64">
            <v>1267.4273039999998</v>
          </cell>
          <cell r="V64">
            <v>2195.8200000000002</v>
          </cell>
          <cell r="W64">
            <v>50997.256303999995</v>
          </cell>
          <cell r="Y64">
            <v>44029.4</v>
          </cell>
          <cell r="AA64">
            <v>200</v>
          </cell>
          <cell r="AB64">
            <v>1800</v>
          </cell>
          <cell r="AC64">
            <v>254</v>
          </cell>
          <cell r="AE64">
            <v>2254</v>
          </cell>
          <cell r="AF64">
            <v>46792.856303999994</v>
          </cell>
        </row>
        <row r="65">
          <cell r="C65" t="str">
            <v>BITS-664</v>
          </cell>
          <cell r="E65" t="str">
            <v>Savana Saritha Dora</v>
          </cell>
          <cell r="F65" t="str">
            <v>PUNE SEZ 2</v>
          </cell>
          <cell r="G65">
            <v>63000</v>
          </cell>
          <cell r="H65">
            <v>55251</v>
          </cell>
          <cell r="I65">
            <v>30</v>
          </cell>
          <cell r="J65">
            <v>29</v>
          </cell>
          <cell r="K65">
            <v>1</v>
          </cell>
          <cell r="L65">
            <v>30</v>
          </cell>
          <cell r="M65">
            <v>33150.6</v>
          </cell>
          <cell r="N65">
            <v>13260.24</v>
          </cell>
          <cell r="O65">
            <v>2083</v>
          </cell>
          <cell r="P65">
            <v>2083</v>
          </cell>
          <cell r="Q65">
            <v>4787.1600000000035</v>
          </cell>
          <cell r="R65">
            <v>55364</v>
          </cell>
          <cell r="S65">
            <v>1950</v>
          </cell>
          <cell r="T65">
            <v>1554.6089999999999</v>
          </cell>
          <cell r="U65">
            <v>1594.5438599999998</v>
          </cell>
          <cell r="V65">
            <v>2762.5499999999997</v>
          </cell>
          <cell r="W65">
            <v>63225.702859999998</v>
          </cell>
          <cell r="Y65">
            <v>55364</v>
          </cell>
          <cell r="AA65">
            <v>200</v>
          </cell>
          <cell r="AB65">
            <v>1800</v>
          </cell>
          <cell r="AC65">
            <v>286</v>
          </cell>
          <cell r="AE65">
            <v>2286</v>
          </cell>
          <cell r="AF65">
            <v>58989.702859999998</v>
          </cell>
        </row>
        <row r="66">
          <cell r="C66" t="str">
            <v>BITS-667</v>
          </cell>
          <cell r="E66" t="str">
            <v>SUKRUTH YELLAMBOTLA</v>
          </cell>
          <cell r="F66" t="str">
            <v>PUNE SEZ 1</v>
          </cell>
          <cell r="G66">
            <v>42000</v>
          </cell>
          <cell r="H66">
            <v>35786</v>
          </cell>
          <cell r="I66">
            <v>30</v>
          </cell>
          <cell r="J66">
            <v>29</v>
          </cell>
          <cell r="K66">
            <v>1</v>
          </cell>
          <cell r="L66">
            <v>30</v>
          </cell>
          <cell r="M66">
            <v>21471.599999999999</v>
          </cell>
          <cell r="N66">
            <v>8588.64</v>
          </cell>
          <cell r="O66">
            <v>2083</v>
          </cell>
          <cell r="P66">
            <v>2083</v>
          </cell>
          <cell r="Q66">
            <v>1672.760000000002</v>
          </cell>
          <cell r="R66">
            <v>35899</v>
          </cell>
          <cell r="S66">
            <v>1950</v>
          </cell>
          <cell r="T66">
            <v>1554.6089999999999</v>
          </cell>
          <cell r="U66">
            <v>1032.7839599999998</v>
          </cell>
          <cell r="V66">
            <v>1789.3</v>
          </cell>
          <cell r="W66">
            <v>42225.69296</v>
          </cell>
          <cell r="Y66">
            <v>35899</v>
          </cell>
          <cell r="AA66">
            <v>200</v>
          </cell>
          <cell r="AB66">
            <v>1800</v>
          </cell>
          <cell r="AC66">
            <v>252</v>
          </cell>
          <cell r="AE66">
            <v>2252</v>
          </cell>
          <cell r="AF66">
            <v>38023.69296</v>
          </cell>
        </row>
        <row r="67">
          <cell r="C67" t="str">
            <v>BITS-668</v>
          </cell>
          <cell r="E67" t="str">
            <v xml:space="preserve">Mandar Shetty </v>
          </cell>
          <cell r="F67" t="str">
            <v>PUNE SEZ 2</v>
          </cell>
          <cell r="G67">
            <v>116000</v>
          </cell>
          <cell r="H67">
            <v>104377</v>
          </cell>
          <cell r="I67">
            <v>30</v>
          </cell>
          <cell r="J67">
            <v>29</v>
          </cell>
          <cell r="K67">
            <v>1</v>
          </cell>
          <cell r="L67">
            <v>30</v>
          </cell>
          <cell r="M67">
            <v>62626.2</v>
          </cell>
          <cell r="N67">
            <v>25050.48</v>
          </cell>
          <cell r="O67">
            <v>2083</v>
          </cell>
          <cell r="P67">
            <v>2083</v>
          </cell>
          <cell r="Q67">
            <v>12647.320000000007</v>
          </cell>
          <cell r="R67">
            <v>104490</v>
          </cell>
          <cell r="S67">
            <v>1950</v>
          </cell>
          <cell r="T67">
            <v>1554.6089999999999</v>
          </cell>
          <cell r="U67">
            <v>3012.3202199999996</v>
          </cell>
          <cell r="V67">
            <v>5218.8499999999995</v>
          </cell>
          <cell r="W67">
            <v>116225.77922</v>
          </cell>
          <cell r="Y67">
            <v>104490</v>
          </cell>
          <cell r="AA67">
            <v>200</v>
          </cell>
          <cell r="AB67">
            <v>1800</v>
          </cell>
          <cell r="AC67">
            <v>283</v>
          </cell>
          <cell r="AE67">
            <v>2283</v>
          </cell>
          <cell r="AF67">
            <v>111992.77922</v>
          </cell>
        </row>
        <row r="68">
          <cell r="C68" t="str">
            <v>BITS-671</v>
          </cell>
          <cell r="E68" t="str">
            <v>Ramakrishna J Reddy</v>
          </cell>
          <cell r="F68" t="str">
            <v>BNG STP</v>
          </cell>
          <cell r="G68">
            <v>210000</v>
          </cell>
          <cell r="H68">
            <v>191506</v>
          </cell>
          <cell r="I68">
            <v>30</v>
          </cell>
          <cell r="J68">
            <v>27</v>
          </cell>
          <cell r="K68">
            <v>3</v>
          </cell>
          <cell r="L68">
            <v>28</v>
          </cell>
          <cell r="M68">
            <v>107243.36</v>
          </cell>
          <cell r="N68">
            <v>42897.344000000005</v>
          </cell>
          <cell r="O68">
            <v>1944</v>
          </cell>
          <cell r="P68">
            <v>1944</v>
          </cell>
          <cell r="Q68">
            <v>24823.229333333322</v>
          </cell>
          <cell r="R68">
            <v>178851.93333333332</v>
          </cell>
          <cell r="S68">
            <v>1950</v>
          </cell>
          <cell r="T68">
            <v>1554.6089999999999</v>
          </cell>
          <cell r="U68">
            <v>5158.405616</v>
          </cell>
          <cell r="V68">
            <v>8936.9466666666667</v>
          </cell>
          <cell r="W68">
            <v>196451.89461599998</v>
          </cell>
          <cell r="Y68">
            <v>178851.93333333332</v>
          </cell>
          <cell r="AA68">
            <v>200</v>
          </cell>
          <cell r="AB68">
            <v>1800</v>
          </cell>
          <cell r="AC68">
            <v>252</v>
          </cell>
          <cell r="AE68">
            <v>2252</v>
          </cell>
          <cell r="AF68">
            <v>192249.96128266666</v>
          </cell>
        </row>
        <row r="69">
          <cell r="C69" t="str">
            <v>BITS-672</v>
          </cell>
          <cell r="E69" t="str">
            <v xml:space="preserve">Vivek Dongre </v>
          </cell>
          <cell r="F69" t="str">
            <v>PUNE SEZ 2</v>
          </cell>
          <cell r="G69">
            <v>75000</v>
          </cell>
          <cell r="H69">
            <v>66374</v>
          </cell>
          <cell r="I69">
            <v>30</v>
          </cell>
          <cell r="J69">
            <v>30</v>
          </cell>
          <cell r="L69">
            <v>30</v>
          </cell>
          <cell r="M69">
            <v>39824.400000000001</v>
          </cell>
          <cell r="N69">
            <v>15929.760000000002</v>
          </cell>
          <cell r="O69">
            <v>2083</v>
          </cell>
          <cell r="P69">
            <v>2083</v>
          </cell>
          <cell r="Q69">
            <v>6566.8399999999965</v>
          </cell>
          <cell r="R69">
            <v>66487</v>
          </cell>
          <cell r="S69">
            <v>1950</v>
          </cell>
          <cell r="T69">
            <v>1554.6089999999999</v>
          </cell>
          <cell r="U69">
            <v>1915.5536400000001</v>
          </cell>
          <cell r="V69">
            <v>3318.7000000000003</v>
          </cell>
          <cell r="W69">
            <v>75225.862639999992</v>
          </cell>
          <cell r="Y69">
            <v>66487</v>
          </cell>
          <cell r="AA69">
            <v>200</v>
          </cell>
          <cell r="AB69">
            <v>1800</v>
          </cell>
          <cell r="AC69">
            <v>252</v>
          </cell>
          <cell r="AE69">
            <v>2252</v>
          </cell>
          <cell r="AF69">
            <v>71023.862639999992</v>
          </cell>
        </row>
        <row r="70">
          <cell r="C70" t="str">
            <v>BITS-674</v>
          </cell>
          <cell r="E70" t="str">
            <v>Amit Chalwadi</v>
          </cell>
          <cell r="F70" t="str">
            <v>PUNE SEZ 2</v>
          </cell>
          <cell r="G70">
            <v>90000</v>
          </cell>
          <cell r="H70">
            <v>80278</v>
          </cell>
          <cell r="I70">
            <v>30</v>
          </cell>
          <cell r="J70">
            <v>30</v>
          </cell>
          <cell r="L70">
            <v>30</v>
          </cell>
          <cell r="M70">
            <v>48166.8</v>
          </cell>
          <cell r="N70">
            <v>19266.72</v>
          </cell>
          <cell r="O70">
            <v>2083</v>
          </cell>
          <cell r="P70">
            <v>2083</v>
          </cell>
          <cell r="Q70">
            <v>8791.4799999999959</v>
          </cell>
          <cell r="R70">
            <v>80391</v>
          </cell>
          <cell r="S70">
            <v>1950</v>
          </cell>
          <cell r="T70">
            <v>1554.6089999999999</v>
          </cell>
          <cell r="U70">
            <v>2316.8230800000001</v>
          </cell>
          <cell r="V70">
            <v>4013.9</v>
          </cell>
          <cell r="W70">
            <v>90226.332079999993</v>
          </cell>
          <cell r="Y70">
            <v>80391</v>
          </cell>
          <cell r="AA70">
            <v>200</v>
          </cell>
          <cell r="AB70">
            <v>1800</v>
          </cell>
          <cell r="AC70">
            <v>283</v>
          </cell>
          <cell r="AE70">
            <v>2283</v>
          </cell>
          <cell r="AF70">
            <v>85993.332079999993</v>
          </cell>
        </row>
        <row r="71">
          <cell r="C71" t="str">
            <v>BITS-675</v>
          </cell>
          <cell r="E71" t="str">
            <v xml:space="preserve">Nikhila Kaveri </v>
          </cell>
          <cell r="F71" t="str">
            <v>HYD SEZ</v>
          </cell>
          <cell r="G71">
            <v>120000</v>
          </cell>
          <cell r="H71">
            <v>108085</v>
          </cell>
          <cell r="I71">
            <v>30</v>
          </cell>
          <cell r="J71">
            <v>30</v>
          </cell>
          <cell r="L71">
            <v>30</v>
          </cell>
          <cell r="M71">
            <v>64851</v>
          </cell>
          <cell r="N71">
            <v>25940.400000000001</v>
          </cell>
          <cell r="O71">
            <v>2083</v>
          </cell>
          <cell r="P71">
            <v>2083</v>
          </cell>
          <cell r="Q71">
            <v>13240.600000000006</v>
          </cell>
          <cell r="R71">
            <v>108198</v>
          </cell>
          <cell r="S71">
            <v>1950</v>
          </cell>
          <cell r="T71">
            <v>1554.6089999999999</v>
          </cell>
          <cell r="U71">
            <v>3119.3330999999998</v>
          </cell>
          <cell r="V71">
            <v>5404.25</v>
          </cell>
          <cell r="W71">
            <v>120226.1921</v>
          </cell>
          <cell r="Y71">
            <v>108198</v>
          </cell>
          <cell r="AA71">
            <v>200</v>
          </cell>
          <cell r="AB71">
            <v>1800</v>
          </cell>
          <cell r="AC71">
            <v>252</v>
          </cell>
          <cell r="AE71">
            <v>2252</v>
          </cell>
          <cell r="AF71">
            <v>116024.1921</v>
          </cell>
        </row>
        <row r="72">
          <cell r="C72" t="str">
            <v>BITS-677</v>
          </cell>
          <cell r="E72" t="str">
            <v>Ashwini Nanaware</v>
          </cell>
          <cell r="F72" t="str">
            <v>PUNE SEZ 2</v>
          </cell>
          <cell r="G72">
            <v>62000</v>
          </cell>
          <cell r="H72">
            <v>54324</v>
          </cell>
          <cell r="I72">
            <v>30</v>
          </cell>
          <cell r="J72">
            <v>29</v>
          </cell>
          <cell r="K72">
            <v>1</v>
          </cell>
          <cell r="L72">
            <v>30</v>
          </cell>
          <cell r="M72">
            <v>32594.400000000001</v>
          </cell>
          <cell r="N72">
            <v>13037.760000000002</v>
          </cell>
          <cell r="O72">
            <v>2083</v>
          </cell>
          <cell r="P72">
            <v>2083</v>
          </cell>
          <cell r="Q72">
            <v>4638.8399999999965</v>
          </cell>
          <cell r="R72">
            <v>54437</v>
          </cell>
          <cell r="S72">
            <v>1950</v>
          </cell>
          <cell r="T72">
            <v>1554.6089999999999</v>
          </cell>
          <cell r="U72">
            <v>1567.7906399999999</v>
          </cell>
          <cell r="V72">
            <v>2716.2000000000003</v>
          </cell>
          <cell r="W72">
            <v>62225.599639999993</v>
          </cell>
          <cell r="Y72">
            <v>54437</v>
          </cell>
          <cell r="AA72">
            <v>200</v>
          </cell>
          <cell r="AB72">
            <v>1800</v>
          </cell>
          <cell r="AC72">
            <v>283</v>
          </cell>
          <cell r="AE72">
            <v>2283</v>
          </cell>
          <cell r="AF72">
            <v>57992.599639999993</v>
          </cell>
        </row>
        <row r="73">
          <cell r="C73" t="str">
            <v>BITS-678</v>
          </cell>
          <cell r="E73" t="str">
            <v>Kaushal Sushil Sharma</v>
          </cell>
          <cell r="F73" t="str">
            <v>PUNE SEZ 2</v>
          </cell>
          <cell r="G73">
            <v>70000</v>
          </cell>
          <cell r="H73">
            <v>61740</v>
          </cell>
          <cell r="I73">
            <v>30</v>
          </cell>
          <cell r="J73">
            <v>30</v>
          </cell>
          <cell r="L73">
            <v>30</v>
          </cell>
          <cell r="M73">
            <v>37044</v>
          </cell>
          <cell r="N73">
            <v>14817.6</v>
          </cell>
          <cell r="O73">
            <v>2083</v>
          </cell>
          <cell r="P73">
            <v>2083</v>
          </cell>
          <cell r="Q73">
            <v>5825.4000000000015</v>
          </cell>
          <cell r="R73">
            <v>61853</v>
          </cell>
          <cell r="S73">
            <v>1950</v>
          </cell>
          <cell r="T73">
            <v>1554.6089999999999</v>
          </cell>
          <cell r="U73">
            <v>1781.8163999999999</v>
          </cell>
          <cell r="V73">
            <v>3087</v>
          </cell>
          <cell r="W73">
            <v>70226.425400000007</v>
          </cell>
          <cell r="Y73">
            <v>61853</v>
          </cell>
          <cell r="AA73">
            <v>200</v>
          </cell>
          <cell r="AB73">
            <v>1800</v>
          </cell>
          <cell r="AC73">
            <v>283</v>
          </cell>
          <cell r="AE73">
            <v>2283</v>
          </cell>
          <cell r="AF73">
            <v>65993.425400000007</v>
          </cell>
        </row>
        <row r="74">
          <cell r="C74" t="str">
            <v>BITS-679</v>
          </cell>
          <cell r="E74" t="str">
            <v>Praveen Kumar Tandra</v>
          </cell>
          <cell r="F74" t="str">
            <v>BNG STP</v>
          </cell>
          <cell r="G74">
            <v>110000</v>
          </cell>
          <cell r="H74">
            <v>98816</v>
          </cell>
          <cell r="I74">
            <v>30</v>
          </cell>
          <cell r="J74">
            <v>30</v>
          </cell>
          <cell r="L74">
            <v>30</v>
          </cell>
          <cell r="M74">
            <v>59289.599999999999</v>
          </cell>
          <cell r="N74">
            <v>23715.84</v>
          </cell>
          <cell r="O74">
            <v>2083</v>
          </cell>
          <cell r="P74">
            <v>2083</v>
          </cell>
          <cell r="Q74">
            <v>11757.559999999998</v>
          </cell>
          <cell r="R74">
            <v>98929</v>
          </cell>
          <cell r="S74">
            <v>1950</v>
          </cell>
          <cell r="T74">
            <v>1554.6089999999999</v>
          </cell>
          <cell r="U74">
            <v>2851.8297599999996</v>
          </cell>
          <cell r="V74">
            <v>4940.8</v>
          </cell>
          <cell r="W74">
            <v>110226.23875999999</v>
          </cell>
          <cell r="Y74">
            <v>98929</v>
          </cell>
          <cell r="AA74">
            <v>200</v>
          </cell>
          <cell r="AB74">
            <v>1800</v>
          </cell>
          <cell r="AC74">
            <v>283</v>
          </cell>
          <cell r="AE74">
            <v>2283</v>
          </cell>
          <cell r="AF74">
            <v>105993.23875999999</v>
          </cell>
        </row>
        <row r="75">
          <cell r="C75" t="str">
            <v>BITS-680</v>
          </cell>
          <cell r="E75" t="str">
            <v>Arvind Akhare</v>
          </cell>
          <cell r="F75" t="str">
            <v>PUNE SEZ 2</v>
          </cell>
          <cell r="G75">
            <v>95000</v>
          </cell>
          <cell r="H75">
            <v>84912</v>
          </cell>
          <cell r="I75">
            <v>30</v>
          </cell>
          <cell r="J75">
            <v>27</v>
          </cell>
          <cell r="K75">
            <v>3</v>
          </cell>
          <cell r="L75">
            <v>28</v>
          </cell>
          <cell r="M75">
            <v>47550.720000000001</v>
          </cell>
          <cell r="N75">
            <v>19020.288</v>
          </cell>
          <cell r="O75">
            <v>1944</v>
          </cell>
          <cell r="P75">
            <v>1944</v>
          </cell>
          <cell r="Q75">
            <v>8905.1919999999955</v>
          </cell>
          <cell r="R75">
            <v>79364.2</v>
          </cell>
          <cell r="S75">
            <v>1950</v>
          </cell>
          <cell r="T75">
            <v>1554.6089999999999</v>
          </cell>
          <cell r="U75">
            <v>2287.1896320000001</v>
          </cell>
          <cell r="V75">
            <v>3962.56</v>
          </cell>
          <cell r="W75">
            <v>89118.558631999986</v>
          </cell>
          <cell r="Y75">
            <v>79364.2</v>
          </cell>
          <cell r="AA75">
            <v>200</v>
          </cell>
          <cell r="AB75">
            <v>1800</v>
          </cell>
          <cell r="AC75">
            <v>283</v>
          </cell>
          <cell r="AE75">
            <v>2283</v>
          </cell>
          <cell r="AF75">
            <v>84885.358631999989</v>
          </cell>
        </row>
        <row r="76">
          <cell r="C76" t="str">
            <v>BITS-681</v>
          </cell>
          <cell r="E76" t="str">
            <v>Pallavi Rishikesh Naik</v>
          </cell>
          <cell r="F76" t="str">
            <v>PUNE SEZ 2</v>
          </cell>
          <cell r="G76">
            <v>80000</v>
          </cell>
          <cell r="H76">
            <v>71009</v>
          </cell>
          <cell r="I76">
            <v>30</v>
          </cell>
          <cell r="J76">
            <v>30</v>
          </cell>
          <cell r="L76">
            <v>30</v>
          </cell>
          <cell r="M76">
            <v>42605.4</v>
          </cell>
          <cell r="N76">
            <v>17042.16</v>
          </cell>
          <cell r="O76">
            <v>2083</v>
          </cell>
          <cell r="P76">
            <v>2083</v>
          </cell>
          <cell r="Q76">
            <v>7308.4400000000023</v>
          </cell>
          <cell r="R76">
            <v>71122</v>
          </cell>
          <cell r="S76">
            <v>1950</v>
          </cell>
          <cell r="T76">
            <v>1554.6089999999999</v>
          </cell>
          <cell r="U76">
            <v>2049.3197399999999</v>
          </cell>
          <cell r="V76">
            <v>3550.4500000000003</v>
          </cell>
          <cell r="W76">
            <v>80226.37874</v>
          </cell>
          <cell r="Y76">
            <v>71122</v>
          </cell>
          <cell r="AA76">
            <v>200</v>
          </cell>
          <cell r="AB76">
            <v>1800</v>
          </cell>
          <cell r="AC76">
            <v>283</v>
          </cell>
          <cell r="AE76">
            <v>2283</v>
          </cell>
          <cell r="AF76">
            <v>75993.37874</v>
          </cell>
        </row>
        <row r="77">
          <cell r="C77" t="str">
            <v>BITS-682</v>
          </cell>
          <cell r="E77" t="str">
            <v>Ajay Singh</v>
          </cell>
          <cell r="F77" t="str">
            <v>PUNE SEZ 1</v>
          </cell>
          <cell r="G77">
            <v>142000</v>
          </cell>
          <cell r="H77">
            <v>128477</v>
          </cell>
          <cell r="I77">
            <v>30</v>
          </cell>
          <cell r="J77">
            <v>29</v>
          </cell>
          <cell r="K77">
            <v>1</v>
          </cell>
          <cell r="L77">
            <v>30</v>
          </cell>
          <cell r="M77">
            <v>77086.2</v>
          </cell>
          <cell r="N77">
            <v>30834.48</v>
          </cell>
          <cell r="O77">
            <v>2083</v>
          </cell>
          <cell r="P77">
            <v>2083</v>
          </cell>
          <cell r="Q77">
            <v>16503.320000000007</v>
          </cell>
          <cell r="R77">
            <v>128590</v>
          </cell>
          <cell r="S77">
            <v>1950</v>
          </cell>
          <cell r="T77">
            <v>1554.6089999999999</v>
          </cell>
          <cell r="U77">
            <v>3707.8462199999999</v>
          </cell>
          <cell r="V77">
            <v>6423.8499999999995</v>
          </cell>
          <cell r="W77">
            <v>142226.30522000001</v>
          </cell>
          <cell r="Y77">
            <v>128590</v>
          </cell>
          <cell r="AA77">
            <v>200</v>
          </cell>
          <cell r="AB77">
            <v>1800</v>
          </cell>
          <cell r="AC77">
            <v>283</v>
          </cell>
          <cell r="AE77">
            <v>2283</v>
          </cell>
          <cell r="AF77">
            <v>137993.30522000001</v>
          </cell>
        </row>
        <row r="78">
          <cell r="C78" t="str">
            <v>BITS-683</v>
          </cell>
          <cell r="E78" t="str">
            <v>TUSHAR UCHAGAONKAR</v>
          </cell>
          <cell r="F78" t="str">
            <v>PUNE ASC SEZ</v>
          </cell>
          <cell r="G78">
            <v>87000</v>
          </cell>
          <cell r="H78">
            <v>77497</v>
          </cell>
          <cell r="I78">
            <v>30</v>
          </cell>
          <cell r="J78">
            <v>29</v>
          </cell>
          <cell r="K78">
            <v>1</v>
          </cell>
          <cell r="L78">
            <v>30</v>
          </cell>
          <cell r="M78">
            <v>46498.2</v>
          </cell>
          <cell r="N78">
            <v>18599.28</v>
          </cell>
          <cell r="O78">
            <v>2083</v>
          </cell>
          <cell r="P78">
            <v>2083</v>
          </cell>
          <cell r="Q78">
            <v>8346.5200000000041</v>
          </cell>
          <cell r="R78">
            <v>77610</v>
          </cell>
          <cell r="S78">
            <v>1950</v>
          </cell>
          <cell r="T78">
            <v>1554.6089999999999</v>
          </cell>
          <cell r="U78">
            <v>2236.56342</v>
          </cell>
          <cell r="V78">
            <v>3874.85</v>
          </cell>
          <cell r="W78">
            <v>87226.022420000008</v>
          </cell>
          <cell r="Y78">
            <v>77610</v>
          </cell>
          <cell r="AA78">
            <v>200</v>
          </cell>
          <cell r="AB78">
            <v>1800</v>
          </cell>
          <cell r="AC78">
            <v>283</v>
          </cell>
          <cell r="AE78">
            <v>2283</v>
          </cell>
          <cell r="AF78">
            <v>82993.022420000008</v>
          </cell>
        </row>
        <row r="79">
          <cell r="C79" t="str">
            <v>BITS-684</v>
          </cell>
          <cell r="E79" t="str">
            <v>PRAVEEN M</v>
          </cell>
          <cell r="F79" t="str">
            <v>HYD STP</v>
          </cell>
          <cell r="G79">
            <v>155000</v>
          </cell>
          <cell r="H79">
            <v>140526</v>
          </cell>
          <cell r="I79">
            <v>30</v>
          </cell>
          <cell r="J79">
            <v>30</v>
          </cell>
          <cell r="L79">
            <v>30</v>
          </cell>
          <cell r="M79">
            <v>84315.6</v>
          </cell>
          <cell r="N79">
            <v>33726.240000000005</v>
          </cell>
          <cell r="O79">
            <v>2083</v>
          </cell>
          <cell r="P79">
            <v>2083</v>
          </cell>
          <cell r="Q79">
            <v>18431.159999999989</v>
          </cell>
          <cell r="R79">
            <v>140639</v>
          </cell>
          <cell r="S79">
            <v>1950</v>
          </cell>
          <cell r="T79">
            <v>1554.6089999999999</v>
          </cell>
          <cell r="U79">
            <v>4055.5803600000004</v>
          </cell>
          <cell r="V79">
            <v>7026.3</v>
          </cell>
          <cell r="W79">
            <v>155225.48936000001</v>
          </cell>
          <cell r="Y79">
            <v>140639</v>
          </cell>
          <cell r="AA79">
            <v>200</v>
          </cell>
          <cell r="AB79">
            <v>1800</v>
          </cell>
          <cell r="AC79">
            <v>283</v>
          </cell>
          <cell r="AE79">
            <v>2283</v>
          </cell>
          <cell r="AF79">
            <v>150992.48935999998</v>
          </cell>
        </row>
        <row r="80">
          <cell r="C80" t="str">
            <v>BITS-686</v>
          </cell>
          <cell r="E80" t="str">
            <v>Amit Kumar</v>
          </cell>
          <cell r="F80" t="str">
            <v>PUNE SEZ 2</v>
          </cell>
          <cell r="G80">
            <v>105000</v>
          </cell>
          <cell r="H80">
            <v>94181</v>
          </cell>
          <cell r="I80">
            <v>30</v>
          </cell>
          <cell r="J80">
            <v>29</v>
          </cell>
          <cell r="K80">
            <v>1</v>
          </cell>
          <cell r="L80">
            <v>30</v>
          </cell>
          <cell r="M80">
            <v>56508.6</v>
          </cell>
          <cell r="N80">
            <v>22603.440000000002</v>
          </cell>
          <cell r="O80">
            <v>2083</v>
          </cell>
          <cell r="P80">
            <v>2083</v>
          </cell>
          <cell r="Q80">
            <v>11015.959999999992</v>
          </cell>
          <cell r="R80">
            <v>94294</v>
          </cell>
          <cell r="S80">
            <v>1950</v>
          </cell>
          <cell r="T80">
            <v>1554.6089999999999</v>
          </cell>
          <cell r="U80">
            <v>2718.0636599999998</v>
          </cell>
          <cell r="V80">
            <v>4709.05</v>
          </cell>
          <cell r="W80">
            <v>105225.72266</v>
          </cell>
          <cell r="Y80">
            <v>94294</v>
          </cell>
          <cell r="AA80">
            <v>200</v>
          </cell>
          <cell r="AB80">
            <v>1800</v>
          </cell>
          <cell r="AC80">
            <v>283</v>
          </cell>
          <cell r="AE80">
            <v>2283</v>
          </cell>
          <cell r="AF80">
            <v>100992.72266</v>
          </cell>
        </row>
        <row r="81">
          <cell r="C81" t="str">
            <v>BITS-688</v>
          </cell>
          <cell r="E81" t="str">
            <v>Pranav Thakare</v>
          </cell>
          <cell r="F81" t="str">
            <v>PUNE SEZ 2</v>
          </cell>
          <cell r="G81">
            <v>85000</v>
          </cell>
          <cell r="H81">
            <v>75643</v>
          </cell>
          <cell r="I81">
            <v>30</v>
          </cell>
          <cell r="J81">
            <v>26</v>
          </cell>
          <cell r="K81">
            <v>4</v>
          </cell>
          <cell r="L81">
            <v>27</v>
          </cell>
          <cell r="M81">
            <v>40847.22</v>
          </cell>
          <cell r="N81">
            <v>16338.888000000001</v>
          </cell>
          <cell r="O81">
            <v>1875</v>
          </cell>
          <cell r="P81">
            <v>1875</v>
          </cell>
          <cell r="Q81">
            <v>7255.5919999999969</v>
          </cell>
          <cell r="R81">
            <v>68191.7</v>
          </cell>
          <cell r="S81">
            <v>1950</v>
          </cell>
          <cell r="T81">
            <v>1554.6089999999999</v>
          </cell>
          <cell r="U81">
            <v>1964.7512819999997</v>
          </cell>
          <cell r="V81">
            <v>3403.9349999999999</v>
          </cell>
          <cell r="W81">
            <v>77064.995281999989</v>
          </cell>
          <cell r="Y81">
            <v>68191.7</v>
          </cell>
          <cell r="AA81">
            <v>200</v>
          </cell>
          <cell r="AB81">
            <v>1800</v>
          </cell>
          <cell r="AC81">
            <v>283</v>
          </cell>
          <cell r="AE81">
            <v>2283</v>
          </cell>
          <cell r="AF81">
            <v>72832.295281999992</v>
          </cell>
        </row>
        <row r="82">
          <cell r="C82" t="str">
            <v>BITS-689</v>
          </cell>
          <cell r="E82" t="str">
            <v>Nagarjun KV</v>
          </cell>
          <cell r="F82" t="str">
            <v>BNG STP</v>
          </cell>
          <cell r="G82">
            <v>85000</v>
          </cell>
          <cell r="H82">
            <v>75643</v>
          </cell>
          <cell r="I82">
            <v>30</v>
          </cell>
          <cell r="J82">
            <v>30</v>
          </cell>
          <cell r="L82">
            <v>30</v>
          </cell>
          <cell r="M82">
            <v>45385.8</v>
          </cell>
          <cell r="N82">
            <v>18154.320000000003</v>
          </cell>
          <cell r="O82">
            <v>2083</v>
          </cell>
          <cell r="P82">
            <v>2083</v>
          </cell>
          <cell r="Q82">
            <v>8049.8799999999901</v>
          </cell>
          <cell r="R82">
            <v>75756</v>
          </cell>
          <cell r="S82">
            <v>1950</v>
          </cell>
          <cell r="T82">
            <v>1554.6089999999999</v>
          </cell>
          <cell r="U82">
            <v>2183.0569799999998</v>
          </cell>
          <cell r="V82">
            <v>3782.15</v>
          </cell>
          <cell r="W82">
            <v>85225.815979999985</v>
          </cell>
          <cell r="Y82">
            <v>75756</v>
          </cell>
          <cell r="AA82">
            <v>200</v>
          </cell>
          <cell r="AB82">
            <v>1800</v>
          </cell>
          <cell r="AC82">
            <v>283</v>
          </cell>
          <cell r="AE82">
            <v>2283</v>
          </cell>
          <cell r="AF82">
            <v>80992.815979999985</v>
          </cell>
        </row>
        <row r="83">
          <cell r="C83" t="str">
            <v>BITS-690</v>
          </cell>
          <cell r="E83" t="str">
            <v>Thaposh Ghosh</v>
          </cell>
          <cell r="F83" t="str">
            <v>HYD SEZ</v>
          </cell>
          <cell r="G83">
            <v>155000</v>
          </cell>
          <cell r="H83">
            <v>140526</v>
          </cell>
          <cell r="I83">
            <v>30</v>
          </cell>
          <cell r="J83">
            <v>30</v>
          </cell>
          <cell r="L83">
            <v>30</v>
          </cell>
          <cell r="M83">
            <v>84315.6</v>
          </cell>
          <cell r="N83">
            <v>33726.240000000005</v>
          </cell>
          <cell r="O83">
            <v>2083</v>
          </cell>
          <cell r="P83">
            <v>2083</v>
          </cell>
          <cell r="Q83">
            <v>18431.159999999989</v>
          </cell>
          <cell r="R83">
            <v>140639</v>
          </cell>
          <cell r="S83">
            <v>1950</v>
          </cell>
          <cell r="T83">
            <v>1554.6089999999999</v>
          </cell>
          <cell r="U83">
            <v>4055.5803600000004</v>
          </cell>
          <cell r="V83">
            <v>7026.3</v>
          </cell>
          <cell r="W83">
            <v>155225.48936000001</v>
          </cell>
          <cell r="Y83">
            <v>140639</v>
          </cell>
          <cell r="AA83">
            <v>200</v>
          </cell>
          <cell r="AB83">
            <v>1800</v>
          </cell>
          <cell r="AC83">
            <v>283</v>
          </cell>
          <cell r="AE83">
            <v>2283</v>
          </cell>
          <cell r="AF83">
            <v>150992.48935999998</v>
          </cell>
        </row>
        <row r="84">
          <cell r="C84" t="str">
            <v>BITS-691</v>
          </cell>
          <cell r="E84" t="str">
            <v xml:space="preserve">Boopathi Palani </v>
          </cell>
          <cell r="F84" t="str">
            <v>BNG STP</v>
          </cell>
          <cell r="G84">
            <v>85000</v>
          </cell>
          <cell r="H84">
            <v>75643</v>
          </cell>
          <cell r="I84">
            <v>30</v>
          </cell>
          <cell r="J84">
            <v>29</v>
          </cell>
          <cell r="K84">
            <v>1</v>
          </cell>
          <cell r="L84">
            <v>30</v>
          </cell>
          <cell r="M84">
            <v>45385.8</v>
          </cell>
          <cell r="N84">
            <v>18154.320000000003</v>
          </cell>
          <cell r="O84">
            <v>2083</v>
          </cell>
          <cell r="P84">
            <v>2083</v>
          </cell>
          <cell r="Q84">
            <v>8049.8799999999901</v>
          </cell>
          <cell r="R84">
            <v>75756</v>
          </cell>
          <cell r="S84">
            <v>1950</v>
          </cell>
          <cell r="T84">
            <v>1554.6089999999999</v>
          </cell>
          <cell r="U84">
            <v>2183.0569799999998</v>
          </cell>
          <cell r="V84">
            <v>3782.15</v>
          </cell>
          <cell r="W84">
            <v>85225.815979999985</v>
          </cell>
          <cell r="Y84">
            <v>75756</v>
          </cell>
          <cell r="AA84">
            <v>200</v>
          </cell>
          <cell r="AB84">
            <v>1800</v>
          </cell>
          <cell r="AC84">
            <v>283</v>
          </cell>
          <cell r="AE84">
            <v>2283</v>
          </cell>
          <cell r="AF84">
            <v>80992.815979999985</v>
          </cell>
        </row>
        <row r="85">
          <cell r="C85" t="str">
            <v>BITS-692</v>
          </cell>
          <cell r="E85" t="str">
            <v>Sneha Hande</v>
          </cell>
          <cell r="F85" t="str">
            <v>PUNE ASC SEZ</v>
          </cell>
          <cell r="G85">
            <v>58000</v>
          </cell>
          <cell r="H85">
            <v>50617</v>
          </cell>
          <cell r="I85">
            <v>30</v>
          </cell>
          <cell r="J85">
            <v>30</v>
          </cell>
          <cell r="L85">
            <v>30</v>
          </cell>
          <cell r="M85">
            <v>30370.2</v>
          </cell>
          <cell r="N85">
            <v>12148.080000000002</v>
          </cell>
          <cell r="O85">
            <v>2083</v>
          </cell>
          <cell r="P85">
            <v>2083</v>
          </cell>
          <cell r="Q85">
            <v>4045.7200000000012</v>
          </cell>
          <cell r="R85">
            <v>50730</v>
          </cell>
          <cell r="S85">
            <v>1950</v>
          </cell>
          <cell r="T85">
            <v>1554.6089999999999</v>
          </cell>
          <cell r="U85">
            <v>1460.8066199999998</v>
          </cell>
          <cell r="V85">
            <v>2530.85</v>
          </cell>
          <cell r="W85">
            <v>58226.265619999998</v>
          </cell>
          <cell r="Y85">
            <v>50730</v>
          </cell>
          <cell r="AA85">
            <v>200</v>
          </cell>
          <cell r="AB85">
            <v>1800</v>
          </cell>
          <cell r="AC85">
            <v>283</v>
          </cell>
          <cell r="AE85">
            <v>2283</v>
          </cell>
          <cell r="AF85">
            <v>53993.265619999998</v>
          </cell>
        </row>
        <row r="86">
          <cell r="C86" t="str">
            <v>BITS-693</v>
          </cell>
          <cell r="E86" t="str">
            <v>JNANESWARARAO G</v>
          </cell>
          <cell r="F86" t="str">
            <v>BNG STP</v>
          </cell>
          <cell r="G86">
            <v>108000</v>
          </cell>
          <cell r="H86">
            <v>96962</v>
          </cell>
          <cell r="I86">
            <v>30</v>
          </cell>
          <cell r="J86">
            <v>30</v>
          </cell>
          <cell r="L86">
            <v>30</v>
          </cell>
          <cell r="M86">
            <v>58177.2</v>
          </cell>
          <cell r="N86">
            <v>23270.880000000001</v>
          </cell>
          <cell r="O86">
            <v>2083</v>
          </cell>
          <cell r="P86">
            <v>2083</v>
          </cell>
          <cell r="Q86">
            <v>11460.919999999998</v>
          </cell>
          <cell r="R86">
            <v>97075</v>
          </cell>
          <cell r="S86">
            <v>1950</v>
          </cell>
          <cell r="T86">
            <v>1554.6089999999999</v>
          </cell>
          <cell r="U86">
            <v>2798.3233199999995</v>
          </cell>
          <cell r="V86">
            <v>4848.0999999999995</v>
          </cell>
          <cell r="W86">
            <v>108226.03232</v>
          </cell>
          <cell r="X86">
            <v>14400</v>
          </cell>
          <cell r="Y86">
            <v>111475</v>
          </cell>
          <cell r="AA86">
            <v>200</v>
          </cell>
          <cell r="AB86">
            <v>1800</v>
          </cell>
          <cell r="AC86">
            <v>283</v>
          </cell>
          <cell r="AE86">
            <v>2283</v>
          </cell>
          <cell r="AF86">
            <v>118393.03232</v>
          </cell>
        </row>
        <row r="87">
          <cell r="C87" t="str">
            <v>BITS-694</v>
          </cell>
          <cell r="E87" t="str">
            <v>Asita Kumar Sahoo</v>
          </cell>
          <cell r="F87" t="str">
            <v>PUNE SEZ 2</v>
          </cell>
          <cell r="G87">
            <v>60000</v>
          </cell>
          <cell r="H87">
            <v>52471</v>
          </cell>
          <cell r="I87">
            <v>30</v>
          </cell>
          <cell r="J87">
            <v>30</v>
          </cell>
          <cell r="L87">
            <v>30</v>
          </cell>
          <cell r="M87">
            <v>31482.6</v>
          </cell>
          <cell r="N87">
            <v>12593.04</v>
          </cell>
          <cell r="O87">
            <v>2083</v>
          </cell>
          <cell r="P87">
            <v>2083</v>
          </cell>
          <cell r="Q87">
            <v>4342.3600000000006</v>
          </cell>
          <cell r="R87">
            <v>52584</v>
          </cell>
          <cell r="S87">
            <v>1950</v>
          </cell>
          <cell r="T87">
            <v>1554.6089999999999</v>
          </cell>
          <cell r="U87">
            <v>1514.3130599999997</v>
          </cell>
          <cell r="V87">
            <v>2623.5499999999997</v>
          </cell>
          <cell r="W87">
            <v>60226.47206</v>
          </cell>
          <cell r="Y87">
            <v>52584</v>
          </cell>
          <cell r="AA87">
            <v>200</v>
          </cell>
          <cell r="AB87">
            <v>1800</v>
          </cell>
          <cell r="AC87">
            <v>283</v>
          </cell>
          <cell r="AE87">
            <v>2283</v>
          </cell>
          <cell r="AF87">
            <v>55993.47206</v>
          </cell>
        </row>
        <row r="88">
          <cell r="C88" t="str">
            <v>BITS-695</v>
          </cell>
          <cell r="E88" t="str">
            <v>Nagashree Narayan</v>
          </cell>
          <cell r="F88" t="str">
            <v>HYD SEZ</v>
          </cell>
          <cell r="G88">
            <v>110000</v>
          </cell>
          <cell r="H88">
            <v>98816</v>
          </cell>
          <cell r="I88">
            <v>30</v>
          </cell>
          <cell r="J88">
            <v>28</v>
          </cell>
          <cell r="K88">
            <v>2</v>
          </cell>
          <cell r="L88">
            <v>29</v>
          </cell>
          <cell r="M88">
            <v>57313.279999999999</v>
          </cell>
          <cell r="N88">
            <v>22925.312000000002</v>
          </cell>
          <cell r="O88">
            <v>2014</v>
          </cell>
          <cell r="P88">
            <v>2014</v>
          </cell>
          <cell r="Q88">
            <v>11368.541333333327</v>
          </cell>
          <cell r="R88">
            <v>95635.133333333331</v>
          </cell>
          <cell r="S88">
            <v>1950</v>
          </cell>
          <cell r="T88">
            <v>1554.6089999999999</v>
          </cell>
          <cell r="U88">
            <v>2756.7687679999999</v>
          </cell>
          <cell r="V88">
            <v>4776.1066666666666</v>
          </cell>
          <cell r="W88">
            <v>106672.617768</v>
          </cell>
          <cell r="Y88">
            <v>95635.133333333331</v>
          </cell>
          <cell r="AA88">
            <v>200</v>
          </cell>
          <cell r="AB88">
            <v>1800</v>
          </cell>
          <cell r="AC88">
            <v>283</v>
          </cell>
          <cell r="AE88">
            <v>2283</v>
          </cell>
          <cell r="AF88">
            <v>102439.48443466667</v>
          </cell>
        </row>
        <row r="89">
          <cell r="C89" t="str">
            <v>BITS-696</v>
          </cell>
          <cell r="E89" t="str">
            <v>Amarnath Reddy</v>
          </cell>
          <cell r="F89" t="str">
            <v>Chennai SEZ</v>
          </cell>
          <cell r="G89">
            <v>130000</v>
          </cell>
          <cell r="H89">
            <v>117354</v>
          </cell>
          <cell r="I89">
            <v>30</v>
          </cell>
          <cell r="J89">
            <v>29</v>
          </cell>
          <cell r="K89">
            <v>1</v>
          </cell>
          <cell r="L89">
            <v>30</v>
          </cell>
          <cell r="M89">
            <v>70412.399999999994</v>
          </cell>
          <cell r="N89">
            <v>28164.959999999999</v>
          </cell>
          <cell r="O89">
            <v>2083</v>
          </cell>
          <cell r="P89">
            <v>2083</v>
          </cell>
          <cell r="Q89">
            <v>14723.640000000014</v>
          </cell>
          <cell r="R89">
            <v>117467</v>
          </cell>
          <cell r="T89">
            <v>1554.6089999999999</v>
          </cell>
          <cell r="U89">
            <v>3386.8364399999996</v>
          </cell>
          <cell r="V89">
            <v>5867.7</v>
          </cell>
          <cell r="W89">
            <v>128276.14543999999</v>
          </cell>
          <cell r="Y89">
            <v>117467</v>
          </cell>
          <cell r="AA89">
            <v>200</v>
          </cell>
          <cell r="AC89">
            <v>283</v>
          </cell>
          <cell r="AE89">
            <v>483</v>
          </cell>
          <cell r="AF89">
            <v>127793.14543999999</v>
          </cell>
        </row>
        <row r="90">
          <cell r="C90" t="str">
            <v>BITS-697</v>
          </cell>
          <cell r="E90" t="str">
            <v>Rajesh Dhumal</v>
          </cell>
          <cell r="F90" t="str">
            <v>PUNE SEZ 1</v>
          </cell>
          <cell r="G90">
            <v>84000</v>
          </cell>
          <cell r="H90">
            <v>74716</v>
          </cell>
          <cell r="I90">
            <v>30</v>
          </cell>
          <cell r="J90">
            <v>30</v>
          </cell>
          <cell r="L90">
            <v>30</v>
          </cell>
          <cell r="M90">
            <v>44829.599999999999</v>
          </cell>
          <cell r="N90">
            <v>17931.84</v>
          </cell>
          <cell r="O90">
            <v>2083</v>
          </cell>
          <cell r="P90">
            <v>2083</v>
          </cell>
          <cell r="Q90">
            <v>7901.5599999999977</v>
          </cell>
          <cell r="R90">
            <v>74829</v>
          </cell>
          <cell r="S90">
            <v>1950</v>
          </cell>
          <cell r="T90">
            <v>1554.6089999999999</v>
          </cell>
          <cell r="U90">
            <v>2156.3037599999998</v>
          </cell>
          <cell r="V90">
            <v>3735.7999999999997</v>
          </cell>
          <cell r="W90">
            <v>84225.712759999995</v>
          </cell>
          <cell r="Y90">
            <v>74829</v>
          </cell>
          <cell r="AA90">
            <v>200</v>
          </cell>
          <cell r="AB90">
            <v>1800</v>
          </cell>
          <cell r="AC90">
            <v>283</v>
          </cell>
          <cell r="AE90">
            <v>2283</v>
          </cell>
          <cell r="AF90">
            <v>79992.712759999995</v>
          </cell>
        </row>
        <row r="91">
          <cell r="C91" t="str">
            <v>BITS-698</v>
          </cell>
          <cell r="E91" t="str">
            <v xml:space="preserve">Amol Gole </v>
          </cell>
          <cell r="F91" t="str">
            <v>PUNE ASC SEZ</v>
          </cell>
          <cell r="G91">
            <v>75000</v>
          </cell>
          <cell r="H91">
            <v>66374</v>
          </cell>
          <cell r="I91">
            <v>30</v>
          </cell>
          <cell r="J91">
            <v>29</v>
          </cell>
          <cell r="K91">
            <v>1</v>
          </cell>
          <cell r="L91">
            <v>30</v>
          </cell>
          <cell r="M91">
            <v>39824.400000000001</v>
          </cell>
          <cell r="N91">
            <v>15929.760000000002</v>
          </cell>
          <cell r="O91">
            <v>2083</v>
          </cell>
          <cell r="P91">
            <v>2083</v>
          </cell>
          <cell r="Q91">
            <v>6566.8399999999965</v>
          </cell>
          <cell r="R91">
            <v>66487</v>
          </cell>
          <cell r="S91">
            <v>1950</v>
          </cell>
          <cell r="T91">
            <v>1554.6089999999999</v>
          </cell>
          <cell r="U91">
            <v>1915.5536400000001</v>
          </cell>
          <cell r="V91">
            <v>3318.7000000000003</v>
          </cell>
          <cell r="W91">
            <v>75225.862639999992</v>
          </cell>
          <cell r="Y91">
            <v>66487</v>
          </cell>
          <cell r="AA91">
            <v>200</v>
          </cell>
          <cell r="AB91">
            <v>1800</v>
          </cell>
          <cell r="AC91">
            <v>283</v>
          </cell>
          <cell r="AE91">
            <v>2283</v>
          </cell>
          <cell r="AF91">
            <v>70992.862639999992</v>
          </cell>
        </row>
        <row r="92">
          <cell r="C92" t="str">
            <v>BITS-699</v>
          </cell>
          <cell r="E92" t="str">
            <v>Srinivasa Rao yellaneni</v>
          </cell>
          <cell r="F92" t="str">
            <v>BNG SEZ</v>
          </cell>
          <cell r="G92">
            <v>150000</v>
          </cell>
          <cell r="H92">
            <v>135892</v>
          </cell>
          <cell r="I92">
            <v>30</v>
          </cell>
          <cell r="J92">
            <v>30</v>
          </cell>
          <cell r="L92">
            <v>30</v>
          </cell>
          <cell r="M92">
            <v>81535.199999999997</v>
          </cell>
          <cell r="N92">
            <v>32614.080000000002</v>
          </cell>
          <cell r="O92">
            <v>2083</v>
          </cell>
          <cell r="P92">
            <v>2083</v>
          </cell>
          <cell r="Q92">
            <v>17689.72</v>
          </cell>
          <cell r="R92">
            <v>136005</v>
          </cell>
          <cell r="S92">
            <v>1950</v>
          </cell>
          <cell r="T92">
            <v>1554.6089999999999</v>
          </cell>
          <cell r="U92">
            <v>3921.8431199999995</v>
          </cell>
          <cell r="V92">
            <v>6794.5999999999995</v>
          </cell>
          <cell r="W92">
            <v>150226.05212000001</v>
          </cell>
          <cell r="Y92">
            <v>136005</v>
          </cell>
          <cell r="AA92">
            <v>200</v>
          </cell>
          <cell r="AB92">
            <v>1800</v>
          </cell>
          <cell r="AC92">
            <v>283</v>
          </cell>
          <cell r="AE92">
            <v>2283</v>
          </cell>
          <cell r="AF92">
            <v>145993.05212000001</v>
          </cell>
        </row>
        <row r="93">
          <cell r="C93" t="str">
            <v>BITS-700</v>
          </cell>
          <cell r="E93" t="str">
            <v>Sandeep Dixit</v>
          </cell>
          <cell r="F93" t="str">
            <v>PUNE ASC SEZ</v>
          </cell>
          <cell r="G93">
            <v>190000</v>
          </cell>
          <cell r="H93">
            <v>172968</v>
          </cell>
          <cell r="I93">
            <v>30</v>
          </cell>
          <cell r="J93">
            <v>30</v>
          </cell>
          <cell r="L93">
            <v>30</v>
          </cell>
          <cell r="M93">
            <v>103780.8</v>
          </cell>
          <cell r="N93">
            <v>41512.320000000007</v>
          </cell>
          <cell r="O93">
            <v>2083</v>
          </cell>
          <cell r="P93">
            <v>2083</v>
          </cell>
          <cell r="Q93">
            <v>23621.880000000005</v>
          </cell>
          <cell r="R93">
            <v>173081</v>
          </cell>
          <cell r="S93">
            <v>1950</v>
          </cell>
          <cell r="T93">
            <v>1554.6089999999999</v>
          </cell>
          <cell r="U93">
            <v>4991.8564799999995</v>
          </cell>
          <cell r="V93">
            <v>8648.4</v>
          </cell>
          <cell r="W93">
            <v>190225.86547999998</v>
          </cell>
          <cell r="Y93">
            <v>173081</v>
          </cell>
          <cell r="AA93">
            <v>200</v>
          </cell>
          <cell r="AB93">
            <v>1800</v>
          </cell>
          <cell r="AC93">
            <v>283</v>
          </cell>
          <cell r="AE93">
            <v>2283</v>
          </cell>
          <cell r="AF93">
            <v>185992.86547999998</v>
          </cell>
        </row>
        <row r="94">
          <cell r="C94" t="str">
            <v>BITS-701</v>
          </cell>
          <cell r="E94" t="str">
            <v>Shridhar Madlur</v>
          </cell>
          <cell r="F94" t="str">
            <v>BNG STP</v>
          </cell>
          <cell r="G94">
            <v>58000</v>
          </cell>
          <cell r="H94">
            <v>50617</v>
          </cell>
          <cell r="I94">
            <v>30</v>
          </cell>
          <cell r="J94">
            <v>29</v>
          </cell>
          <cell r="K94">
            <v>1</v>
          </cell>
          <cell r="L94">
            <v>30</v>
          </cell>
          <cell r="M94">
            <v>30370.2</v>
          </cell>
          <cell r="N94">
            <v>12148.080000000002</v>
          </cell>
          <cell r="O94">
            <v>2083</v>
          </cell>
          <cell r="P94">
            <v>2083</v>
          </cell>
          <cell r="Q94">
            <v>4045.7200000000012</v>
          </cell>
          <cell r="R94">
            <v>50730</v>
          </cell>
          <cell r="S94">
            <v>1950</v>
          </cell>
          <cell r="T94">
            <v>1554.6089999999999</v>
          </cell>
          <cell r="U94">
            <v>1460.8066199999998</v>
          </cell>
          <cell r="V94">
            <v>2530.85</v>
          </cell>
          <cell r="W94">
            <v>58226.265619999998</v>
          </cell>
          <cell r="Y94">
            <v>50730</v>
          </cell>
          <cell r="AA94">
            <v>200</v>
          </cell>
          <cell r="AB94">
            <v>1800</v>
          </cell>
          <cell r="AC94">
            <v>283</v>
          </cell>
          <cell r="AE94">
            <v>2283</v>
          </cell>
          <cell r="AF94">
            <v>53993.265619999998</v>
          </cell>
        </row>
        <row r="95">
          <cell r="C95" t="str">
            <v>BITS-702</v>
          </cell>
          <cell r="E95" t="str">
            <v>Samarjit Saha</v>
          </cell>
          <cell r="F95" t="str">
            <v>BNG STP</v>
          </cell>
          <cell r="G95">
            <v>140000</v>
          </cell>
          <cell r="H95">
            <v>126623</v>
          </cell>
          <cell r="I95">
            <v>30</v>
          </cell>
          <cell r="J95">
            <v>30</v>
          </cell>
          <cell r="L95">
            <v>30</v>
          </cell>
          <cell r="M95">
            <v>75973.8</v>
          </cell>
          <cell r="N95">
            <v>30389.520000000004</v>
          </cell>
          <cell r="O95">
            <v>2083</v>
          </cell>
          <cell r="P95">
            <v>2083</v>
          </cell>
          <cell r="Q95">
            <v>16206.679999999993</v>
          </cell>
          <cell r="R95">
            <v>126736</v>
          </cell>
          <cell r="S95">
            <v>1950</v>
          </cell>
          <cell r="T95">
            <v>1554.6089999999999</v>
          </cell>
          <cell r="U95">
            <v>3654.3397800000002</v>
          </cell>
          <cell r="V95">
            <v>6331.1500000000005</v>
          </cell>
          <cell r="W95">
            <v>140226.09878</v>
          </cell>
          <cell r="Y95">
            <v>126736</v>
          </cell>
          <cell r="AA95">
            <v>200</v>
          </cell>
          <cell r="AB95">
            <v>1800</v>
          </cell>
          <cell r="AC95">
            <v>283</v>
          </cell>
          <cell r="AE95">
            <v>2283</v>
          </cell>
          <cell r="AF95">
            <v>135993.09878</v>
          </cell>
        </row>
        <row r="96">
          <cell r="C96" t="str">
            <v>BITS-703</v>
          </cell>
          <cell r="E96" t="str">
            <v>Arun kh 30-4-2022</v>
          </cell>
          <cell r="F96" t="str">
            <v>HYD STP</v>
          </cell>
          <cell r="G96">
            <v>85000</v>
          </cell>
          <cell r="H96">
            <v>75643</v>
          </cell>
          <cell r="I96">
            <v>30</v>
          </cell>
          <cell r="J96">
            <v>30</v>
          </cell>
          <cell r="L96">
            <v>30</v>
          </cell>
          <cell r="M96">
            <v>45385.8</v>
          </cell>
          <cell r="N96">
            <v>18154.320000000003</v>
          </cell>
          <cell r="O96">
            <v>2083</v>
          </cell>
          <cell r="P96">
            <v>2083</v>
          </cell>
          <cell r="Q96">
            <v>8049.8799999999901</v>
          </cell>
          <cell r="R96">
            <v>75756</v>
          </cell>
          <cell r="S96">
            <v>1950</v>
          </cell>
          <cell r="T96">
            <v>1554.6089999999999</v>
          </cell>
          <cell r="U96">
            <v>2183.0569799999998</v>
          </cell>
          <cell r="V96">
            <v>3782.15</v>
          </cell>
          <cell r="W96">
            <v>85225.815979999985</v>
          </cell>
          <cell r="Y96">
            <v>75756</v>
          </cell>
          <cell r="AA96">
            <v>200</v>
          </cell>
          <cell r="AB96">
            <v>1800</v>
          </cell>
          <cell r="AC96">
            <v>283</v>
          </cell>
          <cell r="AE96">
            <v>2283</v>
          </cell>
          <cell r="AF96">
            <v>80992.815979999985</v>
          </cell>
        </row>
        <row r="97">
          <cell r="C97" t="str">
            <v>BITS-704</v>
          </cell>
          <cell r="E97" t="str">
            <v>Ajay Pal Singh</v>
          </cell>
          <cell r="F97" t="str">
            <v>PUNE SEZ 1</v>
          </cell>
          <cell r="G97">
            <v>80000</v>
          </cell>
          <cell r="H97">
            <v>71009</v>
          </cell>
          <cell r="I97">
            <v>30</v>
          </cell>
          <cell r="J97">
            <v>29</v>
          </cell>
          <cell r="K97">
            <v>1</v>
          </cell>
          <cell r="L97">
            <v>30</v>
          </cell>
          <cell r="M97">
            <v>42605.4</v>
          </cell>
          <cell r="N97">
            <v>17042.16</v>
          </cell>
          <cell r="O97">
            <v>2083</v>
          </cell>
          <cell r="P97">
            <v>2083</v>
          </cell>
          <cell r="Q97">
            <v>7308.4400000000023</v>
          </cell>
          <cell r="R97">
            <v>71122</v>
          </cell>
          <cell r="S97">
            <v>1950</v>
          </cell>
          <cell r="T97">
            <v>1554.6089999999999</v>
          </cell>
          <cell r="U97">
            <v>2049.3197399999999</v>
          </cell>
          <cell r="V97">
            <v>3550.4500000000003</v>
          </cell>
          <cell r="W97">
            <v>80226.37874</v>
          </cell>
          <cell r="Y97">
            <v>71122</v>
          </cell>
          <cell r="AA97">
            <v>200</v>
          </cell>
          <cell r="AB97">
            <v>1800</v>
          </cell>
          <cell r="AC97">
            <v>283</v>
          </cell>
          <cell r="AE97">
            <v>2283</v>
          </cell>
          <cell r="AF97">
            <v>75993.37874</v>
          </cell>
        </row>
        <row r="98">
          <cell r="C98" t="str">
            <v>BITS-705</v>
          </cell>
          <cell r="E98" t="str">
            <v>Narasimha rao Gurazala</v>
          </cell>
          <cell r="F98" t="str">
            <v>BNG STP</v>
          </cell>
          <cell r="G98">
            <v>100000</v>
          </cell>
          <cell r="H98">
            <v>89547</v>
          </cell>
          <cell r="I98">
            <v>30</v>
          </cell>
          <cell r="J98">
            <v>29</v>
          </cell>
          <cell r="K98">
            <v>1</v>
          </cell>
          <cell r="L98">
            <v>30</v>
          </cell>
          <cell r="M98">
            <v>53728.2</v>
          </cell>
          <cell r="N98">
            <v>21491.279999999999</v>
          </cell>
          <cell r="O98">
            <v>2083</v>
          </cell>
          <cell r="P98">
            <v>2083</v>
          </cell>
          <cell r="Q98">
            <v>10274.520000000004</v>
          </cell>
          <cell r="R98">
            <v>89660</v>
          </cell>
          <cell r="S98">
            <v>1950</v>
          </cell>
          <cell r="T98">
            <v>1554.6089999999999</v>
          </cell>
          <cell r="U98">
            <v>2584.3264199999994</v>
          </cell>
          <cell r="V98">
            <v>4477.3499999999995</v>
          </cell>
          <cell r="W98">
            <v>100226.28542</v>
          </cell>
          <cell r="Y98">
            <v>89660</v>
          </cell>
          <cell r="AA98">
            <v>200</v>
          </cell>
          <cell r="AB98">
            <v>1800</v>
          </cell>
          <cell r="AC98">
            <v>283</v>
          </cell>
          <cell r="AE98">
            <v>2283</v>
          </cell>
          <cell r="AF98">
            <v>95993.28542</v>
          </cell>
        </row>
        <row r="99">
          <cell r="C99" t="str">
            <v>BITS-706</v>
          </cell>
          <cell r="D99" t="str">
            <v>SAP</v>
          </cell>
          <cell r="E99" t="str">
            <v>Arun Arra</v>
          </cell>
          <cell r="F99" t="str">
            <v>PUNE SEZ 2</v>
          </cell>
          <cell r="G99">
            <v>45000</v>
          </cell>
          <cell r="H99">
            <v>38567</v>
          </cell>
          <cell r="I99">
            <v>30</v>
          </cell>
          <cell r="J99">
            <v>30</v>
          </cell>
          <cell r="L99">
            <v>30</v>
          </cell>
          <cell r="M99">
            <v>23140.2</v>
          </cell>
          <cell r="N99">
            <v>9256.08</v>
          </cell>
          <cell r="O99">
            <v>2083</v>
          </cell>
          <cell r="P99">
            <v>2083</v>
          </cell>
          <cell r="Q99">
            <v>2117.7200000000012</v>
          </cell>
          <cell r="R99">
            <v>38680</v>
          </cell>
          <cell r="S99">
            <v>1950</v>
          </cell>
          <cell r="T99">
            <v>1554.6089999999999</v>
          </cell>
          <cell r="U99">
            <v>1113.0436199999999</v>
          </cell>
          <cell r="V99">
            <v>1928.3500000000001</v>
          </cell>
          <cell r="W99">
            <v>45226.002619999992</v>
          </cell>
          <cell r="Y99">
            <v>38680</v>
          </cell>
          <cell r="AA99">
            <v>200</v>
          </cell>
          <cell r="AB99">
            <v>1800</v>
          </cell>
          <cell r="AC99">
            <v>283</v>
          </cell>
          <cell r="AE99">
            <v>2283</v>
          </cell>
          <cell r="AF99">
            <v>40993.002619999992</v>
          </cell>
        </row>
        <row r="100">
          <cell r="C100" t="str">
            <v>BITS-707</v>
          </cell>
          <cell r="D100" t="str">
            <v>SAP</v>
          </cell>
          <cell r="E100" t="str">
            <v>Ramya Nalla</v>
          </cell>
          <cell r="F100" t="str">
            <v>PUNE SEZ 2</v>
          </cell>
          <cell r="G100">
            <v>45000</v>
          </cell>
          <cell r="H100">
            <v>38567</v>
          </cell>
          <cell r="I100">
            <v>30</v>
          </cell>
          <cell r="J100">
            <v>29</v>
          </cell>
          <cell r="K100">
            <v>1</v>
          </cell>
          <cell r="L100">
            <v>30</v>
          </cell>
          <cell r="M100">
            <v>23140.2</v>
          </cell>
          <cell r="N100">
            <v>9256.08</v>
          </cell>
          <cell r="O100">
            <v>2083</v>
          </cell>
          <cell r="P100">
            <v>2083</v>
          </cell>
          <cell r="Q100">
            <v>2117.7200000000012</v>
          </cell>
          <cell r="R100">
            <v>38680</v>
          </cell>
          <cell r="S100">
            <v>1950</v>
          </cell>
          <cell r="T100">
            <v>1554.6089999999999</v>
          </cell>
          <cell r="U100">
            <v>1113.0436199999999</v>
          </cell>
          <cell r="V100">
            <v>1928.3500000000001</v>
          </cell>
          <cell r="W100">
            <v>45226.002619999992</v>
          </cell>
          <cell r="Y100">
            <v>38680</v>
          </cell>
          <cell r="AA100">
            <v>200</v>
          </cell>
          <cell r="AB100">
            <v>1800</v>
          </cell>
          <cell r="AC100">
            <v>283</v>
          </cell>
          <cell r="AE100">
            <v>2283</v>
          </cell>
          <cell r="AF100">
            <v>40993.002619999992</v>
          </cell>
        </row>
        <row r="101">
          <cell r="C101" t="str">
            <v>BITS-709</v>
          </cell>
          <cell r="D101" t="str">
            <v>SAP</v>
          </cell>
          <cell r="E101" t="str">
            <v>Uma  Mahesh P</v>
          </cell>
          <cell r="F101" t="str">
            <v>PUNE SEZ 2</v>
          </cell>
          <cell r="G101">
            <v>45000</v>
          </cell>
          <cell r="H101">
            <v>38567</v>
          </cell>
          <cell r="I101">
            <v>30</v>
          </cell>
          <cell r="J101">
            <v>28</v>
          </cell>
          <cell r="K101">
            <v>2</v>
          </cell>
          <cell r="L101">
            <v>29</v>
          </cell>
          <cell r="M101">
            <v>22368.86</v>
          </cell>
          <cell r="N101">
            <v>8947.5439999999999</v>
          </cell>
          <cell r="O101">
            <v>2014</v>
          </cell>
          <cell r="P101">
            <v>2014</v>
          </cell>
          <cell r="Q101">
            <v>2050.029333333332</v>
          </cell>
          <cell r="R101">
            <v>37394.433333333334</v>
          </cell>
          <cell r="S101">
            <v>1950</v>
          </cell>
          <cell r="T101">
            <v>1554.6089999999999</v>
          </cell>
          <cell r="U101">
            <v>1075.942166</v>
          </cell>
          <cell r="V101">
            <v>1864.0716666666667</v>
          </cell>
          <cell r="W101">
            <v>43839.056166000002</v>
          </cell>
          <cell r="Y101">
            <v>37394.433333333334</v>
          </cell>
          <cell r="AA101">
            <v>200</v>
          </cell>
          <cell r="AB101">
            <v>1800</v>
          </cell>
          <cell r="AC101">
            <v>283</v>
          </cell>
          <cell r="AE101">
            <v>2283</v>
          </cell>
          <cell r="AF101">
            <v>39605.622832666661</v>
          </cell>
        </row>
        <row r="102">
          <cell r="C102" t="str">
            <v>BITS-713</v>
          </cell>
          <cell r="D102" t="str">
            <v>SAP</v>
          </cell>
          <cell r="E102" t="str">
            <v>NAGA SAI TEJA NUTHI</v>
          </cell>
          <cell r="F102" t="str">
            <v>PUNE SEZ 2</v>
          </cell>
          <cell r="G102">
            <v>50000</v>
          </cell>
          <cell r="H102">
            <v>43202</v>
          </cell>
          <cell r="I102">
            <v>30</v>
          </cell>
          <cell r="J102">
            <v>26</v>
          </cell>
          <cell r="K102">
            <v>4</v>
          </cell>
          <cell r="L102">
            <v>27</v>
          </cell>
          <cell r="M102">
            <v>23329.08</v>
          </cell>
          <cell r="N102">
            <v>9331.6320000000014</v>
          </cell>
          <cell r="O102">
            <v>1875</v>
          </cell>
          <cell r="P102">
            <v>1875</v>
          </cell>
          <cell r="Q102">
            <v>2584.0880000000034</v>
          </cell>
          <cell r="R102">
            <v>38994.800000000003</v>
          </cell>
          <cell r="S102">
            <v>1950</v>
          </cell>
          <cell r="T102">
            <v>1554.6089999999999</v>
          </cell>
          <cell r="U102">
            <v>1122.1287480000001</v>
          </cell>
          <cell r="V102">
            <v>1944.0900000000001</v>
          </cell>
          <cell r="W102">
            <v>45565.627747999999</v>
          </cell>
          <cell r="Y102">
            <v>38994.800000000003</v>
          </cell>
          <cell r="AA102">
            <v>200</v>
          </cell>
          <cell r="AB102">
            <v>1800</v>
          </cell>
          <cell r="AC102">
            <v>283</v>
          </cell>
          <cell r="AE102">
            <v>2283</v>
          </cell>
          <cell r="AF102">
            <v>41332.827747999996</v>
          </cell>
        </row>
        <row r="103">
          <cell r="C103" t="str">
            <v>BITS-714</v>
          </cell>
          <cell r="D103" t="str">
            <v>SAP</v>
          </cell>
          <cell r="E103" t="str">
            <v>Mani Krishna Nandineedi</v>
          </cell>
          <cell r="F103" t="str">
            <v>PUNE SEZ 2</v>
          </cell>
          <cell r="G103">
            <v>45000</v>
          </cell>
          <cell r="H103">
            <v>38567</v>
          </cell>
          <cell r="I103">
            <v>30</v>
          </cell>
          <cell r="J103">
            <v>30</v>
          </cell>
          <cell r="L103">
            <v>30</v>
          </cell>
          <cell r="M103">
            <v>23140.2</v>
          </cell>
          <cell r="N103">
            <v>9256.08</v>
          </cell>
          <cell r="O103">
            <v>2083</v>
          </cell>
          <cell r="P103">
            <v>2083</v>
          </cell>
          <cell r="Q103">
            <v>2117.7200000000012</v>
          </cell>
          <cell r="R103">
            <v>38680</v>
          </cell>
          <cell r="S103">
            <v>1950</v>
          </cell>
          <cell r="T103">
            <v>1554.6089999999999</v>
          </cell>
          <cell r="U103">
            <v>1113.0436199999999</v>
          </cell>
          <cell r="V103">
            <v>1928.3500000000001</v>
          </cell>
          <cell r="W103">
            <v>45226.002619999992</v>
          </cell>
          <cell r="Y103">
            <v>38680</v>
          </cell>
          <cell r="AA103">
            <v>200</v>
          </cell>
          <cell r="AB103">
            <v>1800</v>
          </cell>
          <cell r="AC103">
            <v>283</v>
          </cell>
          <cell r="AE103">
            <v>2283</v>
          </cell>
          <cell r="AF103">
            <v>40993.002619999992</v>
          </cell>
        </row>
        <row r="104">
          <cell r="C104" t="str">
            <v>BITS-715</v>
          </cell>
          <cell r="D104" t="str">
            <v>SAP</v>
          </cell>
          <cell r="E104" t="str">
            <v>Sushma P</v>
          </cell>
          <cell r="F104" t="str">
            <v>PUNE SEZ 2</v>
          </cell>
          <cell r="G104">
            <v>45000</v>
          </cell>
          <cell r="H104">
            <v>38567</v>
          </cell>
          <cell r="I104">
            <v>30</v>
          </cell>
          <cell r="J104">
            <v>30</v>
          </cell>
          <cell r="L104">
            <v>30</v>
          </cell>
          <cell r="M104">
            <v>23140.2</v>
          </cell>
          <cell r="N104">
            <v>9256.08</v>
          </cell>
          <cell r="O104">
            <v>2083</v>
          </cell>
          <cell r="P104">
            <v>2083</v>
          </cell>
          <cell r="Q104">
            <v>2117.7200000000012</v>
          </cell>
          <cell r="R104">
            <v>38680</v>
          </cell>
          <cell r="S104">
            <v>1950</v>
          </cell>
          <cell r="T104">
            <v>1554.6089999999999</v>
          </cell>
          <cell r="U104">
            <v>1113.0436199999999</v>
          </cell>
          <cell r="V104">
            <v>1928.3500000000001</v>
          </cell>
          <cell r="W104">
            <v>45226.002619999992</v>
          </cell>
          <cell r="Y104">
            <v>38680</v>
          </cell>
          <cell r="AA104">
            <v>200</v>
          </cell>
          <cell r="AB104">
            <v>1800</v>
          </cell>
          <cell r="AC104">
            <v>283</v>
          </cell>
          <cell r="AE104">
            <v>2283</v>
          </cell>
          <cell r="AF104">
            <v>40993.002619999992</v>
          </cell>
        </row>
        <row r="105">
          <cell r="C105" t="str">
            <v>BITS-716</v>
          </cell>
          <cell r="D105" t="str">
            <v>SAP</v>
          </cell>
          <cell r="E105" t="str">
            <v>PAVANKUMAR</v>
          </cell>
          <cell r="F105" t="str">
            <v>PUNE SEZ 1</v>
          </cell>
          <cell r="G105">
            <v>45000</v>
          </cell>
          <cell r="H105">
            <v>38567</v>
          </cell>
          <cell r="I105">
            <v>30</v>
          </cell>
          <cell r="J105">
            <v>30</v>
          </cell>
          <cell r="L105">
            <v>30</v>
          </cell>
          <cell r="M105">
            <v>23140.2</v>
          </cell>
          <cell r="N105">
            <v>9256.08</v>
          </cell>
          <cell r="O105">
            <v>2083</v>
          </cell>
          <cell r="P105">
            <v>2083</v>
          </cell>
          <cell r="Q105">
            <v>2117.7200000000012</v>
          </cell>
          <cell r="R105">
            <v>38680</v>
          </cell>
          <cell r="S105">
            <v>1950</v>
          </cell>
          <cell r="T105">
            <v>1554.6089999999999</v>
          </cell>
          <cell r="U105">
            <v>1113.0436199999999</v>
          </cell>
          <cell r="V105">
            <v>1928.3500000000001</v>
          </cell>
          <cell r="W105">
            <v>45226.002619999992</v>
          </cell>
          <cell r="Y105">
            <v>38680</v>
          </cell>
          <cell r="AA105">
            <v>200</v>
          </cell>
          <cell r="AB105">
            <v>1800</v>
          </cell>
          <cell r="AC105">
            <v>283</v>
          </cell>
          <cell r="AE105">
            <v>2283</v>
          </cell>
          <cell r="AF105">
            <v>40993.002619999992</v>
          </cell>
        </row>
        <row r="106">
          <cell r="C106" t="str">
            <v>BITS-717</v>
          </cell>
          <cell r="E106" t="str">
            <v>Jaikesh Upadhyay  </v>
          </cell>
          <cell r="F106" t="str">
            <v>PUNE ASC SEZ</v>
          </cell>
          <cell r="G106">
            <v>125000</v>
          </cell>
          <cell r="H106">
            <v>112719</v>
          </cell>
          <cell r="I106">
            <v>30</v>
          </cell>
          <cell r="J106">
            <v>29</v>
          </cell>
          <cell r="K106">
            <v>1</v>
          </cell>
          <cell r="L106">
            <v>30</v>
          </cell>
          <cell r="M106">
            <v>67631.399999999994</v>
          </cell>
          <cell r="N106">
            <v>27052.559999999998</v>
          </cell>
          <cell r="O106">
            <v>2083</v>
          </cell>
          <cell r="P106">
            <v>2083</v>
          </cell>
          <cell r="Q106">
            <v>13982.040000000008</v>
          </cell>
          <cell r="R106">
            <v>112832</v>
          </cell>
          <cell r="S106">
            <v>1950</v>
          </cell>
          <cell r="T106">
            <v>1554.6089999999999</v>
          </cell>
          <cell r="U106">
            <v>3253.0703399999993</v>
          </cell>
          <cell r="V106">
            <v>5635.95</v>
          </cell>
          <cell r="W106">
            <v>125225.62934</v>
          </cell>
          <cell r="Y106">
            <v>112832</v>
          </cell>
          <cell r="AA106">
            <v>200</v>
          </cell>
          <cell r="AB106">
            <v>1800</v>
          </cell>
          <cell r="AC106">
            <v>283</v>
          </cell>
          <cell r="AE106">
            <v>2283</v>
          </cell>
          <cell r="AF106">
            <v>120992.62934</v>
          </cell>
        </row>
        <row r="107">
          <cell r="C107" t="str">
            <v>BITS-718</v>
          </cell>
          <cell r="E107" t="str">
            <v>Mahanth Devasani</v>
          </cell>
          <cell r="F107" t="str">
            <v>BNG STP</v>
          </cell>
          <cell r="G107">
            <v>160000</v>
          </cell>
          <cell r="H107">
            <v>145161</v>
          </cell>
          <cell r="I107">
            <v>30</v>
          </cell>
          <cell r="J107">
            <v>30</v>
          </cell>
          <cell r="L107">
            <v>30</v>
          </cell>
          <cell r="M107">
            <v>87096.6</v>
          </cell>
          <cell r="N107">
            <v>34838.640000000007</v>
          </cell>
          <cell r="O107">
            <v>2083</v>
          </cell>
          <cell r="P107">
            <v>2083</v>
          </cell>
          <cell r="Q107">
            <v>19172.75999999998</v>
          </cell>
          <cell r="R107">
            <v>145274</v>
          </cell>
          <cell r="S107">
            <v>1950</v>
          </cell>
          <cell r="T107">
            <v>1554.6089999999999</v>
          </cell>
          <cell r="U107">
            <v>4189.3464599999998</v>
          </cell>
          <cell r="V107">
            <v>7258.05</v>
          </cell>
          <cell r="W107">
            <v>160226.00545999999</v>
          </cell>
          <cell r="Y107">
            <v>145274</v>
          </cell>
          <cell r="AA107">
            <v>200</v>
          </cell>
          <cell r="AB107">
            <v>1800</v>
          </cell>
          <cell r="AC107">
            <v>283</v>
          </cell>
          <cell r="AE107">
            <v>2283</v>
          </cell>
          <cell r="AF107">
            <v>155993.00545999999</v>
          </cell>
        </row>
        <row r="108">
          <cell r="C108" t="str">
            <v>BITS-719</v>
          </cell>
          <cell r="E108" t="str">
            <v>ROOPINI CHIYYARAPU</v>
          </cell>
          <cell r="F108" t="str">
            <v>HYD SEZ</v>
          </cell>
          <cell r="G108">
            <v>85000</v>
          </cell>
          <cell r="H108">
            <v>75643</v>
          </cell>
          <cell r="I108">
            <v>30</v>
          </cell>
          <cell r="J108">
            <v>29</v>
          </cell>
          <cell r="K108">
            <v>1</v>
          </cell>
          <cell r="L108">
            <v>30</v>
          </cell>
          <cell r="M108">
            <v>45385.8</v>
          </cell>
          <cell r="N108">
            <v>18154.320000000003</v>
          </cell>
          <cell r="O108">
            <v>2083</v>
          </cell>
          <cell r="P108">
            <v>2083</v>
          </cell>
          <cell r="Q108">
            <v>8049.8799999999901</v>
          </cell>
          <cell r="R108">
            <v>75756</v>
          </cell>
          <cell r="S108">
            <v>1950</v>
          </cell>
          <cell r="T108">
            <v>1554.6089999999999</v>
          </cell>
          <cell r="U108">
            <v>2183.0569799999998</v>
          </cell>
          <cell r="V108">
            <v>3782.15</v>
          </cell>
          <cell r="W108">
            <v>85225.815979999985</v>
          </cell>
          <cell r="Y108">
            <v>75756</v>
          </cell>
          <cell r="AA108">
            <v>200</v>
          </cell>
          <cell r="AB108">
            <v>1800</v>
          </cell>
          <cell r="AC108">
            <v>283</v>
          </cell>
          <cell r="AE108">
            <v>2283</v>
          </cell>
          <cell r="AF108">
            <v>80992.815979999985</v>
          </cell>
        </row>
        <row r="109">
          <cell r="C109" t="str">
            <v>BITS-720</v>
          </cell>
          <cell r="E109" t="str">
            <v>Jyoti Singh</v>
          </cell>
          <cell r="F109" t="str">
            <v>PUNE ASC SEZ</v>
          </cell>
          <cell r="G109">
            <v>115000</v>
          </cell>
          <cell r="H109">
            <v>103450</v>
          </cell>
          <cell r="I109">
            <v>30</v>
          </cell>
          <cell r="J109">
            <v>30</v>
          </cell>
          <cell r="L109">
            <v>30</v>
          </cell>
          <cell r="M109">
            <v>62070</v>
          </cell>
          <cell r="N109">
            <v>24828</v>
          </cell>
          <cell r="O109">
            <v>2083</v>
          </cell>
          <cell r="P109">
            <v>2083</v>
          </cell>
          <cell r="Q109">
            <v>12499</v>
          </cell>
          <cell r="R109">
            <v>103563</v>
          </cell>
          <cell r="S109">
            <v>1950</v>
          </cell>
          <cell r="T109">
            <v>1554.6089999999999</v>
          </cell>
          <cell r="U109">
            <v>2985.5669999999996</v>
          </cell>
          <cell r="V109">
            <v>5172.5</v>
          </cell>
          <cell r="W109">
            <v>115225.67599999999</v>
          </cell>
          <cell r="Y109">
            <v>103563</v>
          </cell>
          <cell r="AA109">
            <v>200</v>
          </cell>
          <cell r="AC109">
            <v>283</v>
          </cell>
          <cell r="AE109">
            <v>483</v>
          </cell>
          <cell r="AF109">
            <v>112792.67599999999</v>
          </cell>
        </row>
        <row r="110">
          <cell r="C110" t="str">
            <v>BITS-722</v>
          </cell>
          <cell r="E110" t="str">
            <v>Inturi Ramakrishna</v>
          </cell>
          <cell r="G110">
            <v>90000</v>
          </cell>
          <cell r="H110">
            <v>80278</v>
          </cell>
          <cell r="I110">
            <v>30</v>
          </cell>
          <cell r="J110">
            <v>30</v>
          </cell>
          <cell r="L110">
            <v>30</v>
          </cell>
          <cell r="M110">
            <v>48166.8</v>
          </cell>
          <cell r="N110">
            <v>19266.72</v>
          </cell>
          <cell r="O110">
            <v>2083</v>
          </cell>
          <cell r="P110">
            <v>2083</v>
          </cell>
          <cell r="Q110">
            <v>8791.4799999999959</v>
          </cell>
          <cell r="R110">
            <v>80391</v>
          </cell>
          <cell r="S110">
            <v>1950</v>
          </cell>
          <cell r="T110">
            <v>1554.6089999999999</v>
          </cell>
          <cell r="U110">
            <v>2316.8230800000001</v>
          </cell>
          <cell r="V110">
            <v>4013.9</v>
          </cell>
          <cell r="W110">
            <v>90226.332079999993</v>
          </cell>
          <cell r="Y110">
            <v>80391</v>
          </cell>
          <cell r="AA110">
            <v>200</v>
          </cell>
          <cell r="AB110">
            <v>1800</v>
          </cell>
          <cell r="AC110">
            <v>283</v>
          </cell>
          <cell r="AE110">
            <v>2283</v>
          </cell>
          <cell r="AF110">
            <v>85993.332079999993</v>
          </cell>
        </row>
        <row r="111">
          <cell r="C111" t="str">
            <v>BITS-723</v>
          </cell>
          <cell r="D111" t="str">
            <v>SAP</v>
          </cell>
          <cell r="E111" t="str">
            <v>D.Santhoshi</v>
          </cell>
          <cell r="F111" t="str">
            <v>HYD SEZ</v>
          </cell>
          <cell r="G111">
            <v>45000</v>
          </cell>
          <cell r="H111">
            <v>38567</v>
          </cell>
          <cell r="I111">
            <v>30</v>
          </cell>
          <cell r="J111">
            <v>30</v>
          </cell>
          <cell r="L111">
            <v>30</v>
          </cell>
          <cell r="M111">
            <v>23140.2</v>
          </cell>
          <cell r="N111">
            <v>9256.08</v>
          </cell>
          <cell r="O111">
            <v>2083</v>
          </cell>
          <cell r="P111">
            <v>2083</v>
          </cell>
          <cell r="Q111">
            <v>2117.7200000000012</v>
          </cell>
          <cell r="R111">
            <v>38680</v>
          </cell>
          <cell r="S111">
            <v>1950</v>
          </cell>
          <cell r="T111">
            <v>1554.6089999999999</v>
          </cell>
          <cell r="U111">
            <v>1113.0436199999999</v>
          </cell>
          <cell r="V111">
            <v>1928.3500000000001</v>
          </cell>
          <cell r="W111">
            <v>45226.002619999992</v>
          </cell>
          <cell r="Y111">
            <v>38680</v>
          </cell>
          <cell r="AA111">
            <v>200</v>
          </cell>
          <cell r="AB111">
            <v>1800</v>
          </cell>
          <cell r="AC111">
            <v>283</v>
          </cell>
          <cell r="AE111">
            <v>2283</v>
          </cell>
          <cell r="AF111">
            <v>40993.002619999992</v>
          </cell>
        </row>
        <row r="112">
          <cell r="C112" t="str">
            <v>BITS-724</v>
          </cell>
          <cell r="D112" t="str">
            <v>SAP</v>
          </cell>
          <cell r="E112" t="str">
            <v>Bharath</v>
          </cell>
          <cell r="F112" t="str">
            <v>HYD SEZ</v>
          </cell>
          <cell r="G112">
            <v>30000</v>
          </cell>
          <cell r="H112">
            <v>24636</v>
          </cell>
          <cell r="I112">
            <v>30</v>
          </cell>
          <cell r="J112">
            <v>30</v>
          </cell>
          <cell r="L112">
            <v>30</v>
          </cell>
          <cell r="M112">
            <v>14781.6</v>
          </cell>
          <cell r="N112">
            <v>5912.64</v>
          </cell>
          <cell r="O112">
            <v>1500</v>
          </cell>
          <cell r="P112">
            <v>1500</v>
          </cell>
          <cell r="Q112">
            <v>1054.7599999999984</v>
          </cell>
          <cell r="R112">
            <v>24749</v>
          </cell>
          <cell r="S112">
            <v>1921.6080000000002</v>
          </cell>
          <cell r="T112">
            <v>1554.6089999999999</v>
          </cell>
          <cell r="U112">
            <v>710.99495999999999</v>
          </cell>
          <cell r="V112">
            <v>1231.8</v>
          </cell>
          <cell r="W112">
            <v>30168.01196</v>
          </cell>
          <cell r="Y112">
            <v>24749</v>
          </cell>
          <cell r="AA112">
            <v>200</v>
          </cell>
          <cell r="AB112">
            <v>1774</v>
          </cell>
          <cell r="AC112">
            <v>283</v>
          </cell>
          <cell r="AE112">
            <v>2257</v>
          </cell>
          <cell r="AF112">
            <v>25989.40396</v>
          </cell>
        </row>
        <row r="113">
          <cell r="C113" t="str">
            <v>BITS-725</v>
          </cell>
          <cell r="D113" t="str">
            <v>SAP</v>
          </cell>
          <cell r="E113" t="str">
            <v>NEERUDU SAI KUMAR</v>
          </cell>
          <cell r="F113" t="str">
            <v>HYD SEZ</v>
          </cell>
          <cell r="G113">
            <v>45000</v>
          </cell>
          <cell r="H113">
            <v>38567</v>
          </cell>
          <cell r="I113">
            <v>30</v>
          </cell>
          <cell r="J113">
            <v>30</v>
          </cell>
          <cell r="L113">
            <v>30</v>
          </cell>
          <cell r="M113">
            <v>23140.2</v>
          </cell>
          <cell r="N113">
            <v>9256.08</v>
          </cell>
          <cell r="O113">
            <v>2083</v>
          </cell>
          <cell r="P113">
            <v>2083</v>
          </cell>
          <cell r="Q113">
            <v>2117.7200000000012</v>
          </cell>
          <cell r="R113">
            <v>38680</v>
          </cell>
          <cell r="S113">
            <v>1950</v>
          </cell>
          <cell r="T113">
            <v>1554.6089999999999</v>
          </cell>
          <cell r="U113">
            <v>1113.0436199999999</v>
          </cell>
          <cell r="V113">
            <v>1928.3500000000001</v>
          </cell>
          <cell r="W113">
            <v>45226.002619999992</v>
          </cell>
          <cell r="Y113">
            <v>38680</v>
          </cell>
          <cell r="AA113">
            <v>200</v>
          </cell>
          <cell r="AB113">
            <v>1800</v>
          </cell>
          <cell r="AC113">
            <v>283</v>
          </cell>
          <cell r="AE113">
            <v>2283</v>
          </cell>
          <cell r="AF113">
            <v>40993.002619999992</v>
          </cell>
        </row>
        <row r="114">
          <cell r="C114" t="str">
            <v>BITS-726</v>
          </cell>
          <cell r="D114" t="str">
            <v>SAP</v>
          </cell>
          <cell r="E114" t="str">
            <v>Ramineni Abhilash</v>
          </cell>
          <cell r="F114" t="str">
            <v>HYD SEZ</v>
          </cell>
          <cell r="G114">
            <v>45000</v>
          </cell>
          <cell r="H114">
            <v>38567</v>
          </cell>
          <cell r="I114">
            <v>30</v>
          </cell>
          <cell r="J114">
            <v>30</v>
          </cell>
          <cell r="L114">
            <v>30</v>
          </cell>
          <cell r="M114">
            <v>23140.2</v>
          </cell>
          <cell r="N114">
            <v>9256.08</v>
          </cell>
          <cell r="O114">
            <v>2083</v>
          </cell>
          <cell r="P114">
            <v>2083</v>
          </cell>
          <cell r="Q114">
            <v>2117.7200000000012</v>
          </cell>
          <cell r="R114">
            <v>38680</v>
          </cell>
          <cell r="S114">
            <v>1950</v>
          </cell>
          <cell r="T114">
            <v>1554.6089999999999</v>
          </cell>
          <cell r="U114">
            <v>1113.0436199999999</v>
          </cell>
          <cell r="V114">
            <v>1928.3500000000001</v>
          </cell>
          <cell r="W114">
            <v>45226.002619999992</v>
          </cell>
          <cell r="Y114">
            <v>38680</v>
          </cell>
          <cell r="AA114">
            <v>200</v>
          </cell>
          <cell r="AB114">
            <v>1800</v>
          </cell>
          <cell r="AC114">
            <v>283</v>
          </cell>
          <cell r="AE114">
            <v>2283</v>
          </cell>
          <cell r="AF114">
            <v>40993.002619999992</v>
          </cell>
        </row>
        <row r="115">
          <cell r="C115" t="str">
            <v>BITS-727</v>
          </cell>
          <cell r="E115" t="str">
            <v>SRILATHA</v>
          </cell>
          <cell r="F115" t="str">
            <v>HYD SEZ</v>
          </cell>
          <cell r="G115">
            <v>115000</v>
          </cell>
          <cell r="H115">
            <v>103450</v>
          </cell>
          <cell r="I115">
            <v>30</v>
          </cell>
          <cell r="J115">
            <v>30</v>
          </cell>
          <cell r="L115">
            <v>30</v>
          </cell>
          <cell r="M115">
            <v>62070</v>
          </cell>
          <cell r="N115">
            <v>24828</v>
          </cell>
          <cell r="O115">
            <v>2083</v>
          </cell>
          <cell r="P115">
            <v>2083</v>
          </cell>
          <cell r="Q115">
            <v>12499</v>
          </cell>
          <cell r="R115">
            <v>103563</v>
          </cell>
          <cell r="S115">
            <v>1950</v>
          </cell>
          <cell r="T115">
            <v>1554.6089999999999</v>
          </cell>
          <cell r="U115">
            <v>2985.5669999999996</v>
          </cell>
          <cell r="V115">
            <v>5172.5</v>
          </cell>
          <cell r="W115">
            <v>115225.67599999999</v>
          </cell>
          <cell r="Y115">
            <v>103563</v>
          </cell>
          <cell r="AA115">
            <v>200</v>
          </cell>
          <cell r="AB115">
            <v>1800</v>
          </cell>
          <cell r="AC115">
            <v>283</v>
          </cell>
          <cell r="AE115">
            <v>2283</v>
          </cell>
          <cell r="AF115">
            <v>110992.67599999999</v>
          </cell>
        </row>
        <row r="116">
          <cell r="C116" t="str">
            <v>BITS-729</v>
          </cell>
          <cell r="E116" t="str">
            <v>Rahul Suryawanshi</v>
          </cell>
          <cell r="F116" t="str">
            <v>PUNE SEZ 1</v>
          </cell>
          <cell r="G116">
            <v>90000</v>
          </cell>
          <cell r="H116">
            <v>80278</v>
          </cell>
          <cell r="I116">
            <v>30</v>
          </cell>
          <cell r="J116">
            <v>29</v>
          </cell>
          <cell r="K116">
            <v>1</v>
          </cell>
          <cell r="L116">
            <v>30</v>
          </cell>
          <cell r="M116">
            <v>48166.8</v>
          </cell>
          <cell r="N116">
            <v>19266.72</v>
          </cell>
          <cell r="O116">
            <v>2083</v>
          </cell>
          <cell r="P116">
            <v>2083</v>
          </cell>
          <cell r="Q116">
            <v>8791.4799999999959</v>
          </cell>
          <cell r="R116">
            <v>80391</v>
          </cell>
          <cell r="S116">
            <v>1950</v>
          </cell>
          <cell r="T116">
            <v>1554.6089999999999</v>
          </cell>
          <cell r="U116">
            <v>2316.8230800000001</v>
          </cell>
          <cell r="V116">
            <v>4013.9</v>
          </cell>
          <cell r="W116">
            <v>90226.332079999993</v>
          </cell>
          <cell r="Y116">
            <v>80391</v>
          </cell>
          <cell r="AA116">
            <v>200</v>
          </cell>
          <cell r="AB116">
            <v>1800</v>
          </cell>
          <cell r="AC116">
            <v>283</v>
          </cell>
          <cell r="AE116">
            <v>2283</v>
          </cell>
          <cell r="AF116">
            <v>85993.332079999993</v>
          </cell>
        </row>
        <row r="117">
          <cell r="C117" t="str">
            <v>BITS-730</v>
          </cell>
          <cell r="E117" t="str">
            <v xml:space="preserve">Shantanu Patankar </v>
          </cell>
          <cell r="F117" t="str">
            <v>PUNE SEZ 1</v>
          </cell>
          <cell r="G117">
            <v>125000</v>
          </cell>
          <cell r="H117">
            <v>112719</v>
          </cell>
          <cell r="I117">
            <v>30</v>
          </cell>
          <cell r="J117">
            <v>30</v>
          </cell>
          <cell r="L117">
            <v>30</v>
          </cell>
          <cell r="M117">
            <v>67631.399999999994</v>
          </cell>
          <cell r="N117">
            <v>27052.559999999998</v>
          </cell>
          <cell r="O117">
            <v>2083</v>
          </cell>
          <cell r="P117">
            <v>2083</v>
          </cell>
          <cell r="Q117">
            <v>13982.040000000008</v>
          </cell>
          <cell r="R117">
            <v>112832</v>
          </cell>
          <cell r="S117">
            <v>1950</v>
          </cell>
          <cell r="T117">
            <v>1554.6089999999999</v>
          </cell>
          <cell r="U117">
            <v>3253.0703399999993</v>
          </cell>
          <cell r="V117">
            <v>5635.95</v>
          </cell>
          <cell r="W117">
            <v>125225.62934</v>
          </cell>
          <cell r="Y117">
            <v>112832</v>
          </cell>
          <cell r="AA117">
            <v>200</v>
          </cell>
          <cell r="AB117">
            <v>1800</v>
          </cell>
          <cell r="AC117">
            <v>283</v>
          </cell>
          <cell r="AE117">
            <v>2283</v>
          </cell>
          <cell r="AF117">
            <v>120992.62934</v>
          </cell>
        </row>
        <row r="118">
          <cell r="C118" t="str">
            <v>BITS-731</v>
          </cell>
          <cell r="E118" t="str">
            <v xml:space="preserve">YAMUNA S </v>
          </cell>
          <cell r="F118" t="str">
            <v>BNG STP</v>
          </cell>
          <cell r="G118">
            <v>135000</v>
          </cell>
          <cell r="H118">
            <v>121988</v>
          </cell>
          <cell r="I118">
            <v>30</v>
          </cell>
          <cell r="J118">
            <v>30</v>
          </cell>
          <cell r="L118">
            <v>30</v>
          </cell>
          <cell r="M118">
            <v>73192.800000000003</v>
          </cell>
          <cell r="N118">
            <v>29277.120000000003</v>
          </cell>
          <cell r="O118">
            <v>2083</v>
          </cell>
          <cell r="P118">
            <v>2083</v>
          </cell>
          <cell r="Q118">
            <v>15465.079999999987</v>
          </cell>
          <cell r="R118">
            <v>122101</v>
          </cell>
          <cell r="S118">
            <v>1950</v>
          </cell>
          <cell r="T118">
            <v>1554.6089999999999</v>
          </cell>
          <cell r="U118">
            <v>3520.5736799999995</v>
          </cell>
          <cell r="V118">
            <v>6099.4000000000005</v>
          </cell>
          <cell r="W118">
            <v>135225.58267999999</v>
          </cell>
          <cell r="Y118">
            <v>122101</v>
          </cell>
          <cell r="AA118">
            <v>200</v>
          </cell>
          <cell r="AB118">
            <v>1800</v>
          </cell>
          <cell r="AC118">
            <v>283</v>
          </cell>
          <cell r="AE118">
            <v>2283</v>
          </cell>
          <cell r="AF118">
            <v>130992.58267999999</v>
          </cell>
        </row>
        <row r="119">
          <cell r="C119" t="str">
            <v>BITS-732</v>
          </cell>
          <cell r="E119" t="str">
            <v xml:space="preserve">ChetanMadhukar Mundhe </v>
          </cell>
          <cell r="F119" t="str">
            <v>BNG STP</v>
          </cell>
          <cell r="G119">
            <v>125000</v>
          </cell>
          <cell r="H119">
            <v>112719</v>
          </cell>
          <cell r="I119">
            <v>30</v>
          </cell>
          <cell r="J119">
            <v>29</v>
          </cell>
          <cell r="K119">
            <v>1</v>
          </cell>
          <cell r="L119">
            <v>30</v>
          </cell>
          <cell r="M119">
            <v>67631.399999999994</v>
          </cell>
          <cell r="N119">
            <v>27052.559999999998</v>
          </cell>
          <cell r="O119">
            <v>2083</v>
          </cell>
          <cell r="P119">
            <v>2083</v>
          </cell>
          <cell r="Q119">
            <v>13982.040000000008</v>
          </cell>
          <cell r="R119">
            <v>112832</v>
          </cell>
          <cell r="S119">
            <v>1950</v>
          </cell>
          <cell r="T119">
            <v>1554.6089999999999</v>
          </cell>
          <cell r="U119">
            <v>3253.0703399999993</v>
          </cell>
          <cell r="V119">
            <v>5635.95</v>
          </cell>
          <cell r="W119">
            <v>125225.62934</v>
          </cell>
          <cell r="Y119">
            <v>112832</v>
          </cell>
          <cell r="AA119">
            <v>200</v>
          </cell>
          <cell r="AB119">
            <v>1800</v>
          </cell>
          <cell r="AC119">
            <v>283</v>
          </cell>
          <cell r="AE119">
            <v>2283</v>
          </cell>
          <cell r="AF119">
            <v>120992.62934</v>
          </cell>
        </row>
        <row r="120">
          <cell r="C120" t="str">
            <v>BITS-733</v>
          </cell>
          <cell r="E120" t="str">
            <v>Chandrashekar Patil</v>
          </cell>
          <cell r="F120" t="str">
            <v>PUNE ASC SEZ</v>
          </cell>
          <cell r="G120">
            <v>83000</v>
          </cell>
          <cell r="H120">
            <v>73789</v>
          </cell>
          <cell r="I120">
            <v>30</v>
          </cell>
          <cell r="J120">
            <v>26</v>
          </cell>
          <cell r="K120">
            <v>4</v>
          </cell>
          <cell r="L120">
            <v>27</v>
          </cell>
          <cell r="M120">
            <v>39846.060000000005</v>
          </cell>
          <cell r="N120">
            <v>15938.424000000003</v>
          </cell>
          <cell r="O120">
            <v>1875</v>
          </cell>
          <cell r="P120">
            <v>1875</v>
          </cell>
          <cell r="Q120">
            <v>6988.6159999999945</v>
          </cell>
          <cell r="R120">
            <v>66523.100000000006</v>
          </cell>
          <cell r="S120">
            <v>1950</v>
          </cell>
          <cell r="T120">
            <v>1554.6089999999999</v>
          </cell>
          <cell r="U120">
            <v>1916.5954860000002</v>
          </cell>
          <cell r="V120">
            <v>3320.5050000000006</v>
          </cell>
          <cell r="W120">
            <v>75264.809485999998</v>
          </cell>
          <cell r="Y120">
            <v>66523.100000000006</v>
          </cell>
          <cell r="AA120">
            <v>200</v>
          </cell>
          <cell r="AB120">
            <v>1800</v>
          </cell>
          <cell r="AC120">
            <v>283</v>
          </cell>
          <cell r="AE120">
            <v>2283</v>
          </cell>
          <cell r="AF120">
            <v>71031.709486000007</v>
          </cell>
        </row>
        <row r="121">
          <cell r="C121" t="str">
            <v>BITS-734</v>
          </cell>
          <cell r="E121" t="str">
            <v xml:space="preserve">ShaikFarooq Basha </v>
          </cell>
          <cell r="F121" t="str">
            <v>PUNE ASC SEZ</v>
          </cell>
          <cell r="G121">
            <v>115000</v>
          </cell>
          <cell r="H121">
            <v>103450</v>
          </cell>
          <cell r="I121">
            <v>30</v>
          </cell>
          <cell r="J121">
            <v>30</v>
          </cell>
          <cell r="L121">
            <v>30</v>
          </cell>
          <cell r="M121">
            <v>62070</v>
          </cell>
          <cell r="N121">
            <v>24828</v>
          </cell>
          <cell r="O121">
            <v>2083</v>
          </cell>
          <cell r="P121">
            <v>2083</v>
          </cell>
          <cell r="Q121">
            <v>12499</v>
          </cell>
          <cell r="R121">
            <v>103563</v>
          </cell>
          <cell r="S121">
            <v>1950</v>
          </cell>
          <cell r="T121">
            <v>1554.6089999999999</v>
          </cell>
          <cell r="U121">
            <v>2985.5669999999996</v>
          </cell>
          <cell r="V121">
            <v>5172.5</v>
          </cell>
          <cell r="W121">
            <v>115225.67599999999</v>
          </cell>
          <cell r="Y121">
            <v>103563</v>
          </cell>
          <cell r="Z121">
            <v>7419</v>
          </cell>
          <cell r="AA121">
            <v>200</v>
          </cell>
          <cell r="AB121">
            <v>1800</v>
          </cell>
          <cell r="AC121">
            <v>283</v>
          </cell>
          <cell r="AE121">
            <v>9702</v>
          </cell>
          <cell r="AF121">
            <v>103573.67599999999</v>
          </cell>
        </row>
        <row r="122">
          <cell r="C122" t="str">
            <v>BITS-734</v>
          </cell>
          <cell r="E122" t="str">
            <v>SathishKumar dhandu</v>
          </cell>
          <cell r="F122" t="str">
            <v>BNG STP</v>
          </cell>
          <cell r="G122">
            <v>95000</v>
          </cell>
          <cell r="H122">
            <v>84812</v>
          </cell>
          <cell r="I122">
            <v>30</v>
          </cell>
          <cell r="J122">
            <v>30</v>
          </cell>
          <cell r="L122">
            <v>30</v>
          </cell>
          <cell r="M122">
            <v>50887.199999999997</v>
          </cell>
          <cell r="N122">
            <v>20354.88</v>
          </cell>
          <cell r="O122">
            <v>2083</v>
          </cell>
          <cell r="P122">
            <v>2083</v>
          </cell>
          <cell r="Q122">
            <v>9516.9199999999983</v>
          </cell>
          <cell r="R122">
            <v>84925</v>
          </cell>
          <cell r="S122">
            <v>1950</v>
          </cell>
          <cell r="T122">
            <v>1554.6089999999999</v>
          </cell>
          <cell r="U122">
            <v>2447.6743199999996</v>
          </cell>
          <cell r="V122">
            <v>4240.5999999999995</v>
          </cell>
          <cell r="W122">
            <v>95117.883320000008</v>
          </cell>
          <cell r="Y122">
            <v>84925</v>
          </cell>
          <cell r="AA122">
            <v>200</v>
          </cell>
          <cell r="AC122">
            <v>283</v>
          </cell>
          <cell r="AE122">
            <v>483</v>
          </cell>
          <cell r="AF122">
            <v>92684.883320000008</v>
          </cell>
        </row>
        <row r="123">
          <cell r="C123" t="str">
            <v>BITS-735</v>
          </cell>
          <cell r="E123" t="str">
            <v>SURESH Kumar KOLA</v>
          </cell>
          <cell r="F123" t="str">
            <v>HYD SEZ</v>
          </cell>
          <cell r="G123">
            <v>90000</v>
          </cell>
          <cell r="H123">
            <v>80278</v>
          </cell>
          <cell r="I123">
            <v>30</v>
          </cell>
          <cell r="J123">
            <v>30</v>
          </cell>
          <cell r="L123">
            <v>30</v>
          </cell>
          <cell r="M123">
            <v>48166.8</v>
          </cell>
          <cell r="N123">
            <v>19266.72</v>
          </cell>
          <cell r="O123">
            <v>2083</v>
          </cell>
          <cell r="P123">
            <v>2083</v>
          </cell>
          <cell r="Q123">
            <v>8791.4799999999959</v>
          </cell>
          <cell r="R123">
            <v>80391</v>
          </cell>
          <cell r="S123">
            <v>1950</v>
          </cell>
          <cell r="T123">
            <v>1554.6089999999999</v>
          </cell>
          <cell r="U123">
            <v>2316.8230800000001</v>
          </cell>
          <cell r="V123">
            <v>4013.9</v>
          </cell>
          <cell r="W123">
            <v>90226.332079999993</v>
          </cell>
          <cell r="Y123">
            <v>80391</v>
          </cell>
          <cell r="AA123">
            <v>200</v>
          </cell>
          <cell r="AB123">
            <v>1800</v>
          </cell>
          <cell r="AC123">
            <v>283</v>
          </cell>
          <cell r="AE123">
            <v>2283</v>
          </cell>
          <cell r="AF123">
            <v>85993.332079999993</v>
          </cell>
        </row>
        <row r="124">
          <cell r="C124" t="str">
            <v>BITS-736</v>
          </cell>
          <cell r="E124" t="str">
            <v>Varalakshmi Vijay</v>
          </cell>
          <cell r="F124" t="str">
            <v>PUNE SEZ 1</v>
          </cell>
          <cell r="G124">
            <v>75000</v>
          </cell>
          <cell r="H124">
            <v>66374</v>
          </cell>
          <cell r="I124">
            <v>30</v>
          </cell>
          <cell r="J124">
            <v>30</v>
          </cell>
          <cell r="L124">
            <v>30</v>
          </cell>
          <cell r="M124">
            <v>39824.400000000001</v>
          </cell>
          <cell r="N124">
            <v>15929.760000000002</v>
          </cell>
          <cell r="O124">
            <v>2083</v>
          </cell>
          <cell r="P124">
            <v>2083</v>
          </cell>
          <cell r="Q124">
            <v>6566.8399999999965</v>
          </cell>
          <cell r="R124">
            <v>66487</v>
          </cell>
          <cell r="S124">
            <v>1950</v>
          </cell>
          <cell r="T124">
            <v>1554.6089999999999</v>
          </cell>
          <cell r="U124">
            <v>1915.5536400000001</v>
          </cell>
          <cell r="V124">
            <v>3318.7000000000003</v>
          </cell>
          <cell r="W124">
            <v>75225.862639999992</v>
          </cell>
          <cell r="Y124">
            <v>66487</v>
          </cell>
          <cell r="AA124">
            <v>200</v>
          </cell>
          <cell r="AB124">
            <v>1800</v>
          </cell>
          <cell r="AC124">
            <v>283</v>
          </cell>
          <cell r="AE124">
            <v>2283</v>
          </cell>
          <cell r="AF124">
            <v>70992.862639999992</v>
          </cell>
        </row>
        <row r="125">
          <cell r="C125" t="str">
            <v>BITS-737</v>
          </cell>
          <cell r="E125" t="str">
            <v>Rammohan Mothukuri</v>
          </cell>
          <cell r="F125" t="str">
            <v>HYD STP</v>
          </cell>
          <cell r="G125">
            <v>97000</v>
          </cell>
          <cell r="H125">
            <v>86766</v>
          </cell>
          <cell r="I125">
            <v>30</v>
          </cell>
          <cell r="J125">
            <v>30</v>
          </cell>
          <cell r="L125">
            <v>30</v>
          </cell>
          <cell r="M125">
            <v>52059.6</v>
          </cell>
          <cell r="N125">
            <v>20823.84</v>
          </cell>
          <cell r="O125">
            <v>2083</v>
          </cell>
          <cell r="P125">
            <v>2083</v>
          </cell>
          <cell r="Q125">
            <v>9829.5599999999977</v>
          </cell>
          <cell r="R125">
            <v>86879</v>
          </cell>
          <cell r="S125">
            <v>1950</v>
          </cell>
          <cell r="T125">
            <v>1554.6089999999999</v>
          </cell>
          <cell r="U125">
            <v>2504.0667599999997</v>
          </cell>
          <cell r="V125">
            <v>4338.3</v>
          </cell>
          <cell r="W125">
            <v>97225.975760000001</v>
          </cell>
          <cell r="Y125">
            <v>86879</v>
          </cell>
          <cell r="AA125">
            <v>200</v>
          </cell>
          <cell r="AB125">
            <v>1800</v>
          </cell>
          <cell r="AC125">
            <v>283</v>
          </cell>
          <cell r="AE125">
            <v>2283</v>
          </cell>
          <cell r="AF125">
            <v>92992.975760000001</v>
          </cell>
        </row>
        <row r="126">
          <cell r="C126" t="str">
            <v>BITS-738</v>
          </cell>
          <cell r="E126" t="str">
            <v>NILOTPAL BHOWAL</v>
          </cell>
          <cell r="F126" t="str">
            <v>PUNE ASC SEZ</v>
          </cell>
          <cell r="G126">
            <v>135000</v>
          </cell>
          <cell r="H126">
            <v>121988</v>
          </cell>
          <cell r="I126">
            <v>30</v>
          </cell>
          <cell r="J126">
            <v>30</v>
          </cell>
          <cell r="L126">
            <v>30</v>
          </cell>
          <cell r="M126">
            <v>73192.800000000003</v>
          </cell>
          <cell r="N126">
            <v>29277.120000000003</v>
          </cell>
          <cell r="O126">
            <v>2083</v>
          </cell>
          <cell r="P126">
            <v>2083</v>
          </cell>
          <cell r="Q126">
            <v>15465.079999999987</v>
          </cell>
          <cell r="R126">
            <v>122101</v>
          </cell>
          <cell r="S126">
            <v>1950</v>
          </cell>
          <cell r="T126">
            <v>1554.6089999999999</v>
          </cell>
          <cell r="U126">
            <v>3520.5736799999995</v>
          </cell>
          <cell r="V126">
            <v>6099.4000000000005</v>
          </cell>
          <cell r="W126">
            <v>135225.58267999999</v>
          </cell>
          <cell r="Y126">
            <v>122101</v>
          </cell>
          <cell r="AA126">
            <v>200</v>
          </cell>
          <cell r="AB126">
            <v>1800</v>
          </cell>
          <cell r="AC126">
            <v>283</v>
          </cell>
          <cell r="AE126">
            <v>2283</v>
          </cell>
          <cell r="AF126">
            <v>130992.58267999999</v>
          </cell>
        </row>
        <row r="127">
          <cell r="C127" t="str">
            <v>BITS-739</v>
          </cell>
          <cell r="E127" t="str">
            <v>PraveenKumar GATTU</v>
          </cell>
          <cell r="F127" t="str">
            <v>BNG STP</v>
          </cell>
          <cell r="G127">
            <v>90000</v>
          </cell>
          <cell r="H127">
            <v>80278</v>
          </cell>
          <cell r="I127">
            <v>30</v>
          </cell>
          <cell r="J127">
            <v>30</v>
          </cell>
          <cell r="L127">
            <v>30</v>
          </cell>
          <cell r="M127">
            <v>48166.8</v>
          </cell>
          <cell r="N127">
            <v>19266.72</v>
          </cell>
          <cell r="O127">
            <v>2083</v>
          </cell>
          <cell r="P127">
            <v>2083</v>
          </cell>
          <cell r="Q127">
            <v>8791.4799999999959</v>
          </cell>
          <cell r="R127">
            <v>80391</v>
          </cell>
          <cell r="S127">
            <v>1950</v>
          </cell>
          <cell r="T127">
            <v>1554.6089999999999</v>
          </cell>
          <cell r="U127">
            <v>2316.8230800000001</v>
          </cell>
          <cell r="V127">
            <v>4013.9</v>
          </cell>
          <cell r="W127">
            <v>90226.332079999993</v>
          </cell>
          <cell r="Y127">
            <v>80391</v>
          </cell>
          <cell r="AA127">
            <v>200</v>
          </cell>
          <cell r="AB127">
            <v>1800</v>
          </cell>
          <cell r="AC127">
            <v>283</v>
          </cell>
          <cell r="AE127">
            <v>2283</v>
          </cell>
          <cell r="AF127">
            <v>85993.332079999993</v>
          </cell>
        </row>
        <row r="128">
          <cell r="C128" t="str">
            <v>BITS-740</v>
          </cell>
          <cell r="E128" t="str">
            <v>ANILKUMAR MUMMANA</v>
          </cell>
          <cell r="F128" t="str">
            <v>HYD SEZ</v>
          </cell>
          <cell r="G128">
            <v>145000</v>
          </cell>
          <cell r="H128">
            <v>131257</v>
          </cell>
          <cell r="I128">
            <v>30</v>
          </cell>
          <cell r="J128">
            <v>30</v>
          </cell>
          <cell r="L128">
            <v>30</v>
          </cell>
          <cell r="M128">
            <v>78754.2</v>
          </cell>
          <cell r="N128">
            <v>31501.68</v>
          </cell>
          <cell r="O128">
            <v>2083</v>
          </cell>
          <cell r="P128">
            <v>2083</v>
          </cell>
          <cell r="Q128">
            <v>16948.119999999995</v>
          </cell>
          <cell r="R128">
            <v>131370</v>
          </cell>
          <cell r="S128">
            <v>1950</v>
          </cell>
          <cell r="T128">
            <v>1554.6089999999999</v>
          </cell>
          <cell r="U128">
            <v>3788.0770199999993</v>
          </cell>
          <cell r="V128">
            <v>6562.8499999999995</v>
          </cell>
          <cell r="W128">
            <v>145225.53602</v>
          </cell>
          <cell r="Y128">
            <v>131370</v>
          </cell>
          <cell r="AA128">
            <v>200</v>
          </cell>
          <cell r="AB128">
            <v>1800</v>
          </cell>
          <cell r="AC128">
            <v>283</v>
          </cell>
          <cell r="AE128">
            <v>2283</v>
          </cell>
          <cell r="AF128">
            <v>140992.53602</v>
          </cell>
        </row>
        <row r="129">
          <cell r="C129" t="str">
            <v>BITS-741</v>
          </cell>
          <cell r="E129" t="str">
            <v>susheelKumar Gabndla</v>
          </cell>
          <cell r="F129" t="str">
            <v>PUNE SEZ 2</v>
          </cell>
          <cell r="G129">
            <v>90000</v>
          </cell>
          <cell r="H129">
            <v>80278</v>
          </cell>
          <cell r="I129">
            <v>30</v>
          </cell>
          <cell r="J129">
            <v>30</v>
          </cell>
          <cell r="L129">
            <v>30</v>
          </cell>
          <cell r="M129">
            <v>48166.8</v>
          </cell>
          <cell r="N129">
            <v>19266.72</v>
          </cell>
          <cell r="O129">
            <v>2083</v>
          </cell>
          <cell r="P129">
            <v>2083</v>
          </cell>
          <cell r="Q129">
            <v>8791.4799999999959</v>
          </cell>
          <cell r="R129">
            <v>80391</v>
          </cell>
          <cell r="S129">
            <v>1950</v>
          </cell>
          <cell r="T129">
            <v>1554.6089999999999</v>
          </cell>
          <cell r="U129">
            <v>2316.8230800000001</v>
          </cell>
          <cell r="V129">
            <v>4013.9</v>
          </cell>
          <cell r="W129">
            <v>90226.332079999993</v>
          </cell>
          <cell r="Y129">
            <v>80391</v>
          </cell>
          <cell r="AA129">
            <v>200</v>
          </cell>
          <cell r="AE129">
            <v>200</v>
          </cell>
          <cell r="AF129">
            <v>88076.332079999993</v>
          </cell>
        </row>
        <row r="130">
          <cell r="C130" t="str">
            <v>BITS-742</v>
          </cell>
          <cell r="E130" t="str">
            <v xml:space="preserve">Ravi Gande </v>
          </cell>
          <cell r="F130" t="str">
            <v>HYD SEZ</v>
          </cell>
          <cell r="G130">
            <v>75000</v>
          </cell>
          <cell r="H130">
            <v>68182</v>
          </cell>
          <cell r="I130">
            <v>30</v>
          </cell>
          <cell r="J130">
            <v>30</v>
          </cell>
          <cell r="L130">
            <v>30</v>
          </cell>
          <cell r="M130">
            <v>40909.199999999997</v>
          </cell>
          <cell r="N130">
            <v>16363.68</v>
          </cell>
          <cell r="O130">
            <v>2083</v>
          </cell>
          <cell r="P130">
            <v>2083</v>
          </cell>
          <cell r="Q130">
            <v>6856.1200000000026</v>
          </cell>
          <cell r="R130">
            <v>68295</v>
          </cell>
          <cell r="S130">
            <v>1950</v>
          </cell>
          <cell r="T130">
            <v>1441.6089999999999</v>
          </cell>
          <cell r="U130">
            <v>1967.7325199999998</v>
          </cell>
          <cell r="V130">
            <v>3409.1</v>
          </cell>
          <cell r="W130">
            <v>77063.441519999993</v>
          </cell>
          <cell r="Y130">
            <v>68295</v>
          </cell>
          <cell r="AA130">
            <v>200</v>
          </cell>
          <cell r="AE130">
            <v>200</v>
          </cell>
          <cell r="AF130">
            <v>74913.441520000008</v>
          </cell>
        </row>
        <row r="131">
          <cell r="C131" t="str">
            <v>BITS-743</v>
          </cell>
          <cell r="E131" t="str">
            <v xml:space="preserve">Vinoth Vairavan </v>
          </cell>
          <cell r="F131" t="str">
            <v>BNG STP</v>
          </cell>
          <cell r="G131">
            <v>150000</v>
          </cell>
          <cell r="H131">
            <v>135892</v>
          </cell>
          <cell r="I131">
            <v>30</v>
          </cell>
          <cell r="J131">
            <v>25</v>
          </cell>
          <cell r="L131">
            <v>25</v>
          </cell>
          <cell r="M131">
            <v>67946</v>
          </cell>
          <cell r="N131">
            <v>27178.400000000001</v>
          </cell>
          <cell r="O131">
            <v>1736</v>
          </cell>
          <cell r="P131">
            <v>1736</v>
          </cell>
          <cell r="Q131">
            <v>14759.933333333334</v>
          </cell>
          <cell r="R131">
            <v>113356.33333333333</v>
          </cell>
          <cell r="S131">
            <v>1950</v>
          </cell>
          <cell r="T131">
            <v>1554.6089999999999</v>
          </cell>
          <cell r="U131">
            <v>3268.2025999999996</v>
          </cell>
          <cell r="V131">
            <v>5662.166666666667</v>
          </cell>
          <cell r="W131">
            <v>125791.3116</v>
          </cell>
          <cell r="Y131">
            <v>113356.33333333333</v>
          </cell>
          <cell r="AA131">
            <v>200</v>
          </cell>
          <cell r="AB131">
            <v>1800</v>
          </cell>
          <cell r="AE131">
            <v>2000</v>
          </cell>
          <cell r="AF131">
            <v>121840.97826666667</v>
          </cell>
        </row>
        <row r="132">
          <cell r="C132" t="str">
            <v>BITS-744</v>
          </cell>
          <cell r="E132" t="str">
            <v xml:space="preserve">OMPRAKASH PURI </v>
          </cell>
          <cell r="F132" t="str">
            <v>PUNE SEZ 1</v>
          </cell>
          <cell r="G132">
            <v>120000</v>
          </cell>
          <cell r="H132">
            <v>108085</v>
          </cell>
          <cell r="I132">
            <v>30</v>
          </cell>
          <cell r="J132">
            <v>30</v>
          </cell>
          <cell r="L132">
            <v>30</v>
          </cell>
          <cell r="M132">
            <v>64851</v>
          </cell>
          <cell r="N132">
            <v>25940.400000000001</v>
          </cell>
          <cell r="O132">
            <v>2083</v>
          </cell>
          <cell r="P132">
            <v>2083</v>
          </cell>
          <cell r="Q132">
            <v>13240.600000000006</v>
          </cell>
          <cell r="R132">
            <v>108198</v>
          </cell>
          <cell r="S132">
            <v>1950</v>
          </cell>
          <cell r="T132">
            <v>1554.6089999999999</v>
          </cell>
          <cell r="U132">
            <v>3119.3330999999998</v>
          </cell>
          <cell r="V132">
            <v>5404.25</v>
          </cell>
          <cell r="W132">
            <v>120226.1921</v>
          </cell>
          <cell r="Y132">
            <v>108198</v>
          </cell>
          <cell r="AA132">
            <v>200</v>
          </cell>
          <cell r="AB132">
            <v>1800</v>
          </cell>
          <cell r="AE132">
            <v>2000</v>
          </cell>
          <cell r="AF132">
            <v>116276.1921</v>
          </cell>
        </row>
        <row r="133">
          <cell r="C133" t="str">
            <v>BITS-745</v>
          </cell>
          <cell r="E133" t="str">
            <v xml:space="preserve">NarsiReddy Venna </v>
          </cell>
          <cell r="F133" t="str">
            <v>HYD SEZ</v>
          </cell>
          <cell r="G133">
            <v>125000</v>
          </cell>
          <cell r="H133">
            <v>112719</v>
          </cell>
          <cell r="I133">
            <v>30</v>
          </cell>
          <cell r="J133">
            <v>27</v>
          </cell>
          <cell r="L133">
            <v>27</v>
          </cell>
          <cell r="M133">
            <v>60868.26</v>
          </cell>
          <cell r="N133">
            <v>24347.304000000004</v>
          </cell>
          <cell r="O133">
            <v>1875</v>
          </cell>
          <cell r="P133">
            <v>1875</v>
          </cell>
          <cell r="Q133">
            <v>12594.535999999993</v>
          </cell>
          <cell r="R133">
            <v>101560.1</v>
          </cell>
          <cell r="S133">
            <v>1950</v>
          </cell>
          <cell r="T133">
            <v>1554.6089999999999</v>
          </cell>
          <cell r="U133">
            <v>2927.7633059999998</v>
          </cell>
          <cell r="V133">
            <v>5072.3550000000005</v>
          </cell>
          <cell r="W133">
            <v>113064.82730599999</v>
          </cell>
          <cell r="Y133">
            <v>101560.1</v>
          </cell>
          <cell r="AA133">
            <v>200</v>
          </cell>
          <cell r="AB133">
            <v>1800</v>
          </cell>
          <cell r="AE133">
            <v>2000</v>
          </cell>
          <cell r="AF133">
            <v>109114.72730599999</v>
          </cell>
        </row>
        <row r="134">
          <cell r="C134" t="str">
            <v>BITS-746</v>
          </cell>
          <cell r="E134" t="str">
            <v xml:space="preserve">Dipti Ranjan Dikhit </v>
          </cell>
          <cell r="F134" t="str">
            <v>PUNE SEZ 1</v>
          </cell>
          <cell r="G134">
            <v>71000</v>
          </cell>
          <cell r="H134">
            <v>62667</v>
          </cell>
          <cell r="I134">
            <v>30</v>
          </cell>
          <cell r="J134">
            <v>27</v>
          </cell>
          <cell r="L134">
            <v>27</v>
          </cell>
          <cell r="M134">
            <v>33840.18</v>
          </cell>
          <cell r="N134">
            <v>13536.072</v>
          </cell>
          <cell r="O134">
            <v>1875</v>
          </cell>
          <cell r="P134">
            <v>1875</v>
          </cell>
          <cell r="Q134">
            <v>5387.0480000000025</v>
          </cell>
          <cell r="R134">
            <v>56513.3</v>
          </cell>
          <cell r="S134">
            <v>1950</v>
          </cell>
          <cell r="T134">
            <v>1554.6089999999999</v>
          </cell>
          <cell r="U134">
            <v>1627.7126579999999</v>
          </cell>
          <cell r="V134">
            <v>2820.0149999999999</v>
          </cell>
          <cell r="W134">
            <v>64465.636657999996</v>
          </cell>
          <cell r="Y134">
            <v>56513.3</v>
          </cell>
          <cell r="AA134">
            <v>200</v>
          </cell>
          <cell r="AB134">
            <v>1800</v>
          </cell>
          <cell r="AE134">
            <v>2000</v>
          </cell>
          <cell r="AF134">
            <v>60515.336657999993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61"/>
  <sheetViews>
    <sheetView topLeftCell="A49" zoomScale="98" zoomScaleNormal="98" workbookViewId="0">
      <selection activeCell="A52" sqref="A52"/>
    </sheetView>
  </sheetViews>
  <sheetFormatPr defaultColWidth="8.7109375" defaultRowHeight="25.5" customHeight="1"/>
  <cols>
    <col min="1" max="1" width="10" style="425" customWidth="1"/>
    <col min="2" max="2" width="41.7109375" style="425" customWidth="1"/>
    <col min="3" max="3" width="14.7109375" style="425" customWidth="1"/>
    <col min="4" max="4" width="9.28515625" style="425" customWidth="1"/>
    <col min="5" max="5" width="23" style="425" customWidth="1"/>
    <col min="6" max="6" width="20.42578125" style="767" customWidth="1"/>
    <col min="7" max="7" width="31.85546875" style="425" customWidth="1"/>
    <col min="8" max="8" width="27.42578125" style="425" customWidth="1"/>
    <col min="9" max="9" width="14" style="425" customWidth="1"/>
    <col min="10" max="10" width="23.85546875" style="425" customWidth="1"/>
    <col min="11" max="11" width="16.42578125" style="425" customWidth="1"/>
    <col min="12" max="12" width="13.42578125" style="425" customWidth="1"/>
    <col min="13" max="13" width="9" style="425" customWidth="1"/>
    <col min="14" max="16384" width="8.7109375" style="425"/>
  </cols>
  <sheetData>
    <row r="1" spans="1:13" ht="25.5" customHeight="1">
      <c r="A1" s="1020" t="s">
        <v>468</v>
      </c>
      <c r="B1" s="1021"/>
      <c r="C1" s="1021"/>
      <c r="D1" s="1021"/>
      <c r="E1" s="1021"/>
      <c r="F1" s="1021"/>
      <c r="G1" s="1021"/>
      <c r="H1" s="1021"/>
      <c r="I1" s="1021"/>
      <c r="J1" s="1021"/>
      <c r="K1" s="1021"/>
      <c r="L1" s="1022"/>
      <c r="M1" s="1023"/>
    </row>
    <row r="2" spans="1:13" ht="25.5" customHeight="1">
      <c r="A2" s="1024"/>
      <c r="B2" s="1025"/>
      <c r="C2" s="1025"/>
      <c r="D2" s="1026"/>
      <c r="E2" s="1025"/>
      <c r="F2" s="1025"/>
      <c r="G2" s="1025"/>
      <c r="H2" s="1025"/>
      <c r="I2" s="1025"/>
      <c r="J2" s="1025"/>
      <c r="K2" s="1025"/>
      <c r="L2" s="1027"/>
      <c r="M2" s="1028"/>
    </row>
    <row r="3" spans="1:13" ht="25.5" customHeight="1">
      <c r="A3" s="1029" t="s">
        <v>469</v>
      </c>
      <c r="B3" s="1030"/>
      <c r="C3" s="1030"/>
      <c r="D3" s="1031"/>
      <c r="E3" s="1030"/>
      <c r="F3" s="1030"/>
      <c r="G3" s="1030"/>
      <c r="H3" s="1030"/>
      <c r="I3" s="1030"/>
      <c r="J3" s="1030"/>
      <c r="K3" s="1030"/>
      <c r="L3" s="1032"/>
      <c r="M3" s="1033"/>
    </row>
    <row r="4" spans="1:13" ht="25.5" customHeight="1">
      <c r="A4" s="345" t="s">
        <v>498</v>
      </c>
      <c r="B4" s="500"/>
      <c r="C4" s="500"/>
      <c r="D4" s="501"/>
      <c r="E4" s="502"/>
      <c r="F4" s="1034" t="s">
        <v>499</v>
      </c>
      <c r="G4" s="1034"/>
      <c r="H4" s="1034"/>
      <c r="I4" s="1034"/>
      <c r="J4" s="1034"/>
      <c r="K4" s="1034"/>
      <c r="L4" s="1034"/>
      <c r="M4" s="1034"/>
    </row>
    <row r="5" spans="1:13" ht="25.5" customHeight="1">
      <c r="A5" s="503" t="s">
        <v>383</v>
      </c>
      <c r="B5" s="504"/>
      <c r="C5" s="504"/>
      <c r="D5" s="504"/>
      <c r="E5" s="505"/>
      <c r="F5" s="1034"/>
      <c r="G5" s="1034"/>
      <c r="H5" s="1034"/>
      <c r="I5" s="1034"/>
      <c r="J5" s="1034"/>
      <c r="K5" s="1034"/>
      <c r="L5" s="1034"/>
      <c r="M5" s="1034"/>
    </row>
    <row r="6" spans="1:13" ht="25.5" customHeight="1" thickBot="1">
      <c r="A6" s="506"/>
      <c r="B6" s="507"/>
      <c r="C6" s="507"/>
      <c r="D6" s="507"/>
      <c r="E6" s="508"/>
      <c r="F6" s="1035"/>
      <c r="G6" s="1035"/>
      <c r="H6" s="1035"/>
      <c r="I6" s="1035"/>
      <c r="J6" s="1035"/>
      <c r="K6" s="1035"/>
      <c r="L6" s="1035"/>
      <c r="M6" s="1035"/>
    </row>
    <row r="7" spans="1:13" ht="25.5" customHeight="1">
      <c r="A7" s="1036" t="s">
        <v>498</v>
      </c>
      <c r="B7" s="1036"/>
      <c r="C7" s="1036"/>
      <c r="D7" s="1037"/>
      <c r="E7" s="1037"/>
      <c r="F7" s="509" t="s">
        <v>64</v>
      </c>
      <c r="G7" s="510"/>
      <c r="H7" s="510"/>
      <c r="I7" s="510"/>
      <c r="J7" s="510"/>
      <c r="K7" s="510"/>
      <c r="L7" s="511"/>
      <c r="M7" s="511"/>
    </row>
    <row r="8" spans="1:13" ht="25.5" customHeight="1">
      <c r="A8" s="1036"/>
      <c r="B8" s="1036"/>
      <c r="C8" s="1036"/>
      <c r="D8" s="1037"/>
      <c r="E8" s="1037"/>
      <c r="F8" s="512" t="str">
        <f>'04-221Master'!AP10</f>
        <v>INFOSYS  LTD.IL Pune SEZ Unit-I,Plot No. 24/3</v>
      </c>
      <c r="G8" s="504"/>
      <c r="H8" s="504"/>
      <c r="I8" s="504"/>
      <c r="J8" s="504"/>
      <c r="K8" s="504"/>
      <c r="L8" s="513"/>
      <c r="M8" s="513"/>
    </row>
    <row r="9" spans="1:13" ht="25.5" customHeight="1">
      <c r="A9" s="1036"/>
      <c r="B9" s="1036"/>
      <c r="C9" s="1036"/>
      <c r="D9" s="1037"/>
      <c r="E9" s="1037"/>
      <c r="F9" s="767" t="s">
        <v>490</v>
      </c>
      <c r="G9" s="504"/>
      <c r="H9" s="504"/>
      <c r="I9" s="504"/>
      <c r="J9" s="504"/>
      <c r="K9" s="504"/>
      <c r="L9" s="513"/>
      <c r="M9" s="513"/>
    </row>
    <row r="10" spans="1:13" ht="25.5" customHeight="1" thickBot="1">
      <c r="A10" s="1036"/>
      <c r="B10" s="1036"/>
      <c r="C10" s="1036"/>
      <c r="D10" s="1037"/>
      <c r="E10" s="1037"/>
      <c r="F10" s="514"/>
      <c r="G10" s="515"/>
      <c r="H10" s="515"/>
      <c r="I10" s="515"/>
      <c r="J10" s="515"/>
      <c r="K10" s="515"/>
      <c r="L10" s="516"/>
      <c r="M10" s="516"/>
    </row>
    <row r="11" spans="1:13" ht="25.5" customHeight="1">
      <c r="A11" s="1038" t="s">
        <v>5</v>
      </c>
      <c r="B11" s="1038" t="s">
        <v>470</v>
      </c>
      <c r="C11" s="1038" t="s">
        <v>48</v>
      </c>
      <c r="D11" s="841" t="s">
        <v>492</v>
      </c>
      <c r="E11" s="1040" t="s">
        <v>471</v>
      </c>
      <c r="F11" s="1042" t="s">
        <v>472</v>
      </c>
      <c r="G11" s="1040" t="s">
        <v>473</v>
      </c>
      <c r="H11" s="1040" t="s">
        <v>43</v>
      </c>
      <c r="I11" s="1040" t="s">
        <v>474</v>
      </c>
      <c r="J11" s="1044" t="s">
        <v>475</v>
      </c>
      <c r="K11" s="1046" t="s">
        <v>476</v>
      </c>
      <c r="L11" s="1046" t="s">
        <v>477</v>
      </c>
      <c r="M11" s="1048" t="s">
        <v>40</v>
      </c>
    </row>
    <row r="12" spans="1:13" ht="25.5" customHeight="1">
      <c r="A12" s="1039"/>
      <c r="B12" s="1039"/>
      <c r="C12" s="1039"/>
      <c r="D12" s="517"/>
      <c r="E12" s="1041"/>
      <c r="F12" s="1043"/>
      <c r="G12" s="1041"/>
      <c r="H12" s="1041"/>
      <c r="I12" s="1041"/>
      <c r="J12" s="1045"/>
      <c r="K12" s="1047"/>
      <c r="L12" s="1047"/>
      <c r="M12" s="1047"/>
    </row>
    <row r="13" spans="1:13" ht="25.5" customHeight="1">
      <c r="A13" s="621">
        <v>1</v>
      </c>
      <c r="B13" s="621">
        <v>2</v>
      </c>
      <c r="C13" s="621">
        <v>3</v>
      </c>
      <c r="D13" s="622"/>
      <c r="E13" s="621">
        <v>4</v>
      </c>
      <c r="F13" s="621">
        <v>5</v>
      </c>
      <c r="G13" s="621">
        <v>6</v>
      </c>
      <c r="H13" s="621">
        <v>7</v>
      </c>
      <c r="I13" s="621">
        <v>8</v>
      </c>
      <c r="J13" s="621">
        <v>9</v>
      </c>
      <c r="K13" s="621">
        <v>10</v>
      </c>
      <c r="L13" s="621"/>
      <c r="M13" s="621">
        <v>11</v>
      </c>
    </row>
    <row r="14" spans="1:13" s="720" customFormat="1" ht="68.25" customHeight="1">
      <c r="A14" s="623">
        <v>1</v>
      </c>
      <c r="B14" s="719" t="s">
        <v>693</v>
      </c>
      <c r="C14" s="624">
        <v>33571</v>
      </c>
      <c r="D14" s="625" t="s">
        <v>493</v>
      </c>
      <c r="E14" s="626" t="s">
        <v>494</v>
      </c>
      <c r="F14" s="627" t="s">
        <v>500</v>
      </c>
      <c r="G14" s="628" t="s">
        <v>495</v>
      </c>
      <c r="H14" s="629" t="s">
        <v>496</v>
      </c>
      <c r="I14" s="630">
        <v>43283</v>
      </c>
      <c r="J14" s="631"/>
      <c r="K14" s="631" t="s">
        <v>556</v>
      </c>
      <c r="L14" s="626" t="s">
        <v>529</v>
      </c>
      <c r="M14" s="631"/>
    </row>
    <row r="15" spans="1:13" s="720" customFormat="1" ht="68.25" customHeight="1">
      <c r="A15" s="623">
        <v>2</v>
      </c>
      <c r="B15" s="719" t="s">
        <v>694</v>
      </c>
      <c r="C15" s="624">
        <v>33571</v>
      </c>
      <c r="D15" s="625" t="s">
        <v>493</v>
      </c>
      <c r="E15" s="626" t="s">
        <v>494</v>
      </c>
      <c r="F15" s="632" t="s">
        <v>507</v>
      </c>
      <c r="G15" s="628" t="s">
        <v>495</v>
      </c>
      <c r="H15" s="628" t="s">
        <v>495</v>
      </c>
      <c r="I15" s="630">
        <v>43515</v>
      </c>
      <c r="J15" s="631"/>
      <c r="K15" s="631" t="s">
        <v>557</v>
      </c>
      <c r="L15" s="626" t="s">
        <v>529</v>
      </c>
      <c r="M15" s="631"/>
    </row>
    <row r="16" spans="1:13" s="720" customFormat="1" ht="68.25" customHeight="1">
      <c r="A16" s="623">
        <v>3</v>
      </c>
      <c r="B16" s="719" t="s">
        <v>501</v>
      </c>
      <c r="C16" s="624">
        <v>29587</v>
      </c>
      <c r="D16" s="625" t="s">
        <v>493</v>
      </c>
      <c r="E16" s="626" t="s">
        <v>503</v>
      </c>
      <c r="F16" s="632" t="s">
        <v>508</v>
      </c>
      <c r="G16" s="628" t="s">
        <v>504</v>
      </c>
      <c r="H16" s="628" t="s">
        <v>505</v>
      </c>
      <c r="I16" s="630" t="s">
        <v>506</v>
      </c>
      <c r="J16" s="631"/>
      <c r="K16" s="631"/>
      <c r="L16" s="626" t="s">
        <v>529</v>
      </c>
      <c r="M16" s="631"/>
    </row>
    <row r="17" spans="1:14" s="720" customFormat="1" ht="68.25" customHeight="1">
      <c r="A17" s="633">
        <v>4</v>
      </c>
      <c r="B17" s="719" t="s">
        <v>695</v>
      </c>
      <c r="C17" s="634">
        <v>34630</v>
      </c>
      <c r="D17" s="633" t="s">
        <v>502</v>
      </c>
      <c r="E17" s="633" t="s">
        <v>527</v>
      </c>
      <c r="F17" s="627" t="s">
        <v>500</v>
      </c>
      <c r="G17" s="635" t="s">
        <v>528</v>
      </c>
      <c r="H17" s="635" t="s">
        <v>528</v>
      </c>
      <c r="I17" s="630">
        <v>43871</v>
      </c>
      <c r="J17" s="636"/>
      <c r="K17" s="636" t="s">
        <v>530</v>
      </c>
      <c r="L17" s="626" t="s">
        <v>529</v>
      </c>
      <c r="M17" s="636"/>
    </row>
    <row r="18" spans="1:14" s="533" customFormat="1" ht="68.25" customHeight="1">
      <c r="A18" s="637">
        <v>5</v>
      </c>
      <c r="B18" s="711" t="s">
        <v>696</v>
      </c>
      <c r="C18" s="638">
        <v>33431</v>
      </c>
      <c r="D18" s="637" t="s">
        <v>538</v>
      </c>
      <c r="E18" s="532" t="s">
        <v>539</v>
      </c>
      <c r="F18" s="768" t="s">
        <v>534</v>
      </c>
      <c r="G18" s="639" t="s">
        <v>540</v>
      </c>
      <c r="H18" s="639" t="s">
        <v>540</v>
      </c>
      <c r="I18" s="640">
        <v>44021</v>
      </c>
      <c r="J18" s="532"/>
      <c r="K18" s="532"/>
      <c r="L18" s="626" t="s">
        <v>529</v>
      </c>
      <c r="M18" s="532"/>
    </row>
    <row r="19" spans="1:14" s="575" customFormat="1" ht="68.25" customHeight="1">
      <c r="A19" s="548">
        <v>6</v>
      </c>
      <c r="B19" s="898" t="s">
        <v>531</v>
      </c>
      <c r="C19" s="572">
        <v>31669</v>
      </c>
      <c r="D19" s="548" t="s">
        <v>538</v>
      </c>
      <c r="E19" s="547" t="s">
        <v>541</v>
      </c>
      <c r="F19" s="769" t="s">
        <v>508</v>
      </c>
      <c r="G19" s="573" t="s">
        <v>543</v>
      </c>
      <c r="H19" s="573" t="s">
        <v>542</v>
      </c>
      <c r="I19" s="574">
        <v>44021</v>
      </c>
      <c r="J19" s="547"/>
      <c r="K19" s="547" t="s">
        <v>685</v>
      </c>
      <c r="L19" s="547" t="s">
        <v>685</v>
      </c>
      <c r="M19" s="547"/>
      <c r="N19" s="575">
        <v>1</v>
      </c>
    </row>
    <row r="20" spans="1:14" s="533" customFormat="1" ht="68.25" customHeight="1">
      <c r="A20" s="637">
        <v>7</v>
      </c>
      <c r="B20" s="711" t="s">
        <v>686</v>
      </c>
      <c r="C20" s="641">
        <v>35595</v>
      </c>
      <c r="D20" s="637" t="s">
        <v>502</v>
      </c>
      <c r="E20" s="532" t="s">
        <v>544</v>
      </c>
      <c r="F20" s="768" t="s">
        <v>554</v>
      </c>
      <c r="G20" s="639" t="s">
        <v>545</v>
      </c>
      <c r="H20" s="639" t="s">
        <v>545</v>
      </c>
      <c r="I20" s="640">
        <v>44021</v>
      </c>
      <c r="J20" s="532"/>
      <c r="K20" s="532"/>
      <c r="L20" s="633" t="s">
        <v>529</v>
      </c>
      <c r="M20" s="532"/>
    </row>
    <row r="21" spans="1:14" s="533" customFormat="1" ht="68.25" customHeight="1">
      <c r="A21" s="637">
        <v>8</v>
      </c>
      <c r="B21" s="711" t="s">
        <v>687</v>
      </c>
      <c r="C21" s="638">
        <v>33034</v>
      </c>
      <c r="D21" s="637" t="s">
        <v>502</v>
      </c>
      <c r="E21" s="532" t="s">
        <v>546</v>
      </c>
      <c r="F21" s="768" t="s">
        <v>508</v>
      </c>
      <c r="G21" s="639" t="s">
        <v>548</v>
      </c>
      <c r="H21" s="639" t="s">
        <v>547</v>
      </c>
      <c r="I21" s="640">
        <v>44020</v>
      </c>
      <c r="J21" s="532"/>
      <c r="K21" s="532"/>
      <c r="L21" s="633" t="s">
        <v>529</v>
      </c>
      <c r="M21" s="532"/>
    </row>
    <row r="22" spans="1:14" s="533" customFormat="1" ht="68.25" customHeight="1">
      <c r="A22" s="637">
        <v>9</v>
      </c>
      <c r="B22" s="715" t="s">
        <v>688</v>
      </c>
      <c r="C22" s="716">
        <v>33301</v>
      </c>
      <c r="D22" s="637" t="s">
        <v>502</v>
      </c>
      <c r="E22" s="717" t="s">
        <v>549</v>
      </c>
      <c r="F22" s="768" t="s">
        <v>555</v>
      </c>
      <c r="G22" s="718" t="s">
        <v>550</v>
      </c>
      <c r="H22" s="718" t="s">
        <v>551</v>
      </c>
      <c r="I22" s="640">
        <v>44034</v>
      </c>
      <c r="J22" s="532"/>
      <c r="L22" s="633" t="s">
        <v>529</v>
      </c>
      <c r="M22" s="532"/>
    </row>
    <row r="23" spans="1:14" s="580" customFormat="1" ht="68.25" customHeight="1">
      <c r="A23" s="576">
        <v>10</v>
      </c>
      <c r="B23" s="899" t="s">
        <v>532</v>
      </c>
      <c r="C23" s="601">
        <v>30310</v>
      </c>
      <c r="D23" s="576" t="s">
        <v>502</v>
      </c>
      <c r="E23" s="577" t="s">
        <v>552</v>
      </c>
      <c r="F23" s="770" t="s">
        <v>536</v>
      </c>
      <c r="G23" s="578" t="s">
        <v>553</v>
      </c>
      <c r="H23" s="578" t="s">
        <v>553</v>
      </c>
      <c r="I23" s="579">
        <v>44034</v>
      </c>
      <c r="J23" s="577"/>
      <c r="K23" s="577" t="s">
        <v>685</v>
      </c>
      <c r="L23" s="577" t="s">
        <v>685</v>
      </c>
      <c r="M23" s="577"/>
      <c r="N23" s="580">
        <v>2</v>
      </c>
    </row>
    <row r="24" spans="1:14" s="533" customFormat="1" ht="68.25" customHeight="1">
      <c r="A24" s="637">
        <v>11</v>
      </c>
      <c r="B24" s="711" t="s">
        <v>689</v>
      </c>
      <c r="C24" s="638">
        <v>33523</v>
      </c>
      <c r="D24" s="637" t="s">
        <v>538</v>
      </c>
      <c r="E24" s="532" t="s">
        <v>562</v>
      </c>
      <c r="F24" s="534" t="s">
        <v>563</v>
      </c>
      <c r="G24" s="639" t="s">
        <v>561</v>
      </c>
      <c r="H24" s="639" t="s">
        <v>560</v>
      </c>
      <c r="I24" s="712">
        <v>44048</v>
      </c>
      <c r="J24" s="532"/>
      <c r="K24" s="532"/>
      <c r="L24" s="633" t="s">
        <v>529</v>
      </c>
      <c r="M24" s="532"/>
    </row>
    <row r="25" spans="1:14" s="533" customFormat="1" ht="68.25" customHeight="1">
      <c r="A25" s="637">
        <v>12</v>
      </c>
      <c r="B25" s="711" t="s">
        <v>690</v>
      </c>
      <c r="C25" s="641">
        <v>32053</v>
      </c>
      <c r="D25" s="637" t="s">
        <v>502</v>
      </c>
      <c r="E25" s="532" t="s">
        <v>565</v>
      </c>
      <c r="F25" s="534" t="s">
        <v>564</v>
      </c>
      <c r="G25" s="639" t="s">
        <v>566</v>
      </c>
      <c r="H25" s="639" t="s">
        <v>566</v>
      </c>
      <c r="I25" s="712">
        <v>44064</v>
      </c>
      <c r="J25" s="532"/>
      <c r="K25" s="532"/>
      <c r="L25" s="633" t="s">
        <v>529</v>
      </c>
      <c r="M25" s="532"/>
    </row>
    <row r="26" spans="1:14" s="533" customFormat="1" ht="68.25" customHeight="1">
      <c r="A26" s="637">
        <v>13</v>
      </c>
      <c r="B26" s="713" t="s">
        <v>691</v>
      </c>
      <c r="C26" s="641">
        <v>33552</v>
      </c>
      <c r="D26" s="637" t="s">
        <v>502</v>
      </c>
      <c r="E26" s="532" t="s">
        <v>567</v>
      </c>
      <c r="F26" s="534" t="s">
        <v>569</v>
      </c>
      <c r="G26" s="714" t="s">
        <v>568</v>
      </c>
      <c r="H26" s="639" t="s">
        <v>568</v>
      </c>
      <c r="I26" s="642">
        <v>44123</v>
      </c>
      <c r="J26" s="532"/>
      <c r="K26" s="532"/>
      <c r="L26" s="633" t="s">
        <v>529</v>
      </c>
      <c r="M26" s="532"/>
    </row>
    <row r="27" spans="1:14" s="533" customFormat="1" ht="68.25" customHeight="1">
      <c r="A27" s="637">
        <v>14</v>
      </c>
      <c r="B27" s="916" t="s">
        <v>570</v>
      </c>
      <c r="C27" s="641">
        <v>27051</v>
      </c>
      <c r="D27" s="637" t="s">
        <v>502</v>
      </c>
      <c r="E27" s="532" t="s">
        <v>572</v>
      </c>
      <c r="F27" s="534" t="s">
        <v>571</v>
      </c>
      <c r="G27" s="639" t="s">
        <v>573</v>
      </c>
      <c r="H27" s="639" t="s">
        <v>574</v>
      </c>
      <c r="I27" s="642">
        <v>44145</v>
      </c>
      <c r="J27" s="532"/>
      <c r="K27" s="532" t="s">
        <v>685</v>
      </c>
      <c r="L27" s="532" t="s">
        <v>685</v>
      </c>
      <c r="M27" s="532"/>
    </row>
    <row r="28" spans="1:14" s="533" customFormat="1" ht="68.25" customHeight="1">
      <c r="A28" s="637">
        <v>15</v>
      </c>
      <c r="B28" s="689" t="s">
        <v>575</v>
      </c>
      <c r="C28" s="641">
        <v>31968</v>
      </c>
      <c r="D28" s="637" t="s">
        <v>502</v>
      </c>
      <c r="E28" s="532" t="s">
        <v>577</v>
      </c>
      <c r="F28" s="768" t="s">
        <v>576</v>
      </c>
      <c r="G28" s="639" t="s">
        <v>578</v>
      </c>
      <c r="H28" s="639" t="s">
        <v>579</v>
      </c>
      <c r="I28" s="642">
        <v>44249</v>
      </c>
      <c r="J28" s="532"/>
      <c r="K28" s="532" t="s">
        <v>685</v>
      </c>
      <c r="L28" s="532" t="s">
        <v>685</v>
      </c>
      <c r="M28" s="532"/>
    </row>
    <row r="29" spans="1:14" s="533" customFormat="1" ht="68.25" customHeight="1">
      <c r="A29" s="637">
        <v>16</v>
      </c>
      <c r="B29" s="725" t="s">
        <v>580</v>
      </c>
      <c r="C29" s="641">
        <v>32603</v>
      </c>
      <c r="D29" s="637" t="s">
        <v>538</v>
      </c>
      <c r="E29" s="532" t="s">
        <v>581</v>
      </c>
      <c r="F29" s="768" t="s">
        <v>582</v>
      </c>
      <c r="G29" s="639" t="s">
        <v>583</v>
      </c>
      <c r="H29" s="639" t="s">
        <v>583</v>
      </c>
      <c r="I29" s="642">
        <v>44264</v>
      </c>
      <c r="J29" s="532"/>
      <c r="K29" s="532"/>
      <c r="L29" s="633" t="s">
        <v>529</v>
      </c>
      <c r="M29" s="532"/>
    </row>
    <row r="30" spans="1:14" s="533" customFormat="1" ht="68.25" customHeight="1">
      <c r="A30" s="637">
        <v>17</v>
      </c>
      <c r="B30" s="689" t="s">
        <v>586</v>
      </c>
      <c r="C30" s="641">
        <v>32150</v>
      </c>
      <c r="D30" s="637" t="s">
        <v>493</v>
      </c>
      <c r="E30" s="532" t="s">
        <v>594</v>
      </c>
      <c r="F30" s="768" t="s">
        <v>596</v>
      </c>
      <c r="G30" s="639" t="s">
        <v>597</v>
      </c>
      <c r="H30" s="637" t="s">
        <v>597</v>
      </c>
      <c r="I30" s="642">
        <v>44292</v>
      </c>
      <c r="J30" s="532"/>
      <c r="K30" s="532" t="s">
        <v>685</v>
      </c>
      <c r="L30" s="532" t="s">
        <v>685</v>
      </c>
      <c r="M30" s="532"/>
    </row>
    <row r="31" spans="1:14" s="533" customFormat="1" ht="68.25" customHeight="1">
      <c r="A31" s="637">
        <v>18</v>
      </c>
      <c r="B31" s="689" t="s">
        <v>587</v>
      </c>
      <c r="C31" s="726">
        <v>29174</v>
      </c>
      <c r="D31" s="637" t="s">
        <v>493</v>
      </c>
      <c r="E31" s="532" t="s">
        <v>595</v>
      </c>
      <c r="F31" s="768" t="s">
        <v>500</v>
      </c>
      <c r="G31" s="639" t="s">
        <v>598</v>
      </c>
      <c r="H31" s="727" t="s">
        <v>598</v>
      </c>
      <c r="I31" s="728">
        <v>44312</v>
      </c>
      <c r="J31" s="532"/>
      <c r="K31" s="532" t="s">
        <v>685</v>
      </c>
      <c r="L31" s="532" t="s">
        <v>685</v>
      </c>
      <c r="M31" s="532"/>
    </row>
    <row r="32" spans="1:14" ht="68.25" customHeight="1">
      <c r="A32" s="518">
        <v>19</v>
      </c>
      <c r="B32" s="900" t="s">
        <v>664</v>
      </c>
      <c r="C32" s="521">
        <v>32972</v>
      </c>
      <c r="D32" s="518" t="s">
        <v>493</v>
      </c>
      <c r="E32" s="519" t="s">
        <v>697</v>
      </c>
      <c r="F32" s="522" t="s">
        <v>665</v>
      </c>
      <c r="G32" s="520" t="s">
        <v>698</v>
      </c>
      <c r="H32" s="520" t="s">
        <v>698</v>
      </c>
      <c r="I32" s="448">
        <v>44335</v>
      </c>
      <c r="J32" s="519"/>
      <c r="K32" s="519" t="s">
        <v>685</v>
      </c>
      <c r="L32" s="519" t="s">
        <v>685</v>
      </c>
      <c r="M32" s="519"/>
      <c r="N32" s="425">
        <v>3</v>
      </c>
    </row>
    <row r="33" spans="1:14" ht="68.25" customHeight="1">
      <c r="A33" s="518">
        <v>20</v>
      </c>
      <c r="B33" s="900" t="s">
        <v>692</v>
      </c>
      <c r="C33" s="521">
        <v>32113</v>
      </c>
      <c r="D33" s="518" t="s">
        <v>538</v>
      </c>
      <c r="E33" s="519" t="s">
        <v>705</v>
      </c>
      <c r="F33" s="522" t="s">
        <v>708</v>
      </c>
      <c r="G33" s="520" t="s">
        <v>706</v>
      </c>
      <c r="H33" s="520" t="s">
        <v>706</v>
      </c>
      <c r="I33" s="448">
        <v>44390</v>
      </c>
      <c r="J33" s="519"/>
      <c r="K33" s="519" t="s">
        <v>685</v>
      </c>
      <c r="L33" s="519" t="s">
        <v>685</v>
      </c>
      <c r="M33" s="519"/>
      <c r="N33" s="425">
        <v>4</v>
      </c>
    </row>
    <row r="34" spans="1:14" s="533" customFormat="1" ht="68.25" customHeight="1">
      <c r="A34" s="637">
        <v>21</v>
      </c>
      <c r="B34" s="534" t="s">
        <v>668</v>
      </c>
      <c r="C34" s="730" t="s">
        <v>667</v>
      </c>
      <c r="D34" s="637" t="s">
        <v>493</v>
      </c>
      <c r="E34" s="637" t="s">
        <v>679</v>
      </c>
      <c r="F34" s="768" t="s">
        <v>674</v>
      </c>
      <c r="G34" s="714" t="s">
        <v>680</v>
      </c>
      <c r="H34" s="714" t="s">
        <v>680</v>
      </c>
      <c r="I34" s="731">
        <v>44409</v>
      </c>
      <c r="J34" s="532"/>
      <c r="K34" s="532" t="s">
        <v>685</v>
      </c>
      <c r="L34" s="532" t="s">
        <v>685</v>
      </c>
      <c r="M34" s="532"/>
    </row>
    <row r="35" spans="1:14" ht="68.25" customHeight="1">
      <c r="A35" s="518">
        <v>22</v>
      </c>
      <c r="B35" s="899" t="s">
        <v>669</v>
      </c>
      <c r="C35" s="535">
        <v>32813</v>
      </c>
      <c r="D35" s="518" t="s">
        <v>493</v>
      </c>
      <c r="E35" s="518" t="s">
        <v>712</v>
      </c>
      <c r="F35" s="766" t="s">
        <v>674</v>
      </c>
      <c r="G35" s="523" t="s">
        <v>709</v>
      </c>
      <c r="H35" s="523" t="s">
        <v>709</v>
      </c>
      <c r="I35" s="721">
        <v>44409</v>
      </c>
      <c r="J35" s="519"/>
      <c r="K35" s="519" t="s">
        <v>685</v>
      </c>
      <c r="L35" s="519" t="s">
        <v>685</v>
      </c>
      <c r="M35" s="519"/>
      <c r="N35" s="425">
        <v>5</v>
      </c>
    </row>
    <row r="36" spans="1:14" s="533" customFormat="1" ht="68.25" customHeight="1">
      <c r="A36" s="637">
        <v>23</v>
      </c>
      <c r="B36" s="729" t="s">
        <v>670</v>
      </c>
      <c r="C36" s="730">
        <v>34917</v>
      </c>
      <c r="D36" s="637" t="s">
        <v>493</v>
      </c>
      <c r="E36" s="637" t="s">
        <v>710</v>
      </c>
      <c r="F36" s="534" t="s">
        <v>675</v>
      </c>
      <c r="G36" s="714" t="s">
        <v>711</v>
      </c>
      <c r="H36" s="714" t="s">
        <v>711</v>
      </c>
      <c r="I36" s="731">
        <v>44420</v>
      </c>
      <c r="J36" s="532"/>
      <c r="K36" s="532" t="s">
        <v>753</v>
      </c>
      <c r="L36" s="532" t="s">
        <v>529</v>
      </c>
      <c r="M36" s="532"/>
    </row>
    <row r="37" spans="1:14" ht="68.25" customHeight="1">
      <c r="A37" s="518">
        <v>24</v>
      </c>
      <c r="B37" s="901" t="s">
        <v>671</v>
      </c>
      <c r="C37" s="535">
        <v>31328</v>
      </c>
      <c r="D37" s="518" t="s">
        <v>493</v>
      </c>
      <c r="E37" s="519" t="s">
        <v>713</v>
      </c>
      <c r="F37" s="722" t="s">
        <v>676</v>
      </c>
      <c r="G37" s="520" t="s">
        <v>714</v>
      </c>
      <c r="H37" s="520" t="s">
        <v>715</v>
      </c>
      <c r="I37" s="721">
        <v>44432</v>
      </c>
      <c r="J37" s="519"/>
      <c r="K37" s="519" t="s">
        <v>685</v>
      </c>
      <c r="L37" s="519" t="s">
        <v>685</v>
      </c>
      <c r="M37" s="519"/>
      <c r="N37" s="425">
        <v>6</v>
      </c>
    </row>
    <row r="38" spans="1:14" ht="68.25" customHeight="1">
      <c r="A38" s="518">
        <v>25</v>
      </c>
      <c r="B38" s="901" t="s">
        <v>672</v>
      </c>
      <c r="C38" s="521">
        <v>32669</v>
      </c>
      <c r="D38" s="518" t="s">
        <v>493</v>
      </c>
      <c r="E38" s="519" t="s">
        <v>718</v>
      </c>
      <c r="F38" s="522" t="s">
        <v>677</v>
      </c>
      <c r="G38" s="520" t="s">
        <v>719</v>
      </c>
      <c r="H38" s="520" t="s">
        <v>719</v>
      </c>
      <c r="I38" s="721">
        <v>44434</v>
      </c>
      <c r="J38" s="519"/>
      <c r="K38" s="519" t="s">
        <v>685</v>
      </c>
      <c r="L38" s="519" t="s">
        <v>685</v>
      </c>
      <c r="M38" s="519"/>
      <c r="N38" s="425">
        <v>7</v>
      </c>
    </row>
    <row r="39" spans="1:14" ht="68.25" customHeight="1">
      <c r="A39" s="518">
        <v>26</v>
      </c>
      <c r="B39" s="901" t="s">
        <v>673</v>
      </c>
      <c r="C39" s="521">
        <v>32336</v>
      </c>
      <c r="D39" s="518" t="s">
        <v>493</v>
      </c>
      <c r="E39" s="519" t="s">
        <v>716</v>
      </c>
      <c r="F39" s="522" t="s">
        <v>678</v>
      </c>
      <c r="G39" s="520" t="s">
        <v>717</v>
      </c>
      <c r="H39" s="520" t="s">
        <v>717</v>
      </c>
      <c r="I39" s="721">
        <v>44438</v>
      </c>
      <c r="J39" s="519"/>
      <c r="K39" s="519" t="s">
        <v>685</v>
      </c>
      <c r="L39" s="519" t="s">
        <v>685</v>
      </c>
      <c r="M39" s="519"/>
      <c r="N39" s="425">
        <v>8</v>
      </c>
    </row>
    <row r="40" spans="1:14" ht="68.25" customHeight="1">
      <c r="A40" s="518">
        <v>27</v>
      </c>
      <c r="B40" s="901" t="s">
        <v>725</v>
      </c>
      <c r="C40" s="521">
        <v>31899</v>
      </c>
      <c r="D40" s="519" t="s">
        <v>493</v>
      </c>
      <c r="E40" s="519" t="s">
        <v>727</v>
      </c>
      <c r="F40" s="766" t="s">
        <v>732</v>
      </c>
      <c r="G40" s="520" t="s">
        <v>728</v>
      </c>
      <c r="H40" s="520" t="s">
        <v>728</v>
      </c>
      <c r="I40" s="521">
        <v>44446</v>
      </c>
      <c r="J40" s="519"/>
      <c r="K40" s="519" t="s">
        <v>685</v>
      </c>
      <c r="L40" s="519" t="s">
        <v>685</v>
      </c>
      <c r="M40" s="519"/>
      <c r="N40" s="425">
        <v>9</v>
      </c>
    </row>
    <row r="41" spans="1:14" s="533" customFormat="1" ht="68.25" customHeight="1">
      <c r="A41" s="637">
        <v>28</v>
      </c>
      <c r="B41" s="729" t="s">
        <v>726</v>
      </c>
      <c r="C41" s="641">
        <v>29587</v>
      </c>
      <c r="D41" s="532" t="s">
        <v>538</v>
      </c>
      <c r="E41" s="532" t="s">
        <v>729</v>
      </c>
      <c r="F41" s="768" t="s">
        <v>731</v>
      </c>
      <c r="G41" s="639" t="s">
        <v>730</v>
      </c>
      <c r="H41" s="639" t="s">
        <v>730</v>
      </c>
      <c r="I41" s="641">
        <v>44466</v>
      </c>
      <c r="J41" s="532"/>
      <c r="K41" s="532" t="s">
        <v>685</v>
      </c>
      <c r="L41" s="532" t="s">
        <v>685</v>
      </c>
      <c r="M41" s="532"/>
    </row>
    <row r="42" spans="1:14" ht="68.25" customHeight="1">
      <c r="A42" s="518">
        <v>29</v>
      </c>
      <c r="B42" s="902" t="s">
        <v>733</v>
      </c>
      <c r="C42" s="519" t="s">
        <v>740</v>
      </c>
      <c r="D42" s="519" t="s">
        <v>502</v>
      </c>
      <c r="E42" s="519" t="s">
        <v>741</v>
      </c>
      <c r="F42" s="771" t="s">
        <v>735</v>
      </c>
      <c r="G42" s="520" t="s">
        <v>739</v>
      </c>
      <c r="H42" s="520" t="s">
        <v>739</v>
      </c>
      <c r="I42" s="723">
        <v>44490</v>
      </c>
      <c r="J42" s="519"/>
      <c r="K42" s="519" t="s">
        <v>685</v>
      </c>
      <c r="L42" s="519" t="s">
        <v>685</v>
      </c>
      <c r="M42" s="519"/>
      <c r="N42" s="425">
        <v>10</v>
      </c>
    </row>
    <row r="43" spans="1:14" ht="68.25" customHeight="1">
      <c r="A43" s="518">
        <v>30</v>
      </c>
      <c r="B43" s="903" t="s">
        <v>777</v>
      </c>
      <c r="C43" s="521">
        <v>32932</v>
      </c>
      <c r="D43" s="519" t="s">
        <v>502</v>
      </c>
      <c r="E43" s="519" t="s">
        <v>742</v>
      </c>
      <c r="F43" s="766" t="s">
        <v>738</v>
      </c>
      <c r="G43" s="520" t="s">
        <v>743</v>
      </c>
      <c r="H43" s="520" t="s">
        <v>744</v>
      </c>
      <c r="I43" s="723">
        <v>44494</v>
      </c>
      <c r="J43" s="519"/>
      <c r="K43" s="519" t="s">
        <v>685</v>
      </c>
      <c r="L43" s="519" t="s">
        <v>685</v>
      </c>
      <c r="M43" s="519"/>
      <c r="N43" s="425">
        <v>11</v>
      </c>
    </row>
    <row r="44" spans="1:14" ht="68.25" customHeight="1">
      <c r="A44" s="518">
        <v>31</v>
      </c>
      <c r="B44" s="904" t="s">
        <v>748</v>
      </c>
      <c r="C44" s="644">
        <v>34146</v>
      </c>
      <c r="D44" s="645" t="s">
        <v>502</v>
      </c>
      <c r="E44" s="645" t="s">
        <v>755</v>
      </c>
      <c r="F44" s="772" t="s">
        <v>749</v>
      </c>
      <c r="G44" s="645" t="s">
        <v>756</v>
      </c>
      <c r="H44" s="645" t="s">
        <v>756</v>
      </c>
      <c r="I44" s="644">
        <v>44509</v>
      </c>
      <c r="J44" s="647"/>
      <c r="K44" s="647" t="s">
        <v>685</v>
      </c>
      <c r="L44" s="519" t="s">
        <v>685</v>
      </c>
      <c r="M44" s="645"/>
      <c r="N44" s="425">
        <v>12</v>
      </c>
    </row>
    <row r="45" spans="1:14" ht="68.25" customHeight="1">
      <c r="A45" s="518">
        <v>32</v>
      </c>
      <c r="B45" s="905" t="s">
        <v>757</v>
      </c>
      <c r="C45" s="521">
        <v>33635</v>
      </c>
      <c r="D45" s="594" t="s">
        <v>502</v>
      </c>
      <c r="E45" s="519" t="s">
        <v>772</v>
      </c>
      <c r="F45" s="766" t="s">
        <v>776</v>
      </c>
      <c r="G45" s="519" t="s">
        <v>773</v>
      </c>
      <c r="H45" s="519" t="s">
        <v>773</v>
      </c>
      <c r="I45" s="724">
        <v>44538</v>
      </c>
      <c r="J45" s="519" t="s">
        <v>758</v>
      </c>
      <c r="K45" s="647" t="s">
        <v>685</v>
      </c>
      <c r="L45" s="519" t="s">
        <v>685</v>
      </c>
      <c r="M45" s="519" t="s">
        <v>758</v>
      </c>
      <c r="N45" s="519">
        <v>13</v>
      </c>
    </row>
    <row r="46" spans="1:14" ht="68.25" customHeight="1">
      <c r="A46" s="733">
        <v>33</v>
      </c>
      <c r="B46" s="901" t="s">
        <v>778</v>
      </c>
      <c r="C46" s="521">
        <v>32947</v>
      </c>
      <c r="D46" s="594" t="s">
        <v>502</v>
      </c>
      <c r="E46" s="848" t="s">
        <v>787</v>
      </c>
      <c r="F46" s="801" t="s">
        <v>780</v>
      </c>
      <c r="G46" s="842" t="s">
        <v>788</v>
      </c>
      <c r="H46" s="842" t="s">
        <v>788</v>
      </c>
      <c r="I46" s="723">
        <v>44579</v>
      </c>
      <c r="J46" s="647"/>
      <c r="K46" s="647" t="s">
        <v>685</v>
      </c>
      <c r="L46" s="647" t="s">
        <v>685</v>
      </c>
      <c r="M46" s="647"/>
      <c r="N46" s="425">
        <v>14</v>
      </c>
    </row>
    <row r="47" spans="1:14" ht="68.25" customHeight="1">
      <c r="A47" s="518">
        <v>34</v>
      </c>
      <c r="B47" s="906" t="s">
        <v>789</v>
      </c>
      <c r="C47" s="289">
        <v>31491</v>
      </c>
      <c r="D47" s="732" t="s">
        <v>502</v>
      </c>
      <c r="E47" s="321" t="s">
        <v>797</v>
      </c>
      <c r="F47" s="849" t="s">
        <v>801</v>
      </c>
      <c r="G47" s="666" t="s">
        <v>802</v>
      </c>
      <c r="H47" s="786" t="s">
        <v>803</v>
      </c>
      <c r="I47" s="844">
        <v>44601</v>
      </c>
      <c r="J47" s="519"/>
      <c r="K47" s="519" t="s">
        <v>685</v>
      </c>
      <c r="L47" s="519" t="s">
        <v>685</v>
      </c>
      <c r="M47" s="519"/>
      <c r="N47" s="425">
        <v>15</v>
      </c>
    </row>
    <row r="48" spans="1:14" ht="68.25" customHeight="1">
      <c r="A48" s="518">
        <v>35</v>
      </c>
      <c r="B48" s="906" t="s">
        <v>790</v>
      </c>
      <c r="C48" s="845">
        <v>35211</v>
      </c>
      <c r="D48" s="594" t="s">
        <v>502</v>
      </c>
      <c r="E48" s="846" t="s">
        <v>793</v>
      </c>
      <c r="F48" s="779" t="s">
        <v>804</v>
      </c>
      <c r="G48" s="843" t="s">
        <v>794</v>
      </c>
      <c r="H48" s="843" t="s">
        <v>794</v>
      </c>
      <c r="I48" s="844">
        <v>44602</v>
      </c>
      <c r="J48" s="519"/>
      <c r="K48" s="519" t="s">
        <v>685</v>
      </c>
      <c r="L48" s="519" t="s">
        <v>685</v>
      </c>
      <c r="M48" s="519"/>
      <c r="N48" s="425">
        <v>16</v>
      </c>
    </row>
    <row r="49" spans="1:14" ht="25.5" customHeight="1">
      <c r="A49" s="518">
        <v>36</v>
      </c>
      <c r="B49" s="907" t="s">
        <v>806</v>
      </c>
      <c r="C49" s="860">
        <v>35236</v>
      </c>
      <c r="D49" s="594" t="s">
        <v>502</v>
      </c>
      <c r="E49" s="861" t="s">
        <v>812</v>
      </c>
      <c r="F49" s="786" t="s">
        <v>829</v>
      </c>
      <c r="G49" s="786" t="s">
        <v>824</v>
      </c>
      <c r="H49" s="786" t="s">
        <v>824</v>
      </c>
      <c r="I49" s="857">
        <v>44624</v>
      </c>
      <c r="J49" s="519"/>
      <c r="K49" s="519" t="s">
        <v>685</v>
      </c>
      <c r="L49" s="519" t="s">
        <v>685</v>
      </c>
      <c r="M49" s="519"/>
      <c r="N49" s="425">
        <v>17</v>
      </c>
    </row>
    <row r="50" spans="1:14" ht="25.5" customHeight="1">
      <c r="A50" s="518">
        <v>37</v>
      </c>
      <c r="B50" s="907" t="s">
        <v>807</v>
      </c>
      <c r="C50" s="860">
        <v>32959</v>
      </c>
      <c r="D50" s="594" t="s">
        <v>502</v>
      </c>
      <c r="E50" s="861" t="s">
        <v>815</v>
      </c>
      <c r="F50" s="786" t="s">
        <v>801</v>
      </c>
      <c r="G50" s="519" t="s">
        <v>828</v>
      </c>
      <c r="H50" s="519" t="s">
        <v>827</v>
      </c>
      <c r="I50" s="857">
        <v>44629</v>
      </c>
      <c r="J50" s="519"/>
      <c r="K50" s="519" t="s">
        <v>685</v>
      </c>
      <c r="L50" s="519" t="s">
        <v>685</v>
      </c>
      <c r="M50" s="519"/>
      <c r="N50" s="425">
        <v>18</v>
      </c>
    </row>
    <row r="51" spans="1:14" ht="25.5" customHeight="1">
      <c r="A51" s="818">
        <v>38</v>
      </c>
      <c r="B51" s="911" t="s">
        <v>808</v>
      </c>
      <c r="C51" s="912">
        <v>29711</v>
      </c>
      <c r="D51" s="425" t="s">
        <v>538</v>
      </c>
      <c r="E51" s="913" t="s">
        <v>818</v>
      </c>
      <c r="F51" s="914" t="s">
        <v>801</v>
      </c>
      <c r="G51" s="647" t="s">
        <v>830</v>
      </c>
      <c r="H51" s="647" t="s">
        <v>830</v>
      </c>
      <c r="I51" s="915">
        <v>44641</v>
      </c>
      <c r="J51" s="647"/>
      <c r="K51" s="519" t="s">
        <v>685</v>
      </c>
      <c r="L51" s="519" t="s">
        <v>685</v>
      </c>
      <c r="M51" s="647"/>
      <c r="N51" s="425">
        <v>19</v>
      </c>
    </row>
    <row r="52" spans="1:14" ht="25.5" customHeight="1">
      <c r="A52" s="519">
        <v>39</v>
      </c>
      <c r="B52" s="925" t="s">
        <v>833</v>
      </c>
      <c r="C52" s="1018">
        <v>31427</v>
      </c>
      <c r="D52" s="519" t="s">
        <v>493</v>
      </c>
      <c r="E52" s="813" t="s">
        <v>850</v>
      </c>
      <c r="F52" s="926" t="s">
        <v>839</v>
      </c>
      <c r="G52" s="813" t="s">
        <v>851</v>
      </c>
      <c r="H52" s="813" t="s">
        <v>851</v>
      </c>
      <c r="I52" s="796">
        <v>44652</v>
      </c>
      <c r="J52" s="519"/>
      <c r="K52" s="519" t="s">
        <v>685</v>
      </c>
      <c r="L52" s="519" t="s">
        <v>685</v>
      </c>
      <c r="M52" s="519"/>
      <c r="N52" s="425">
        <v>20</v>
      </c>
    </row>
    <row r="53" spans="1:14" ht="25.5" customHeight="1">
      <c r="A53" s="519">
        <v>40</v>
      </c>
      <c r="B53" s="907" t="s">
        <v>837</v>
      </c>
      <c r="C53" s="1018">
        <v>31991</v>
      </c>
      <c r="D53" s="519" t="s">
        <v>538</v>
      </c>
      <c r="E53" s="813" t="s">
        <v>852</v>
      </c>
      <c r="F53" s="926" t="s">
        <v>838</v>
      </c>
      <c r="G53" s="813" t="s">
        <v>853</v>
      </c>
      <c r="H53" s="813" t="s">
        <v>853</v>
      </c>
      <c r="I53" s="796">
        <v>44655</v>
      </c>
      <c r="J53" s="519"/>
      <c r="K53" s="519" t="s">
        <v>685</v>
      </c>
      <c r="L53" s="519" t="s">
        <v>685</v>
      </c>
      <c r="M53" s="519"/>
      <c r="N53" s="425">
        <v>21</v>
      </c>
    </row>
    <row r="54" spans="1:14" ht="25.5" customHeight="1">
      <c r="B54" s="910"/>
    </row>
    <row r="55" spans="1:14" ht="25.5" customHeight="1">
      <c r="B55" s="910"/>
    </row>
    <row r="56" spans="1:14" ht="25.5" customHeight="1">
      <c r="B56" s="910"/>
    </row>
    <row r="57" spans="1:14" ht="25.5" customHeight="1">
      <c r="B57" s="910"/>
    </row>
    <row r="61" spans="1:14" ht="25.5" customHeight="1">
      <c r="J61" s="138" t="s">
        <v>558</v>
      </c>
    </row>
  </sheetData>
  <protectedRanges>
    <protectedRange password="CA4D" sqref="A1:M2 L11 A11:K13 M11:M13 L13" name="Range1"/>
    <protectedRange password="CA4D" sqref="A3:M3" name="Range1_6"/>
    <protectedRange password="CA4D" sqref="A5:E6 M7:M10 B4:E4" name="Range1_1"/>
    <protectedRange password="CA4D" sqref="F7:L8 F10:L10 G9:L9" name="Range1_2_1"/>
    <protectedRange password="CA4D" sqref="A4" name="Range1_1_1"/>
    <protectedRange password="CA4D" sqref="F4:M6" name="Range1_2_2"/>
    <protectedRange password="CA4D" sqref="F9" name="Range1_2_1_1"/>
    <protectedRange password="CA4D" sqref="A7:E10" name="Range1_1_2"/>
  </protectedRanges>
  <mergeCells count="16">
    <mergeCell ref="A1:M2"/>
    <mergeCell ref="A3:M3"/>
    <mergeCell ref="F4:M6"/>
    <mergeCell ref="A7:E10"/>
    <mergeCell ref="A11:A12"/>
    <mergeCell ref="B11:B12"/>
    <mergeCell ref="C11:C12"/>
    <mergeCell ref="E11:E12"/>
    <mergeCell ref="F11:F12"/>
    <mergeCell ref="G11:G12"/>
    <mergeCell ref="H11:H12"/>
    <mergeCell ref="I11:I12"/>
    <mergeCell ref="J11:J12"/>
    <mergeCell ref="K11:K12"/>
    <mergeCell ref="M11:M12"/>
    <mergeCell ref="L11:L12"/>
  </mergeCells>
  <pageMargins left="0.70866141732283472" right="0.70866141732283472" top="0.74803149606299213" bottom="0.74803149606299213" header="0.31496062992125984" footer="0.31496062992125984"/>
  <pageSetup paperSize="8" scale="8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C37"/>
  <sheetViews>
    <sheetView topLeftCell="AJ1" zoomScale="115" zoomScaleNormal="115" workbookViewId="0">
      <selection activeCell="AV36" sqref="AV36"/>
    </sheetView>
  </sheetViews>
  <sheetFormatPr defaultColWidth="8.7109375" defaultRowHeight="18.75"/>
  <cols>
    <col min="1" max="1" width="10.7109375" style="733" customWidth="1"/>
    <col min="2" max="2" width="30.7109375" style="734" customWidth="1"/>
    <col min="3" max="3" width="14.5703125" style="735" bestFit="1" customWidth="1"/>
    <col min="4" max="4" width="4.7109375" style="561" customWidth="1"/>
    <col min="5" max="5" width="18.85546875" style="561" customWidth="1"/>
    <col min="6" max="6" width="19.7109375" style="773" customWidth="1"/>
    <col min="7" max="7" width="22" style="736" customWidth="1"/>
    <col min="8" max="8" width="11" style="736" customWidth="1"/>
    <col min="9" max="9" width="5.140625" style="736" customWidth="1"/>
    <col min="10" max="10" width="20.5703125" style="736" customWidth="1"/>
    <col min="11" max="11" width="4.28515625" style="736" customWidth="1"/>
    <col min="12" max="12" width="5" style="736" customWidth="1"/>
    <col min="13" max="13" width="7.140625" style="736" customWidth="1"/>
    <col min="14" max="14" width="14" style="736" customWidth="1"/>
    <col min="15" max="15" width="4.5703125" style="736" customWidth="1"/>
    <col min="16" max="16" width="4" style="736" customWidth="1"/>
    <col min="17" max="17" width="5.140625" style="736" customWidth="1"/>
    <col min="18" max="18" width="2.85546875" style="736" customWidth="1"/>
    <col min="19" max="19" width="15.5703125" style="425" customWidth="1"/>
    <col min="20" max="20" width="4.7109375" style="425" customWidth="1"/>
    <col min="21" max="21" width="18.140625" style="737" customWidth="1"/>
    <col min="22" max="22" width="4.85546875" style="425" customWidth="1"/>
    <col min="23" max="23" width="8.140625" style="425" customWidth="1"/>
    <col min="24" max="24" width="6" style="425" customWidth="1"/>
    <col min="25" max="25" width="11" style="738" customWidth="1"/>
    <col min="26" max="26" width="10.85546875" style="946" customWidth="1"/>
    <col min="27" max="27" width="8.7109375" style="425" customWidth="1"/>
    <col min="28" max="28" width="5.5703125" style="425" customWidth="1"/>
    <col min="29" max="29" width="8.85546875" style="425" customWidth="1"/>
    <col min="30" max="30" width="8.28515625" style="425" customWidth="1"/>
    <col min="31" max="31" width="8.7109375" style="425" customWidth="1"/>
    <col min="32" max="32" width="7.85546875" style="425" customWidth="1"/>
    <col min="33" max="33" width="10.42578125" style="425" customWidth="1"/>
    <col min="34" max="34" width="11.7109375" style="425" customWidth="1"/>
    <col min="35" max="35" width="7.28515625" style="1011" customWidth="1"/>
    <col min="36" max="36" width="8.85546875" style="425" customWidth="1"/>
    <col min="37" max="37" width="8" style="425" customWidth="1"/>
    <col min="38" max="38" width="8.140625" style="425" customWidth="1"/>
    <col min="39" max="39" width="11.7109375" style="425" customWidth="1"/>
    <col min="40" max="40" width="3.85546875" style="733" customWidth="1"/>
    <col min="41" max="42" width="6.5703125" style="562" customWidth="1"/>
    <col min="43" max="43" width="8.5703125" style="562" customWidth="1"/>
    <col min="44" max="44" width="7" style="562" customWidth="1"/>
    <col min="45" max="45" width="9" style="733" customWidth="1"/>
    <col min="46" max="46" width="11.140625" style="425" customWidth="1"/>
    <col min="47" max="47" width="13.85546875" style="425" bestFit="1" customWidth="1"/>
    <col min="48" max="48" width="11.7109375" style="614" bestFit="1" customWidth="1"/>
    <col min="49" max="49" width="24.7109375" style="614" customWidth="1"/>
    <col min="50" max="50" width="11.7109375" style="425" customWidth="1"/>
    <col min="51" max="16384" width="8.7109375" style="425"/>
  </cols>
  <sheetData>
    <row r="1" spans="1:54" ht="27.95" customHeight="1"/>
    <row r="2" spans="1:54" ht="27.95" customHeight="1"/>
    <row r="3" spans="1:54" ht="27.95" customHeight="1">
      <c r="A3" s="425" t="s">
        <v>786</v>
      </c>
      <c r="Y3" s="735"/>
      <c r="AN3" s="425"/>
      <c r="AO3" s="561"/>
      <c r="AP3" s="561"/>
      <c r="AQ3" s="561"/>
      <c r="AR3" s="561"/>
      <c r="AS3" s="425"/>
    </row>
    <row r="4" spans="1:54" ht="27.95" customHeight="1">
      <c r="B4" s="734" t="s">
        <v>380</v>
      </c>
    </row>
    <row r="5" spans="1:54" ht="25.9" customHeight="1">
      <c r="A5" s="1051" t="s">
        <v>0</v>
      </c>
      <c r="B5" s="1051"/>
      <c r="C5" s="1051"/>
      <c r="D5" s="739"/>
      <c r="E5" s="739"/>
      <c r="F5" s="774" t="s">
        <v>382</v>
      </c>
      <c r="G5" s="740"/>
      <c r="H5" s="740"/>
      <c r="I5" s="660"/>
      <c r="J5" s="660"/>
      <c r="K5" s="660"/>
      <c r="L5" s="660"/>
      <c r="M5" s="660"/>
      <c r="N5" s="660"/>
      <c r="O5" s="660"/>
      <c r="P5" s="660"/>
      <c r="Q5" s="660"/>
      <c r="R5" s="660"/>
      <c r="S5" s="419"/>
      <c r="T5" s="419"/>
      <c r="U5" s="554"/>
      <c r="V5" s="419"/>
      <c r="AB5" s="1067" t="s">
        <v>1</v>
      </c>
      <c r="AC5" s="1067"/>
      <c r="AD5" s="1067"/>
      <c r="AE5" s="1067"/>
      <c r="AF5" s="1067"/>
      <c r="AG5" s="1067"/>
      <c r="AH5" s="1067"/>
      <c r="AI5" s="1067"/>
      <c r="AJ5" s="1067"/>
      <c r="AK5" s="1067"/>
      <c r="AL5" s="1067"/>
      <c r="AM5" s="1067"/>
      <c r="AN5" s="1067"/>
      <c r="AO5" s="1067"/>
      <c r="AP5" s="559" t="str">
        <f>F5</f>
        <v>Burgeon IT Services Pvt.Ltd.</v>
      </c>
      <c r="AQ5" s="741"/>
      <c r="AR5" s="741"/>
      <c r="AS5" s="138"/>
      <c r="AT5" s="138"/>
      <c r="AU5" s="138"/>
      <c r="AV5" s="742"/>
      <c r="AW5" s="742"/>
      <c r="AX5" s="138"/>
      <c r="AY5" s="420"/>
      <c r="AZ5" s="420"/>
      <c r="BA5" s="420"/>
      <c r="BB5" s="420"/>
    </row>
    <row r="6" spans="1:54" ht="27.6" customHeight="1">
      <c r="A6" s="134"/>
      <c r="F6" s="775" t="s">
        <v>383</v>
      </c>
      <c r="I6" s="661"/>
      <c r="J6" s="661"/>
      <c r="K6" s="661"/>
      <c r="L6" s="661"/>
      <c r="M6" s="661"/>
      <c r="N6" s="661"/>
      <c r="O6" s="661"/>
      <c r="P6" s="661"/>
      <c r="Q6" s="661"/>
      <c r="R6" s="661"/>
      <c r="S6" s="421"/>
      <c r="T6" s="421"/>
      <c r="U6" s="555"/>
      <c r="V6" s="421"/>
      <c r="AC6" s="424"/>
      <c r="AD6" s="424"/>
      <c r="AE6" s="424"/>
      <c r="AF6" s="424"/>
      <c r="AG6" s="424"/>
      <c r="AH6" s="424"/>
      <c r="AI6" s="1012"/>
      <c r="AJ6" s="424"/>
      <c r="AK6" s="424"/>
      <c r="AL6" s="424"/>
      <c r="AM6" s="424"/>
      <c r="AP6" s="553" t="str">
        <f>F6</f>
        <v>Siri Mansion LIGB 436 Dr.A S Rao Nagar,Hyderabad</v>
      </c>
      <c r="AQ6" s="561"/>
      <c r="AR6" s="561"/>
      <c r="AS6" s="422"/>
      <c r="AT6" s="422"/>
      <c r="AU6" s="422"/>
      <c r="AV6" s="613"/>
      <c r="AW6" s="613"/>
      <c r="AX6" s="422"/>
      <c r="AY6" s="422"/>
      <c r="AZ6" s="422"/>
      <c r="BA6" s="422"/>
      <c r="BB6" s="422"/>
    </row>
    <row r="7" spans="1:54" ht="27.6" customHeight="1">
      <c r="A7" s="134"/>
      <c r="F7" s="775"/>
      <c r="I7" s="661"/>
      <c r="J7" s="661"/>
      <c r="K7" s="661"/>
      <c r="L7" s="661"/>
      <c r="M7" s="661"/>
      <c r="N7" s="661"/>
      <c r="O7" s="661"/>
      <c r="P7" s="661"/>
      <c r="Q7" s="661"/>
      <c r="R7" s="661"/>
      <c r="S7" s="421"/>
      <c r="T7" s="421"/>
      <c r="U7" s="555"/>
      <c r="V7" s="421"/>
      <c r="AC7" s="424"/>
      <c r="AD7" s="424"/>
      <c r="AE7" s="424"/>
      <c r="AF7" s="424"/>
      <c r="AG7" s="424"/>
      <c r="AH7" s="424"/>
      <c r="AI7" s="1012"/>
      <c r="AJ7" s="424"/>
      <c r="AK7" s="424"/>
      <c r="AL7" s="424"/>
      <c r="AM7" s="424"/>
      <c r="AP7" s="553">
        <f>F7</f>
        <v>0</v>
      </c>
      <c r="AQ7" s="561"/>
      <c r="AR7" s="561"/>
      <c r="AS7" s="422"/>
      <c r="AT7" s="422"/>
      <c r="AU7" s="422"/>
      <c r="AV7" s="613"/>
      <c r="AW7" s="613"/>
      <c r="AX7" s="422"/>
      <c r="AY7" s="422"/>
      <c r="AZ7" s="422"/>
      <c r="BA7" s="422"/>
      <c r="BB7" s="422"/>
    </row>
    <row r="8" spans="1:54" ht="27.6" customHeight="1">
      <c r="A8" s="1051" t="s">
        <v>2</v>
      </c>
      <c r="B8" s="1051"/>
      <c r="C8" s="1051"/>
      <c r="D8" s="739"/>
      <c r="E8" s="739"/>
      <c r="F8" s="776" t="s">
        <v>684</v>
      </c>
      <c r="G8" s="662"/>
      <c r="H8" s="662"/>
      <c r="I8" s="662"/>
      <c r="J8" s="662"/>
      <c r="K8" s="662"/>
      <c r="L8" s="662"/>
      <c r="M8" s="662"/>
      <c r="N8" s="662"/>
      <c r="O8" s="662"/>
      <c r="P8" s="662"/>
      <c r="Q8" s="662"/>
      <c r="R8" s="662"/>
      <c r="S8" s="423"/>
      <c r="T8" s="423"/>
      <c r="U8" s="556"/>
      <c r="V8" s="423"/>
      <c r="AC8" s="424"/>
      <c r="AD8" s="424"/>
      <c r="AE8" s="424"/>
      <c r="AF8" s="424"/>
      <c r="AG8" s="424"/>
      <c r="AH8" s="424"/>
      <c r="AI8" s="1012"/>
      <c r="AJ8" s="424"/>
      <c r="AK8" s="424"/>
      <c r="AL8" s="424"/>
      <c r="AM8" s="424"/>
      <c r="AP8" s="560"/>
      <c r="AQ8" s="560"/>
      <c r="AR8" s="560"/>
      <c r="AS8" s="424"/>
      <c r="AT8" s="424"/>
      <c r="AU8" s="424"/>
      <c r="AX8" s="424"/>
      <c r="AY8" s="424"/>
      <c r="AZ8" s="424"/>
      <c r="BA8" s="424"/>
      <c r="BB8" s="424"/>
    </row>
    <row r="9" spans="1:54" ht="27.6" customHeight="1">
      <c r="A9" s="134"/>
      <c r="AC9" s="424"/>
      <c r="AD9" s="424"/>
      <c r="AE9" s="424"/>
      <c r="AF9" s="424"/>
      <c r="AG9" s="424"/>
      <c r="AH9" s="424"/>
      <c r="AI9" s="1012"/>
      <c r="AJ9" s="424"/>
      <c r="AK9" s="424"/>
      <c r="AL9" s="424"/>
      <c r="AM9" s="424"/>
      <c r="AP9" s="1068"/>
      <c r="AQ9" s="1068"/>
      <c r="AR9" s="1068"/>
      <c r="AS9" s="1068"/>
      <c r="AT9" s="1068"/>
      <c r="AU9" s="1068"/>
      <c r="AV9" s="1068"/>
      <c r="AW9" s="1068"/>
      <c r="AX9" s="1068"/>
    </row>
    <row r="10" spans="1:54" ht="27.6" customHeight="1">
      <c r="A10" s="1051" t="s">
        <v>3</v>
      </c>
      <c r="B10" s="1051"/>
      <c r="C10" s="1051"/>
      <c r="D10" s="1060">
        <v>44652</v>
      </c>
      <c r="E10" s="1061"/>
      <c r="G10" s="743"/>
      <c r="H10" s="743"/>
      <c r="I10" s="743"/>
      <c r="J10" s="743"/>
      <c r="K10" s="743"/>
      <c r="L10" s="743"/>
      <c r="M10" s="743"/>
      <c r="N10" s="743"/>
      <c r="O10" s="743"/>
      <c r="P10" s="743"/>
      <c r="Q10" s="743"/>
      <c r="R10" s="743"/>
      <c r="S10" s="744"/>
      <c r="T10" s="744"/>
      <c r="U10" s="745"/>
      <c r="V10" s="744"/>
      <c r="AC10" s="746"/>
      <c r="AD10" s="746"/>
      <c r="AE10" s="746"/>
      <c r="AF10" s="746"/>
      <c r="AG10" s="746"/>
      <c r="AI10" s="1013"/>
      <c r="AJ10" s="134"/>
      <c r="AK10" s="746" t="s">
        <v>4</v>
      </c>
      <c r="AL10" s="134"/>
      <c r="AM10" s="134"/>
      <c r="AN10" s="134"/>
      <c r="AO10" s="747"/>
      <c r="AP10" s="739" t="s">
        <v>497</v>
      </c>
      <c r="AQ10" s="741"/>
      <c r="AR10" s="741"/>
      <c r="AS10" s="138"/>
      <c r="AT10" s="138"/>
      <c r="AU10" s="138"/>
      <c r="AV10" s="742"/>
      <c r="AW10" s="613"/>
      <c r="AX10" s="420"/>
      <c r="AY10" s="420"/>
      <c r="AZ10" s="420"/>
    </row>
    <row r="11" spans="1:54" ht="27.6" customHeight="1">
      <c r="AP11" s="561" t="s">
        <v>490</v>
      </c>
      <c r="AS11" s="422"/>
      <c r="AT11" s="422"/>
      <c r="AU11" s="422"/>
      <c r="AV11" s="613"/>
      <c r="AW11" s="613"/>
      <c r="AX11" s="422"/>
      <c r="AY11" s="422"/>
      <c r="AZ11" s="422"/>
    </row>
    <row r="12" spans="1:54" ht="3.75" customHeight="1"/>
    <row r="13" spans="1:54" ht="0.75" customHeight="1">
      <c r="A13" s="748"/>
      <c r="B13" s="749">
        <v>1</v>
      </c>
      <c r="C13" s="748">
        <v>2</v>
      </c>
      <c r="D13" s="749">
        <v>3</v>
      </c>
      <c r="E13" s="748">
        <v>4</v>
      </c>
      <c r="F13" s="777">
        <v>5</v>
      </c>
      <c r="G13" s="748">
        <v>6</v>
      </c>
      <c r="H13" s="749">
        <v>7</v>
      </c>
      <c r="I13" s="748">
        <v>8</v>
      </c>
      <c r="J13" s="749">
        <v>9</v>
      </c>
      <c r="K13" s="748">
        <v>10</v>
      </c>
      <c r="L13" s="749">
        <v>11</v>
      </c>
      <c r="M13" s="748">
        <v>12</v>
      </c>
      <c r="N13" s="749">
        <v>13</v>
      </c>
      <c r="O13" s="748">
        <v>14</v>
      </c>
      <c r="P13" s="749">
        <v>15</v>
      </c>
      <c r="Q13" s="748">
        <v>16</v>
      </c>
      <c r="R13" s="749">
        <v>17</v>
      </c>
      <c r="S13" s="748">
        <v>18</v>
      </c>
      <c r="T13" s="749">
        <v>19</v>
      </c>
      <c r="U13" s="748">
        <v>20</v>
      </c>
      <c r="V13" s="749">
        <v>21</v>
      </c>
      <c r="W13" s="748">
        <v>22</v>
      </c>
      <c r="X13" s="749">
        <v>23</v>
      </c>
      <c r="Y13" s="748">
        <v>24</v>
      </c>
      <c r="Z13" s="944">
        <v>25</v>
      </c>
      <c r="AA13" s="748">
        <v>26</v>
      </c>
      <c r="AB13" s="749">
        <v>27</v>
      </c>
      <c r="AC13" s="748">
        <v>28</v>
      </c>
      <c r="AD13" s="749">
        <v>29</v>
      </c>
      <c r="AE13" s="748">
        <v>30</v>
      </c>
      <c r="AF13" s="749">
        <v>31</v>
      </c>
      <c r="AG13" s="748">
        <v>32</v>
      </c>
      <c r="AH13" s="749">
        <v>33</v>
      </c>
      <c r="AI13" s="1014">
        <v>34</v>
      </c>
      <c r="AJ13" s="749">
        <v>35</v>
      </c>
      <c r="AK13" s="748">
        <v>36</v>
      </c>
      <c r="AL13" s="749">
        <v>37</v>
      </c>
      <c r="AM13" s="748">
        <v>38</v>
      </c>
      <c r="AN13" s="749">
        <v>39</v>
      </c>
      <c r="AO13" s="748">
        <v>40</v>
      </c>
      <c r="AP13" s="749">
        <v>41</v>
      </c>
      <c r="AQ13" s="748">
        <v>42</v>
      </c>
      <c r="AR13" s="749">
        <v>43</v>
      </c>
      <c r="AS13" s="748">
        <v>44</v>
      </c>
      <c r="AT13" s="749">
        <v>45</v>
      </c>
    </row>
    <row r="14" spans="1:54" s="733" customFormat="1" ht="44.25" customHeight="1">
      <c r="B14" s="1056" t="s">
        <v>6</v>
      </c>
      <c r="C14" s="806" t="s">
        <v>48</v>
      </c>
      <c r="D14" s="807" t="s">
        <v>39</v>
      </c>
      <c r="E14" s="807" t="s">
        <v>41</v>
      </c>
      <c r="F14" s="808" t="s">
        <v>8</v>
      </c>
      <c r="G14" s="809" t="s">
        <v>42</v>
      </c>
      <c r="H14" s="810"/>
      <c r="I14" s="810"/>
      <c r="J14" s="810" t="s">
        <v>43</v>
      </c>
      <c r="K14" s="810"/>
      <c r="L14" s="810"/>
      <c r="M14" s="810"/>
      <c r="N14" s="810" t="s">
        <v>44</v>
      </c>
      <c r="O14" s="810" t="s">
        <v>45</v>
      </c>
      <c r="P14" s="810" t="s">
        <v>46</v>
      </c>
      <c r="Q14" s="810" t="s">
        <v>47</v>
      </c>
      <c r="R14" s="810" t="s">
        <v>40</v>
      </c>
      <c r="S14" s="811" t="s">
        <v>131</v>
      </c>
      <c r="T14" s="811" t="s">
        <v>132</v>
      </c>
      <c r="U14" s="1063" t="s">
        <v>6</v>
      </c>
      <c r="V14" s="811" t="s">
        <v>491</v>
      </c>
      <c r="W14" s="1050" t="s">
        <v>9</v>
      </c>
      <c r="X14" s="1050" t="s">
        <v>10</v>
      </c>
      <c r="Y14" s="1065" t="s">
        <v>180</v>
      </c>
      <c r="Z14" s="1069" t="s">
        <v>11</v>
      </c>
      <c r="AA14" s="1050" t="s">
        <v>12</v>
      </c>
      <c r="AB14" s="1050" t="s">
        <v>13</v>
      </c>
      <c r="AC14" s="1053" t="s">
        <v>14</v>
      </c>
      <c r="AD14" s="812" t="s">
        <v>15</v>
      </c>
      <c r="AE14" s="812" t="s">
        <v>16</v>
      </c>
      <c r="AF14" s="812" t="s">
        <v>17</v>
      </c>
      <c r="AG14" s="812" t="s">
        <v>18</v>
      </c>
      <c r="AH14" s="1054" t="s">
        <v>19</v>
      </c>
      <c r="AI14" s="1015" t="s">
        <v>20</v>
      </c>
      <c r="AJ14" s="813" t="s">
        <v>21</v>
      </c>
      <c r="AK14" s="813" t="s">
        <v>22</v>
      </c>
      <c r="AL14" s="811" t="s">
        <v>23</v>
      </c>
      <c r="AM14" s="1070" t="s">
        <v>24</v>
      </c>
      <c r="AN14" s="1057" t="s">
        <v>25</v>
      </c>
      <c r="AO14" s="1057"/>
      <c r="AP14" s="1057"/>
      <c r="AQ14" s="1057"/>
      <c r="AR14" s="1057"/>
      <c r="AS14" s="1057"/>
      <c r="AT14" s="1062" t="s">
        <v>26</v>
      </c>
      <c r="AU14" s="1050" t="s">
        <v>27</v>
      </c>
      <c r="AV14" s="1058" t="s">
        <v>28</v>
      </c>
      <c r="AW14" s="1066" t="s">
        <v>29</v>
      </c>
      <c r="AX14" s="1052" t="s">
        <v>30</v>
      </c>
      <c r="AY14" s="1049" t="s">
        <v>7</v>
      </c>
    </row>
    <row r="15" spans="1:54" s="767" customFormat="1" ht="21" customHeight="1">
      <c r="A15" s="733"/>
      <c r="B15" s="1056"/>
      <c r="C15" s="750"/>
      <c r="D15" s="814"/>
      <c r="E15" s="814"/>
      <c r="F15" s="815"/>
      <c r="G15" s="809"/>
      <c r="H15" s="810"/>
      <c r="I15" s="810"/>
      <c r="J15" s="810"/>
      <c r="K15" s="810"/>
      <c r="L15" s="810"/>
      <c r="M15" s="810"/>
      <c r="N15" s="810"/>
      <c r="O15" s="810"/>
      <c r="P15" s="810"/>
      <c r="Q15" s="810"/>
      <c r="R15" s="810"/>
      <c r="S15" s="811"/>
      <c r="T15" s="811"/>
      <c r="U15" s="1064"/>
      <c r="V15" s="813"/>
      <c r="W15" s="1050"/>
      <c r="X15" s="1050"/>
      <c r="Y15" s="1065"/>
      <c r="Z15" s="1069"/>
      <c r="AA15" s="1050"/>
      <c r="AB15" s="1050"/>
      <c r="AC15" s="1053"/>
      <c r="AD15" s="812"/>
      <c r="AE15" s="812"/>
      <c r="AF15" s="812"/>
      <c r="AG15" s="812"/>
      <c r="AH15" s="1055"/>
      <c r="AI15" s="1015"/>
      <c r="AJ15" s="813"/>
      <c r="AK15" s="813"/>
      <c r="AL15" s="813"/>
      <c r="AM15" s="1071"/>
      <c r="AN15" s="751" t="s">
        <v>31</v>
      </c>
      <c r="AO15" s="752" t="s">
        <v>32</v>
      </c>
      <c r="AP15" s="752" t="s">
        <v>33</v>
      </c>
      <c r="AQ15" s="752" t="s">
        <v>34</v>
      </c>
      <c r="AR15" s="752" t="s">
        <v>35</v>
      </c>
      <c r="AS15" s="753" t="s">
        <v>36</v>
      </c>
      <c r="AT15" s="1062"/>
      <c r="AU15" s="1050"/>
      <c r="AV15" s="1059"/>
      <c r="AW15" s="1066"/>
      <c r="AX15" s="1052"/>
      <c r="AY15" s="1049"/>
    </row>
    <row r="16" spans="1:54" s="424" customFormat="1" ht="47.25" customHeight="1">
      <c r="A16" s="658" t="s">
        <v>759</v>
      </c>
      <c r="B16" s="931" t="s">
        <v>531</v>
      </c>
      <c r="C16" s="581">
        <v>31669</v>
      </c>
      <c r="D16" s="651" t="s">
        <v>538</v>
      </c>
      <c r="E16" s="651" t="s">
        <v>541</v>
      </c>
      <c r="F16" s="778" t="s">
        <v>508</v>
      </c>
      <c r="G16" s="663" t="s">
        <v>543</v>
      </c>
      <c r="H16" s="663"/>
      <c r="I16" s="663"/>
      <c r="J16" s="663" t="s">
        <v>542</v>
      </c>
      <c r="K16" s="663"/>
      <c r="L16" s="663"/>
      <c r="M16" s="663"/>
      <c r="N16" s="664">
        <v>44021</v>
      </c>
      <c r="O16" s="663"/>
      <c r="P16" s="663"/>
      <c r="Q16" s="663"/>
      <c r="R16" s="663"/>
      <c r="S16" s="545">
        <v>100748390738</v>
      </c>
      <c r="T16" s="450" t="s">
        <v>37</v>
      </c>
      <c r="U16" s="557" t="str">
        <f t="shared" ref="U16:U17" si="0">B16</f>
        <v>Venegella Kanaka durga</v>
      </c>
      <c r="V16" s="595">
        <v>30</v>
      </c>
      <c r="W16" s="600">
        <f>VLOOKUP(A16,'[1]Pay sheet-APRIL- 2022'!$C$5:$AF$134,10,0)</f>
        <v>30</v>
      </c>
      <c r="X16" s="648" t="s">
        <v>37</v>
      </c>
      <c r="Y16" s="596">
        <v>75643</v>
      </c>
      <c r="Z16" s="945">
        <f>VLOOKUP(A16,'[1]Pay sheet-APRIL- 2022'!$C$5:$AF$134,11,0)</f>
        <v>45385.8</v>
      </c>
      <c r="AA16" s="597">
        <v>0</v>
      </c>
      <c r="AB16" s="671">
        <v>0</v>
      </c>
      <c r="AC16" s="671">
        <f t="shared" ref="AC16:AC36" si="1">AD16+AE16+AF16+AG16</f>
        <v>30370.199999999993</v>
      </c>
      <c r="AD16" s="600">
        <f>VLOOKUP(A16,'[1]Pay sheet-APRIL- 2022'!$C$5:$AF$134,12,0)</f>
        <v>18154.320000000003</v>
      </c>
      <c r="AE16" s="600">
        <f>VLOOKUP(A16,'[1]Pay sheet-APRIL- 2022'!$C$5:$AF$134,13,0)</f>
        <v>2083</v>
      </c>
      <c r="AF16" s="600">
        <f>VLOOKUP(A16,'[1]Pay sheet-APRIL- 2022'!$C$5:$AF$134,14,0)</f>
        <v>2083</v>
      </c>
      <c r="AG16" s="600">
        <f>VLOOKUP(A16,'[1]Pay sheet-APRIL- 2022'!$C$5:$AF$134,15,0)</f>
        <v>8049.8799999999901</v>
      </c>
      <c r="AH16" s="690">
        <f t="shared" ref="AH16:AH36" si="2">Z16+AC16</f>
        <v>75756</v>
      </c>
      <c r="AI16" s="1016">
        <f>VLOOKUP(A16,'[1]Pay sheet-APRIL- 2022'!$C$5:$AF$134,18,0)</f>
        <v>1554.6089999999999</v>
      </c>
      <c r="AJ16" s="600">
        <f>VLOOKUP(A16,'[1]Pay sheet-APRIL- 2022'!$C$5:$AF$134,19,0)</f>
        <v>2183.0569799999998</v>
      </c>
      <c r="AK16" s="600">
        <f>VLOOKUP(A16,'[1]Pay sheet-APRIL- 2022'!$C$5:$AF$134,20,0)</f>
        <v>3782.15</v>
      </c>
      <c r="AL16" s="600">
        <f>VLOOKUP(A16,'[1]Pay sheet-APRIL- 2022'!$C$5:$AF$134,22,0)</f>
        <v>0</v>
      </c>
      <c r="AM16" s="598">
        <f>Z16+AD16+AE16+AF16+AG16+AI16+AJ16+AK16</f>
        <v>83275.815979999985</v>
      </c>
      <c r="AN16" s="671"/>
      <c r="AO16" s="600">
        <f>VLOOKUP(A16,'[1]Pay sheet-APRIL- 2022'!$C$5:$AF$134,26,0)</f>
        <v>1800</v>
      </c>
      <c r="AP16" s="600">
        <f>VLOOKUP(A16,'[1]Pay sheet-APRIL- 2022'!$C$5:$AF$134,25,0)</f>
        <v>200</v>
      </c>
      <c r="AQ16" s="600">
        <f>VLOOKUP(A16,'[1]Pay sheet-APRIL- 2022'!$C$5:$AF$134,24,0)</f>
        <v>0</v>
      </c>
      <c r="AR16" s="600">
        <f>VLOOKUP(A16,'[1]Pay sheet-APRIL- 2022'!$C$5:$AF$134,27,0)</f>
        <v>391.787848</v>
      </c>
      <c r="AS16" s="593">
        <f>SUM(AO16:AR16)</f>
        <v>2391.7878479999999</v>
      </c>
      <c r="AT16" s="694">
        <f>AM16-AS16</f>
        <v>80884.028131999978</v>
      </c>
      <c r="AU16" s="794" t="s">
        <v>831</v>
      </c>
      <c r="AV16" s="615" t="s">
        <v>535</v>
      </c>
      <c r="AW16" s="616" t="s">
        <v>588</v>
      </c>
      <c r="AX16" s="592"/>
      <c r="AY16" s="518">
        <v>6</v>
      </c>
      <c r="AZ16" s="424">
        <v>1</v>
      </c>
    </row>
    <row r="17" spans="1:55" s="424" customFormat="1" ht="47.25" customHeight="1">
      <c r="A17" s="658" t="s">
        <v>760</v>
      </c>
      <c r="B17" s="932" t="s">
        <v>532</v>
      </c>
      <c r="C17" s="581">
        <v>30310</v>
      </c>
      <c r="D17" s="651" t="s">
        <v>502</v>
      </c>
      <c r="E17" s="651" t="s">
        <v>552</v>
      </c>
      <c r="F17" s="778" t="s">
        <v>536</v>
      </c>
      <c r="G17" s="663" t="s">
        <v>553</v>
      </c>
      <c r="H17" s="663"/>
      <c r="I17" s="663"/>
      <c r="J17" s="663" t="s">
        <v>553</v>
      </c>
      <c r="K17" s="663"/>
      <c r="L17" s="663"/>
      <c r="M17" s="663"/>
      <c r="N17" s="664">
        <v>44041</v>
      </c>
      <c r="O17" s="663"/>
      <c r="P17" s="663"/>
      <c r="Q17" s="663"/>
      <c r="R17" s="663"/>
      <c r="S17" s="545">
        <v>101607851856</v>
      </c>
      <c r="T17" s="450" t="s">
        <v>37</v>
      </c>
      <c r="U17" s="557" t="str">
        <f t="shared" si="0"/>
        <v>Moeenahmed Shakilahmed Shaikh</v>
      </c>
      <c r="V17" s="595">
        <v>30</v>
      </c>
      <c r="W17" s="600">
        <f>VLOOKUP(A17,'[1]Pay sheet-APRIL- 2022'!$C$5:$AF$134,10,0)</f>
        <v>30</v>
      </c>
      <c r="X17" s="648" t="s">
        <v>37</v>
      </c>
      <c r="Y17" s="596">
        <v>149795</v>
      </c>
      <c r="Z17" s="945">
        <f>VLOOKUP(A17,'[1]Pay sheet-APRIL- 2022'!$C$5:$AF$134,11,0)</f>
        <v>89877</v>
      </c>
      <c r="AA17" s="597">
        <v>0</v>
      </c>
      <c r="AB17" s="671">
        <v>0</v>
      </c>
      <c r="AC17" s="671">
        <f t="shared" si="1"/>
        <v>60031</v>
      </c>
      <c r="AD17" s="600">
        <f>VLOOKUP(A17,'[1]Pay sheet-APRIL- 2022'!$C$5:$AF$134,12,0)</f>
        <v>35950.800000000003</v>
      </c>
      <c r="AE17" s="600">
        <f>VLOOKUP(A17,'[1]Pay sheet-APRIL- 2022'!$C$5:$AF$134,13,0)</f>
        <v>2083</v>
      </c>
      <c r="AF17" s="600">
        <f>VLOOKUP(A17,'[1]Pay sheet-APRIL- 2022'!$C$5:$AF$134,14,0)</f>
        <v>2083</v>
      </c>
      <c r="AG17" s="600">
        <f>VLOOKUP(A17,'[1]Pay sheet-APRIL- 2022'!$C$5:$AF$134,15,0)</f>
        <v>19914.199999999997</v>
      </c>
      <c r="AH17" s="690">
        <f t="shared" si="2"/>
        <v>149908</v>
      </c>
      <c r="AI17" s="1016">
        <f>VLOOKUP(A17,'[1]Pay sheet-APRIL- 2022'!$C$5:$AF$134,18,0)</f>
        <v>1554.6089999999999</v>
      </c>
      <c r="AJ17" s="600">
        <f>VLOOKUP(A17,'[1]Pay sheet-APRIL- 2022'!$C$5:$AF$134,19,0)</f>
        <v>4323.0836999999992</v>
      </c>
      <c r="AK17" s="600">
        <f>VLOOKUP(A17,'[1]Pay sheet-APRIL- 2022'!$C$5:$AF$134,20,0)</f>
        <v>7489.75</v>
      </c>
      <c r="AL17" s="600">
        <f>VLOOKUP(A17,'[1]Pay sheet-APRIL- 2022'!$C$5:$AF$134,22,0)</f>
        <v>0</v>
      </c>
      <c r="AM17" s="598">
        <f t="shared" ref="AM17:AM37" si="3">Z17+AD17+AE17+AF17+AG17+AI17+AJ17+AK17</f>
        <v>163275.44269999999</v>
      </c>
      <c r="AN17" s="671"/>
      <c r="AO17" s="600">
        <f>VLOOKUP(A17,'[1]Pay sheet-APRIL- 2022'!$C$5:$AF$134,26,0)</f>
        <v>6000</v>
      </c>
      <c r="AP17" s="600">
        <f>VLOOKUP(A17,'[1]Pay sheet-APRIL- 2022'!$C$5:$AF$134,25,0)</f>
        <v>200</v>
      </c>
      <c r="AQ17" s="600">
        <f>VLOOKUP(A17,'[1]Pay sheet-APRIL- 2022'!$C$5:$AF$134,24,0)</f>
        <v>0</v>
      </c>
      <c r="AR17" s="600">
        <f>VLOOKUP(A17,'[1]Pay sheet-APRIL- 2022'!$C$5:$AF$134,27,0)</f>
        <v>440.76132899999999</v>
      </c>
      <c r="AS17" s="593">
        <f t="shared" ref="AS17:AS36" si="4">SUM(AO17:AR17)</f>
        <v>6640.7613289999999</v>
      </c>
      <c r="AT17" s="694">
        <f t="shared" ref="AT17:AT36" si="5">AM17-AS17</f>
        <v>156634.68137099998</v>
      </c>
      <c r="AU17" s="794" t="s">
        <v>831</v>
      </c>
      <c r="AV17" s="615" t="s">
        <v>537</v>
      </c>
      <c r="AW17" s="617" t="s">
        <v>589</v>
      </c>
      <c r="AX17" s="592"/>
      <c r="AY17" s="518">
        <v>10</v>
      </c>
      <c r="AZ17" s="424">
        <v>2</v>
      </c>
    </row>
    <row r="18" spans="1:55" ht="47.25" customHeight="1">
      <c r="A18" s="658" t="s">
        <v>761</v>
      </c>
      <c r="B18" s="933" t="s">
        <v>664</v>
      </c>
      <c r="C18" s="583">
        <v>32972</v>
      </c>
      <c r="D18" s="652" t="s">
        <v>493</v>
      </c>
      <c r="E18" s="652" t="s">
        <v>697</v>
      </c>
      <c r="F18" s="779" t="s">
        <v>665</v>
      </c>
      <c r="G18" s="665" t="s">
        <v>698</v>
      </c>
      <c r="H18" s="666"/>
      <c r="I18" s="667"/>
      <c r="J18" s="665" t="s">
        <v>698</v>
      </c>
      <c r="K18" s="666"/>
      <c r="L18" s="666"/>
      <c r="M18" s="666"/>
      <c r="N18" s="667">
        <v>44335</v>
      </c>
      <c r="O18" s="666"/>
      <c r="P18" s="666"/>
      <c r="Q18" s="666"/>
      <c r="R18" s="666"/>
      <c r="S18" s="546" t="s">
        <v>699</v>
      </c>
      <c r="T18" s="450" t="s">
        <v>37</v>
      </c>
      <c r="U18" s="557" t="s">
        <v>664</v>
      </c>
      <c r="V18" s="595">
        <v>30</v>
      </c>
      <c r="W18" s="600">
        <f>VLOOKUP(A18,'[1]Pay sheet-APRIL- 2022'!$C$5:$AF$134,10,0)</f>
        <v>30</v>
      </c>
      <c r="X18" s="649" t="s">
        <v>37</v>
      </c>
      <c r="Y18" s="567">
        <v>61740</v>
      </c>
      <c r="Z18" s="945">
        <f>VLOOKUP(A18,'[1]Pay sheet-APRIL- 2022'!$C$5:$AF$134,11,0)</f>
        <v>37044</v>
      </c>
      <c r="AA18" s="568">
        <v>0</v>
      </c>
      <c r="AB18" s="672">
        <v>0</v>
      </c>
      <c r="AC18" s="671">
        <f t="shared" si="1"/>
        <v>24809</v>
      </c>
      <c r="AD18" s="600">
        <f>VLOOKUP(A18,'[1]Pay sheet-APRIL- 2022'!$C$5:$AF$134,12,0)</f>
        <v>14817.6</v>
      </c>
      <c r="AE18" s="600">
        <f>VLOOKUP(A18,'[1]Pay sheet-APRIL- 2022'!$C$5:$AF$134,13,0)</f>
        <v>2083</v>
      </c>
      <c r="AF18" s="600">
        <f>VLOOKUP(A18,'[1]Pay sheet-APRIL- 2022'!$C$5:$AF$134,14,0)</f>
        <v>2083</v>
      </c>
      <c r="AG18" s="600">
        <f>VLOOKUP(A18,'[1]Pay sheet-APRIL- 2022'!$C$5:$AF$134,15,0)</f>
        <v>5825.4000000000015</v>
      </c>
      <c r="AH18" s="690">
        <f t="shared" si="2"/>
        <v>61853</v>
      </c>
      <c r="AI18" s="1016">
        <f>VLOOKUP(A18,'[1]Pay sheet-APRIL- 2022'!$C$5:$AF$134,18,0)</f>
        <v>1554.6089999999999</v>
      </c>
      <c r="AJ18" s="600">
        <f>VLOOKUP(A18,'[1]Pay sheet-APRIL- 2022'!$C$5:$AF$134,19,0)</f>
        <v>1781.8163999999999</v>
      </c>
      <c r="AK18" s="600">
        <f>VLOOKUP(A18,'[1]Pay sheet-APRIL- 2022'!$C$5:$AF$134,20,0)</f>
        <v>3087</v>
      </c>
      <c r="AL18" s="600">
        <f>VLOOKUP(A18,'[1]Pay sheet-APRIL- 2022'!$C$5:$AF$134,22,0)</f>
        <v>0</v>
      </c>
      <c r="AM18" s="598">
        <f t="shared" si="3"/>
        <v>68276.425400000007</v>
      </c>
      <c r="AN18" s="691"/>
      <c r="AO18" s="600">
        <f>VLOOKUP(A18,'[1]Pay sheet-APRIL- 2022'!$C$5:$AF$134,26,0)</f>
        <v>1800</v>
      </c>
      <c r="AP18" s="600">
        <f>VLOOKUP(A18,'[1]Pay sheet-APRIL- 2022'!$C$5:$AF$134,25,0)</f>
        <v>200</v>
      </c>
      <c r="AQ18" s="600">
        <f>VLOOKUP(A18,'[1]Pay sheet-APRIL- 2022'!$C$5:$AF$134,24,0)</f>
        <v>0</v>
      </c>
      <c r="AR18" s="600">
        <f>VLOOKUP(A18,'[1]Pay sheet-APRIL- 2022'!$C$5:$AF$134,27,0)</f>
        <v>391.787848</v>
      </c>
      <c r="AS18" s="593">
        <f t="shared" si="4"/>
        <v>2391.7878479999999</v>
      </c>
      <c r="AT18" s="694">
        <f t="shared" si="5"/>
        <v>65884.637552</v>
      </c>
      <c r="AU18" s="794" t="s">
        <v>831</v>
      </c>
      <c r="AV18" s="618" t="s">
        <v>681</v>
      </c>
      <c r="AW18" s="619" t="s">
        <v>666</v>
      </c>
      <c r="AX18" s="519"/>
      <c r="AY18" s="518">
        <v>19</v>
      </c>
      <c r="AZ18" s="425">
        <v>3</v>
      </c>
    </row>
    <row r="19" spans="1:55" ht="47.25" customHeight="1">
      <c r="A19" s="658" t="s">
        <v>762</v>
      </c>
      <c r="B19" s="931" t="s">
        <v>692</v>
      </c>
      <c r="C19" s="583">
        <v>32113</v>
      </c>
      <c r="D19" s="652" t="s">
        <v>538</v>
      </c>
      <c r="E19" s="652" t="s">
        <v>705</v>
      </c>
      <c r="F19" s="778" t="s">
        <v>708</v>
      </c>
      <c r="G19" s="665" t="s">
        <v>706</v>
      </c>
      <c r="H19" s="666"/>
      <c r="I19" s="667"/>
      <c r="J19" s="665" t="s">
        <v>706</v>
      </c>
      <c r="K19" s="666"/>
      <c r="L19" s="666"/>
      <c r="M19" s="666"/>
      <c r="N19" s="667">
        <v>44390</v>
      </c>
      <c r="O19" s="666"/>
      <c r="P19" s="666"/>
      <c r="Q19" s="666"/>
      <c r="R19" s="666"/>
      <c r="S19" s="546" t="s">
        <v>700</v>
      </c>
      <c r="T19" s="450" t="s">
        <v>37</v>
      </c>
      <c r="U19" s="557" t="s">
        <v>692</v>
      </c>
      <c r="V19" s="595">
        <v>30</v>
      </c>
      <c r="W19" s="600">
        <f>VLOOKUP(A19,'[1]Pay sheet-APRIL- 2022'!$C$5:$AF$134,10,0)</f>
        <v>30</v>
      </c>
      <c r="X19" s="649" t="s">
        <v>37</v>
      </c>
      <c r="Y19" s="563">
        <v>82132</v>
      </c>
      <c r="Z19" s="945">
        <f>VLOOKUP(A19,'[1]Pay sheet-APRIL- 2022'!$C$5:$AF$134,11,0)</f>
        <v>49279.199999999997</v>
      </c>
      <c r="AA19" s="558">
        <v>0</v>
      </c>
      <c r="AB19" s="673">
        <v>0</v>
      </c>
      <c r="AC19" s="671">
        <f t="shared" si="1"/>
        <v>32965.799999999996</v>
      </c>
      <c r="AD19" s="600">
        <f>VLOOKUP(A19,'[1]Pay sheet-APRIL- 2022'!$C$5:$AF$134,12,0)</f>
        <v>19711.68</v>
      </c>
      <c r="AE19" s="600">
        <f>VLOOKUP(A19,'[1]Pay sheet-APRIL- 2022'!$C$5:$AF$134,13,0)</f>
        <v>2083</v>
      </c>
      <c r="AF19" s="600">
        <f>VLOOKUP(A19,'[1]Pay sheet-APRIL- 2022'!$C$5:$AF$134,14,0)</f>
        <v>2083</v>
      </c>
      <c r="AG19" s="600">
        <f>VLOOKUP(A19,'[1]Pay sheet-APRIL- 2022'!$C$5:$AF$134,15,0)</f>
        <v>9088.1199999999953</v>
      </c>
      <c r="AH19" s="690">
        <f t="shared" si="2"/>
        <v>82245</v>
      </c>
      <c r="AI19" s="1016">
        <f>VLOOKUP(A19,'[1]Pay sheet-APRIL- 2022'!$C$5:$AF$134,18,0)</f>
        <v>1554.6089999999999</v>
      </c>
      <c r="AJ19" s="600">
        <f>VLOOKUP(A19,'[1]Pay sheet-APRIL- 2022'!$C$5:$AF$134,19,0)</f>
        <v>2370.3295199999998</v>
      </c>
      <c r="AK19" s="600">
        <f>VLOOKUP(A19,'[1]Pay sheet-APRIL- 2022'!$C$5:$AF$134,20,0)</f>
        <v>4106.5999999999995</v>
      </c>
      <c r="AL19" s="600">
        <f>VLOOKUP(A19,'[1]Pay sheet-APRIL- 2022'!$C$5:$AF$134,22,0)</f>
        <v>0</v>
      </c>
      <c r="AM19" s="598">
        <f t="shared" si="3"/>
        <v>90276.538520000002</v>
      </c>
      <c r="AN19" s="691"/>
      <c r="AO19" s="600">
        <f>VLOOKUP(A19,'[1]Pay sheet-APRIL- 2022'!$C$5:$AF$134,26,0)</f>
        <v>1800</v>
      </c>
      <c r="AP19" s="600">
        <f>VLOOKUP(A19,'[1]Pay sheet-APRIL- 2022'!$C$5:$AF$134,25,0)</f>
        <v>200</v>
      </c>
      <c r="AQ19" s="600">
        <f>VLOOKUP(A19,'[1]Pay sheet-APRIL- 2022'!$C$5:$AF$134,24,0)</f>
        <v>0</v>
      </c>
      <c r="AR19" s="600">
        <f>VLOOKUP(A19,'[1]Pay sheet-APRIL- 2022'!$C$5:$AF$134,27,0)</f>
        <v>335</v>
      </c>
      <c r="AS19" s="593">
        <f t="shared" si="4"/>
        <v>2335</v>
      </c>
      <c r="AT19" s="694">
        <f t="shared" si="5"/>
        <v>87941.538520000002</v>
      </c>
      <c r="AU19" s="794" t="s">
        <v>831</v>
      </c>
      <c r="AV19" s="618" t="s">
        <v>533</v>
      </c>
      <c r="AW19" s="620" t="s">
        <v>707</v>
      </c>
      <c r="AX19" s="519"/>
      <c r="AY19" s="518">
        <v>20</v>
      </c>
      <c r="AZ19" s="425">
        <v>4</v>
      </c>
    </row>
    <row r="20" spans="1:55" ht="47.25" customHeight="1">
      <c r="A20" s="658" t="s">
        <v>763</v>
      </c>
      <c r="B20" s="934" t="s">
        <v>669</v>
      </c>
      <c r="C20" s="581">
        <v>32813</v>
      </c>
      <c r="D20" s="695" t="s">
        <v>493</v>
      </c>
      <c r="E20" s="695" t="s">
        <v>712</v>
      </c>
      <c r="F20" s="779" t="s">
        <v>674</v>
      </c>
      <c r="G20" s="666" t="s">
        <v>709</v>
      </c>
      <c r="H20" s="666"/>
      <c r="I20" s="666"/>
      <c r="J20" s="666" t="s">
        <v>709</v>
      </c>
      <c r="K20" s="666"/>
      <c r="L20" s="666"/>
      <c r="M20" s="666"/>
      <c r="N20" s="696">
        <v>44409</v>
      </c>
      <c r="O20" s="666"/>
      <c r="P20" s="666"/>
      <c r="Q20" s="666"/>
      <c r="R20" s="666"/>
      <c r="S20" s="519" t="s">
        <v>701</v>
      </c>
      <c r="T20" s="519" t="s">
        <v>37</v>
      </c>
      <c r="U20" s="557" t="s">
        <v>669</v>
      </c>
      <c r="V20" s="595">
        <v>30</v>
      </c>
      <c r="W20" s="600">
        <f>VLOOKUP(A20,'[1]Pay sheet-APRIL- 2022'!$C$5:$AF$134,10,0)</f>
        <v>30</v>
      </c>
      <c r="X20" s="650" t="s">
        <v>37</v>
      </c>
      <c r="Y20" s="599">
        <v>69580</v>
      </c>
      <c r="Z20" s="945">
        <f>VLOOKUP(A20,'[1]Pay sheet-APRIL- 2022'!$C$5:$AF$134,11,0)</f>
        <v>41748</v>
      </c>
      <c r="AA20" s="594">
        <v>0</v>
      </c>
      <c r="AB20" s="674">
        <v>0</v>
      </c>
      <c r="AC20" s="671">
        <f t="shared" si="1"/>
        <v>27945.000000000004</v>
      </c>
      <c r="AD20" s="600">
        <f>VLOOKUP(A20,'[1]Pay sheet-APRIL- 2022'!$C$5:$AF$134,12,0)</f>
        <v>16699.2</v>
      </c>
      <c r="AE20" s="600">
        <f>VLOOKUP(A20,'[1]Pay sheet-APRIL- 2022'!$C$5:$AF$134,13,0)</f>
        <v>2083</v>
      </c>
      <c r="AF20" s="600">
        <f>VLOOKUP(A20,'[1]Pay sheet-APRIL- 2022'!$C$5:$AF$134,14,0)</f>
        <v>2083</v>
      </c>
      <c r="AG20" s="600">
        <f>VLOOKUP(A20,'[1]Pay sheet-APRIL- 2022'!$C$5:$AF$134,15,0)</f>
        <v>7079.8000000000029</v>
      </c>
      <c r="AH20" s="690">
        <f t="shared" si="2"/>
        <v>69693</v>
      </c>
      <c r="AI20" s="1016">
        <f>VLOOKUP(A20,'[1]Pay sheet-APRIL- 2022'!$C$5:$AF$134,18,0)</f>
        <v>1554.6089999999999</v>
      </c>
      <c r="AJ20" s="600">
        <f>VLOOKUP(A20,'[1]Pay sheet-APRIL- 2022'!$C$5:$AF$134,19,0)</f>
        <v>2008.0787999999998</v>
      </c>
      <c r="AK20" s="600">
        <f>VLOOKUP(A20,'[1]Pay sheet-APRIL- 2022'!$C$5:$AF$134,20,0)</f>
        <v>3479</v>
      </c>
      <c r="AL20" s="600">
        <f>VLOOKUP(A20,'[1]Pay sheet-APRIL- 2022'!$C$5:$AF$134,22,0)</f>
        <v>0</v>
      </c>
      <c r="AM20" s="598">
        <f t="shared" si="3"/>
        <v>76734.6878</v>
      </c>
      <c r="AN20" s="692"/>
      <c r="AO20" s="600">
        <f>VLOOKUP(A20,'[1]Pay sheet-APRIL- 2022'!$C$5:$AF$134,26,0)</f>
        <v>1800</v>
      </c>
      <c r="AP20" s="600">
        <f>VLOOKUP(A20,'[1]Pay sheet-APRIL- 2022'!$C$5:$AF$134,25,0)</f>
        <v>200</v>
      </c>
      <c r="AQ20" s="600">
        <f>VLOOKUP(A20,'[1]Pay sheet-APRIL- 2022'!$C$5:$AF$134,24,0)</f>
        <v>0</v>
      </c>
      <c r="AR20" s="600">
        <f>VLOOKUP(A20,'[1]Pay sheet-APRIL- 2022'!$C$5:$AF$134,27,0)</f>
        <v>335</v>
      </c>
      <c r="AS20" s="593">
        <f t="shared" si="4"/>
        <v>2335</v>
      </c>
      <c r="AT20" s="694">
        <f t="shared" si="5"/>
        <v>74399.6878</v>
      </c>
      <c r="AU20" s="794" t="s">
        <v>831</v>
      </c>
      <c r="AV20" s="615" t="s">
        <v>682</v>
      </c>
      <c r="AW20" s="615" t="s">
        <v>683</v>
      </c>
      <c r="AX20" s="519"/>
      <c r="AY20" s="518">
        <v>22</v>
      </c>
      <c r="AZ20" s="425">
        <v>5</v>
      </c>
    </row>
    <row r="21" spans="1:55" ht="47.25" customHeight="1">
      <c r="A21" s="658" t="s">
        <v>764</v>
      </c>
      <c r="B21" s="934" t="s">
        <v>671</v>
      </c>
      <c r="C21" s="581">
        <v>31328</v>
      </c>
      <c r="D21" s="695" t="s">
        <v>493</v>
      </c>
      <c r="E21" s="695" t="s">
        <v>713</v>
      </c>
      <c r="F21" s="779" t="s">
        <v>676</v>
      </c>
      <c r="G21" s="666" t="s">
        <v>714</v>
      </c>
      <c r="H21" s="666"/>
      <c r="I21" s="666"/>
      <c r="J21" s="666" t="s">
        <v>715</v>
      </c>
      <c r="K21" s="666"/>
      <c r="L21" s="666"/>
      <c r="M21" s="666"/>
      <c r="N21" s="696">
        <v>44432</v>
      </c>
      <c r="O21" s="666"/>
      <c r="P21" s="666"/>
      <c r="Q21" s="666"/>
      <c r="R21" s="666"/>
      <c r="S21" s="519" t="s">
        <v>702</v>
      </c>
      <c r="T21" s="519" t="s">
        <v>37</v>
      </c>
      <c r="U21" s="557" t="s">
        <v>671</v>
      </c>
      <c r="V21" s="595">
        <v>30</v>
      </c>
      <c r="W21" s="600">
        <f>VLOOKUP(A21,'[1]Pay sheet-APRIL- 2022'!$C$5:$AF$134,10,0)</f>
        <v>30</v>
      </c>
      <c r="X21" s="650" t="s">
        <v>37</v>
      </c>
      <c r="Y21" s="599">
        <v>98501</v>
      </c>
      <c r="Z21" s="945">
        <f>VLOOKUP(A21,'[1]Pay sheet-APRIL- 2022'!$C$5:$AF$134,11,0)</f>
        <v>59100.6</v>
      </c>
      <c r="AA21" s="594">
        <v>0</v>
      </c>
      <c r="AB21" s="674">
        <v>0</v>
      </c>
      <c r="AC21" s="671">
        <f t="shared" si="1"/>
        <v>39513.400000000009</v>
      </c>
      <c r="AD21" s="600">
        <f>VLOOKUP(A21,'[1]Pay sheet-APRIL- 2022'!$C$5:$AF$134,12,0)</f>
        <v>23640.240000000002</v>
      </c>
      <c r="AE21" s="600">
        <f>VLOOKUP(A21,'[1]Pay sheet-APRIL- 2022'!$C$5:$AF$134,13,0)</f>
        <v>2083</v>
      </c>
      <c r="AF21" s="600">
        <f>VLOOKUP(A21,'[1]Pay sheet-APRIL- 2022'!$C$5:$AF$134,14,0)</f>
        <v>2083</v>
      </c>
      <c r="AG21" s="600">
        <f>VLOOKUP(A21,'[1]Pay sheet-APRIL- 2022'!$C$5:$AF$134,15,0)</f>
        <v>11707.160000000003</v>
      </c>
      <c r="AH21" s="690">
        <f t="shared" si="2"/>
        <v>98614</v>
      </c>
      <c r="AI21" s="1016">
        <f>VLOOKUP(A21,'[1]Pay sheet-APRIL- 2022'!$C$5:$AF$134,18,0)</f>
        <v>1554.6089999999999</v>
      </c>
      <c r="AJ21" s="600">
        <f>VLOOKUP(A21,'[1]Pay sheet-APRIL- 2022'!$C$5:$AF$134,19,0)</f>
        <v>2842.7388599999999</v>
      </c>
      <c r="AK21" s="600">
        <f>VLOOKUP(A21,'[1]Pay sheet-APRIL- 2022'!$C$5:$AF$134,20,0)</f>
        <v>4925.05</v>
      </c>
      <c r="AL21" s="600">
        <f>VLOOKUP(A21,'[1]Pay sheet-APRIL- 2022'!$C$5:$AF$134,22,0)</f>
        <v>0</v>
      </c>
      <c r="AM21" s="598">
        <f t="shared" si="3"/>
        <v>107936.39786</v>
      </c>
      <c r="AN21" s="692"/>
      <c r="AO21" s="600">
        <f>VLOOKUP(A21,'[1]Pay sheet-APRIL- 2022'!$C$5:$AF$134,26,0)</f>
        <v>1800</v>
      </c>
      <c r="AP21" s="600">
        <f>VLOOKUP(A21,'[1]Pay sheet-APRIL- 2022'!$C$5:$AF$134,25,0)</f>
        <v>200</v>
      </c>
      <c r="AQ21" s="600">
        <f>VLOOKUP(A21,'[1]Pay sheet-APRIL- 2022'!$C$5:$AF$134,24,0)</f>
        <v>0</v>
      </c>
      <c r="AR21" s="600">
        <f>VLOOKUP(A21,'[1]Pay sheet-APRIL- 2022'!$C$5:$AF$134,27,0)</f>
        <v>336</v>
      </c>
      <c r="AS21" s="593">
        <f t="shared" si="4"/>
        <v>2336</v>
      </c>
      <c r="AT21" s="694">
        <f t="shared" si="5"/>
        <v>105600.39786</v>
      </c>
      <c r="AU21" s="794" t="s">
        <v>831</v>
      </c>
      <c r="AV21" s="615" t="s">
        <v>681</v>
      </c>
      <c r="AW21" s="615" t="s">
        <v>720</v>
      </c>
      <c r="AX21" s="519"/>
      <c r="AY21" s="518">
        <v>24</v>
      </c>
      <c r="AZ21" s="425">
        <v>6</v>
      </c>
    </row>
    <row r="22" spans="1:55" s="755" customFormat="1" ht="47.25" customHeight="1">
      <c r="A22" s="658" t="s">
        <v>765</v>
      </c>
      <c r="B22" s="934" t="s">
        <v>672</v>
      </c>
      <c r="C22" s="581">
        <v>32669</v>
      </c>
      <c r="D22" s="695" t="s">
        <v>493</v>
      </c>
      <c r="E22" s="695" t="s">
        <v>718</v>
      </c>
      <c r="F22" s="779" t="s">
        <v>677</v>
      </c>
      <c r="G22" s="666" t="s">
        <v>719</v>
      </c>
      <c r="H22" s="666"/>
      <c r="I22" s="666"/>
      <c r="J22" s="666" t="s">
        <v>719</v>
      </c>
      <c r="K22" s="666"/>
      <c r="L22" s="666"/>
      <c r="M22" s="666"/>
      <c r="N22" s="696">
        <v>44434</v>
      </c>
      <c r="O22" s="666"/>
      <c r="P22" s="666"/>
      <c r="Q22" s="666"/>
      <c r="R22" s="666"/>
      <c r="S22" s="519" t="s">
        <v>704</v>
      </c>
      <c r="T22" s="519" t="s">
        <v>37</v>
      </c>
      <c r="U22" s="557" t="s">
        <v>672</v>
      </c>
      <c r="V22" s="595">
        <v>30</v>
      </c>
      <c r="W22" s="600">
        <f>VLOOKUP(A22,'[1]Pay sheet-APRIL- 2022'!$C$5:$AF$134,10,0)</f>
        <v>30</v>
      </c>
      <c r="X22" s="650" t="s">
        <v>37</v>
      </c>
      <c r="Y22" s="599">
        <v>46909</v>
      </c>
      <c r="Z22" s="945">
        <f>VLOOKUP(A22,'[1]Pay sheet-APRIL- 2022'!$C$5:$AF$134,11,0)</f>
        <v>28145.4</v>
      </c>
      <c r="AA22" s="594">
        <v>0</v>
      </c>
      <c r="AB22" s="674">
        <v>0</v>
      </c>
      <c r="AC22" s="671">
        <f t="shared" si="1"/>
        <v>18876.599999999999</v>
      </c>
      <c r="AD22" s="600">
        <f>VLOOKUP(A22,'[1]Pay sheet-APRIL- 2022'!$C$5:$AF$134,12,0)</f>
        <v>11258.160000000002</v>
      </c>
      <c r="AE22" s="600">
        <f>VLOOKUP(A22,'[1]Pay sheet-APRIL- 2022'!$C$5:$AF$134,13,0)</f>
        <v>2083</v>
      </c>
      <c r="AF22" s="600">
        <f>VLOOKUP(A22,'[1]Pay sheet-APRIL- 2022'!$C$5:$AF$134,14,0)</f>
        <v>2083</v>
      </c>
      <c r="AG22" s="600">
        <f>VLOOKUP(A22,'[1]Pay sheet-APRIL- 2022'!$C$5:$AF$134,15,0)</f>
        <v>3452.4399999999951</v>
      </c>
      <c r="AH22" s="690">
        <f t="shared" si="2"/>
        <v>47022</v>
      </c>
      <c r="AI22" s="1016">
        <f>VLOOKUP(A22,'[1]Pay sheet-APRIL- 2022'!$C$5:$AF$134,18,0)</f>
        <v>1554.6089999999999</v>
      </c>
      <c r="AJ22" s="600">
        <f>VLOOKUP(A22,'[1]Pay sheet-APRIL- 2022'!$C$5:$AF$134,19,0)</f>
        <v>1353.7937399999998</v>
      </c>
      <c r="AK22" s="600">
        <f>VLOOKUP(A22,'[1]Pay sheet-APRIL- 2022'!$C$5:$AF$134,20,0)</f>
        <v>2345.4500000000003</v>
      </c>
      <c r="AL22" s="600">
        <f>VLOOKUP(A22,'[1]Pay sheet-APRIL- 2022'!$C$5:$AF$134,22,0)</f>
        <v>0</v>
      </c>
      <c r="AM22" s="598">
        <f t="shared" si="3"/>
        <v>52275.852739999995</v>
      </c>
      <c r="AN22" s="692"/>
      <c r="AO22" s="600">
        <f>VLOOKUP(A22,'[1]Pay sheet-APRIL- 2022'!$C$5:$AF$134,26,0)</f>
        <v>1800</v>
      </c>
      <c r="AP22" s="600">
        <f>VLOOKUP(A22,'[1]Pay sheet-APRIL- 2022'!$C$5:$AF$134,25,0)</f>
        <v>200</v>
      </c>
      <c r="AQ22" s="600">
        <f>VLOOKUP(A22,'[1]Pay sheet-APRIL- 2022'!$C$5:$AF$134,24,0)</f>
        <v>0</v>
      </c>
      <c r="AR22" s="600">
        <f>VLOOKUP(A22,'[1]Pay sheet-APRIL- 2022'!$C$5:$AF$134,27,0)</f>
        <v>336</v>
      </c>
      <c r="AS22" s="593">
        <f t="shared" si="4"/>
        <v>2336</v>
      </c>
      <c r="AT22" s="694">
        <f t="shared" si="5"/>
        <v>49939.852739999995</v>
      </c>
      <c r="AU22" s="794" t="s">
        <v>831</v>
      </c>
      <c r="AV22" s="615" t="s">
        <v>721</v>
      </c>
      <c r="AW22" s="615" t="s">
        <v>722</v>
      </c>
      <c r="AX22" s="754"/>
      <c r="AY22" s="518">
        <v>25</v>
      </c>
      <c r="AZ22" s="755">
        <v>7</v>
      </c>
    </row>
    <row r="23" spans="1:55" ht="47.25" customHeight="1">
      <c r="A23" s="658" t="s">
        <v>766</v>
      </c>
      <c r="B23" s="934" t="s">
        <v>673</v>
      </c>
      <c r="C23" s="581">
        <v>32336</v>
      </c>
      <c r="D23" s="695" t="s">
        <v>493</v>
      </c>
      <c r="E23" s="695" t="s">
        <v>716</v>
      </c>
      <c r="F23" s="779" t="s">
        <v>678</v>
      </c>
      <c r="G23" s="666" t="s">
        <v>717</v>
      </c>
      <c r="H23" s="666"/>
      <c r="I23" s="666"/>
      <c r="J23" s="666" t="s">
        <v>717</v>
      </c>
      <c r="K23" s="666"/>
      <c r="L23" s="666"/>
      <c r="M23" s="666"/>
      <c r="N23" s="696">
        <v>44438</v>
      </c>
      <c r="O23" s="666"/>
      <c r="P23" s="666"/>
      <c r="Q23" s="666"/>
      <c r="R23" s="666"/>
      <c r="S23" s="519" t="s">
        <v>703</v>
      </c>
      <c r="T23" s="519" t="s">
        <v>37</v>
      </c>
      <c r="U23" s="557" t="s">
        <v>673</v>
      </c>
      <c r="V23" s="595">
        <v>30</v>
      </c>
      <c r="W23" s="600">
        <f>VLOOKUP(A23,'[1]Pay sheet-APRIL- 2022'!$C$5:$AF$134,10,0)</f>
        <v>30</v>
      </c>
      <c r="X23" s="650" t="s">
        <v>37</v>
      </c>
      <c r="Y23" s="599">
        <v>131257</v>
      </c>
      <c r="Z23" s="945">
        <f>VLOOKUP(A23,'[1]Pay sheet-APRIL- 2022'!$C$5:$AF$134,11,0)</f>
        <v>78754.2</v>
      </c>
      <c r="AA23" s="594">
        <v>0</v>
      </c>
      <c r="AB23" s="674">
        <v>0</v>
      </c>
      <c r="AC23" s="671">
        <f t="shared" si="1"/>
        <v>52615.799999999996</v>
      </c>
      <c r="AD23" s="600">
        <f>VLOOKUP(A23,'[1]Pay sheet-APRIL- 2022'!$C$5:$AF$134,12,0)</f>
        <v>31501.68</v>
      </c>
      <c r="AE23" s="600">
        <f>VLOOKUP(A23,'[1]Pay sheet-APRIL- 2022'!$C$5:$AF$134,13,0)</f>
        <v>2083</v>
      </c>
      <c r="AF23" s="600">
        <f>VLOOKUP(A23,'[1]Pay sheet-APRIL- 2022'!$C$5:$AF$134,14,0)</f>
        <v>2083</v>
      </c>
      <c r="AG23" s="600">
        <f>VLOOKUP(A23,'[1]Pay sheet-APRIL- 2022'!$C$5:$AF$134,15,0)</f>
        <v>16948.119999999995</v>
      </c>
      <c r="AH23" s="690">
        <f t="shared" si="2"/>
        <v>131370</v>
      </c>
      <c r="AI23" s="1016">
        <f>VLOOKUP(A23,'[1]Pay sheet-APRIL- 2022'!$C$5:$AF$134,18,0)</f>
        <v>1554.6089999999999</v>
      </c>
      <c r="AJ23" s="600">
        <f>VLOOKUP(A23,'[1]Pay sheet-APRIL- 2022'!$C$5:$AF$134,19,0)</f>
        <v>3788.0770199999993</v>
      </c>
      <c r="AK23" s="600">
        <f>VLOOKUP(A23,'[1]Pay sheet-APRIL- 2022'!$C$5:$AF$134,20,0)</f>
        <v>6562.8499999999995</v>
      </c>
      <c r="AL23" s="600">
        <f>VLOOKUP(A23,'[1]Pay sheet-APRIL- 2022'!$C$5:$AF$134,22,0)</f>
        <v>0</v>
      </c>
      <c r="AM23" s="598">
        <f t="shared" si="3"/>
        <v>143275.53602</v>
      </c>
      <c r="AN23" s="692"/>
      <c r="AO23" s="600">
        <f>VLOOKUP(A23,'[1]Pay sheet-APRIL- 2022'!$C$5:$AF$134,26,0)</f>
        <v>1800</v>
      </c>
      <c r="AP23" s="600">
        <f>VLOOKUP(A23,'[1]Pay sheet-APRIL- 2022'!$C$5:$AF$134,25,0)</f>
        <v>200</v>
      </c>
      <c r="AQ23" s="600">
        <f>VLOOKUP(A23,'[1]Pay sheet-APRIL- 2022'!$C$5:$AF$134,24,0)</f>
        <v>0</v>
      </c>
      <c r="AR23" s="600">
        <f>VLOOKUP(A23,'[1]Pay sheet-APRIL- 2022'!$C$5:$AF$134,27,0)</f>
        <v>336</v>
      </c>
      <c r="AS23" s="593">
        <f t="shared" si="4"/>
        <v>2336</v>
      </c>
      <c r="AT23" s="694">
        <f t="shared" si="5"/>
        <v>140939.53602</v>
      </c>
      <c r="AU23" s="794" t="s">
        <v>831</v>
      </c>
      <c r="AV23" s="615" t="s">
        <v>723</v>
      </c>
      <c r="AW23" s="615" t="s">
        <v>724</v>
      </c>
      <c r="AX23" s="519"/>
      <c r="AY23" s="518">
        <v>26</v>
      </c>
      <c r="AZ23" s="425">
        <v>8</v>
      </c>
    </row>
    <row r="24" spans="1:55" s="832" customFormat="1" ht="47.25" customHeight="1">
      <c r="A24" s="658" t="s">
        <v>767</v>
      </c>
      <c r="B24" s="934" t="s">
        <v>725</v>
      </c>
      <c r="C24" s="819">
        <v>31899</v>
      </c>
      <c r="D24" s="820" t="s">
        <v>493</v>
      </c>
      <c r="E24" s="820" t="s">
        <v>727</v>
      </c>
      <c r="F24" s="821" t="s">
        <v>732</v>
      </c>
      <c r="G24" s="822" t="s">
        <v>728</v>
      </c>
      <c r="H24" s="822"/>
      <c r="I24" s="822" t="s">
        <v>667</v>
      </c>
      <c r="J24" s="822" t="s">
        <v>728</v>
      </c>
      <c r="K24" s="822" t="s">
        <v>667</v>
      </c>
      <c r="L24" s="822" t="s">
        <v>667</v>
      </c>
      <c r="M24" s="822" t="s">
        <v>667</v>
      </c>
      <c r="N24" s="823">
        <v>44446</v>
      </c>
      <c r="O24" s="822" t="s">
        <v>667</v>
      </c>
      <c r="P24" s="822" t="s">
        <v>667</v>
      </c>
      <c r="Q24" s="822" t="s">
        <v>667</v>
      </c>
      <c r="R24" s="822" t="s">
        <v>667</v>
      </c>
      <c r="S24" s="824" t="s">
        <v>747</v>
      </c>
      <c r="T24" s="532" t="s">
        <v>37</v>
      </c>
      <c r="U24" s="825" t="s">
        <v>725</v>
      </c>
      <c r="V24" s="595">
        <v>30</v>
      </c>
      <c r="W24" s="600">
        <f>VLOOKUP(A24,'[1]Pay sheet-APRIL- 2022'!$C$5:$AF$134,10,0)</f>
        <v>30</v>
      </c>
      <c r="X24" s="826" t="s">
        <v>37</v>
      </c>
      <c r="Y24" s="827">
        <v>89547</v>
      </c>
      <c r="Z24" s="945">
        <f>VLOOKUP(A24,'[1]Pay sheet-APRIL- 2022'!$C$5:$AF$134,11,0)</f>
        <v>53728.2</v>
      </c>
      <c r="AA24" s="828">
        <v>0</v>
      </c>
      <c r="AB24" s="829">
        <v>0</v>
      </c>
      <c r="AC24" s="671">
        <f t="shared" si="1"/>
        <v>35931.800000000003</v>
      </c>
      <c r="AD24" s="600">
        <f>VLOOKUP(A24,'[1]Pay sheet-APRIL- 2022'!$C$5:$AF$134,12,0)</f>
        <v>21491.279999999999</v>
      </c>
      <c r="AE24" s="600">
        <f>VLOOKUP(A24,'[1]Pay sheet-APRIL- 2022'!$C$5:$AF$134,13,0)</f>
        <v>2083</v>
      </c>
      <c r="AF24" s="600">
        <f>VLOOKUP(A24,'[1]Pay sheet-APRIL- 2022'!$C$5:$AF$134,14,0)</f>
        <v>2083</v>
      </c>
      <c r="AG24" s="600">
        <f>VLOOKUP(A24,'[1]Pay sheet-APRIL- 2022'!$C$5:$AF$134,15,0)</f>
        <v>10274.520000000004</v>
      </c>
      <c r="AH24" s="690">
        <f t="shared" si="2"/>
        <v>89660</v>
      </c>
      <c r="AI24" s="1016">
        <f>VLOOKUP(A24,'[1]Pay sheet-APRIL- 2022'!$C$5:$AF$134,18,0)</f>
        <v>1554.6089999999999</v>
      </c>
      <c r="AJ24" s="600">
        <f>VLOOKUP(A24,'[1]Pay sheet-APRIL- 2022'!$C$5:$AF$134,19,0)</f>
        <v>2584.3264199999994</v>
      </c>
      <c r="AK24" s="600">
        <f>VLOOKUP(A24,'[1]Pay sheet-APRIL- 2022'!$C$5:$AF$134,20,0)</f>
        <v>4477.3499999999995</v>
      </c>
      <c r="AL24" s="600">
        <f>VLOOKUP(A24,'[1]Pay sheet-APRIL- 2022'!$C$5:$AF$134,22,0)</f>
        <v>0</v>
      </c>
      <c r="AM24" s="598">
        <f t="shared" si="3"/>
        <v>98276.28542</v>
      </c>
      <c r="AN24" s="830"/>
      <c r="AO24" s="600">
        <f>VLOOKUP(A24,'[1]Pay sheet-APRIL- 2022'!$C$5:$AF$134,26,0)</f>
        <v>1800</v>
      </c>
      <c r="AP24" s="600">
        <f>VLOOKUP(A24,'[1]Pay sheet-APRIL- 2022'!$C$5:$AF$134,25,0)</f>
        <v>200</v>
      </c>
      <c r="AQ24" s="600">
        <f>VLOOKUP(A24,'[1]Pay sheet-APRIL- 2022'!$C$5:$AF$134,24,0)</f>
        <v>0</v>
      </c>
      <c r="AR24" s="600">
        <f>VLOOKUP(A24,'[1]Pay sheet-APRIL- 2022'!$C$5:$AF$134,27,0)</f>
        <v>224</v>
      </c>
      <c r="AS24" s="593">
        <f t="shared" si="4"/>
        <v>2224</v>
      </c>
      <c r="AT24" s="694">
        <f t="shared" si="5"/>
        <v>96052.28542</v>
      </c>
      <c r="AU24" s="794" t="s">
        <v>831</v>
      </c>
      <c r="AV24" s="831" t="s">
        <v>736</v>
      </c>
      <c r="AW24" s="831" t="s">
        <v>745</v>
      </c>
      <c r="AY24" s="637">
        <v>27</v>
      </c>
      <c r="AZ24" s="1019">
        <v>9</v>
      </c>
      <c r="BA24" s="834"/>
      <c r="BB24" s="834"/>
      <c r="BC24" s="834"/>
    </row>
    <row r="25" spans="1:55" ht="47.25" customHeight="1">
      <c r="A25" s="658" t="s">
        <v>768</v>
      </c>
      <c r="B25" s="934" t="s">
        <v>733</v>
      </c>
      <c r="C25" s="581" t="s">
        <v>740</v>
      </c>
      <c r="D25" s="695" t="s">
        <v>502</v>
      </c>
      <c r="E25" s="695" t="s">
        <v>741</v>
      </c>
      <c r="F25" s="779" t="s">
        <v>735</v>
      </c>
      <c r="G25" s="666" t="s">
        <v>739</v>
      </c>
      <c r="H25" s="666" t="s">
        <v>667</v>
      </c>
      <c r="I25" s="666" t="s">
        <v>667</v>
      </c>
      <c r="J25" s="666" t="s">
        <v>739</v>
      </c>
      <c r="K25" s="666" t="s">
        <v>667</v>
      </c>
      <c r="L25" s="666" t="s">
        <v>667</v>
      </c>
      <c r="M25" s="666" t="s">
        <v>667</v>
      </c>
      <c r="N25" s="696">
        <v>44490</v>
      </c>
      <c r="O25" s="666" t="s">
        <v>667</v>
      </c>
      <c r="P25" s="666" t="s">
        <v>667</v>
      </c>
      <c r="Q25" s="666" t="s">
        <v>667</v>
      </c>
      <c r="R25" s="666" t="s">
        <v>667</v>
      </c>
      <c r="S25" s="756" t="s">
        <v>746</v>
      </c>
      <c r="T25" s="519" t="s">
        <v>37</v>
      </c>
      <c r="U25" s="557" t="s">
        <v>733</v>
      </c>
      <c r="V25" s="595">
        <v>30</v>
      </c>
      <c r="W25" s="600">
        <f>VLOOKUP(A25,'[1]Pay sheet-APRIL- 2022'!$C$5:$AF$134,10,0)</f>
        <v>30</v>
      </c>
      <c r="X25" s="650" t="s">
        <v>37</v>
      </c>
      <c r="Y25" s="599">
        <v>98816</v>
      </c>
      <c r="Z25" s="945">
        <f>VLOOKUP(A25,'[1]Pay sheet-APRIL- 2022'!$C$5:$AF$134,11,0)</f>
        <v>59289.599999999999</v>
      </c>
      <c r="AA25" s="594">
        <v>0</v>
      </c>
      <c r="AB25" s="674">
        <v>0</v>
      </c>
      <c r="AC25" s="671">
        <f t="shared" si="1"/>
        <v>39639.399999999994</v>
      </c>
      <c r="AD25" s="600">
        <f>VLOOKUP(A25,'[1]Pay sheet-APRIL- 2022'!$C$5:$AF$134,12,0)</f>
        <v>23715.84</v>
      </c>
      <c r="AE25" s="600">
        <f>VLOOKUP(A25,'[1]Pay sheet-APRIL- 2022'!$C$5:$AF$134,13,0)</f>
        <v>2083</v>
      </c>
      <c r="AF25" s="600">
        <f>VLOOKUP(A25,'[1]Pay sheet-APRIL- 2022'!$C$5:$AF$134,14,0)</f>
        <v>2083</v>
      </c>
      <c r="AG25" s="600">
        <f>VLOOKUP(A25,'[1]Pay sheet-APRIL- 2022'!$C$5:$AF$134,15,0)</f>
        <v>11757.559999999998</v>
      </c>
      <c r="AH25" s="690">
        <f t="shared" si="2"/>
        <v>98929</v>
      </c>
      <c r="AI25" s="1016">
        <f>VLOOKUP(A25,'[1]Pay sheet-APRIL- 2022'!$C$5:$AF$134,18,0)</f>
        <v>1554.6089999999999</v>
      </c>
      <c r="AJ25" s="600">
        <f>VLOOKUP(A25,'[1]Pay sheet-APRIL- 2022'!$C$5:$AF$134,19,0)</f>
        <v>2851.8297599999996</v>
      </c>
      <c r="AK25" s="600">
        <f>VLOOKUP(A25,'[1]Pay sheet-APRIL- 2022'!$C$5:$AF$134,20,0)</f>
        <v>4940.8</v>
      </c>
      <c r="AL25" s="600">
        <f>VLOOKUP(A25,'[1]Pay sheet-APRIL- 2022'!$C$5:$AF$134,22,0)</f>
        <v>0</v>
      </c>
      <c r="AM25" s="598">
        <f t="shared" si="3"/>
        <v>108276.23875999999</v>
      </c>
      <c r="AN25" s="692"/>
      <c r="AO25" s="600">
        <f>VLOOKUP(A25,'[1]Pay sheet-APRIL- 2022'!$C$5:$AF$134,26,0)</f>
        <v>1800</v>
      </c>
      <c r="AP25" s="600">
        <f>VLOOKUP(A25,'[1]Pay sheet-APRIL- 2022'!$C$5:$AF$134,25,0)</f>
        <v>200</v>
      </c>
      <c r="AQ25" s="600">
        <f>VLOOKUP(A25,'[1]Pay sheet-APRIL- 2022'!$C$5:$AF$134,24,0)</f>
        <v>0</v>
      </c>
      <c r="AR25" s="600">
        <f>VLOOKUP(A25,'[1]Pay sheet-APRIL- 2022'!$C$5:$AF$134,27,0)</f>
        <v>254</v>
      </c>
      <c r="AS25" s="593">
        <f t="shared" si="4"/>
        <v>2254</v>
      </c>
      <c r="AT25" s="694">
        <f t="shared" si="5"/>
        <v>106022.23875999999</v>
      </c>
      <c r="AU25" s="794" t="s">
        <v>831</v>
      </c>
      <c r="AV25" s="615" t="s">
        <v>736</v>
      </c>
      <c r="AW25" s="615" t="s">
        <v>737</v>
      </c>
      <c r="AX25" s="519"/>
      <c r="AY25" s="518">
        <v>29</v>
      </c>
      <c r="AZ25" s="425">
        <v>10</v>
      </c>
    </row>
    <row r="26" spans="1:55" ht="47.25" customHeight="1">
      <c r="A26" s="659" t="s">
        <v>769</v>
      </c>
      <c r="B26" s="935" t="s">
        <v>777</v>
      </c>
      <c r="C26" s="581">
        <v>32932</v>
      </c>
      <c r="D26" s="695" t="s">
        <v>502</v>
      </c>
      <c r="E26" s="695" t="s">
        <v>742</v>
      </c>
      <c r="F26" s="779" t="s">
        <v>738</v>
      </c>
      <c r="G26" s="666" t="s">
        <v>743</v>
      </c>
      <c r="H26" s="666" t="s">
        <v>667</v>
      </c>
      <c r="I26" s="666" t="s">
        <v>667</v>
      </c>
      <c r="J26" s="666" t="s">
        <v>744</v>
      </c>
      <c r="K26" s="666" t="s">
        <v>667</v>
      </c>
      <c r="L26" s="666" t="s">
        <v>667</v>
      </c>
      <c r="M26" s="666" t="s">
        <v>667</v>
      </c>
      <c r="N26" s="696">
        <v>44494</v>
      </c>
      <c r="O26" s="666" t="s">
        <v>667</v>
      </c>
      <c r="P26" s="666" t="s">
        <v>667</v>
      </c>
      <c r="Q26" s="666" t="s">
        <v>667</v>
      </c>
      <c r="R26" s="666" t="s">
        <v>667</v>
      </c>
      <c r="S26" s="756" t="s">
        <v>754</v>
      </c>
      <c r="T26" s="519" t="s">
        <v>37</v>
      </c>
      <c r="U26" s="557" t="s">
        <v>734</v>
      </c>
      <c r="V26" s="595">
        <v>30</v>
      </c>
      <c r="W26" s="943">
        <f>VLOOKUP(A26,'[1]Pay sheet-APRIL- 2022'!$C$5:$AF$134,10,0)</f>
        <v>22</v>
      </c>
      <c r="X26" s="650" t="s">
        <v>37</v>
      </c>
      <c r="Y26" s="599">
        <v>59886</v>
      </c>
      <c r="Z26" s="945">
        <f>VLOOKUP(A26,'[1]Pay sheet-APRIL- 2022'!$C$5:$AF$134,11,0)</f>
        <v>26349.84</v>
      </c>
      <c r="AA26" s="594">
        <v>0</v>
      </c>
      <c r="AB26" s="674">
        <v>0</v>
      </c>
      <c r="AC26" s="671">
        <f t="shared" si="1"/>
        <v>17679.560000000005</v>
      </c>
      <c r="AD26" s="600">
        <f>VLOOKUP(A26,'[1]Pay sheet-APRIL- 2022'!$C$5:$AF$134,12,0)</f>
        <v>10539.936000000002</v>
      </c>
      <c r="AE26" s="600">
        <f>VLOOKUP(A26,'[1]Pay sheet-APRIL- 2022'!$C$5:$AF$134,13,0)</f>
        <v>1528</v>
      </c>
      <c r="AF26" s="600">
        <f>VLOOKUP(A26,'[1]Pay sheet-APRIL- 2022'!$C$5:$AF$134,14,0)</f>
        <v>1528</v>
      </c>
      <c r="AG26" s="600">
        <f>VLOOKUP(A26,'[1]Pay sheet-APRIL- 2022'!$C$5:$AF$134,15,0)</f>
        <v>4083.6240000000034</v>
      </c>
      <c r="AH26" s="690">
        <f t="shared" si="2"/>
        <v>44029.400000000009</v>
      </c>
      <c r="AI26" s="1016">
        <f>VLOOKUP(A26,'[1]Pay sheet-APRIL- 2022'!$C$5:$AF$134,18,0)</f>
        <v>1554.6089999999999</v>
      </c>
      <c r="AJ26" s="600">
        <f>VLOOKUP(A26,'[1]Pay sheet-APRIL- 2022'!$C$5:$AF$134,19,0)</f>
        <v>1267.4273039999998</v>
      </c>
      <c r="AK26" s="600">
        <f>VLOOKUP(A26,'[1]Pay sheet-APRIL- 2022'!$C$5:$AF$134,20,0)</f>
        <v>2195.8200000000002</v>
      </c>
      <c r="AL26" s="600">
        <f>VLOOKUP(A26,'[1]Pay sheet-APRIL- 2022'!$C$5:$AF$134,22,0)</f>
        <v>0</v>
      </c>
      <c r="AM26" s="598">
        <f t="shared" si="3"/>
        <v>49047.256303999995</v>
      </c>
      <c r="AN26" s="692"/>
      <c r="AO26" s="600">
        <f>VLOOKUP(A26,'[1]Pay sheet-APRIL- 2022'!$C$5:$AF$134,26,0)</f>
        <v>1800</v>
      </c>
      <c r="AP26" s="600">
        <f>VLOOKUP(A26,'[1]Pay sheet-APRIL- 2022'!$C$5:$AF$134,25,0)</f>
        <v>200</v>
      </c>
      <c r="AQ26" s="600">
        <f>VLOOKUP(A26,'[1]Pay sheet-APRIL- 2022'!$C$5:$AF$134,24,0)</f>
        <v>0</v>
      </c>
      <c r="AR26" s="600">
        <f>VLOOKUP(A26,'[1]Pay sheet-APRIL- 2022'!$C$5:$AF$134,27,0)</f>
        <v>254</v>
      </c>
      <c r="AS26" s="593">
        <f t="shared" si="4"/>
        <v>2254</v>
      </c>
      <c r="AT26" s="694">
        <f t="shared" si="5"/>
        <v>46793.256303999995</v>
      </c>
      <c r="AU26" s="794" t="s">
        <v>831</v>
      </c>
      <c r="AV26" s="615" t="s">
        <v>599</v>
      </c>
      <c r="AW26" s="615">
        <v>32722181716</v>
      </c>
      <c r="AX26" s="519"/>
      <c r="AY26" s="518">
        <v>30</v>
      </c>
      <c r="AZ26" s="425">
        <v>11</v>
      </c>
    </row>
    <row r="27" spans="1:55" ht="47.25" customHeight="1">
      <c r="A27" s="659" t="s">
        <v>770</v>
      </c>
      <c r="B27" s="936" t="s">
        <v>748</v>
      </c>
      <c r="C27" s="644">
        <v>34146</v>
      </c>
      <c r="D27" s="653" t="s">
        <v>502</v>
      </c>
      <c r="E27" s="653" t="s">
        <v>755</v>
      </c>
      <c r="F27" s="780" t="s">
        <v>749</v>
      </c>
      <c r="G27" s="668" t="s">
        <v>756</v>
      </c>
      <c r="H27" s="668"/>
      <c r="I27" s="668" t="s">
        <v>667</v>
      </c>
      <c r="J27" s="668" t="s">
        <v>756</v>
      </c>
      <c r="K27" s="668" t="s">
        <v>667</v>
      </c>
      <c r="L27" s="668" t="s">
        <v>667</v>
      </c>
      <c r="M27" s="668" t="s">
        <v>667</v>
      </c>
      <c r="N27" s="669">
        <v>44509</v>
      </c>
      <c r="O27" s="668" t="s">
        <v>667</v>
      </c>
      <c r="P27" s="668" t="s">
        <v>667</v>
      </c>
      <c r="Q27" s="668" t="s">
        <v>667</v>
      </c>
      <c r="R27" s="668" t="s">
        <v>667</v>
      </c>
      <c r="S27" s="758" t="s">
        <v>750</v>
      </c>
      <c r="T27" s="645" t="s">
        <v>37</v>
      </c>
      <c r="U27" s="646" t="s">
        <v>748</v>
      </c>
      <c r="V27" s="595">
        <v>30</v>
      </c>
      <c r="W27" s="600">
        <f>VLOOKUP(A27,'[1]Pay sheet-APRIL- 2022'!$C$5:$AF$134,10,0)</f>
        <v>30</v>
      </c>
      <c r="X27" s="654" t="s">
        <v>37</v>
      </c>
      <c r="Y27" s="655">
        <v>35786</v>
      </c>
      <c r="Z27" s="945">
        <f>VLOOKUP(A27,'[1]Pay sheet-APRIL- 2022'!$C$5:$AF$134,11,0)</f>
        <v>21471.599999999999</v>
      </c>
      <c r="AA27" s="645">
        <v>0</v>
      </c>
      <c r="AB27" s="675">
        <v>0</v>
      </c>
      <c r="AC27" s="671">
        <f t="shared" si="1"/>
        <v>14427.400000000001</v>
      </c>
      <c r="AD27" s="600">
        <f>VLOOKUP(A27,'[1]Pay sheet-APRIL- 2022'!$C$5:$AF$134,12,0)</f>
        <v>8588.64</v>
      </c>
      <c r="AE27" s="600">
        <f>VLOOKUP(A27,'[1]Pay sheet-APRIL- 2022'!$C$5:$AF$134,13,0)</f>
        <v>2083</v>
      </c>
      <c r="AF27" s="600">
        <f>VLOOKUP(A27,'[1]Pay sheet-APRIL- 2022'!$C$5:$AF$134,14,0)</f>
        <v>2083</v>
      </c>
      <c r="AG27" s="600">
        <f>VLOOKUP(A27,'[1]Pay sheet-APRIL- 2022'!$C$5:$AF$134,15,0)</f>
        <v>1672.760000000002</v>
      </c>
      <c r="AH27" s="690">
        <f t="shared" si="2"/>
        <v>35899</v>
      </c>
      <c r="AI27" s="1016">
        <f>VLOOKUP(A27,'[1]Pay sheet-APRIL- 2022'!$C$5:$AF$134,18,0)</f>
        <v>1554.6089999999999</v>
      </c>
      <c r="AJ27" s="600">
        <f>VLOOKUP(A27,'[1]Pay sheet-APRIL- 2022'!$C$5:$AF$134,19,0)</f>
        <v>1032.7839599999998</v>
      </c>
      <c r="AK27" s="600">
        <f>VLOOKUP(A27,'[1]Pay sheet-APRIL- 2022'!$C$5:$AF$134,20,0)</f>
        <v>1789.3</v>
      </c>
      <c r="AL27" s="600">
        <f>VLOOKUP(A27,'[1]Pay sheet-APRIL- 2022'!$C$5:$AF$134,22,0)</f>
        <v>0</v>
      </c>
      <c r="AM27" s="598">
        <f t="shared" si="3"/>
        <v>40275.69296</v>
      </c>
      <c r="AN27" s="693"/>
      <c r="AO27" s="600">
        <f>VLOOKUP(A27,'[1]Pay sheet-APRIL- 2022'!$C$5:$AF$134,26,0)</f>
        <v>1800</v>
      </c>
      <c r="AP27" s="600">
        <f>VLOOKUP(A27,'[1]Pay sheet-APRIL- 2022'!$C$5:$AF$134,25,0)</f>
        <v>200</v>
      </c>
      <c r="AQ27" s="600">
        <f>VLOOKUP(A27,'[1]Pay sheet-APRIL- 2022'!$C$5:$AF$134,24,0)</f>
        <v>0</v>
      </c>
      <c r="AR27" s="600">
        <f>VLOOKUP(A27,'[1]Pay sheet-APRIL- 2022'!$C$5:$AF$134,27,0)</f>
        <v>252</v>
      </c>
      <c r="AS27" s="593">
        <f t="shared" si="4"/>
        <v>2252</v>
      </c>
      <c r="AT27" s="694">
        <f t="shared" si="5"/>
        <v>38023.69296</v>
      </c>
      <c r="AU27" s="794" t="s">
        <v>831</v>
      </c>
      <c r="AV27" s="656" t="s">
        <v>751</v>
      </c>
      <c r="AW27" s="657" t="s">
        <v>752</v>
      </c>
      <c r="AY27" s="591">
        <v>31</v>
      </c>
      <c r="AZ27" s="425">
        <v>12</v>
      </c>
    </row>
    <row r="28" spans="1:55" ht="47.25" customHeight="1">
      <c r="A28" s="658" t="s">
        <v>771</v>
      </c>
      <c r="B28" s="937" t="s">
        <v>757</v>
      </c>
      <c r="C28" s="521">
        <v>33635</v>
      </c>
      <c r="D28" s="732" t="s">
        <v>502</v>
      </c>
      <c r="E28" s="519" t="s">
        <v>772</v>
      </c>
      <c r="F28" s="779" t="s">
        <v>776</v>
      </c>
      <c r="G28" s="520" t="s">
        <v>773</v>
      </c>
      <c r="I28" s="670" t="s">
        <v>667</v>
      </c>
      <c r="J28" s="520" t="s">
        <v>773</v>
      </c>
      <c r="K28" s="670" t="s">
        <v>667</v>
      </c>
      <c r="L28" s="670" t="s">
        <v>667</v>
      </c>
      <c r="M28" s="670" t="s">
        <v>667</v>
      </c>
      <c r="N28" s="759">
        <v>44538</v>
      </c>
      <c r="O28" s="670" t="s">
        <v>667</v>
      </c>
      <c r="P28" s="670" t="s">
        <v>667</v>
      </c>
      <c r="Q28" s="670" t="s">
        <v>667</v>
      </c>
      <c r="R28" s="670" t="s">
        <v>667</v>
      </c>
      <c r="S28" s="688" t="s">
        <v>774</v>
      </c>
      <c r="T28" s="594" t="s">
        <v>37</v>
      </c>
      <c r="U28" s="760" t="s">
        <v>757</v>
      </c>
      <c r="V28" s="595">
        <v>30</v>
      </c>
      <c r="W28" s="600">
        <f>VLOOKUP(A28,'[1]Pay sheet-APRIL- 2022'!$C$5:$AF$134,10,0)</f>
        <v>30</v>
      </c>
      <c r="X28" s="594" t="s">
        <v>37</v>
      </c>
      <c r="Y28" s="761">
        <v>128477</v>
      </c>
      <c r="Z28" s="945">
        <f>VLOOKUP(A28,'[1]Pay sheet-APRIL- 2022'!$C$5:$AF$134,11,0)</f>
        <v>77086.2</v>
      </c>
      <c r="AA28" s="816">
        <v>0</v>
      </c>
      <c r="AB28" s="693">
        <v>0</v>
      </c>
      <c r="AC28" s="671">
        <f t="shared" si="1"/>
        <v>51503.8</v>
      </c>
      <c r="AD28" s="600">
        <f>VLOOKUP(A28,'[1]Pay sheet-APRIL- 2022'!$C$5:$AF$134,12,0)</f>
        <v>30834.48</v>
      </c>
      <c r="AE28" s="600">
        <f>VLOOKUP(A28,'[1]Pay sheet-APRIL- 2022'!$C$5:$AF$134,13,0)</f>
        <v>2083</v>
      </c>
      <c r="AF28" s="600">
        <f>VLOOKUP(A28,'[1]Pay sheet-APRIL- 2022'!$C$5:$AF$134,14,0)</f>
        <v>2083</v>
      </c>
      <c r="AG28" s="600">
        <f>VLOOKUP(A28,'[1]Pay sheet-APRIL- 2022'!$C$5:$AF$134,15,0)</f>
        <v>16503.320000000007</v>
      </c>
      <c r="AH28" s="690">
        <f t="shared" si="2"/>
        <v>128590</v>
      </c>
      <c r="AI28" s="1016">
        <f>VLOOKUP(A28,'[1]Pay sheet-APRIL- 2022'!$C$5:$AF$134,18,0)</f>
        <v>1554.6089999999999</v>
      </c>
      <c r="AJ28" s="600">
        <f>VLOOKUP(A28,'[1]Pay sheet-APRIL- 2022'!$C$5:$AF$134,19,0)</f>
        <v>3707.8462199999999</v>
      </c>
      <c r="AK28" s="600">
        <f>VLOOKUP(A28,'[1]Pay sheet-APRIL- 2022'!$C$5:$AF$134,20,0)</f>
        <v>6423.8499999999995</v>
      </c>
      <c r="AL28" s="600">
        <f>VLOOKUP(A28,'[1]Pay sheet-APRIL- 2022'!$C$5:$AF$134,22,0)</f>
        <v>0</v>
      </c>
      <c r="AM28" s="598">
        <f t="shared" si="3"/>
        <v>140276.30522000001</v>
      </c>
      <c r="AN28" s="762"/>
      <c r="AO28" s="600">
        <f>VLOOKUP(A28,'[1]Pay sheet-APRIL- 2022'!$C$5:$AF$134,26,0)</f>
        <v>1800</v>
      </c>
      <c r="AP28" s="600">
        <f>VLOOKUP(A28,'[1]Pay sheet-APRIL- 2022'!$C$5:$AF$134,25,0)</f>
        <v>200</v>
      </c>
      <c r="AQ28" s="600">
        <f>VLOOKUP(A28,'[1]Pay sheet-APRIL- 2022'!$C$5:$AF$134,24,0)</f>
        <v>0</v>
      </c>
      <c r="AR28" s="600">
        <f>VLOOKUP(A28,'[1]Pay sheet-APRIL- 2022'!$C$5:$AF$134,27,0)</f>
        <v>283</v>
      </c>
      <c r="AS28" s="593">
        <f t="shared" si="4"/>
        <v>2283</v>
      </c>
      <c r="AT28" s="694">
        <f t="shared" si="5"/>
        <v>137993.30522000001</v>
      </c>
      <c r="AU28" s="794" t="s">
        <v>831</v>
      </c>
      <c r="AV28" s="618" t="s">
        <v>723</v>
      </c>
      <c r="AW28" s="763" t="s">
        <v>775</v>
      </c>
      <c r="AX28" s="519"/>
      <c r="AY28" s="518">
        <v>32</v>
      </c>
      <c r="AZ28" s="425">
        <v>13</v>
      </c>
    </row>
    <row r="29" spans="1:55" s="767" customFormat="1" ht="47.25" customHeight="1">
      <c r="A29" s="658" t="s">
        <v>779</v>
      </c>
      <c r="B29" s="935" t="s">
        <v>778</v>
      </c>
      <c r="C29" s="853" t="s">
        <v>796</v>
      </c>
      <c r="D29" s="732" t="s">
        <v>502</v>
      </c>
      <c r="E29" s="854" t="s">
        <v>787</v>
      </c>
      <c r="F29" s="847" t="s">
        <v>780</v>
      </c>
      <c r="G29" s="855" t="s">
        <v>788</v>
      </c>
      <c r="H29" s="786" t="s">
        <v>667</v>
      </c>
      <c r="I29" s="787" t="s">
        <v>667</v>
      </c>
      <c r="J29" s="856" t="s">
        <v>788</v>
      </c>
      <c r="K29" s="670" t="s">
        <v>667</v>
      </c>
      <c r="L29" s="670" t="s">
        <v>667</v>
      </c>
      <c r="M29" s="670" t="s">
        <v>667</v>
      </c>
      <c r="N29" s="764">
        <v>44579</v>
      </c>
      <c r="O29" s="670" t="s">
        <v>667</v>
      </c>
      <c r="P29" s="670" t="s">
        <v>667</v>
      </c>
      <c r="Q29" s="670" t="s">
        <v>667</v>
      </c>
      <c r="R29" s="670" t="s">
        <v>667</v>
      </c>
      <c r="S29" s="765" t="s">
        <v>781</v>
      </c>
      <c r="T29" s="594" t="s">
        <v>37</v>
      </c>
      <c r="U29" s="757" t="s">
        <v>778</v>
      </c>
      <c r="V29" s="595">
        <v>30</v>
      </c>
      <c r="W29" s="600">
        <f>VLOOKUP(A29,'[1]Pay sheet-APRIL- 2022'!$C$5:$AF$134,10,0)</f>
        <v>30</v>
      </c>
      <c r="X29" s="594" t="s">
        <v>37</v>
      </c>
      <c r="Y29" s="803">
        <v>74716</v>
      </c>
      <c r="Z29" s="945">
        <f>VLOOKUP(A29,'[1]Pay sheet-APRIL- 2022'!$C$5:$AF$134,11,0)</f>
        <v>44829.599999999999</v>
      </c>
      <c r="AA29" s="816">
        <v>0</v>
      </c>
      <c r="AB29" s="693">
        <v>0</v>
      </c>
      <c r="AC29" s="671">
        <f t="shared" si="1"/>
        <v>29999.399999999998</v>
      </c>
      <c r="AD29" s="600">
        <f>VLOOKUP(A29,'[1]Pay sheet-APRIL- 2022'!$C$5:$AF$134,12,0)</f>
        <v>17931.84</v>
      </c>
      <c r="AE29" s="600">
        <f>VLOOKUP(A29,'[1]Pay sheet-APRIL- 2022'!$C$5:$AF$134,13,0)</f>
        <v>2083</v>
      </c>
      <c r="AF29" s="600">
        <f>VLOOKUP(A29,'[1]Pay sheet-APRIL- 2022'!$C$5:$AF$134,14,0)</f>
        <v>2083</v>
      </c>
      <c r="AG29" s="600">
        <f>VLOOKUP(A29,'[1]Pay sheet-APRIL- 2022'!$C$5:$AF$134,15,0)</f>
        <v>7901.5599999999977</v>
      </c>
      <c r="AH29" s="690">
        <f t="shared" si="2"/>
        <v>74829</v>
      </c>
      <c r="AI29" s="1016">
        <f>VLOOKUP(A29,'[1]Pay sheet-APRIL- 2022'!$C$5:$AF$134,18,0)</f>
        <v>1554.6089999999999</v>
      </c>
      <c r="AJ29" s="600">
        <f>VLOOKUP(A29,'[1]Pay sheet-APRIL- 2022'!$C$5:$AF$134,19,0)</f>
        <v>2156.3037599999998</v>
      </c>
      <c r="AK29" s="600">
        <f>VLOOKUP(A29,'[1]Pay sheet-APRIL- 2022'!$C$5:$AF$134,20,0)</f>
        <v>3735.7999999999997</v>
      </c>
      <c r="AL29" s="600">
        <f>VLOOKUP(A29,'[1]Pay sheet-APRIL- 2022'!$C$5:$AF$134,22,0)</f>
        <v>0</v>
      </c>
      <c r="AM29" s="598">
        <f t="shared" si="3"/>
        <v>82275.712759999995</v>
      </c>
      <c r="AN29" s="762"/>
      <c r="AO29" s="600">
        <f>VLOOKUP(A29,'[1]Pay sheet-APRIL- 2022'!$C$5:$AF$134,26,0)</f>
        <v>1800</v>
      </c>
      <c r="AP29" s="600">
        <f>VLOOKUP(A29,'[1]Pay sheet-APRIL- 2022'!$C$5:$AF$134,25,0)</f>
        <v>200</v>
      </c>
      <c r="AQ29" s="600">
        <f>VLOOKUP(A29,'[1]Pay sheet-APRIL- 2022'!$C$5:$AF$134,24,0)</f>
        <v>0</v>
      </c>
      <c r="AR29" s="600">
        <f>VLOOKUP(A29,'[1]Pay sheet-APRIL- 2022'!$C$5:$AF$134,27,0)</f>
        <v>283</v>
      </c>
      <c r="AS29" s="593">
        <f t="shared" si="4"/>
        <v>2283</v>
      </c>
      <c r="AT29" s="694">
        <f t="shared" si="5"/>
        <v>79992.712759999995</v>
      </c>
      <c r="AU29" s="794" t="s">
        <v>831</v>
      </c>
      <c r="AV29" s="804" t="s">
        <v>782</v>
      </c>
      <c r="AW29" s="805" t="s">
        <v>783</v>
      </c>
      <c r="AY29" s="766">
        <v>33</v>
      </c>
      <c r="AZ29" s="767">
        <v>14</v>
      </c>
    </row>
    <row r="30" spans="1:55" ht="47.25" customHeight="1">
      <c r="A30" s="797" t="s">
        <v>791</v>
      </c>
      <c r="B30" s="938" t="s">
        <v>789</v>
      </c>
      <c r="C30" s="289">
        <v>31491</v>
      </c>
      <c r="D30" s="732" t="s">
        <v>502</v>
      </c>
      <c r="E30" s="388" t="s">
        <v>797</v>
      </c>
      <c r="F30" s="800" t="s">
        <v>801</v>
      </c>
      <c r="G30" s="666" t="s">
        <v>802</v>
      </c>
      <c r="H30" s="786" t="s">
        <v>667</v>
      </c>
      <c r="I30" s="786" t="s">
        <v>667</v>
      </c>
      <c r="J30" s="786" t="s">
        <v>803</v>
      </c>
      <c r="K30" s="786" t="s">
        <v>667</v>
      </c>
      <c r="L30" s="786" t="s">
        <v>667</v>
      </c>
      <c r="M30" s="786" t="s">
        <v>667</v>
      </c>
      <c r="N30" s="796">
        <v>44601</v>
      </c>
      <c r="O30" s="670" t="s">
        <v>667</v>
      </c>
      <c r="P30" s="670" t="s">
        <v>667</v>
      </c>
      <c r="Q30" s="670" t="s">
        <v>667</v>
      </c>
      <c r="R30" s="670" t="s">
        <v>667</v>
      </c>
      <c r="S30" s="799" t="s">
        <v>800</v>
      </c>
      <c r="T30" s="594" t="s">
        <v>37</v>
      </c>
      <c r="U30" s="795" t="s">
        <v>789</v>
      </c>
      <c r="V30" s="595">
        <v>30</v>
      </c>
      <c r="W30" s="600">
        <f>VLOOKUP(A30,'[1]Pay sheet-APRIL- 2022'!$C$5:$AF$134,10,0)</f>
        <v>30</v>
      </c>
      <c r="X30" s="594" t="s">
        <v>37</v>
      </c>
      <c r="Y30" s="817">
        <v>71009</v>
      </c>
      <c r="Z30" s="945">
        <f>VLOOKUP(A30,'[1]Pay sheet-APRIL- 2022'!$C$5:$AF$134,11,0)</f>
        <v>42605.4</v>
      </c>
      <c r="AA30" s="816">
        <v>0</v>
      </c>
      <c r="AB30" s="693">
        <v>0</v>
      </c>
      <c r="AC30" s="671">
        <f t="shared" si="1"/>
        <v>28516.600000000002</v>
      </c>
      <c r="AD30" s="600">
        <f>VLOOKUP(A30,'[1]Pay sheet-APRIL- 2022'!$C$5:$AF$134,12,0)</f>
        <v>17042.16</v>
      </c>
      <c r="AE30" s="600">
        <f>VLOOKUP(A30,'[1]Pay sheet-APRIL- 2022'!$C$5:$AF$134,13,0)</f>
        <v>2083</v>
      </c>
      <c r="AF30" s="600">
        <f>VLOOKUP(A30,'[1]Pay sheet-APRIL- 2022'!$C$5:$AF$134,14,0)</f>
        <v>2083</v>
      </c>
      <c r="AG30" s="600">
        <f>VLOOKUP(A30,'[1]Pay sheet-APRIL- 2022'!$C$5:$AF$134,15,0)</f>
        <v>7308.4400000000023</v>
      </c>
      <c r="AH30" s="690">
        <f t="shared" si="2"/>
        <v>71122</v>
      </c>
      <c r="AI30" s="1016">
        <f>VLOOKUP(A30,'[1]Pay sheet-APRIL- 2022'!$C$5:$AF$134,18,0)</f>
        <v>1554.6089999999999</v>
      </c>
      <c r="AJ30" s="600">
        <f>VLOOKUP(A30,'[1]Pay sheet-APRIL- 2022'!$C$5:$AF$134,19,0)</f>
        <v>2049.3197399999999</v>
      </c>
      <c r="AK30" s="600">
        <f>VLOOKUP(A30,'[1]Pay sheet-APRIL- 2022'!$C$5:$AF$134,20,0)</f>
        <v>3550.4500000000003</v>
      </c>
      <c r="AL30" s="600">
        <f>VLOOKUP(A30,'[1]Pay sheet-APRIL- 2022'!$C$5:$AF$134,22,0)</f>
        <v>0</v>
      </c>
      <c r="AM30" s="598">
        <f t="shared" si="3"/>
        <v>78276.37874</v>
      </c>
      <c r="AN30" s="518"/>
      <c r="AO30" s="600">
        <f>VLOOKUP(A30,'[1]Pay sheet-APRIL- 2022'!$C$5:$AF$134,26,0)</f>
        <v>1800</v>
      </c>
      <c r="AP30" s="600">
        <f>VLOOKUP(A30,'[1]Pay sheet-APRIL- 2022'!$C$5:$AF$134,25,0)</f>
        <v>200</v>
      </c>
      <c r="AQ30" s="600">
        <f>VLOOKUP(A30,'[1]Pay sheet-APRIL- 2022'!$C$5:$AF$134,24,0)</f>
        <v>0</v>
      </c>
      <c r="AR30" s="600">
        <f>VLOOKUP(A30,'[1]Pay sheet-APRIL- 2022'!$C$5:$AF$134,27,0)</f>
        <v>283</v>
      </c>
      <c r="AS30" s="593">
        <f t="shared" si="4"/>
        <v>2283</v>
      </c>
      <c r="AT30" s="694">
        <f t="shared" si="5"/>
        <v>75993.37874</v>
      </c>
      <c r="AU30" s="794" t="s">
        <v>831</v>
      </c>
      <c r="AV30" s="388" t="s">
        <v>798</v>
      </c>
      <c r="AW30" s="799" t="s">
        <v>799</v>
      </c>
      <c r="AY30" s="519">
        <v>34</v>
      </c>
      <c r="AZ30" s="425">
        <v>15</v>
      </c>
    </row>
    <row r="31" spans="1:55" ht="47.25" customHeight="1">
      <c r="A31" s="797" t="s">
        <v>792</v>
      </c>
      <c r="B31" s="938" t="s">
        <v>790</v>
      </c>
      <c r="C31" s="802">
        <v>35211</v>
      </c>
      <c r="D31" s="732" t="s">
        <v>502</v>
      </c>
      <c r="E31" s="798" t="s">
        <v>793</v>
      </c>
      <c r="F31" s="779" t="s">
        <v>804</v>
      </c>
      <c r="G31" s="800" t="s">
        <v>794</v>
      </c>
      <c r="H31" s="786" t="s">
        <v>667</v>
      </c>
      <c r="I31" s="786" t="s">
        <v>667</v>
      </c>
      <c r="J31" s="800" t="s">
        <v>794</v>
      </c>
      <c r="K31" s="786" t="s">
        <v>667</v>
      </c>
      <c r="L31" s="786" t="s">
        <v>667</v>
      </c>
      <c r="M31" s="786" t="s">
        <v>667</v>
      </c>
      <c r="N31" s="796">
        <v>44602</v>
      </c>
      <c r="O31" s="670" t="s">
        <v>667</v>
      </c>
      <c r="P31" s="670" t="s">
        <v>667</v>
      </c>
      <c r="Q31" s="670" t="s">
        <v>667</v>
      </c>
      <c r="R31" s="670" t="s">
        <v>667</v>
      </c>
      <c r="S31" s="756" t="s">
        <v>805</v>
      </c>
      <c r="T31" s="594" t="s">
        <v>37</v>
      </c>
      <c r="U31" s="795" t="s">
        <v>790</v>
      </c>
      <c r="V31" s="595">
        <v>30</v>
      </c>
      <c r="W31" s="600">
        <f>VLOOKUP(A31,'[1]Pay sheet-APRIL- 2022'!$C$5:$AF$134,10,0)</f>
        <v>30</v>
      </c>
      <c r="X31" s="594" t="s">
        <v>37</v>
      </c>
      <c r="Y31" s="817">
        <v>38567</v>
      </c>
      <c r="Z31" s="945">
        <f>VLOOKUP(A31,'[1]Pay sheet-APRIL- 2022'!$C$5:$AF$134,11,0)</f>
        <v>23140.2</v>
      </c>
      <c r="AA31" s="816">
        <v>0</v>
      </c>
      <c r="AB31" s="693">
        <v>0</v>
      </c>
      <c r="AC31" s="671">
        <f t="shared" si="1"/>
        <v>15539.800000000001</v>
      </c>
      <c r="AD31" s="600">
        <f>VLOOKUP(A31,'[1]Pay sheet-APRIL- 2022'!$C$5:$AF$134,12,0)</f>
        <v>9256.08</v>
      </c>
      <c r="AE31" s="600">
        <f>VLOOKUP(A31,'[1]Pay sheet-APRIL- 2022'!$C$5:$AF$134,13,0)</f>
        <v>2083</v>
      </c>
      <c r="AF31" s="600">
        <f>VLOOKUP(A31,'[1]Pay sheet-APRIL- 2022'!$C$5:$AF$134,14,0)</f>
        <v>2083</v>
      </c>
      <c r="AG31" s="600">
        <f>VLOOKUP(A31,'[1]Pay sheet-APRIL- 2022'!$C$5:$AF$134,15,0)</f>
        <v>2117.7200000000012</v>
      </c>
      <c r="AH31" s="690">
        <f t="shared" si="2"/>
        <v>38680</v>
      </c>
      <c r="AI31" s="1016">
        <f>VLOOKUP(A31,'[1]Pay sheet-APRIL- 2022'!$C$5:$AF$134,18,0)</f>
        <v>1554.6089999999999</v>
      </c>
      <c r="AJ31" s="600">
        <f>VLOOKUP(A31,'[1]Pay sheet-APRIL- 2022'!$C$5:$AF$134,19,0)</f>
        <v>1113.0436199999999</v>
      </c>
      <c r="AK31" s="600">
        <f>VLOOKUP(A31,'[1]Pay sheet-APRIL- 2022'!$C$5:$AF$134,20,0)</f>
        <v>1928.3500000000001</v>
      </c>
      <c r="AL31" s="600">
        <f>VLOOKUP(A31,'[1]Pay sheet-APRIL- 2022'!$C$5:$AF$134,22,0)</f>
        <v>0</v>
      </c>
      <c r="AM31" s="598">
        <f t="shared" si="3"/>
        <v>43276.002619999992</v>
      </c>
      <c r="AN31" s="818"/>
      <c r="AO31" s="600">
        <f>VLOOKUP(A31,'[1]Pay sheet-APRIL- 2022'!$C$5:$AF$134,26,0)</f>
        <v>1800</v>
      </c>
      <c r="AP31" s="600">
        <f>VLOOKUP(A31,'[1]Pay sheet-APRIL- 2022'!$C$5:$AF$134,25,0)</f>
        <v>200</v>
      </c>
      <c r="AQ31" s="600">
        <f>VLOOKUP(A31,'[1]Pay sheet-APRIL- 2022'!$C$5:$AF$134,24,0)</f>
        <v>0</v>
      </c>
      <c r="AR31" s="600">
        <f>VLOOKUP(A31,'[1]Pay sheet-APRIL- 2022'!$C$5:$AF$134,27,0)</f>
        <v>283</v>
      </c>
      <c r="AS31" s="593">
        <f t="shared" si="4"/>
        <v>2283</v>
      </c>
      <c r="AT31" s="694">
        <f t="shared" si="5"/>
        <v>40993.002619999992</v>
      </c>
      <c r="AU31" s="794" t="s">
        <v>831</v>
      </c>
      <c r="AV31" s="618" t="s">
        <v>682</v>
      </c>
      <c r="AW31" s="651">
        <v>62318158569</v>
      </c>
      <c r="AY31" s="519">
        <v>35</v>
      </c>
      <c r="AZ31" s="425">
        <v>16</v>
      </c>
    </row>
    <row r="32" spans="1:55" ht="47.25" customHeight="1">
      <c r="A32" s="858" t="s">
        <v>809</v>
      </c>
      <c r="B32" s="939" t="s">
        <v>806</v>
      </c>
      <c r="C32" s="860">
        <v>35236</v>
      </c>
      <c r="D32" s="732" t="s">
        <v>502</v>
      </c>
      <c r="E32" s="861" t="s">
        <v>812</v>
      </c>
      <c r="F32" s="786" t="s">
        <v>829</v>
      </c>
      <c r="G32" s="786" t="s">
        <v>824</v>
      </c>
      <c r="H32" s="786" t="s">
        <v>824</v>
      </c>
      <c r="I32" s="786" t="s">
        <v>667</v>
      </c>
      <c r="J32" s="786" t="s">
        <v>667</v>
      </c>
      <c r="K32" s="786" t="s">
        <v>667</v>
      </c>
      <c r="L32" s="786" t="s">
        <v>667</v>
      </c>
      <c r="M32" s="786" t="s">
        <v>667</v>
      </c>
      <c r="N32" s="878">
        <v>44624</v>
      </c>
      <c r="O32" s="670" t="s">
        <v>667</v>
      </c>
      <c r="P32" s="670" t="s">
        <v>667</v>
      </c>
      <c r="Q32" s="670" t="s">
        <v>667</v>
      </c>
      <c r="R32" s="670" t="s">
        <v>667</v>
      </c>
      <c r="S32" s="870">
        <v>101274942480</v>
      </c>
      <c r="T32" s="594" t="s">
        <v>37</v>
      </c>
      <c r="U32" s="859" t="s">
        <v>806</v>
      </c>
      <c r="V32" s="595">
        <v>30</v>
      </c>
      <c r="W32" s="600">
        <f>VLOOKUP(A32,'[1]Pay sheet-APRIL- 2022'!$C$5:$AF$134,10,0)</f>
        <v>30</v>
      </c>
      <c r="X32" s="594" t="s">
        <v>37</v>
      </c>
      <c r="Y32" s="871">
        <v>80278</v>
      </c>
      <c r="Z32" s="945">
        <f>VLOOKUP(A32,'[1]Pay sheet-APRIL- 2022'!$C$5:$AF$134,11,0)</f>
        <v>48166.8</v>
      </c>
      <c r="AA32" s="816">
        <v>0</v>
      </c>
      <c r="AB32" s="693">
        <v>0</v>
      </c>
      <c r="AC32" s="671">
        <f t="shared" si="1"/>
        <v>32224.199999999997</v>
      </c>
      <c r="AD32" s="600">
        <f>VLOOKUP(A32,'[1]Pay sheet-APRIL- 2022'!$C$5:$AF$134,12,0)</f>
        <v>19266.72</v>
      </c>
      <c r="AE32" s="600">
        <f>VLOOKUP(A32,'[1]Pay sheet-APRIL- 2022'!$C$5:$AF$134,13,0)</f>
        <v>2083</v>
      </c>
      <c r="AF32" s="600">
        <f>VLOOKUP(A32,'[1]Pay sheet-APRIL- 2022'!$C$5:$AF$134,14,0)</f>
        <v>2083</v>
      </c>
      <c r="AG32" s="600">
        <f>VLOOKUP(A32,'[1]Pay sheet-APRIL- 2022'!$C$5:$AF$134,15,0)</f>
        <v>8791.4799999999959</v>
      </c>
      <c r="AH32" s="690">
        <f t="shared" si="2"/>
        <v>80391</v>
      </c>
      <c r="AI32" s="1016">
        <f>VLOOKUP(A32,'[1]Pay sheet-APRIL- 2022'!$C$5:$AF$134,18,0)</f>
        <v>1554.6089999999999</v>
      </c>
      <c r="AJ32" s="600">
        <f>VLOOKUP(A32,'[1]Pay sheet-APRIL- 2022'!$C$5:$AF$134,19,0)</f>
        <v>2316.8230800000001</v>
      </c>
      <c r="AK32" s="600">
        <f>VLOOKUP(A32,'[1]Pay sheet-APRIL- 2022'!$C$5:$AF$134,20,0)</f>
        <v>4013.9</v>
      </c>
      <c r="AL32" s="600">
        <f>VLOOKUP(A32,'[1]Pay sheet-APRIL- 2022'!$C$5:$AF$134,22,0)</f>
        <v>0</v>
      </c>
      <c r="AM32" s="598">
        <f t="shared" si="3"/>
        <v>88276.332079999993</v>
      </c>
      <c r="AN32" s="732"/>
      <c r="AO32" s="600">
        <f>VLOOKUP(A32,'[1]Pay sheet-APRIL- 2022'!$C$5:$AF$134,26,0)</f>
        <v>1800</v>
      </c>
      <c r="AP32" s="600">
        <f>VLOOKUP(A32,'[1]Pay sheet-APRIL- 2022'!$C$5:$AF$134,25,0)</f>
        <v>200</v>
      </c>
      <c r="AQ32" s="600">
        <f>VLOOKUP(A32,'[1]Pay sheet-APRIL- 2022'!$C$5:$AF$134,24,0)</f>
        <v>0</v>
      </c>
      <c r="AR32" s="600">
        <f>VLOOKUP(A32,'[1]Pay sheet-APRIL- 2022'!$C$5:$AF$134,27,0)</f>
        <v>283</v>
      </c>
      <c r="AS32" s="593">
        <f t="shared" si="4"/>
        <v>2283</v>
      </c>
      <c r="AT32" s="694">
        <f t="shared" si="5"/>
        <v>85993.332079999993</v>
      </c>
      <c r="AU32" s="794" t="s">
        <v>831</v>
      </c>
      <c r="AV32" s="861" t="s">
        <v>814</v>
      </c>
      <c r="AW32" s="862" t="s">
        <v>813</v>
      </c>
      <c r="AY32" s="519">
        <v>36</v>
      </c>
      <c r="AZ32" s="425">
        <v>17</v>
      </c>
    </row>
    <row r="33" spans="1:52" ht="47.25" customHeight="1">
      <c r="A33" s="858" t="s">
        <v>810</v>
      </c>
      <c r="B33" s="939" t="s">
        <v>807</v>
      </c>
      <c r="C33" s="860">
        <v>32959</v>
      </c>
      <c r="D33" s="732" t="s">
        <v>502</v>
      </c>
      <c r="E33" s="861" t="s">
        <v>815</v>
      </c>
      <c r="F33" s="786" t="s">
        <v>801</v>
      </c>
      <c r="G33" s="519" t="s">
        <v>828</v>
      </c>
      <c r="H33" s="519" t="s">
        <v>827</v>
      </c>
      <c r="I33" s="786" t="s">
        <v>667</v>
      </c>
      <c r="J33" s="786" t="s">
        <v>667</v>
      </c>
      <c r="K33" s="786" t="s">
        <v>667</v>
      </c>
      <c r="L33" s="786" t="s">
        <v>667</v>
      </c>
      <c r="M33" s="786" t="s">
        <v>667</v>
      </c>
      <c r="N33" s="878">
        <v>44629</v>
      </c>
      <c r="O33" s="670" t="s">
        <v>667</v>
      </c>
      <c r="P33" s="670" t="s">
        <v>667</v>
      </c>
      <c r="Q33" s="670" t="s">
        <v>667</v>
      </c>
      <c r="R33" s="670" t="s">
        <v>667</v>
      </c>
      <c r="S33" s="756" t="s">
        <v>825</v>
      </c>
      <c r="T33" s="594" t="s">
        <v>37</v>
      </c>
      <c r="U33" s="859" t="s">
        <v>807</v>
      </c>
      <c r="V33" s="595">
        <v>30</v>
      </c>
      <c r="W33" s="600">
        <f>VLOOKUP(A33,'[1]Pay sheet-APRIL- 2022'!$C$5:$AF$134,10,0)</f>
        <v>30</v>
      </c>
      <c r="X33" s="594" t="s">
        <v>37</v>
      </c>
      <c r="Y33" s="871">
        <v>112719</v>
      </c>
      <c r="Z33" s="945">
        <f>VLOOKUP(A33,'[1]Pay sheet-APRIL- 2022'!$C$5:$AF$134,11,0)</f>
        <v>67631.399999999994</v>
      </c>
      <c r="AA33" s="816">
        <v>0</v>
      </c>
      <c r="AB33" s="693">
        <v>0</v>
      </c>
      <c r="AC33" s="671">
        <f t="shared" si="1"/>
        <v>45200.600000000006</v>
      </c>
      <c r="AD33" s="600">
        <f>VLOOKUP(A33,'[1]Pay sheet-APRIL- 2022'!$C$5:$AF$134,12,0)</f>
        <v>27052.559999999998</v>
      </c>
      <c r="AE33" s="600">
        <f>VLOOKUP(A33,'[1]Pay sheet-APRIL- 2022'!$C$5:$AF$134,13,0)</f>
        <v>2083</v>
      </c>
      <c r="AF33" s="600">
        <f>VLOOKUP(A33,'[1]Pay sheet-APRIL- 2022'!$C$5:$AF$134,14,0)</f>
        <v>2083</v>
      </c>
      <c r="AG33" s="600">
        <f>VLOOKUP(A33,'[1]Pay sheet-APRIL- 2022'!$C$5:$AF$134,15,0)</f>
        <v>13982.040000000008</v>
      </c>
      <c r="AH33" s="690">
        <f t="shared" si="2"/>
        <v>112832</v>
      </c>
      <c r="AI33" s="1016">
        <f>VLOOKUP(A33,'[1]Pay sheet-APRIL- 2022'!$C$5:$AF$134,18,0)</f>
        <v>1554.6089999999999</v>
      </c>
      <c r="AJ33" s="600">
        <f>VLOOKUP(A33,'[1]Pay sheet-APRIL- 2022'!$C$5:$AF$134,19,0)</f>
        <v>3253.0703399999993</v>
      </c>
      <c r="AK33" s="600">
        <f>VLOOKUP(A33,'[1]Pay sheet-APRIL- 2022'!$C$5:$AF$134,20,0)</f>
        <v>5635.95</v>
      </c>
      <c r="AL33" s="600">
        <f>VLOOKUP(A33,'[1]Pay sheet-APRIL- 2022'!$C$5:$AF$134,22,0)</f>
        <v>0</v>
      </c>
      <c r="AM33" s="598">
        <f t="shared" si="3"/>
        <v>123275.62934</v>
      </c>
      <c r="AN33" s="518"/>
      <c r="AO33" s="600">
        <f>VLOOKUP(A33,'[1]Pay sheet-APRIL- 2022'!$C$5:$AF$134,26,0)</f>
        <v>1800</v>
      </c>
      <c r="AP33" s="600">
        <f>VLOOKUP(A33,'[1]Pay sheet-APRIL- 2022'!$C$5:$AF$134,25,0)</f>
        <v>200</v>
      </c>
      <c r="AQ33" s="600">
        <f>VLOOKUP(A33,'[1]Pay sheet-APRIL- 2022'!$C$5:$AF$134,24,0)</f>
        <v>0</v>
      </c>
      <c r="AR33" s="600">
        <f>VLOOKUP(A33,'[1]Pay sheet-APRIL- 2022'!$C$5:$AF$134,27,0)</f>
        <v>283</v>
      </c>
      <c r="AS33" s="593">
        <f t="shared" si="4"/>
        <v>2283</v>
      </c>
      <c r="AT33" s="694">
        <f t="shared" si="5"/>
        <v>120992.62934</v>
      </c>
      <c r="AU33" s="794" t="s">
        <v>831</v>
      </c>
      <c r="AV33" s="861" t="s">
        <v>817</v>
      </c>
      <c r="AW33" s="862" t="s">
        <v>816</v>
      </c>
      <c r="AY33" s="519">
        <v>37</v>
      </c>
      <c r="AZ33" s="425">
        <v>18</v>
      </c>
    </row>
    <row r="34" spans="1:52" ht="47.25" customHeight="1">
      <c r="A34" s="858" t="s">
        <v>811</v>
      </c>
      <c r="B34" s="940" t="s">
        <v>808</v>
      </c>
      <c r="C34" s="912">
        <v>29711</v>
      </c>
      <c r="D34" s="918" t="s">
        <v>538</v>
      </c>
      <c r="E34" s="913" t="s">
        <v>818</v>
      </c>
      <c r="F34" s="914" t="s">
        <v>801</v>
      </c>
      <c r="G34" s="647" t="s">
        <v>830</v>
      </c>
      <c r="H34" s="647" t="s">
        <v>830</v>
      </c>
      <c r="I34" s="914" t="s">
        <v>667</v>
      </c>
      <c r="J34" s="914" t="s">
        <v>667</v>
      </c>
      <c r="K34" s="914" t="s">
        <v>667</v>
      </c>
      <c r="L34" s="914" t="s">
        <v>667</v>
      </c>
      <c r="M34" s="914" t="s">
        <v>667</v>
      </c>
      <c r="N34" s="919">
        <v>44641</v>
      </c>
      <c r="O34" s="668" t="s">
        <v>667</v>
      </c>
      <c r="P34" s="668" t="s">
        <v>667</v>
      </c>
      <c r="Q34" s="668" t="s">
        <v>667</v>
      </c>
      <c r="R34" s="668" t="s">
        <v>667</v>
      </c>
      <c r="S34" s="758" t="s">
        <v>826</v>
      </c>
      <c r="T34" s="594" t="s">
        <v>37</v>
      </c>
      <c r="U34" s="917" t="s">
        <v>808</v>
      </c>
      <c r="V34" s="595">
        <v>30</v>
      </c>
      <c r="W34" s="600">
        <f>VLOOKUP(A34,'[1]Pay sheet-APRIL- 2022'!$C$5:$AF$134,10,0)</f>
        <v>30</v>
      </c>
      <c r="X34" s="645" t="s">
        <v>37</v>
      </c>
      <c r="Y34" s="920">
        <v>66374</v>
      </c>
      <c r="Z34" s="945">
        <f>VLOOKUP(A34,'[1]Pay sheet-APRIL- 2022'!$C$5:$AF$134,11,0)</f>
        <v>39824.400000000001</v>
      </c>
      <c r="AA34" s="816">
        <v>0</v>
      </c>
      <c r="AB34" s="693">
        <v>0</v>
      </c>
      <c r="AC34" s="671">
        <f t="shared" si="1"/>
        <v>26662.6</v>
      </c>
      <c r="AD34" s="600">
        <f>VLOOKUP(A34,'[1]Pay sheet-APRIL- 2022'!$C$5:$AF$134,12,0)</f>
        <v>15929.760000000002</v>
      </c>
      <c r="AE34" s="600">
        <f>VLOOKUP(A34,'[1]Pay sheet-APRIL- 2022'!$C$5:$AF$134,13,0)</f>
        <v>2083</v>
      </c>
      <c r="AF34" s="600">
        <f>VLOOKUP(A34,'[1]Pay sheet-APRIL- 2022'!$C$5:$AF$134,14,0)</f>
        <v>2083</v>
      </c>
      <c r="AG34" s="600">
        <f>VLOOKUP(A34,'[1]Pay sheet-APRIL- 2022'!$C$5:$AF$134,15,0)</f>
        <v>6566.8399999999965</v>
      </c>
      <c r="AH34" s="921">
        <f t="shared" si="2"/>
        <v>66487</v>
      </c>
      <c r="AI34" s="1016">
        <f>VLOOKUP(A34,'[1]Pay sheet-APRIL- 2022'!$C$5:$AF$134,18,0)</f>
        <v>1554.6089999999999</v>
      </c>
      <c r="AJ34" s="600">
        <f>VLOOKUP(A34,'[1]Pay sheet-APRIL- 2022'!$C$5:$AF$134,19,0)</f>
        <v>1915.5536400000001</v>
      </c>
      <c r="AK34" s="600">
        <f>VLOOKUP(A34,'[1]Pay sheet-APRIL- 2022'!$C$5:$AF$134,20,0)</f>
        <v>3318.7000000000003</v>
      </c>
      <c r="AL34" s="600">
        <f>VLOOKUP(A34,'[1]Pay sheet-APRIL- 2022'!$C$5:$AF$134,22,0)</f>
        <v>0</v>
      </c>
      <c r="AM34" s="598">
        <f t="shared" si="3"/>
        <v>73275.862639999992</v>
      </c>
      <c r="AN34" s="818"/>
      <c r="AO34" s="600">
        <f>VLOOKUP(A34,'[1]Pay sheet-APRIL- 2022'!$C$5:$AF$134,26,0)</f>
        <v>1800</v>
      </c>
      <c r="AP34" s="600">
        <f>VLOOKUP(A34,'[1]Pay sheet-APRIL- 2022'!$C$5:$AF$134,25,0)</f>
        <v>200</v>
      </c>
      <c r="AQ34" s="600">
        <f>VLOOKUP(A34,'[1]Pay sheet-APRIL- 2022'!$C$5:$AF$134,24,0)</f>
        <v>0</v>
      </c>
      <c r="AR34" s="600">
        <f>VLOOKUP(A34,'[1]Pay sheet-APRIL- 2022'!$C$5:$AF$134,27,0)</f>
        <v>283</v>
      </c>
      <c r="AS34" s="593">
        <f t="shared" si="4"/>
        <v>2283</v>
      </c>
      <c r="AT34" s="694">
        <f t="shared" si="5"/>
        <v>70992.862639999992</v>
      </c>
      <c r="AU34" s="922" t="s">
        <v>831</v>
      </c>
      <c r="AV34" s="913" t="s">
        <v>817</v>
      </c>
      <c r="AW34" s="923" t="s">
        <v>819</v>
      </c>
      <c r="AY34" s="647">
        <v>38</v>
      </c>
      <c r="AZ34" s="425">
        <v>19</v>
      </c>
    </row>
    <row r="35" spans="1:52" ht="47.25" customHeight="1">
      <c r="A35" s="858" t="s">
        <v>832</v>
      </c>
      <c r="B35" s="941" t="s">
        <v>833</v>
      </c>
      <c r="C35" s="1018">
        <v>31427</v>
      </c>
      <c r="D35" s="519" t="s">
        <v>493</v>
      </c>
      <c r="E35" s="813" t="s">
        <v>850</v>
      </c>
      <c r="F35" s="926" t="s">
        <v>839</v>
      </c>
      <c r="G35" s="813" t="s">
        <v>851</v>
      </c>
      <c r="H35" s="813" t="s">
        <v>851</v>
      </c>
      <c r="I35" s="813" t="s">
        <v>836</v>
      </c>
      <c r="J35" s="813" t="s">
        <v>836</v>
      </c>
      <c r="K35" s="813" t="s">
        <v>836</v>
      </c>
      <c r="L35" s="813" t="s">
        <v>836</v>
      </c>
      <c r="M35" s="813" t="s">
        <v>836</v>
      </c>
      <c r="N35" s="796">
        <v>44652</v>
      </c>
      <c r="O35" s="668" t="s">
        <v>667</v>
      </c>
      <c r="P35" s="668" t="s">
        <v>667</v>
      </c>
      <c r="Q35" s="668" t="s">
        <v>667</v>
      </c>
      <c r="R35" s="668" t="s">
        <v>667</v>
      </c>
      <c r="S35" s="928" t="s">
        <v>840</v>
      </c>
      <c r="T35" s="594" t="s">
        <v>37</v>
      </c>
      <c r="U35" s="908" t="s">
        <v>833</v>
      </c>
      <c r="V35" s="595">
        <v>30</v>
      </c>
      <c r="W35" s="600">
        <f>VLOOKUP(A35,'[1]Pay sheet-APRIL- 2022'!$C$5:$AF$134,10,0)</f>
        <v>30</v>
      </c>
      <c r="X35" s="645" t="s">
        <v>37</v>
      </c>
      <c r="Y35" s="817">
        <v>108085</v>
      </c>
      <c r="Z35" s="945">
        <f>VLOOKUP(A35,'[1]Pay sheet-APRIL- 2022'!$C$5:$AF$134,11,0)</f>
        <v>64851</v>
      </c>
      <c r="AA35" s="816">
        <v>0</v>
      </c>
      <c r="AB35" s="693">
        <v>0</v>
      </c>
      <c r="AC35" s="671">
        <f t="shared" si="1"/>
        <v>43347.000000000007</v>
      </c>
      <c r="AD35" s="600">
        <f>VLOOKUP(A35,'[1]Pay sheet-APRIL- 2022'!$C$5:$AF$134,12,0)</f>
        <v>25940.400000000001</v>
      </c>
      <c r="AE35" s="600">
        <f>VLOOKUP(A35,'[1]Pay sheet-APRIL- 2022'!$C$5:$AF$134,13,0)</f>
        <v>2083</v>
      </c>
      <c r="AF35" s="600">
        <f>VLOOKUP(A35,'[1]Pay sheet-APRIL- 2022'!$C$5:$AF$134,14,0)</f>
        <v>2083</v>
      </c>
      <c r="AG35" s="600">
        <f>VLOOKUP(A35,'[1]Pay sheet-APRIL- 2022'!$C$5:$AF$134,15,0)</f>
        <v>13240.600000000006</v>
      </c>
      <c r="AH35" s="921">
        <f t="shared" si="2"/>
        <v>108198</v>
      </c>
      <c r="AI35" s="1016">
        <f>VLOOKUP(A35,'[1]Pay sheet-APRIL- 2022'!$C$5:$AF$134,18,0)</f>
        <v>1554.6089999999999</v>
      </c>
      <c r="AJ35" s="600">
        <f>VLOOKUP(A35,'[1]Pay sheet-APRIL- 2022'!$C$5:$AF$134,19,0)</f>
        <v>3119.3330999999998</v>
      </c>
      <c r="AK35" s="600">
        <f>VLOOKUP(A35,'[1]Pay sheet-APRIL- 2022'!$C$5:$AF$134,20,0)</f>
        <v>5404.25</v>
      </c>
      <c r="AL35" s="600">
        <f>VLOOKUP(A35,'[1]Pay sheet-APRIL- 2022'!$C$5:$AF$134,22,0)</f>
        <v>0</v>
      </c>
      <c r="AM35" s="598">
        <f t="shared" si="3"/>
        <v>118276.1921</v>
      </c>
      <c r="AN35" s="924"/>
      <c r="AO35" s="600">
        <f>VLOOKUP(A35,'[1]Pay sheet-APRIL- 2022'!$C$5:$AF$134,26,0)</f>
        <v>1800</v>
      </c>
      <c r="AP35" s="600">
        <f>VLOOKUP(A35,'[1]Pay sheet-APRIL- 2022'!$C$5:$AF$134,25,0)</f>
        <v>200</v>
      </c>
      <c r="AQ35" s="600">
        <f>VLOOKUP(A35,'[1]Pay sheet-APRIL- 2022'!$C$5:$AF$134,24,0)</f>
        <v>0</v>
      </c>
      <c r="AR35" s="600">
        <f>VLOOKUP(A35,'[1]Pay sheet-APRIL- 2022'!$C$5:$AF$134,27,0)</f>
        <v>0</v>
      </c>
      <c r="AS35" s="593">
        <f t="shared" si="4"/>
        <v>2000</v>
      </c>
      <c r="AT35" s="694">
        <f t="shared" si="5"/>
        <v>116276.1921</v>
      </c>
      <c r="AU35" s="794" t="s">
        <v>831</v>
      </c>
      <c r="AV35" s="929" t="s">
        <v>682</v>
      </c>
      <c r="AW35" s="927" t="s">
        <v>842</v>
      </c>
      <c r="AY35" s="519">
        <v>39</v>
      </c>
      <c r="AZ35" s="425">
        <v>20</v>
      </c>
    </row>
    <row r="36" spans="1:52" ht="47.25" customHeight="1">
      <c r="A36" s="797" t="s">
        <v>834</v>
      </c>
      <c r="B36" s="942" t="s">
        <v>835</v>
      </c>
      <c r="C36" s="1018">
        <v>31991</v>
      </c>
      <c r="D36" s="519" t="s">
        <v>538</v>
      </c>
      <c r="E36" s="813" t="s">
        <v>852</v>
      </c>
      <c r="F36" s="926" t="s">
        <v>838</v>
      </c>
      <c r="G36" s="813" t="s">
        <v>853</v>
      </c>
      <c r="I36" s="813" t="s">
        <v>836</v>
      </c>
      <c r="J36" s="813" t="s">
        <v>853</v>
      </c>
      <c r="K36" s="813" t="s">
        <v>836</v>
      </c>
      <c r="L36" s="813" t="s">
        <v>836</v>
      </c>
      <c r="M36" s="813" t="s">
        <v>836</v>
      </c>
      <c r="N36" s="796">
        <v>44655</v>
      </c>
      <c r="O36" s="668" t="s">
        <v>667</v>
      </c>
      <c r="P36" s="668" t="s">
        <v>667</v>
      </c>
      <c r="Q36" s="668" t="s">
        <v>667</v>
      </c>
      <c r="R36" s="668" t="s">
        <v>667</v>
      </c>
      <c r="S36" s="928" t="s">
        <v>841</v>
      </c>
      <c r="T36" s="594" t="s">
        <v>37</v>
      </c>
      <c r="U36" s="909" t="s">
        <v>835</v>
      </c>
      <c r="V36" s="595">
        <v>30</v>
      </c>
      <c r="W36" s="600">
        <f>VLOOKUP(A36,'[1]Pay sheet-APRIL- 2022'!$C$5:$AF$134,10,0)</f>
        <v>27</v>
      </c>
      <c r="X36" s="594" t="s">
        <v>37</v>
      </c>
      <c r="Y36" s="817">
        <v>62667</v>
      </c>
      <c r="Z36" s="945">
        <f>VLOOKUP(A36,'[1]Pay sheet-APRIL- 2022'!$C$5:$AF$134,11,0)</f>
        <v>33840.18</v>
      </c>
      <c r="AA36" s="591">
        <v>0</v>
      </c>
      <c r="AB36" s="591">
        <v>0</v>
      </c>
      <c r="AC36" s="671">
        <f t="shared" si="1"/>
        <v>22673.120000000003</v>
      </c>
      <c r="AD36" s="600">
        <f>VLOOKUP(A36,'[1]Pay sheet-APRIL- 2022'!$C$5:$AF$134,12,0)</f>
        <v>13536.072</v>
      </c>
      <c r="AE36" s="600">
        <f>VLOOKUP(A36,'[1]Pay sheet-APRIL- 2022'!$C$5:$AF$134,13,0)</f>
        <v>1875</v>
      </c>
      <c r="AF36" s="600">
        <f>VLOOKUP(A36,'[1]Pay sheet-APRIL- 2022'!$C$5:$AF$134,14,0)</f>
        <v>1875</v>
      </c>
      <c r="AG36" s="600">
        <f>VLOOKUP(A36,'[1]Pay sheet-APRIL- 2022'!$C$5:$AF$134,15,0)</f>
        <v>5387.0480000000025</v>
      </c>
      <c r="AH36" s="921">
        <f t="shared" si="2"/>
        <v>56513.3</v>
      </c>
      <c r="AI36" s="1016">
        <f>VLOOKUP(A36,'[1]Pay sheet-APRIL- 2022'!$C$5:$AF$134,18,0)</f>
        <v>1554.6089999999999</v>
      </c>
      <c r="AJ36" s="600">
        <f>VLOOKUP(A36,'[1]Pay sheet-APRIL- 2022'!$C$5:$AF$134,19,0)</f>
        <v>1627.7126579999999</v>
      </c>
      <c r="AK36" s="600">
        <f>VLOOKUP(A36,'[1]Pay sheet-APRIL- 2022'!$C$5:$AF$134,20,0)</f>
        <v>2820.0149999999999</v>
      </c>
      <c r="AL36" s="600">
        <f>VLOOKUP(A36,'[1]Pay sheet-APRIL- 2022'!$C$5:$AF$134,22,0)</f>
        <v>0</v>
      </c>
      <c r="AM36" s="598">
        <f t="shared" si="3"/>
        <v>62515.636657999996</v>
      </c>
      <c r="AN36" s="518"/>
      <c r="AO36" s="600">
        <f>VLOOKUP(A36,'[1]Pay sheet-APRIL- 2022'!$C$5:$AF$134,26,0)</f>
        <v>1800</v>
      </c>
      <c r="AP36" s="600">
        <f>VLOOKUP(A36,'[1]Pay sheet-APRIL- 2022'!$C$5:$AF$134,25,0)</f>
        <v>200</v>
      </c>
      <c r="AQ36" s="600">
        <f>VLOOKUP(A36,'[1]Pay sheet-APRIL- 2022'!$C$5:$AF$134,24,0)</f>
        <v>0</v>
      </c>
      <c r="AR36" s="600">
        <f>VLOOKUP(A36,'[1]Pay sheet-APRIL- 2022'!$C$5:$AF$134,27,0)</f>
        <v>0</v>
      </c>
      <c r="AS36" s="593">
        <f t="shared" si="4"/>
        <v>2000</v>
      </c>
      <c r="AT36" s="694">
        <f t="shared" si="5"/>
        <v>60515.636657999996</v>
      </c>
      <c r="AU36" s="794" t="s">
        <v>831</v>
      </c>
      <c r="AV36" s="930" t="s">
        <v>843</v>
      </c>
      <c r="AW36" s="927" t="s">
        <v>844</v>
      </c>
      <c r="AY36" s="519">
        <v>40</v>
      </c>
      <c r="AZ36" s="425">
        <v>21</v>
      </c>
    </row>
    <row r="37" spans="1:52">
      <c r="W37" s="924">
        <f>SUM(W16:W36)</f>
        <v>619</v>
      </c>
      <c r="X37" s="924">
        <f t="shared" ref="X37:AT37" si="6">SUM(X16:X36)</f>
        <v>0</v>
      </c>
      <c r="Y37" s="924">
        <f t="shared" si="6"/>
        <v>1742484</v>
      </c>
      <c r="Z37" s="947">
        <f t="shared" si="6"/>
        <v>1032148.62</v>
      </c>
      <c r="AA37" s="924">
        <f t="shared" si="6"/>
        <v>0</v>
      </c>
      <c r="AB37" s="924">
        <f t="shared" si="6"/>
        <v>0</v>
      </c>
      <c r="AC37" s="924">
        <f t="shared" si="6"/>
        <v>690472.08</v>
      </c>
      <c r="AD37" s="924">
        <f t="shared" si="6"/>
        <v>412859.44800000009</v>
      </c>
      <c r="AE37" s="924">
        <f t="shared" si="6"/>
        <v>42980</v>
      </c>
      <c r="AF37" s="924">
        <f t="shared" si="6"/>
        <v>42980</v>
      </c>
      <c r="AG37" s="924">
        <f t="shared" si="6"/>
        <v>191652.63200000001</v>
      </c>
      <c r="AH37" s="924">
        <f t="shared" si="6"/>
        <v>1722620.7</v>
      </c>
      <c r="AI37" s="1017">
        <f t="shared" si="6"/>
        <v>32646.789000000004</v>
      </c>
      <c r="AJ37" s="924">
        <f t="shared" si="6"/>
        <v>49646.348621999983</v>
      </c>
      <c r="AK37" s="924">
        <f t="shared" si="6"/>
        <v>86012.384999999995</v>
      </c>
      <c r="AL37" s="924">
        <f t="shared" si="6"/>
        <v>0</v>
      </c>
      <c r="AM37" s="598">
        <f t="shared" si="3"/>
        <v>1890926.2226220001</v>
      </c>
      <c r="AN37" s="924">
        <f t="shared" si="6"/>
        <v>0</v>
      </c>
      <c r="AO37" s="924">
        <f t="shared" si="6"/>
        <v>42000</v>
      </c>
      <c r="AP37" s="924">
        <f t="shared" si="6"/>
        <v>4200</v>
      </c>
      <c r="AQ37" s="924">
        <f t="shared" si="6"/>
        <v>0</v>
      </c>
      <c r="AR37" s="924">
        <f t="shared" si="6"/>
        <v>5867.3370249999998</v>
      </c>
      <c r="AS37" s="924">
        <f t="shared" si="6"/>
        <v>52067.337025000001</v>
      </c>
      <c r="AT37" s="924">
        <f t="shared" si="6"/>
        <v>1838858.8855970001</v>
      </c>
    </row>
  </sheetData>
  <mergeCells count="24">
    <mergeCell ref="AB5:AO5"/>
    <mergeCell ref="A8:C8"/>
    <mergeCell ref="AP9:AX9"/>
    <mergeCell ref="A10:C10"/>
    <mergeCell ref="Z14:Z15"/>
    <mergeCell ref="AA14:AA15"/>
    <mergeCell ref="AB14:AB15"/>
    <mergeCell ref="AM14:AM15"/>
    <mergeCell ref="AY14:AY15"/>
    <mergeCell ref="W14:W15"/>
    <mergeCell ref="X14:X15"/>
    <mergeCell ref="A5:C5"/>
    <mergeCell ref="AX14:AX15"/>
    <mergeCell ref="AC14:AC15"/>
    <mergeCell ref="AH14:AH15"/>
    <mergeCell ref="B14:B15"/>
    <mergeCell ref="AN14:AS14"/>
    <mergeCell ref="AV14:AV15"/>
    <mergeCell ref="D10:E10"/>
    <mergeCell ref="AU14:AU15"/>
    <mergeCell ref="AT14:AT15"/>
    <mergeCell ref="U14:U15"/>
    <mergeCell ref="Y14:Y15"/>
    <mergeCell ref="AW14:AW15"/>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52"/>
  <sheetViews>
    <sheetView topLeftCell="A11" workbookViewId="0">
      <selection activeCell="A20" sqref="A20"/>
    </sheetView>
  </sheetViews>
  <sheetFormatPr defaultRowHeight="15"/>
  <cols>
    <col min="1" max="1" width="36.28515625" style="687" customWidth="1"/>
    <col min="2" max="2" width="25" customWidth="1"/>
    <col min="3" max="3" width="11.28515625" customWidth="1"/>
    <col min="4" max="4" width="11.85546875" customWidth="1"/>
    <col min="5" max="5" width="9.5703125" bestFit="1" customWidth="1"/>
    <col min="8" max="8" width="9.85546875" customWidth="1"/>
    <col min="10" max="10" width="15" customWidth="1"/>
    <col min="11" max="11" width="12.85546875" customWidth="1"/>
  </cols>
  <sheetData>
    <row r="1" spans="1:11">
      <c r="A1" s="1080" t="s">
        <v>157</v>
      </c>
      <c r="B1" s="1081"/>
      <c r="C1" s="1081"/>
      <c r="D1" s="1081"/>
      <c r="E1" s="1081"/>
      <c r="F1" s="1081"/>
      <c r="G1" s="1081"/>
      <c r="H1" s="1081"/>
      <c r="I1" s="1081"/>
      <c r="J1" s="121"/>
      <c r="K1" s="122"/>
    </row>
    <row r="2" spans="1:11">
      <c r="A2" s="1082" t="s">
        <v>158</v>
      </c>
      <c r="B2" s="1083"/>
      <c r="C2" s="1083"/>
      <c r="D2" s="1083"/>
      <c r="E2" s="1083"/>
      <c r="F2" s="1083"/>
      <c r="G2" s="1083"/>
      <c r="H2" s="1083"/>
      <c r="I2" s="1083"/>
      <c r="J2" s="123"/>
      <c r="K2" s="124"/>
    </row>
    <row r="3" spans="1:11">
      <c r="A3" s="1084"/>
      <c r="B3" s="1085"/>
      <c r="C3" s="1085"/>
      <c r="D3" s="1085"/>
      <c r="E3" s="1085"/>
      <c r="F3" s="1085"/>
      <c r="G3" s="1085"/>
      <c r="H3" s="1085"/>
      <c r="I3" s="1085"/>
      <c r="J3" s="125"/>
      <c r="K3" s="126"/>
    </row>
    <row r="4" spans="1:11">
      <c r="A4" s="1086" t="s">
        <v>159</v>
      </c>
      <c r="B4" s="1087"/>
      <c r="C4" s="1087"/>
      <c r="D4" s="1087"/>
      <c r="E4" s="1087"/>
      <c r="F4" s="1087"/>
      <c r="G4" s="1087"/>
      <c r="H4" s="1087"/>
      <c r="I4" s="1087"/>
      <c r="J4" s="127"/>
      <c r="K4" s="128"/>
    </row>
    <row r="5" spans="1:11">
      <c r="A5" s="698"/>
      <c r="B5" s="127"/>
      <c r="C5" s="127"/>
      <c r="D5" s="127"/>
      <c r="E5" s="127"/>
      <c r="F5" s="127"/>
      <c r="G5" s="127"/>
      <c r="H5" s="127"/>
      <c r="I5" s="127"/>
      <c r="J5" s="127"/>
      <c r="K5" s="128"/>
    </row>
    <row r="6" spans="1:11" ht="18.75">
      <c r="A6" s="699"/>
      <c r="B6" s="129"/>
      <c r="C6" s="129"/>
      <c r="D6" s="1088">
        <f>'04-221Master'!D10</f>
        <v>44652</v>
      </c>
      <c r="E6" s="1088"/>
      <c r="F6" s="129"/>
      <c r="G6" s="129"/>
      <c r="H6" s="129"/>
      <c r="I6" s="129"/>
      <c r="J6" s="129"/>
      <c r="K6" s="130"/>
    </row>
    <row r="7" spans="1:11">
      <c r="A7" s="698"/>
      <c r="B7" s="127"/>
      <c r="C7" s="127"/>
      <c r="D7" s="127"/>
      <c r="E7" s="127"/>
      <c r="F7" s="127"/>
      <c r="G7" s="127"/>
      <c r="H7" s="127"/>
      <c r="I7" s="127"/>
      <c r="J7" s="127"/>
      <c r="K7" s="128"/>
    </row>
    <row r="8" spans="1:11">
      <c r="A8" s="131" t="s">
        <v>160</v>
      </c>
      <c r="B8" s="132"/>
      <c r="C8" s="132"/>
      <c r="D8" s="132"/>
      <c r="E8" s="133"/>
      <c r="F8" s="1074" t="str">
        <f>'04-221Master'!F5</f>
        <v>Burgeon IT Services Pvt.Ltd.</v>
      </c>
      <c r="G8" s="1074"/>
      <c r="H8" s="1074"/>
      <c r="I8" s="1074"/>
      <c r="J8" s="1074"/>
      <c r="K8" s="1075"/>
    </row>
    <row r="9" spans="1:11">
      <c r="A9" s="700"/>
      <c r="B9" s="134"/>
      <c r="C9" s="135"/>
      <c r="D9" s="136"/>
      <c r="E9" s="136"/>
      <c r="F9" s="137"/>
      <c r="G9" s="134"/>
      <c r="H9" s="134"/>
      <c r="I9" s="134"/>
      <c r="J9" s="138"/>
      <c r="K9" s="139"/>
    </row>
    <row r="10" spans="1:11">
      <c r="A10" s="131" t="s">
        <v>161</v>
      </c>
      <c r="B10" s="132"/>
      <c r="C10" s="132"/>
      <c r="D10" s="132"/>
      <c r="E10" s="133"/>
      <c r="F10" s="1074" t="str">
        <f>'04-221Master'!AP5</f>
        <v>Burgeon IT Services Pvt.Ltd.</v>
      </c>
      <c r="G10" s="1074"/>
      <c r="H10" s="1074"/>
      <c r="I10" s="1074"/>
      <c r="J10" s="1074"/>
      <c r="K10" s="1075"/>
    </row>
    <row r="11" spans="1:11">
      <c r="A11" s="700"/>
      <c r="B11" s="134"/>
      <c r="C11" s="134"/>
      <c r="D11" s="134"/>
      <c r="E11" s="138"/>
      <c r="F11" s="138" t="str">
        <f>'04-221Master'!AP6</f>
        <v>Siri Mansion LIGB 436 Dr.A S Rao Nagar,Hyderabad</v>
      </c>
      <c r="G11" s="134"/>
      <c r="H11" s="134"/>
      <c r="I11" s="134"/>
      <c r="J11" s="138"/>
      <c r="K11" s="139"/>
    </row>
    <row r="12" spans="1:11">
      <c r="A12" s="131" t="s">
        <v>162</v>
      </c>
      <c r="B12" s="132"/>
      <c r="C12" s="132"/>
      <c r="D12" s="132"/>
      <c r="E12" s="133"/>
      <c r="F12" s="1074" t="str">
        <f>'04-221Master'!AP10</f>
        <v>INFOSYS  LTD.IL Pune SEZ Unit-I,Plot No. 24/3</v>
      </c>
      <c r="G12" s="1074"/>
      <c r="H12" s="1074"/>
      <c r="I12" s="1074"/>
      <c r="J12" s="1074"/>
      <c r="K12" s="1075"/>
    </row>
    <row r="13" spans="1:11" ht="21">
      <c r="A13" s="701"/>
      <c r="B13" s="140"/>
      <c r="C13" s="140"/>
      <c r="D13" s="140"/>
      <c r="E13" s="141"/>
      <c r="F13" s="8" t="str">
        <f>'04-221Master'!AP11</f>
        <v>Rajiv gandhi Info tech park,Village Mann,Pune,Maharashtra 411057</v>
      </c>
      <c r="G13" s="140"/>
      <c r="H13" s="140"/>
      <c r="I13" s="140"/>
      <c r="J13" s="142"/>
      <c r="K13" s="143"/>
    </row>
    <row r="14" spans="1:11">
      <c r="A14" s="1076" t="s">
        <v>163</v>
      </c>
      <c r="B14" s="1077"/>
      <c r="C14" s="144">
        <f>D41</f>
        <v>17</v>
      </c>
      <c r="D14" s="145"/>
      <c r="E14" s="145"/>
      <c r="F14" s="145"/>
      <c r="G14" s="145"/>
      <c r="H14" s="145"/>
      <c r="I14" s="145"/>
      <c r="J14" s="146"/>
      <c r="K14" s="147"/>
    </row>
    <row r="15" spans="1:11">
      <c r="A15" s="681"/>
      <c r="B15" s="148"/>
      <c r="D15" s="145"/>
      <c r="E15" s="145"/>
      <c r="F15" s="145"/>
      <c r="G15" s="145"/>
      <c r="H15" s="145"/>
      <c r="I15" s="145"/>
      <c r="J15" s="146"/>
      <c r="K15" s="147"/>
    </row>
    <row r="16" spans="1:11">
      <c r="A16" s="1076" t="s">
        <v>164</v>
      </c>
      <c r="B16" s="1077"/>
      <c r="C16" s="145">
        <f>C41</f>
        <v>4</v>
      </c>
      <c r="D16" s="145"/>
      <c r="E16" s="145"/>
      <c r="F16" s="145"/>
      <c r="G16" s="145"/>
      <c r="H16" s="145"/>
      <c r="I16" s="145"/>
      <c r="J16" s="146"/>
      <c r="K16" s="147"/>
    </row>
    <row r="17" spans="1:11">
      <c r="A17" s="1078"/>
      <c r="B17" s="1079"/>
      <c r="C17" s="1079"/>
      <c r="D17" s="1079"/>
      <c r="E17" s="1079"/>
      <c r="F17" s="1079"/>
      <c r="G17" s="1079"/>
      <c r="H17" s="1079"/>
      <c r="I17" s="1079"/>
      <c r="J17" s="149"/>
      <c r="K17" s="150"/>
    </row>
    <row r="18" spans="1:11">
      <c r="A18" s="702"/>
      <c r="B18" s="151"/>
      <c r="C18" s="1072" t="s">
        <v>165</v>
      </c>
      <c r="D18" s="1072"/>
      <c r="E18" s="1072"/>
      <c r="F18" s="1072"/>
      <c r="G18" s="1072"/>
      <c r="H18" s="1072"/>
      <c r="I18" s="1073"/>
      <c r="J18" s="151"/>
      <c r="K18" s="152"/>
    </row>
    <row r="19" spans="1:11" ht="105">
      <c r="A19" s="703" t="s">
        <v>166</v>
      </c>
      <c r="B19" s="153" t="s">
        <v>167</v>
      </c>
      <c r="C19" s="153" t="s">
        <v>168</v>
      </c>
      <c r="D19" s="153" t="s">
        <v>169</v>
      </c>
      <c r="E19" s="153" t="s">
        <v>170</v>
      </c>
      <c r="F19" s="153" t="s">
        <v>171</v>
      </c>
      <c r="G19" s="153" t="s">
        <v>172</v>
      </c>
      <c r="H19" s="153" t="s">
        <v>173</v>
      </c>
      <c r="I19" s="153" t="s">
        <v>174</v>
      </c>
      <c r="J19" s="153" t="s">
        <v>175</v>
      </c>
      <c r="K19" s="154" t="s">
        <v>176</v>
      </c>
    </row>
    <row r="20" spans="1:11" s="388" customFormat="1">
      <c r="A20" s="704" t="str">
        <f>'04-221Master'!F16</f>
        <v>Senior Software Engineer</v>
      </c>
      <c r="B20" s="708" t="s">
        <v>510</v>
      </c>
      <c r="C20" s="365">
        <v>1</v>
      </c>
      <c r="D20" s="365">
        <v>0</v>
      </c>
      <c r="E20" s="709">
        <f>'04-221Master'!Y16</f>
        <v>75643</v>
      </c>
      <c r="F20" s="155">
        <f>'04-221Master'!Z16</f>
        <v>45385.8</v>
      </c>
      <c r="G20" s="155">
        <f>'04-221Master'!AD16</f>
        <v>18154.320000000003</v>
      </c>
      <c r="H20" s="155">
        <f t="shared" ref="H20" si="0">E20-(F20+G20)</f>
        <v>12102.87999999999</v>
      </c>
      <c r="I20" s="156">
        <v>0</v>
      </c>
      <c r="J20" s="365" t="s">
        <v>855</v>
      </c>
      <c r="K20" s="365" t="s">
        <v>854</v>
      </c>
    </row>
    <row r="21" spans="1:11" s="388" customFormat="1">
      <c r="A21" s="704" t="str">
        <f>'04-221Master'!F17</f>
        <v>Splunk Developer</v>
      </c>
      <c r="B21" s="708" t="s">
        <v>510</v>
      </c>
      <c r="C21" s="365">
        <v>0</v>
      </c>
      <c r="D21" s="365">
        <v>1</v>
      </c>
      <c r="E21" s="709">
        <f>'04-221Master'!Y17</f>
        <v>149795</v>
      </c>
      <c r="F21" s="155">
        <f>'04-221Master'!Z17</f>
        <v>89877</v>
      </c>
      <c r="G21" s="155">
        <f>'04-221Master'!AD17</f>
        <v>35950.800000000003</v>
      </c>
      <c r="H21" s="155">
        <f t="shared" ref="H21:H35" si="1">E21-(F21+G21)</f>
        <v>23967.199999999997</v>
      </c>
      <c r="I21" s="833">
        <v>0</v>
      </c>
      <c r="J21" s="365"/>
      <c r="K21" s="365" t="s">
        <v>856</v>
      </c>
    </row>
    <row r="22" spans="1:11" s="388" customFormat="1">
      <c r="A22" s="704" t="str">
        <f>'04-221Master'!F18</f>
        <v>Sr Citrix Administrator</v>
      </c>
      <c r="B22" s="708" t="s">
        <v>510</v>
      </c>
      <c r="C22" s="365">
        <v>0</v>
      </c>
      <c r="D22" s="365">
        <v>1</v>
      </c>
      <c r="E22" s="709">
        <f>'04-221Master'!Y18</f>
        <v>61740</v>
      </c>
      <c r="F22" s="155">
        <f>'04-221Master'!Z18</f>
        <v>37044</v>
      </c>
      <c r="G22" s="155">
        <f>'04-221Master'!AD18</f>
        <v>14817.6</v>
      </c>
      <c r="H22" s="155">
        <f t="shared" si="1"/>
        <v>9878.4000000000015</v>
      </c>
      <c r="I22" s="833">
        <v>0</v>
      </c>
      <c r="J22" s="365"/>
      <c r="K22" s="365"/>
    </row>
    <row r="23" spans="1:11" s="388" customFormat="1">
      <c r="A23" s="704" t="str">
        <f>'04-221Master'!F19</f>
        <v>Project Manager</v>
      </c>
      <c r="B23" s="708" t="s">
        <v>510</v>
      </c>
      <c r="C23" s="365">
        <v>1</v>
      </c>
      <c r="D23" s="365">
        <v>0</v>
      </c>
      <c r="E23" s="709">
        <f>'04-221Master'!Y19</f>
        <v>82132</v>
      </c>
      <c r="F23" s="155">
        <f>'04-221Master'!Z19</f>
        <v>49279.199999999997</v>
      </c>
      <c r="G23" s="155">
        <f>'04-221Master'!AD19</f>
        <v>19711.68</v>
      </c>
      <c r="H23" s="155">
        <f t="shared" si="1"/>
        <v>13141.119999999995</v>
      </c>
      <c r="I23" s="833">
        <v>0</v>
      </c>
      <c r="J23" s="365"/>
      <c r="K23" s="365"/>
    </row>
    <row r="24" spans="1:11" s="388" customFormat="1">
      <c r="A24" s="704" t="str">
        <f>'04-221Master'!F20</f>
        <v>Sr. Software Engineer</v>
      </c>
      <c r="B24" s="708" t="s">
        <v>510</v>
      </c>
      <c r="C24" s="365">
        <v>0</v>
      </c>
      <c r="D24" s="365">
        <v>1</v>
      </c>
      <c r="E24" s="709">
        <f>'04-221Master'!Y20</f>
        <v>69580</v>
      </c>
      <c r="F24" s="155">
        <f>'04-221Master'!Z20</f>
        <v>41748</v>
      </c>
      <c r="G24" s="155">
        <f>'04-221Master'!AD20</f>
        <v>16699.2</v>
      </c>
      <c r="H24" s="155">
        <f t="shared" si="1"/>
        <v>11132.800000000003</v>
      </c>
      <c r="I24" s="833">
        <v>0</v>
      </c>
      <c r="J24" s="365"/>
      <c r="K24" s="365"/>
    </row>
    <row r="25" spans="1:11" s="388" customFormat="1">
      <c r="A25" s="704" t="str">
        <f>'04-221Master'!F21</f>
        <v xml:space="preserve">Sr. DBA / Sr. Administrator </v>
      </c>
      <c r="B25" s="708" t="s">
        <v>510</v>
      </c>
      <c r="C25" s="365">
        <v>0</v>
      </c>
      <c r="D25" s="365">
        <v>1</v>
      </c>
      <c r="E25" s="709">
        <f>'04-221Master'!Y21</f>
        <v>98501</v>
      </c>
      <c r="F25" s="155">
        <f>'04-221Master'!Z21</f>
        <v>59100.6</v>
      </c>
      <c r="G25" s="155">
        <f>'04-221Master'!AD21</f>
        <v>23640.240000000002</v>
      </c>
      <c r="H25" s="155">
        <f t="shared" si="1"/>
        <v>15760.160000000003</v>
      </c>
      <c r="I25" s="833">
        <v>0</v>
      </c>
      <c r="J25" s="365"/>
      <c r="K25" s="365"/>
    </row>
    <row r="26" spans="1:11" s="388" customFormat="1">
      <c r="A26" s="704" t="str">
        <f>'04-221Master'!F22</f>
        <v xml:space="preserve"> SQL DATABASE ADMINISTRATOR</v>
      </c>
      <c r="B26" s="708" t="s">
        <v>510</v>
      </c>
      <c r="C26" s="365">
        <v>0</v>
      </c>
      <c r="D26" s="365">
        <v>1</v>
      </c>
      <c r="E26" s="709">
        <f>'04-221Master'!Y22</f>
        <v>46909</v>
      </c>
      <c r="F26" s="155">
        <f>'04-221Master'!Z22</f>
        <v>28145.4</v>
      </c>
      <c r="G26" s="155">
        <f>'04-221Master'!AD22</f>
        <v>11258.160000000002</v>
      </c>
      <c r="H26" s="155">
        <f t="shared" si="1"/>
        <v>7505.4399999999951</v>
      </c>
      <c r="I26" s="833">
        <v>0</v>
      </c>
      <c r="J26" s="365"/>
      <c r="K26" s="365"/>
    </row>
    <row r="27" spans="1:11" s="388" customFormat="1">
      <c r="A27" s="704" t="str">
        <f>'04-221Master'!F23</f>
        <v>Senior  Support Engineer</v>
      </c>
      <c r="B27" s="708" t="s">
        <v>510</v>
      </c>
      <c r="C27" s="365">
        <v>0</v>
      </c>
      <c r="D27" s="365">
        <v>1</v>
      </c>
      <c r="E27" s="709">
        <f>'04-221Master'!Y23</f>
        <v>131257</v>
      </c>
      <c r="F27" s="155">
        <f>'04-221Master'!Z23</f>
        <v>78754.2</v>
      </c>
      <c r="G27" s="155">
        <f>'04-221Master'!AD23</f>
        <v>31501.68</v>
      </c>
      <c r="H27" s="155">
        <f t="shared" si="1"/>
        <v>21001.119999999995</v>
      </c>
      <c r="I27" s="833">
        <v>0</v>
      </c>
      <c r="J27" s="365"/>
      <c r="K27" s="365"/>
    </row>
    <row r="28" spans="1:11" s="388" customFormat="1">
      <c r="A28" s="704" t="str">
        <f>'04-221Master'!F24</f>
        <v>Lead PMO</v>
      </c>
      <c r="B28" s="708" t="s">
        <v>510</v>
      </c>
      <c r="C28" s="365">
        <v>0</v>
      </c>
      <c r="D28" s="365">
        <v>1</v>
      </c>
      <c r="E28" s="709">
        <f>'04-221Master'!Y24</f>
        <v>89547</v>
      </c>
      <c r="F28" s="155">
        <f>'04-221Master'!Z24</f>
        <v>53728.2</v>
      </c>
      <c r="G28" s="155">
        <f>'04-221Master'!AD24</f>
        <v>21491.279999999999</v>
      </c>
      <c r="H28" s="155">
        <f t="shared" si="1"/>
        <v>14327.520000000004</v>
      </c>
      <c r="I28" s="833">
        <v>0</v>
      </c>
      <c r="J28" s="365"/>
      <c r="K28" s="365"/>
    </row>
    <row r="29" spans="1:11" s="388" customFormat="1">
      <c r="A29" s="704" t="str">
        <f>'04-221Master'!F25</f>
        <v>Technology Analyst</v>
      </c>
      <c r="B29" s="708" t="s">
        <v>510</v>
      </c>
      <c r="C29" s="365">
        <v>0</v>
      </c>
      <c r="D29" s="365">
        <v>1</v>
      </c>
      <c r="E29" s="709">
        <f>'04-221Master'!Y25</f>
        <v>98816</v>
      </c>
      <c r="F29" s="155">
        <f>'04-221Master'!Z25</f>
        <v>59289.599999999999</v>
      </c>
      <c r="G29" s="155">
        <f>'04-221Master'!AD25</f>
        <v>23715.84</v>
      </c>
      <c r="H29" s="155">
        <f t="shared" si="1"/>
        <v>15810.559999999998</v>
      </c>
      <c r="I29" s="833">
        <v>0</v>
      </c>
      <c r="J29" s="365"/>
      <c r="K29" s="365"/>
    </row>
    <row r="30" spans="1:11" s="388" customFormat="1">
      <c r="A30" s="704" t="str">
        <f>'04-221Master'!F26</f>
        <v>SENIOR HADOOP ADMIN</v>
      </c>
      <c r="B30" s="708" t="s">
        <v>510</v>
      </c>
      <c r="C30" s="365">
        <v>0</v>
      </c>
      <c r="D30" s="365">
        <v>1</v>
      </c>
      <c r="E30" s="709">
        <f>'04-221Master'!Y26</f>
        <v>59886</v>
      </c>
      <c r="F30" s="155">
        <f>'04-221Master'!Z26</f>
        <v>26349.84</v>
      </c>
      <c r="G30" s="155">
        <f>'04-221Master'!AD26</f>
        <v>10539.936000000002</v>
      </c>
      <c r="H30" s="155">
        <f t="shared" si="1"/>
        <v>22996.224000000002</v>
      </c>
      <c r="I30" s="833">
        <v>0</v>
      </c>
      <c r="J30" s="365"/>
      <c r="K30" s="365"/>
    </row>
    <row r="31" spans="1:11" s="388" customFormat="1">
      <c r="A31" s="704" t="str">
        <f>'04-221Master'!F27</f>
        <v>SENIOR APPLICATION CONSULTANT</v>
      </c>
      <c r="B31" s="708" t="s">
        <v>510</v>
      </c>
      <c r="C31" s="365">
        <v>0</v>
      </c>
      <c r="D31" s="365">
        <v>1</v>
      </c>
      <c r="E31" s="709">
        <f>'04-221Master'!Y27</f>
        <v>35786</v>
      </c>
      <c r="F31" s="155">
        <f>'04-221Master'!Z27</f>
        <v>21471.599999999999</v>
      </c>
      <c r="G31" s="155">
        <f>'04-221Master'!AD27</f>
        <v>8588.64</v>
      </c>
      <c r="H31" s="155">
        <f t="shared" si="1"/>
        <v>5725.760000000002</v>
      </c>
      <c r="I31" s="833">
        <v>0</v>
      </c>
      <c r="J31" s="365"/>
      <c r="K31" s="365"/>
    </row>
    <row r="32" spans="1:11" ht="24" customHeight="1">
      <c r="A32" s="704" t="str">
        <f>'04-221Master'!F28</f>
        <v>Sr.Cloud Network Engineer</v>
      </c>
      <c r="B32" s="708" t="s">
        <v>510</v>
      </c>
      <c r="C32" s="365">
        <v>0</v>
      </c>
      <c r="D32" s="365">
        <v>1</v>
      </c>
      <c r="E32" s="709">
        <f>'04-221Master'!Y28</f>
        <v>128477</v>
      </c>
      <c r="F32" s="155">
        <f>'04-221Master'!Z28</f>
        <v>77086.2</v>
      </c>
      <c r="G32" s="155">
        <f>'04-221Master'!AD28</f>
        <v>30834.48</v>
      </c>
      <c r="H32" s="155">
        <f t="shared" si="1"/>
        <v>20556.320000000007</v>
      </c>
      <c r="I32" s="833">
        <v>0</v>
      </c>
      <c r="J32" s="321"/>
      <c r="K32" s="321"/>
    </row>
    <row r="33" spans="1:11">
      <c r="A33" s="704" t="str">
        <f>'04-221Master'!F29</f>
        <v>Senior network security analyst.</v>
      </c>
      <c r="B33" s="708" t="s">
        <v>510</v>
      </c>
      <c r="C33" s="365">
        <v>0</v>
      </c>
      <c r="D33" s="365">
        <v>1</v>
      </c>
      <c r="E33" s="709">
        <f>'04-221Master'!Y29</f>
        <v>74716</v>
      </c>
      <c r="F33" s="155">
        <f>'04-221Master'!Z29</f>
        <v>44829.599999999999</v>
      </c>
      <c r="G33" s="155">
        <f>'04-221Master'!AD29</f>
        <v>17931.84</v>
      </c>
      <c r="H33" s="155">
        <f t="shared" si="1"/>
        <v>11954.559999999998</v>
      </c>
      <c r="I33" s="833">
        <v>0</v>
      </c>
      <c r="J33" s="321"/>
      <c r="K33" s="321"/>
    </row>
    <row r="34" spans="1:11" s="388" customFormat="1">
      <c r="A34" s="704" t="str">
        <f>'04-221Master'!F30</f>
        <v>Network security consultant</v>
      </c>
      <c r="B34" s="708" t="s">
        <v>510</v>
      </c>
      <c r="C34" s="365">
        <v>0</v>
      </c>
      <c r="D34" s="365">
        <v>1</v>
      </c>
      <c r="E34" s="709">
        <f>'04-221Master'!Y30</f>
        <v>71009</v>
      </c>
      <c r="F34" s="155">
        <f>'04-221Master'!Z30</f>
        <v>42605.4</v>
      </c>
      <c r="G34" s="155">
        <f>'04-221Master'!AD30</f>
        <v>17042.16</v>
      </c>
      <c r="H34" s="155">
        <f t="shared" si="1"/>
        <v>11361.440000000002</v>
      </c>
      <c r="I34" s="833">
        <v>0</v>
      </c>
      <c r="J34" s="321"/>
      <c r="K34" s="321"/>
    </row>
    <row r="35" spans="1:11" s="388" customFormat="1">
      <c r="A35" s="704" t="str">
        <f>'04-221Master'!F31</f>
        <v>SAP Basis consultant</v>
      </c>
      <c r="B35" s="708" t="s">
        <v>510</v>
      </c>
      <c r="C35" s="365">
        <v>0</v>
      </c>
      <c r="D35" s="365">
        <v>1</v>
      </c>
      <c r="E35" s="709">
        <f>'04-221Master'!Y31</f>
        <v>38567</v>
      </c>
      <c r="F35" s="155">
        <f>'04-221Master'!Z31</f>
        <v>23140.2</v>
      </c>
      <c r="G35" s="155">
        <f>'04-221Master'!AD31</f>
        <v>9256.08</v>
      </c>
      <c r="H35" s="155">
        <f t="shared" si="1"/>
        <v>6170.7200000000012</v>
      </c>
      <c r="I35" s="833">
        <v>0</v>
      </c>
      <c r="J35" s="321"/>
      <c r="K35" s="321"/>
    </row>
    <row r="36" spans="1:11" s="388" customFormat="1">
      <c r="A36" s="704" t="str">
        <f>'04-221Master'!G32</f>
        <v>H No 53,Near Durga mandir,at po sarra,gram sarra,tahsil multai dist bethul,Madhya pradesh 460661</v>
      </c>
      <c r="B36" s="708" t="s">
        <v>510</v>
      </c>
      <c r="C36" s="365">
        <v>0</v>
      </c>
      <c r="D36" s="365">
        <v>1</v>
      </c>
      <c r="E36" s="709">
        <f>'04-221Master'!Y32</f>
        <v>80278</v>
      </c>
      <c r="F36" s="155">
        <f>'04-221Master'!Z32</f>
        <v>48166.8</v>
      </c>
      <c r="G36" s="155">
        <f>'04-221Master'!AD32</f>
        <v>19266.72</v>
      </c>
      <c r="H36" s="155">
        <f t="shared" ref="H36:H38" si="2">E36-(F36+G36)</f>
        <v>12844.479999999996</v>
      </c>
      <c r="I36" s="833">
        <v>0</v>
      </c>
      <c r="J36" s="370"/>
      <c r="K36" s="370"/>
    </row>
    <row r="37" spans="1:11" s="388" customFormat="1">
      <c r="A37" s="704" t="str">
        <f>'04-221Master'!F33</f>
        <v>Network security consultant</v>
      </c>
      <c r="B37" s="708" t="s">
        <v>510</v>
      </c>
      <c r="C37" s="365">
        <v>0</v>
      </c>
      <c r="D37" s="365">
        <v>1</v>
      </c>
      <c r="E37" s="709">
        <f>'04-221Master'!Y33</f>
        <v>112719</v>
      </c>
      <c r="F37" s="155">
        <f>'04-221Master'!Z33</f>
        <v>67631.399999999994</v>
      </c>
      <c r="G37" s="155">
        <f>'04-221Master'!AD33</f>
        <v>27052.559999999998</v>
      </c>
      <c r="H37" s="155">
        <f t="shared" si="2"/>
        <v>18035.040000000008</v>
      </c>
      <c r="I37" s="833">
        <v>0</v>
      </c>
      <c r="J37" s="370"/>
      <c r="K37" s="370"/>
    </row>
    <row r="38" spans="1:11" s="388" customFormat="1">
      <c r="A38" s="704" t="str">
        <f>'04-221Master'!F34</f>
        <v>Network security consultant</v>
      </c>
      <c r="B38" s="708" t="s">
        <v>510</v>
      </c>
      <c r="C38" s="365">
        <v>1</v>
      </c>
      <c r="D38" s="365">
        <v>0</v>
      </c>
      <c r="E38" s="709">
        <f>'04-221Master'!Y34</f>
        <v>66374</v>
      </c>
      <c r="F38" s="155">
        <f>'04-221Master'!Z34</f>
        <v>39824.400000000001</v>
      </c>
      <c r="G38" s="155">
        <f>'04-221Master'!AD34</f>
        <v>15929.760000000002</v>
      </c>
      <c r="H38" s="155">
        <f t="shared" si="2"/>
        <v>10619.839999999997</v>
      </c>
      <c r="I38" s="833">
        <v>0</v>
      </c>
      <c r="J38" s="370"/>
      <c r="K38" s="370"/>
    </row>
    <row r="39" spans="1:11" s="388" customFormat="1">
      <c r="A39" s="704" t="str">
        <f>'04-221Master'!F35</f>
        <v>CONSULTANT</v>
      </c>
      <c r="B39" s="708" t="s">
        <v>510</v>
      </c>
      <c r="C39" s="365">
        <v>0</v>
      </c>
      <c r="D39" s="365">
        <v>1</v>
      </c>
      <c r="E39" s="709">
        <f>'04-221Master'!Y35</f>
        <v>108085</v>
      </c>
      <c r="F39" s="155">
        <f>'04-221Master'!Z35</f>
        <v>64851</v>
      </c>
      <c r="G39" s="155">
        <f>'04-221Master'!AD35</f>
        <v>25940.400000000001</v>
      </c>
      <c r="H39" s="155">
        <f t="shared" ref="H39" si="3">E39-(F39+G39)</f>
        <v>17293.600000000006</v>
      </c>
      <c r="I39" s="833">
        <v>0</v>
      </c>
      <c r="J39" s="370"/>
      <c r="K39" s="370"/>
    </row>
    <row r="40" spans="1:11" s="388" customFormat="1">
      <c r="A40" s="704" t="str">
        <f>'04-221Master'!F36</f>
        <v>Network  Security Engineer</v>
      </c>
      <c r="B40" s="708" t="s">
        <v>510</v>
      </c>
      <c r="C40" s="365">
        <v>1</v>
      </c>
      <c r="D40" s="365">
        <v>0</v>
      </c>
      <c r="E40" s="709">
        <f>'04-221Master'!Y36</f>
        <v>62667</v>
      </c>
      <c r="F40" s="155">
        <f>'04-221Master'!Z36</f>
        <v>33840.18</v>
      </c>
      <c r="G40" s="155">
        <f>'04-221Master'!AD36</f>
        <v>13536.072</v>
      </c>
      <c r="H40" s="155">
        <f t="shared" ref="H40" si="4">E40-(F40+G40)</f>
        <v>15290.748</v>
      </c>
      <c r="I40" s="833">
        <v>0</v>
      </c>
      <c r="J40" s="370"/>
      <c r="K40" s="370"/>
    </row>
    <row r="41" spans="1:11" s="388" customFormat="1">
      <c r="A41" s="705"/>
      <c r="B41" s="367"/>
      <c r="C41" s="365">
        <f>SUM(C20:C40)</f>
        <v>4</v>
      </c>
      <c r="D41" s="365">
        <f>SUM(D20:D40)</f>
        <v>17</v>
      </c>
      <c r="E41" s="697"/>
      <c r="F41" s="368"/>
      <c r="G41" s="368"/>
      <c r="H41" s="368"/>
      <c r="I41" s="369"/>
      <c r="J41" s="370"/>
      <c r="K41" s="370"/>
    </row>
    <row r="42" spans="1:11" s="388" customFormat="1">
      <c r="A42" s="705"/>
      <c r="B42" s="367"/>
      <c r="C42" s="367"/>
      <c r="D42" s="367"/>
      <c r="E42" s="697"/>
      <c r="F42" s="368"/>
      <c r="G42" s="368"/>
      <c r="H42" s="368"/>
      <c r="I42" s="369"/>
      <c r="J42" s="370"/>
      <c r="K42" s="370"/>
    </row>
    <row r="43" spans="1:11" s="388" customFormat="1">
      <c r="A43" s="705"/>
      <c r="B43" s="367"/>
      <c r="C43" s="367"/>
      <c r="D43" s="367"/>
      <c r="E43" s="697"/>
      <c r="F43" s="368"/>
      <c r="G43" s="368"/>
      <c r="H43" s="368"/>
      <c r="I43" s="369"/>
      <c r="J43" s="370"/>
      <c r="K43" s="370"/>
    </row>
    <row r="44" spans="1:11" s="388" customFormat="1">
      <c r="A44" s="705"/>
      <c r="B44" s="367"/>
      <c r="C44" s="367"/>
      <c r="D44" s="367"/>
      <c r="E44" s="697"/>
      <c r="F44" s="368"/>
      <c r="G44" s="368"/>
      <c r="H44" s="368"/>
      <c r="I44" s="369"/>
      <c r="J44" s="370"/>
      <c r="K44" s="370"/>
    </row>
    <row r="45" spans="1:11" s="388" customFormat="1">
      <c r="A45" s="705"/>
      <c r="B45" s="367"/>
      <c r="C45" s="367"/>
      <c r="D45" s="367"/>
      <c r="E45" s="697"/>
      <c r="F45" s="368"/>
      <c r="G45" s="368"/>
      <c r="H45" s="368"/>
      <c r="I45" s="369"/>
      <c r="J45" s="370"/>
      <c r="K45" s="370"/>
    </row>
    <row r="46" spans="1:11" s="388" customFormat="1">
      <c r="A46" s="705"/>
      <c r="B46" s="367"/>
      <c r="C46" s="367"/>
      <c r="D46" s="367"/>
      <c r="E46" s="697"/>
      <c r="F46" s="368"/>
      <c r="G46" s="368"/>
      <c r="H46" s="368"/>
      <c r="I46" s="369"/>
      <c r="J46" s="370"/>
      <c r="K46" s="370"/>
    </row>
    <row r="47" spans="1:11">
      <c r="A47" s="706"/>
      <c r="K47" s="14"/>
    </row>
    <row r="48" spans="1:11">
      <c r="A48" s="706"/>
      <c r="E48" s="2" t="s">
        <v>38</v>
      </c>
      <c r="K48" s="14"/>
    </row>
    <row r="49" spans="1:11">
      <c r="A49" s="706"/>
      <c r="K49" s="14"/>
    </row>
    <row r="50" spans="1:11">
      <c r="A50" s="706"/>
      <c r="K50" s="14"/>
    </row>
    <row r="51" spans="1:11">
      <c r="A51" s="706"/>
      <c r="K51" s="14"/>
    </row>
    <row r="52" spans="1:11" ht="15.75" thickBot="1">
      <c r="A52" s="707"/>
      <c r="B52" s="23"/>
      <c r="C52" s="23"/>
      <c r="D52" s="23"/>
      <c r="E52" s="23"/>
      <c r="F52" s="23"/>
      <c r="G52" s="23"/>
      <c r="H52" s="23"/>
      <c r="I52" s="23"/>
      <c r="J52" s="23"/>
      <c r="K52" s="24"/>
    </row>
  </sheetData>
  <mergeCells count="12">
    <mergeCell ref="F8:K8"/>
    <mergeCell ref="A1:I1"/>
    <mergeCell ref="A2:I2"/>
    <mergeCell ref="A3:I3"/>
    <mergeCell ref="A4:I4"/>
    <mergeCell ref="D6:E6"/>
    <mergeCell ref="C18:I18"/>
    <mergeCell ref="F10:K10"/>
    <mergeCell ref="F12:K12"/>
    <mergeCell ref="A14:B14"/>
    <mergeCell ref="A16:B16"/>
    <mergeCell ref="A17:I17"/>
  </mergeCells>
  <pageMargins left="0.86614173228346458" right="0.70866141732283472" top="0.74803149606299213" bottom="0.74803149606299213" header="0.31496062992125984" footer="0.31496062992125984"/>
  <pageSetup paperSize="9" scale="65"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O47"/>
  <sheetViews>
    <sheetView topLeftCell="I16" workbookViewId="0">
      <selection activeCell="I27" sqref="I27"/>
    </sheetView>
  </sheetViews>
  <sheetFormatPr defaultColWidth="8.7109375" defaultRowHeight="15"/>
  <cols>
    <col min="1" max="1" width="5.85546875" style="9" customWidth="1"/>
    <col min="2" max="2" width="40.7109375" style="9" customWidth="1"/>
    <col min="3" max="3" width="9.140625" style="9" customWidth="1"/>
    <col min="4" max="4" width="9.85546875" style="9" customWidth="1"/>
    <col min="5" max="5" width="17.42578125" style="9" customWidth="1"/>
    <col min="6" max="6" width="23.28515625" style="9" customWidth="1"/>
    <col min="7" max="7" width="6.42578125" style="9" customWidth="1"/>
    <col min="8" max="8" width="5.5703125" style="9" customWidth="1"/>
    <col min="9" max="9" width="7.42578125" style="9" customWidth="1"/>
    <col min="10" max="10" width="7.28515625" style="9" customWidth="1"/>
    <col min="11" max="11" width="4.28515625" style="9" customWidth="1"/>
    <col min="12" max="40" width="4" style="9" customWidth="1"/>
    <col min="41" max="41" width="9" style="9" customWidth="1"/>
    <col min="42" max="16384" width="8.7109375" style="9"/>
  </cols>
  <sheetData>
    <row r="1" spans="1:41" s="781" customFormat="1" ht="33.75" customHeight="1">
      <c r="A1" s="1090" t="s">
        <v>385</v>
      </c>
      <c r="B1" s="1091"/>
      <c r="C1" s="1091"/>
      <c r="D1" s="1091"/>
      <c r="E1" s="1091"/>
      <c r="F1" s="1091"/>
      <c r="G1" s="1091"/>
      <c r="H1" s="1091"/>
      <c r="I1" s="1091"/>
      <c r="J1" s="1091"/>
      <c r="K1" s="1091"/>
      <c r="L1" s="1091"/>
      <c r="M1" s="1091"/>
      <c r="N1" s="1091"/>
      <c r="O1" s="1091"/>
      <c r="P1" s="1091"/>
      <c r="Q1" s="1091"/>
      <c r="R1" s="1091"/>
      <c r="S1" s="1091"/>
      <c r="T1" s="1091"/>
      <c r="U1" s="1091"/>
      <c r="V1" s="1091"/>
      <c r="W1" s="1091"/>
      <c r="X1" s="1091"/>
      <c r="Y1" s="1091"/>
      <c r="Z1" s="1091"/>
      <c r="AA1" s="1091"/>
      <c r="AB1" s="1091"/>
      <c r="AC1" s="1091"/>
      <c r="AD1" s="1091"/>
      <c r="AE1" s="1091"/>
      <c r="AF1" s="1091"/>
      <c r="AG1" s="1091"/>
      <c r="AH1" s="1091"/>
      <c r="AI1" s="1091"/>
      <c r="AJ1" s="1091"/>
      <c r="AK1" s="1091"/>
      <c r="AL1" s="1091"/>
      <c r="AM1" s="1091"/>
      <c r="AN1" s="1091"/>
      <c r="AO1" s="1092"/>
    </row>
    <row r="2" spans="1:41" s="781" customFormat="1" ht="33.75" customHeight="1">
      <c r="A2" s="1093" t="s">
        <v>386</v>
      </c>
      <c r="B2" s="1094"/>
      <c r="C2" s="1094"/>
      <c r="D2" s="1094"/>
      <c r="E2" s="1094"/>
      <c r="F2" s="1094"/>
      <c r="G2" s="1094"/>
      <c r="H2" s="1094"/>
      <c r="I2" s="1094"/>
      <c r="J2" s="1094"/>
      <c r="K2" s="1094"/>
      <c r="L2" s="1094"/>
      <c r="M2" s="1094"/>
      <c r="N2" s="1094"/>
      <c r="O2" s="1094"/>
      <c r="P2" s="1094"/>
      <c r="Q2" s="1094"/>
      <c r="R2" s="1094"/>
      <c r="S2" s="1094"/>
      <c r="T2" s="1094"/>
      <c r="U2" s="1094"/>
      <c r="V2" s="1094"/>
      <c r="W2" s="1094"/>
      <c r="X2" s="1094"/>
      <c r="Y2" s="1094"/>
      <c r="Z2" s="1094"/>
      <c r="AA2" s="1094"/>
      <c r="AB2" s="1094"/>
      <c r="AC2" s="1094"/>
      <c r="AD2" s="1094"/>
      <c r="AE2" s="1094"/>
      <c r="AF2" s="1094"/>
      <c r="AG2" s="1094"/>
      <c r="AH2" s="1094"/>
      <c r="AI2" s="1094"/>
      <c r="AJ2" s="1094"/>
      <c r="AK2" s="1094"/>
      <c r="AL2" s="1094"/>
      <c r="AM2" s="1094"/>
      <c r="AN2" s="1094"/>
      <c r="AO2" s="1095"/>
    </row>
    <row r="3" spans="1:41" s="781" customFormat="1" ht="33.75" customHeight="1">
      <c r="A3" s="1096" t="s">
        <v>845</v>
      </c>
      <c r="B3" s="1097"/>
      <c r="C3" s="1097"/>
      <c r="D3" s="1097"/>
      <c r="E3" s="1097"/>
      <c r="F3" s="1097"/>
      <c r="G3" s="1097"/>
      <c r="H3" s="1097"/>
      <c r="I3" s="1097"/>
      <c r="J3" s="1097"/>
      <c r="K3" s="1097"/>
      <c r="L3" s="1097"/>
      <c r="M3" s="1097"/>
      <c r="N3" s="1097"/>
      <c r="O3" s="1097"/>
      <c r="P3" s="1097"/>
      <c r="Q3" s="1097"/>
      <c r="R3" s="1097"/>
      <c r="S3" s="1097"/>
      <c r="T3" s="1097"/>
      <c r="U3" s="1097"/>
      <c r="V3" s="1097"/>
      <c r="W3" s="1097"/>
      <c r="X3" s="1097"/>
      <c r="Y3" s="1097"/>
      <c r="Z3" s="1097"/>
      <c r="AA3" s="1097"/>
      <c r="AB3" s="1097"/>
      <c r="AC3" s="1097"/>
      <c r="AD3" s="1097"/>
      <c r="AE3" s="1097"/>
      <c r="AF3" s="1097"/>
      <c r="AG3" s="1097"/>
      <c r="AH3" s="1097"/>
      <c r="AI3" s="1097"/>
      <c r="AJ3" s="1097"/>
      <c r="AK3" s="1097"/>
      <c r="AL3" s="1097"/>
      <c r="AM3" s="1097"/>
      <c r="AN3" s="1097"/>
      <c r="AO3" s="1098"/>
    </row>
    <row r="4" spans="1:41" s="781" customFormat="1" ht="33.75" customHeight="1">
      <c r="A4" s="1101" t="s">
        <v>387</v>
      </c>
      <c r="B4" s="1102"/>
      <c r="C4" s="1102"/>
      <c r="D4" s="1102"/>
      <c r="E4" s="1102"/>
      <c r="F4" s="1102"/>
      <c r="G4" s="1102"/>
      <c r="H4" s="1102"/>
      <c r="I4" s="1102"/>
      <c r="J4" s="1102"/>
      <c r="K4" s="1102"/>
      <c r="L4" s="1102"/>
      <c r="M4" s="1102"/>
      <c r="N4" s="1102"/>
      <c r="O4" s="1102"/>
      <c r="P4" s="1102"/>
      <c r="Q4" s="1102"/>
      <c r="R4" s="1102"/>
      <c r="S4" s="1102"/>
      <c r="T4" s="1102"/>
      <c r="U4" s="1102"/>
      <c r="V4" s="1102"/>
      <c r="W4" s="1102"/>
      <c r="X4" s="1102"/>
      <c r="Y4" s="1102"/>
      <c r="Z4" s="1102"/>
      <c r="AA4" s="1102"/>
      <c r="AB4" s="1102"/>
      <c r="AC4" s="1102"/>
      <c r="AD4" s="1102"/>
      <c r="AE4" s="1102"/>
      <c r="AF4" s="1102"/>
      <c r="AG4" s="1102"/>
      <c r="AH4" s="1102"/>
      <c r="AI4" s="1102"/>
      <c r="AJ4" s="1102"/>
      <c r="AK4" s="1102"/>
      <c r="AL4" s="1102"/>
      <c r="AM4" s="1102"/>
      <c r="AN4" s="1102"/>
      <c r="AO4" s="1103"/>
    </row>
    <row r="5" spans="1:41" s="785" customFormat="1" ht="33.75" customHeight="1">
      <c r="A5" s="783"/>
      <c r="B5" s="784"/>
      <c r="C5" s="784"/>
      <c r="D5" s="784"/>
      <c r="E5" s="784"/>
      <c r="F5" s="784"/>
      <c r="G5" s="1099" t="s">
        <v>388</v>
      </c>
      <c r="H5" s="1099"/>
      <c r="I5" s="1099" t="s">
        <v>389</v>
      </c>
      <c r="J5" s="1099"/>
      <c r="K5" s="1100" t="s">
        <v>390</v>
      </c>
      <c r="L5" s="1100"/>
      <c r="M5" s="1100"/>
      <c r="N5" s="1100"/>
      <c r="O5" s="1100"/>
      <c r="P5" s="1100"/>
      <c r="Q5" s="1100"/>
      <c r="R5" s="1100"/>
      <c r="S5" s="1100"/>
      <c r="T5" s="1100"/>
      <c r="U5" s="1100"/>
      <c r="V5" s="1100"/>
      <c r="W5" s="1100"/>
      <c r="X5" s="1100"/>
      <c r="Y5" s="1100"/>
      <c r="Z5" s="1100"/>
      <c r="AA5" s="1100"/>
      <c r="AB5" s="1100"/>
      <c r="AC5" s="1100"/>
      <c r="AD5" s="1100"/>
      <c r="AE5" s="1100"/>
      <c r="AF5" s="1100"/>
      <c r="AG5" s="1100"/>
      <c r="AH5" s="1100"/>
      <c r="AI5" s="1100"/>
      <c r="AJ5" s="1100"/>
      <c r="AK5" s="1100"/>
      <c r="AL5" s="1100"/>
      <c r="AM5" s="863"/>
      <c r="AN5" s="863"/>
      <c r="AO5" s="782"/>
    </row>
    <row r="6" spans="1:41" ht="33.75" customHeight="1">
      <c r="A6" s="323" t="s">
        <v>355</v>
      </c>
      <c r="B6" s="304" t="s">
        <v>392</v>
      </c>
      <c r="C6" s="304" t="s">
        <v>201</v>
      </c>
      <c r="D6" s="304" t="s">
        <v>393</v>
      </c>
      <c r="E6" s="304" t="s">
        <v>394</v>
      </c>
      <c r="F6" s="304" t="s">
        <v>395</v>
      </c>
      <c r="G6" s="304" t="s">
        <v>359</v>
      </c>
      <c r="H6" s="304" t="s">
        <v>133</v>
      </c>
      <c r="I6" s="304" t="s">
        <v>359</v>
      </c>
      <c r="J6" s="304" t="s">
        <v>133</v>
      </c>
      <c r="K6" s="305">
        <v>1</v>
      </c>
      <c r="L6" s="305" t="s">
        <v>396</v>
      </c>
      <c r="M6" s="305" t="s">
        <v>397</v>
      </c>
      <c r="N6" s="305" t="s">
        <v>398</v>
      </c>
      <c r="O6" s="305" t="s">
        <v>399</v>
      </c>
      <c r="P6" s="305" t="s">
        <v>400</v>
      </c>
      <c r="Q6" s="305" t="s">
        <v>401</v>
      </c>
      <c r="R6" s="305" t="s">
        <v>402</v>
      </c>
      <c r="S6" s="305" t="s">
        <v>403</v>
      </c>
      <c r="T6" s="305" t="s">
        <v>404</v>
      </c>
      <c r="U6" s="305" t="s">
        <v>405</v>
      </c>
      <c r="V6" s="305" t="s">
        <v>406</v>
      </c>
      <c r="W6" s="305" t="s">
        <v>407</v>
      </c>
      <c r="X6" s="305" t="s">
        <v>408</v>
      </c>
      <c r="Y6" s="305" t="s">
        <v>409</v>
      </c>
      <c r="Z6" s="305" t="s">
        <v>410</v>
      </c>
      <c r="AA6" s="305" t="s">
        <v>411</v>
      </c>
      <c r="AB6" s="305" t="s">
        <v>412</v>
      </c>
      <c r="AC6" s="305" t="s">
        <v>413</v>
      </c>
      <c r="AD6" s="305" t="s">
        <v>414</v>
      </c>
      <c r="AE6" s="305" t="s">
        <v>415</v>
      </c>
      <c r="AF6" s="305" t="s">
        <v>416</v>
      </c>
      <c r="AG6" s="305" t="s">
        <v>417</v>
      </c>
      <c r="AH6" s="305" t="s">
        <v>418</v>
      </c>
      <c r="AI6" s="305" t="s">
        <v>419</v>
      </c>
      <c r="AJ6" s="305" t="s">
        <v>420</v>
      </c>
      <c r="AK6" s="306" t="s">
        <v>421</v>
      </c>
      <c r="AL6" s="439" t="s">
        <v>422</v>
      </c>
      <c r="AM6" s="306" t="s">
        <v>820</v>
      </c>
      <c r="AN6" s="439" t="s">
        <v>821</v>
      </c>
      <c r="AO6" s="549" t="s">
        <v>423</v>
      </c>
    </row>
    <row r="7" spans="1:41" s="425" customFormat="1" ht="22.5" customHeight="1">
      <c r="A7" s="440">
        <v>1</v>
      </c>
      <c r="B7" s="837" t="str">
        <f>'04-221Master'!B16</f>
        <v>Venegella Kanaka durga</v>
      </c>
      <c r="C7" s="349">
        <f>'04-221Master'!C16</f>
        <v>31669</v>
      </c>
      <c r="D7" s="350" t="str">
        <f>'04-221Master'!D16</f>
        <v>Female</v>
      </c>
      <c r="E7" s="348">
        <f>'04-221Master'!N16</f>
        <v>44021</v>
      </c>
      <c r="F7" s="324" t="str">
        <f>'04-221Master'!F16</f>
        <v>Senior Software Engineer</v>
      </c>
      <c r="G7" s="324"/>
      <c r="H7" s="326"/>
      <c r="I7" s="326"/>
      <c r="J7" s="326"/>
      <c r="K7" s="836" t="s">
        <v>381</v>
      </c>
      <c r="L7" s="836" t="s">
        <v>509</v>
      </c>
      <c r="M7" s="836" t="s">
        <v>509</v>
      </c>
      <c r="N7" s="836" t="s">
        <v>381</v>
      </c>
      <c r="O7" s="836" t="s">
        <v>381</v>
      </c>
      <c r="P7" s="836" t="s">
        <v>381</v>
      </c>
      <c r="Q7" s="836" t="s">
        <v>381</v>
      </c>
      <c r="R7" s="836" t="s">
        <v>381</v>
      </c>
      <c r="S7" s="836" t="s">
        <v>509</v>
      </c>
      <c r="T7" s="836" t="s">
        <v>509</v>
      </c>
      <c r="U7" s="950" t="s">
        <v>559</v>
      </c>
      <c r="V7" s="836" t="s">
        <v>381</v>
      </c>
      <c r="W7" s="836" t="s">
        <v>381</v>
      </c>
      <c r="X7" s="836" t="s">
        <v>381</v>
      </c>
      <c r="Y7" s="836" t="s">
        <v>849</v>
      </c>
      <c r="Z7" s="836" t="s">
        <v>509</v>
      </c>
      <c r="AA7" s="836" t="s">
        <v>509</v>
      </c>
      <c r="AB7" s="836" t="s">
        <v>381</v>
      </c>
      <c r="AC7" s="836" t="s">
        <v>381</v>
      </c>
      <c r="AD7" s="836" t="s">
        <v>381</v>
      </c>
      <c r="AE7" s="836" t="s">
        <v>381</v>
      </c>
      <c r="AF7" s="836" t="s">
        <v>381</v>
      </c>
      <c r="AG7" s="836" t="s">
        <v>509</v>
      </c>
      <c r="AH7" s="836" t="s">
        <v>509</v>
      </c>
      <c r="AI7" s="836" t="s">
        <v>381</v>
      </c>
      <c r="AJ7" s="836" t="s">
        <v>381</v>
      </c>
      <c r="AK7" s="836" t="s">
        <v>381</v>
      </c>
      <c r="AL7" s="836" t="s">
        <v>381</v>
      </c>
      <c r="AM7" s="836" t="s">
        <v>381</v>
      </c>
      <c r="AN7" s="836" t="s">
        <v>509</v>
      </c>
      <c r="AO7" s="550">
        <f>'04-221Master'!W16</f>
        <v>30</v>
      </c>
    </row>
    <row r="8" spans="1:41" s="425" customFormat="1" ht="22.5" customHeight="1">
      <c r="A8" s="440">
        <v>2</v>
      </c>
      <c r="B8" s="837" t="str">
        <f>'04-221Master'!B17</f>
        <v>Moeenahmed Shakilahmed Shaikh</v>
      </c>
      <c r="C8" s="349">
        <f>'04-221Master'!C17</f>
        <v>30310</v>
      </c>
      <c r="D8" s="350" t="str">
        <f>'04-221Master'!D17</f>
        <v>MALE</v>
      </c>
      <c r="E8" s="348">
        <f>'04-221Master'!N17</f>
        <v>44041</v>
      </c>
      <c r="F8" s="324" t="str">
        <f>'04-221Master'!F17</f>
        <v>Splunk Developer</v>
      </c>
      <c r="G8" s="324"/>
      <c r="H8" s="326"/>
      <c r="I8" s="326"/>
      <c r="J8" s="326"/>
      <c r="K8" s="836" t="s">
        <v>381</v>
      </c>
      <c r="L8" s="836" t="s">
        <v>509</v>
      </c>
      <c r="M8" s="836" t="s">
        <v>509</v>
      </c>
      <c r="N8" s="836" t="s">
        <v>381</v>
      </c>
      <c r="O8" s="836" t="s">
        <v>381</v>
      </c>
      <c r="P8" s="836" t="s">
        <v>381</v>
      </c>
      <c r="Q8" s="836" t="s">
        <v>381</v>
      </c>
      <c r="R8" s="836" t="s">
        <v>381</v>
      </c>
      <c r="S8" s="836" t="s">
        <v>509</v>
      </c>
      <c r="T8" s="836" t="s">
        <v>509</v>
      </c>
      <c r="U8" s="836" t="s">
        <v>381</v>
      </c>
      <c r="V8" s="836" t="s">
        <v>381</v>
      </c>
      <c r="W8" s="836" t="s">
        <v>381</v>
      </c>
      <c r="X8" s="836" t="s">
        <v>381</v>
      </c>
      <c r="Y8" s="836" t="s">
        <v>849</v>
      </c>
      <c r="Z8" s="836" t="s">
        <v>509</v>
      </c>
      <c r="AA8" s="836" t="s">
        <v>509</v>
      </c>
      <c r="AB8" s="836" t="s">
        <v>381</v>
      </c>
      <c r="AC8" s="836" t="s">
        <v>381</v>
      </c>
      <c r="AD8" s="836" t="s">
        <v>381</v>
      </c>
      <c r="AE8" s="836" t="s">
        <v>381</v>
      </c>
      <c r="AF8" s="836" t="s">
        <v>381</v>
      </c>
      <c r="AG8" s="836" t="s">
        <v>509</v>
      </c>
      <c r="AH8" s="836" t="s">
        <v>509</v>
      </c>
      <c r="AI8" s="836" t="s">
        <v>381</v>
      </c>
      <c r="AJ8" s="836" t="s">
        <v>381</v>
      </c>
      <c r="AK8" s="836" t="s">
        <v>381</v>
      </c>
      <c r="AL8" s="836" t="s">
        <v>381</v>
      </c>
      <c r="AM8" s="836" t="s">
        <v>381</v>
      </c>
      <c r="AN8" s="836" t="s">
        <v>509</v>
      </c>
      <c r="AO8" s="550">
        <f>'04-221Master'!W17</f>
        <v>30</v>
      </c>
    </row>
    <row r="9" spans="1:41" s="425" customFormat="1" ht="22.5" customHeight="1">
      <c r="A9" s="440">
        <v>3</v>
      </c>
      <c r="B9" s="837" t="str">
        <f>'04-221Master'!B18</f>
        <v>Yarramaddu Raveendra Reddy</v>
      </c>
      <c r="C9" s="349">
        <f>'04-221Master'!C18</f>
        <v>32972</v>
      </c>
      <c r="D9" s="350" t="str">
        <f>'04-221Master'!D18</f>
        <v>Male</v>
      </c>
      <c r="E9" s="348">
        <f>'04-221Master'!N18</f>
        <v>44335</v>
      </c>
      <c r="F9" s="324" t="str">
        <f>'04-221Master'!F18</f>
        <v>Sr Citrix Administrator</v>
      </c>
      <c r="G9" s="324"/>
      <c r="H9" s="326"/>
      <c r="I9" s="326"/>
      <c r="J9" s="326"/>
      <c r="K9" s="836" t="s">
        <v>381</v>
      </c>
      <c r="L9" s="836" t="s">
        <v>509</v>
      </c>
      <c r="M9" s="836" t="s">
        <v>509</v>
      </c>
      <c r="N9" s="950" t="s">
        <v>559</v>
      </c>
      <c r="O9" s="836" t="s">
        <v>381</v>
      </c>
      <c r="P9" s="836" t="s">
        <v>381</v>
      </c>
      <c r="Q9" s="836" t="s">
        <v>381</v>
      </c>
      <c r="R9" s="836" t="s">
        <v>381</v>
      </c>
      <c r="S9" s="836" t="s">
        <v>509</v>
      </c>
      <c r="T9" s="836" t="s">
        <v>509</v>
      </c>
      <c r="U9" s="836" t="s">
        <v>381</v>
      </c>
      <c r="V9" s="836" t="s">
        <v>381</v>
      </c>
      <c r="W9" s="836" t="s">
        <v>381</v>
      </c>
      <c r="X9" s="836" t="s">
        <v>381</v>
      </c>
      <c r="Y9" s="836" t="s">
        <v>849</v>
      </c>
      <c r="Z9" s="836" t="s">
        <v>509</v>
      </c>
      <c r="AA9" s="836" t="s">
        <v>509</v>
      </c>
      <c r="AB9" s="836" t="s">
        <v>381</v>
      </c>
      <c r="AC9" s="836" t="s">
        <v>381</v>
      </c>
      <c r="AD9" s="836" t="s">
        <v>381</v>
      </c>
      <c r="AE9" s="836" t="s">
        <v>381</v>
      </c>
      <c r="AF9" s="836" t="s">
        <v>381</v>
      </c>
      <c r="AG9" s="836" t="s">
        <v>509</v>
      </c>
      <c r="AH9" s="836" t="s">
        <v>509</v>
      </c>
      <c r="AI9" s="836" t="s">
        <v>381</v>
      </c>
      <c r="AJ9" s="836" t="s">
        <v>381</v>
      </c>
      <c r="AK9" s="836" t="s">
        <v>381</v>
      </c>
      <c r="AL9" s="836" t="s">
        <v>381</v>
      </c>
      <c r="AM9" s="836" t="s">
        <v>381</v>
      </c>
      <c r="AN9" s="836" t="s">
        <v>509</v>
      </c>
      <c r="AO9" s="550">
        <f>'04-221Master'!W18</f>
        <v>30</v>
      </c>
    </row>
    <row r="10" spans="1:41" s="425" customFormat="1" ht="22.5" customHeight="1">
      <c r="A10" s="440">
        <v>4</v>
      </c>
      <c r="B10" s="837" t="str">
        <f>'04-221Master'!B19</f>
        <v>Chitra Kulkarni</v>
      </c>
      <c r="C10" s="349">
        <f>'04-221Master'!C19</f>
        <v>32113</v>
      </c>
      <c r="D10" s="350" t="str">
        <f>'04-221Master'!D19</f>
        <v>Female</v>
      </c>
      <c r="E10" s="348">
        <f>'04-221Master'!N19</f>
        <v>44390</v>
      </c>
      <c r="F10" s="324" t="str">
        <f>'04-221Master'!F19</f>
        <v>Project Manager</v>
      </c>
      <c r="G10" s="324"/>
      <c r="H10" s="326"/>
      <c r="I10" s="326"/>
      <c r="J10" s="326"/>
      <c r="K10" s="836" t="s">
        <v>381</v>
      </c>
      <c r="L10" s="836" t="s">
        <v>509</v>
      </c>
      <c r="M10" s="836" t="s">
        <v>509</v>
      </c>
      <c r="N10" s="836" t="s">
        <v>381</v>
      </c>
      <c r="O10" s="836" t="s">
        <v>381</v>
      </c>
      <c r="P10" s="836" t="s">
        <v>381</v>
      </c>
      <c r="Q10" s="836" t="s">
        <v>381</v>
      </c>
      <c r="R10" s="836" t="s">
        <v>381</v>
      </c>
      <c r="S10" s="836" t="s">
        <v>509</v>
      </c>
      <c r="T10" s="836" t="s">
        <v>509</v>
      </c>
      <c r="U10" s="836" t="s">
        <v>381</v>
      </c>
      <c r="V10" s="836" t="s">
        <v>381</v>
      </c>
      <c r="W10" s="836" t="s">
        <v>381</v>
      </c>
      <c r="X10" s="836" t="s">
        <v>381</v>
      </c>
      <c r="Y10" s="836" t="s">
        <v>849</v>
      </c>
      <c r="Z10" s="836" t="s">
        <v>509</v>
      </c>
      <c r="AA10" s="836" t="s">
        <v>509</v>
      </c>
      <c r="AB10" s="950" t="s">
        <v>559</v>
      </c>
      <c r="AC10" s="836" t="s">
        <v>381</v>
      </c>
      <c r="AD10" s="836" t="s">
        <v>381</v>
      </c>
      <c r="AE10" s="836" t="s">
        <v>381</v>
      </c>
      <c r="AF10" s="836" t="s">
        <v>381</v>
      </c>
      <c r="AG10" s="836" t="s">
        <v>509</v>
      </c>
      <c r="AH10" s="836" t="s">
        <v>509</v>
      </c>
      <c r="AI10" s="836" t="s">
        <v>381</v>
      </c>
      <c r="AJ10" s="836" t="s">
        <v>381</v>
      </c>
      <c r="AK10" s="836" t="s">
        <v>381</v>
      </c>
      <c r="AL10" s="836" t="s">
        <v>381</v>
      </c>
      <c r="AM10" s="836" t="s">
        <v>381</v>
      </c>
      <c r="AN10" s="836" t="s">
        <v>509</v>
      </c>
      <c r="AO10" s="550">
        <f>'04-221Master'!W19</f>
        <v>30</v>
      </c>
    </row>
    <row r="11" spans="1:41" s="425" customFormat="1" ht="22.5" customHeight="1">
      <c r="A11" s="440">
        <v>5</v>
      </c>
      <c r="B11" s="837" t="str">
        <f>'04-221Master'!B20</f>
        <v>Sunnapalli Anil</v>
      </c>
      <c r="C11" s="349">
        <f>'04-221Master'!C20</f>
        <v>32813</v>
      </c>
      <c r="D11" s="350" t="str">
        <f>'04-221Master'!D20</f>
        <v>Male</v>
      </c>
      <c r="E11" s="348">
        <f>'04-221Master'!N20</f>
        <v>44409</v>
      </c>
      <c r="F11" s="324" t="str">
        <f>'04-221Master'!F20</f>
        <v>Sr. Software Engineer</v>
      </c>
      <c r="G11" s="324"/>
      <c r="H11" s="326"/>
      <c r="I11" s="326"/>
      <c r="J11" s="326"/>
      <c r="K11" s="836" t="s">
        <v>381</v>
      </c>
      <c r="L11" s="836" t="s">
        <v>509</v>
      </c>
      <c r="M11" s="836" t="s">
        <v>509</v>
      </c>
      <c r="N11" s="836" t="s">
        <v>381</v>
      </c>
      <c r="O11" s="836" t="s">
        <v>381</v>
      </c>
      <c r="P11" s="836" t="s">
        <v>381</v>
      </c>
      <c r="Q11" s="836" t="s">
        <v>381</v>
      </c>
      <c r="R11" s="836" t="s">
        <v>381</v>
      </c>
      <c r="S11" s="836" t="s">
        <v>509</v>
      </c>
      <c r="T11" s="836" t="s">
        <v>509</v>
      </c>
      <c r="U11" s="836" t="s">
        <v>381</v>
      </c>
      <c r="V11" s="836" t="s">
        <v>381</v>
      </c>
      <c r="W11" s="836" t="s">
        <v>381</v>
      </c>
      <c r="X11" s="836" t="s">
        <v>381</v>
      </c>
      <c r="Y11" s="836" t="s">
        <v>849</v>
      </c>
      <c r="Z11" s="836" t="s">
        <v>509</v>
      </c>
      <c r="AA11" s="836" t="s">
        <v>509</v>
      </c>
      <c r="AB11" s="836" t="s">
        <v>381</v>
      </c>
      <c r="AC11" s="836" t="s">
        <v>381</v>
      </c>
      <c r="AD11" s="836" t="s">
        <v>381</v>
      </c>
      <c r="AE11" s="836" t="s">
        <v>381</v>
      </c>
      <c r="AF11" s="836" t="s">
        <v>381</v>
      </c>
      <c r="AG11" s="836" t="s">
        <v>509</v>
      </c>
      <c r="AH11" s="836" t="s">
        <v>509</v>
      </c>
      <c r="AI11" s="836" t="s">
        <v>381</v>
      </c>
      <c r="AJ11" s="836" t="s">
        <v>381</v>
      </c>
      <c r="AK11" s="836" t="s">
        <v>381</v>
      </c>
      <c r="AL11" s="836" t="s">
        <v>381</v>
      </c>
      <c r="AM11" s="836" t="s">
        <v>381</v>
      </c>
      <c r="AN11" s="836" t="s">
        <v>509</v>
      </c>
      <c r="AO11" s="550">
        <f>'04-221Master'!W20</f>
        <v>30</v>
      </c>
    </row>
    <row r="12" spans="1:41" s="425" customFormat="1" ht="22.5" customHeight="1">
      <c r="A12" s="440">
        <v>6</v>
      </c>
      <c r="B12" s="837" t="str">
        <f>'04-221Master'!B21</f>
        <v>Himanshu Anand</v>
      </c>
      <c r="C12" s="349">
        <f>'04-221Master'!C21</f>
        <v>31328</v>
      </c>
      <c r="D12" s="350" t="str">
        <f>'04-221Master'!D21</f>
        <v>Male</v>
      </c>
      <c r="E12" s="348">
        <f>'04-221Master'!N21</f>
        <v>44432</v>
      </c>
      <c r="F12" s="324" t="str">
        <f>'04-221Master'!F21</f>
        <v xml:space="preserve">Sr. DBA / Sr. Administrator </v>
      </c>
      <c r="G12" s="324"/>
      <c r="H12" s="326"/>
      <c r="I12" s="326"/>
      <c r="J12" s="326"/>
      <c r="K12" s="836" t="s">
        <v>381</v>
      </c>
      <c r="L12" s="836" t="s">
        <v>509</v>
      </c>
      <c r="M12" s="836" t="s">
        <v>509</v>
      </c>
      <c r="N12" s="836" t="s">
        <v>381</v>
      </c>
      <c r="O12" s="836" t="s">
        <v>381</v>
      </c>
      <c r="P12" s="836" t="s">
        <v>381</v>
      </c>
      <c r="Q12" s="836" t="s">
        <v>381</v>
      </c>
      <c r="R12" s="836" t="s">
        <v>381</v>
      </c>
      <c r="S12" s="836" t="s">
        <v>509</v>
      </c>
      <c r="T12" s="836" t="s">
        <v>509</v>
      </c>
      <c r="U12" s="836" t="s">
        <v>381</v>
      </c>
      <c r="V12" s="836" t="s">
        <v>381</v>
      </c>
      <c r="W12" s="836" t="s">
        <v>381</v>
      </c>
      <c r="X12" s="836" t="s">
        <v>381</v>
      </c>
      <c r="Y12" s="836" t="s">
        <v>849</v>
      </c>
      <c r="Z12" s="836" t="s">
        <v>509</v>
      </c>
      <c r="AA12" s="836" t="s">
        <v>509</v>
      </c>
      <c r="AB12" s="836" t="s">
        <v>381</v>
      </c>
      <c r="AC12" s="836" t="s">
        <v>381</v>
      </c>
      <c r="AD12" s="836" t="s">
        <v>381</v>
      </c>
      <c r="AE12" s="836" t="s">
        <v>381</v>
      </c>
      <c r="AF12" s="836" t="s">
        <v>381</v>
      </c>
      <c r="AG12" s="836" t="s">
        <v>509</v>
      </c>
      <c r="AH12" s="836" t="s">
        <v>509</v>
      </c>
      <c r="AI12" s="836" t="s">
        <v>381</v>
      </c>
      <c r="AJ12" s="836" t="s">
        <v>381</v>
      </c>
      <c r="AK12" s="836" t="s">
        <v>381</v>
      </c>
      <c r="AL12" s="836" t="s">
        <v>381</v>
      </c>
      <c r="AM12" s="836" t="s">
        <v>381</v>
      </c>
      <c r="AN12" s="836" t="s">
        <v>509</v>
      </c>
      <c r="AO12" s="550">
        <f>'04-221Master'!W21</f>
        <v>30</v>
      </c>
    </row>
    <row r="13" spans="1:41" s="425" customFormat="1" ht="22.5" customHeight="1">
      <c r="A13" s="440">
        <v>7</v>
      </c>
      <c r="B13" s="837" t="str">
        <f>'04-221Master'!B22</f>
        <v>Kanchupati Kondaiah</v>
      </c>
      <c r="C13" s="349">
        <f>'04-221Master'!C22</f>
        <v>32669</v>
      </c>
      <c r="D13" s="350" t="str">
        <f>'04-221Master'!D22</f>
        <v>Male</v>
      </c>
      <c r="E13" s="348">
        <f>'04-221Master'!N22</f>
        <v>44434</v>
      </c>
      <c r="F13" s="324" t="str">
        <f>'04-221Master'!F22</f>
        <v xml:space="preserve"> SQL DATABASE ADMINISTRATOR</v>
      </c>
      <c r="G13" s="324"/>
      <c r="H13" s="326"/>
      <c r="I13" s="326"/>
      <c r="J13" s="326"/>
      <c r="K13" s="836" t="s">
        <v>381</v>
      </c>
      <c r="L13" s="836" t="s">
        <v>509</v>
      </c>
      <c r="M13" s="836" t="s">
        <v>509</v>
      </c>
      <c r="N13" s="836" t="s">
        <v>381</v>
      </c>
      <c r="O13" s="836" t="s">
        <v>381</v>
      </c>
      <c r="P13" s="836" t="s">
        <v>381</v>
      </c>
      <c r="Q13" s="836" t="s">
        <v>381</v>
      </c>
      <c r="R13" s="836" t="s">
        <v>381</v>
      </c>
      <c r="S13" s="836" t="s">
        <v>509</v>
      </c>
      <c r="T13" s="836" t="s">
        <v>509</v>
      </c>
      <c r="U13" s="836" t="s">
        <v>381</v>
      </c>
      <c r="V13" s="836" t="s">
        <v>381</v>
      </c>
      <c r="W13" s="836" t="s">
        <v>381</v>
      </c>
      <c r="X13" s="836" t="s">
        <v>381</v>
      </c>
      <c r="Y13" s="836" t="s">
        <v>849</v>
      </c>
      <c r="Z13" s="836" t="s">
        <v>509</v>
      </c>
      <c r="AA13" s="836" t="s">
        <v>509</v>
      </c>
      <c r="AB13" s="836" t="s">
        <v>381</v>
      </c>
      <c r="AC13" s="836" t="s">
        <v>381</v>
      </c>
      <c r="AD13" s="836" t="s">
        <v>381</v>
      </c>
      <c r="AE13" s="836" t="s">
        <v>381</v>
      </c>
      <c r="AF13" s="950" t="s">
        <v>559</v>
      </c>
      <c r="AG13" s="836" t="s">
        <v>509</v>
      </c>
      <c r="AH13" s="836" t="s">
        <v>509</v>
      </c>
      <c r="AI13" s="836" t="s">
        <v>381</v>
      </c>
      <c r="AJ13" s="836" t="s">
        <v>381</v>
      </c>
      <c r="AK13" s="836" t="s">
        <v>381</v>
      </c>
      <c r="AL13" s="836" t="s">
        <v>381</v>
      </c>
      <c r="AM13" s="836" t="s">
        <v>381</v>
      </c>
      <c r="AN13" s="836" t="s">
        <v>509</v>
      </c>
      <c r="AO13" s="550">
        <f>'04-221Master'!W22</f>
        <v>30</v>
      </c>
    </row>
    <row r="14" spans="1:41" s="425" customFormat="1" ht="22.5" customHeight="1">
      <c r="A14" s="440">
        <v>8</v>
      </c>
      <c r="B14" s="837" t="str">
        <f>'04-221Master'!B23</f>
        <v>Santosh Patel</v>
      </c>
      <c r="C14" s="349">
        <f>'04-221Master'!C23</f>
        <v>32336</v>
      </c>
      <c r="D14" s="350" t="str">
        <f>'04-221Master'!D23</f>
        <v>Male</v>
      </c>
      <c r="E14" s="348">
        <f>'04-221Master'!N23</f>
        <v>44438</v>
      </c>
      <c r="F14" s="324" t="str">
        <f>'04-221Master'!F23</f>
        <v>Senior  Support Engineer</v>
      </c>
      <c r="G14" s="324"/>
      <c r="H14" s="326"/>
      <c r="I14" s="326"/>
      <c r="J14" s="326"/>
      <c r="K14" s="836" t="s">
        <v>381</v>
      </c>
      <c r="L14" s="836" t="s">
        <v>509</v>
      </c>
      <c r="M14" s="836" t="s">
        <v>509</v>
      </c>
      <c r="N14" s="836" t="s">
        <v>381</v>
      </c>
      <c r="O14" s="836" t="s">
        <v>381</v>
      </c>
      <c r="P14" s="836" t="s">
        <v>381</v>
      </c>
      <c r="Q14" s="836" t="s">
        <v>381</v>
      </c>
      <c r="R14" s="836" t="s">
        <v>381</v>
      </c>
      <c r="S14" s="836" t="s">
        <v>509</v>
      </c>
      <c r="T14" s="836" t="s">
        <v>509</v>
      </c>
      <c r="U14" s="836" t="s">
        <v>381</v>
      </c>
      <c r="V14" s="836" t="s">
        <v>381</v>
      </c>
      <c r="W14" s="836" t="s">
        <v>381</v>
      </c>
      <c r="X14" s="836" t="s">
        <v>381</v>
      </c>
      <c r="Y14" s="836" t="s">
        <v>849</v>
      </c>
      <c r="Z14" s="836" t="s">
        <v>509</v>
      </c>
      <c r="AA14" s="836" t="s">
        <v>509</v>
      </c>
      <c r="AB14" s="836" t="s">
        <v>381</v>
      </c>
      <c r="AC14" s="836" t="s">
        <v>381</v>
      </c>
      <c r="AD14" s="836" t="s">
        <v>381</v>
      </c>
      <c r="AE14" s="836" t="s">
        <v>381</v>
      </c>
      <c r="AF14" s="836" t="s">
        <v>381</v>
      </c>
      <c r="AG14" s="836" t="s">
        <v>509</v>
      </c>
      <c r="AH14" s="836" t="s">
        <v>509</v>
      </c>
      <c r="AI14" s="836" t="s">
        <v>381</v>
      </c>
      <c r="AJ14" s="836" t="s">
        <v>381</v>
      </c>
      <c r="AK14" s="836" t="s">
        <v>381</v>
      </c>
      <c r="AL14" s="836" t="s">
        <v>381</v>
      </c>
      <c r="AM14" s="836" t="s">
        <v>381</v>
      </c>
      <c r="AN14" s="836" t="s">
        <v>509</v>
      </c>
      <c r="AO14" s="550">
        <f>'04-221Master'!W23</f>
        <v>30</v>
      </c>
    </row>
    <row r="15" spans="1:41" s="425" customFormat="1" ht="22.5" customHeight="1">
      <c r="A15" s="440">
        <v>9</v>
      </c>
      <c r="B15" s="837" t="str">
        <f>'04-221Master'!B24</f>
        <v>Basweshwar Pawar</v>
      </c>
      <c r="C15" s="349">
        <f>'04-221Master'!C24</f>
        <v>31899</v>
      </c>
      <c r="D15" s="350" t="str">
        <f>'04-221Master'!D24</f>
        <v>Male</v>
      </c>
      <c r="E15" s="348">
        <f>'04-221Master'!N24</f>
        <v>44446</v>
      </c>
      <c r="F15" s="324" t="str">
        <f>'04-221Master'!F24</f>
        <v>Lead PMO</v>
      </c>
      <c r="G15" s="324"/>
      <c r="H15" s="326"/>
      <c r="I15" s="326"/>
      <c r="J15" s="326"/>
      <c r="K15" s="836" t="s">
        <v>381</v>
      </c>
      <c r="L15" s="836" t="s">
        <v>509</v>
      </c>
      <c r="M15" s="836" t="s">
        <v>509</v>
      </c>
      <c r="N15" s="836" t="s">
        <v>381</v>
      </c>
      <c r="O15" s="836" t="s">
        <v>381</v>
      </c>
      <c r="P15" s="836" t="s">
        <v>381</v>
      </c>
      <c r="Q15" s="836" t="s">
        <v>381</v>
      </c>
      <c r="R15" s="836" t="s">
        <v>381</v>
      </c>
      <c r="S15" s="836" t="s">
        <v>509</v>
      </c>
      <c r="T15" s="836" t="s">
        <v>509</v>
      </c>
      <c r="U15" s="836" t="s">
        <v>381</v>
      </c>
      <c r="V15" s="836" t="s">
        <v>381</v>
      </c>
      <c r="W15" s="836" t="s">
        <v>381</v>
      </c>
      <c r="X15" s="836" t="s">
        <v>381</v>
      </c>
      <c r="Y15" s="836" t="s">
        <v>849</v>
      </c>
      <c r="Z15" s="836" t="s">
        <v>509</v>
      </c>
      <c r="AA15" s="836" t="s">
        <v>509</v>
      </c>
      <c r="AB15" s="836" t="s">
        <v>381</v>
      </c>
      <c r="AC15" s="836" t="s">
        <v>381</v>
      </c>
      <c r="AD15" s="836" t="s">
        <v>381</v>
      </c>
      <c r="AE15" s="836" t="s">
        <v>381</v>
      </c>
      <c r="AF15" s="836" t="s">
        <v>381</v>
      </c>
      <c r="AG15" s="836" t="s">
        <v>509</v>
      </c>
      <c r="AH15" s="836" t="s">
        <v>509</v>
      </c>
      <c r="AI15" s="836" t="s">
        <v>381</v>
      </c>
      <c r="AJ15" s="836" t="s">
        <v>381</v>
      </c>
      <c r="AK15" s="836" t="s">
        <v>381</v>
      </c>
      <c r="AL15" s="836" t="s">
        <v>381</v>
      </c>
      <c r="AM15" s="836" t="s">
        <v>381</v>
      </c>
      <c r="AN15" s="836" t="s">
        <v>509</v>
      </c>
      <c r="AO15" s="550">
        <f>'04-221Master'!W24</f>
        <v>30</v>
      </c>
    </row>
    <row r="16" spans="1:41" s="425" customFormat="1" ht="22.5" customHeight="1">
      <c r="A16" s="440">
        <v>10</v>
      </c>
      <c r="B16" s="837" t="str">
        <f>'04-221Master'!B25</f>
        <v>Hemanth Mishra</v>
      </c>
      <c r="C16" s="349" t="str">
        <f>'04-221Master'!C25</f>
        <v>17/10/1976</v>
      </c>
      <c r="D16" s="350" t="str">
        <f>'04-221Master'!D25</f>
        <v>MALE</v>
      </c>
      <c r="E16" s="348">
        <f>'04-221Master'!N25</f>
        <v>44490</v>
      </c>
      <c r="F16" s="324" t="str">
        <f>'04-221Master'!F25</f>
        <v>Technology Analyst</v>
      </c>
      <c r="G16" s="324"/>
      <c r="H16" s="326"/>
      <c r="I16" s="326"/>
      <c r="J16" s="326"/>
      <c r="K16" s="950" t="s">
        <v>559</v>
      </c>
      <c r="L16" s="836" t="s">
        <v>509</v>
      </c>
      <c r="M16" s="836" t="s">
        <v>509</v>
      </c>
      <c r="N16" s="836" t="s">
        <v>381</v>
      </c>
      <c r="O16" s="836" t="s">
        <v>381</v>
      </c>
      <c r="P16" s="836" t="s">
        <v>381</v>
      </c>
      <c r="Q16" s="836" t="s">
        <v>381</v>
      </c>
      <c r="R16" s="836" t="s">
        <v>381</v>
      </c>
      <c r="S16" s="836" t="s">
        <v>509</v>
      </c>
      <c r="T16" s="836" t="s">
        <v>509</v>
      </c>
      <c r="U16" s="836" t="s">
        <v>381</v>
      </c>
      <c r="V16" s="836" t="s">
        <v>381</v>
      </c>
      <c r="W16" s="836" t="s">
        <v>381</v>
      </c>
      <c r="X16" s="836" t="s">
        <v>381</v>
      </c>
      <c r="Y16" s="836" t="s">
        <v>849</v>
      </c>
      <c r="Z16" s="836" t="s">
        <v>509</v>
      </c>
      <c r="AA16" s="836" t="s">
        <v>509</v>
      </c>
      <c r="AB16" s="836" t="s">
        <v>381</v>
      </c>
      <c r="AC16" s="836" t="s">
        <v>381</v>
      </c>
      <c r="AD16" s="836" t="s">
        <v>381</v>
      </c>
      <c r="AE16" s="836" t="s">
        <v>381</v>
      </c>
      <c r="AF16" s="836" t="s">
        <v>381</v>
      </c>
      <c r="AG16" s="836" t="s">
        <v>509</v>
      </c>
      <c r="AH16" s="836" t="s">
        <v>509</v>
      </c>
      <c r="AI16" s="836" t="s">
        <v>381</v>
      </c>
      <c r="AJ16" s="836" t="s">
        <v>381</v>
      </c>
      <c r="AK16" s="836" t="s">
        <v>381</v>
      </c>
      <c r="AL16" s="836" t="s">
        <v>381</v>
      </c>
      <c r="AM16" s="836" t="s">
        <v>381</v>
      </c>
      <c r="AN16" s="836" t="s">
        <v>509</v>
      </c>
      <c r="AO16" s="550">
        <f>'04-221Master'!W25</f>
        <v>30</v>
      </c>
    </row>
    <row r="17" spans="1:41" s="425" customFormat="1" ht="22.5" customHeight="1">
      <c r="A17" s="440">
        <v>11</v>
      </c>
      <c r="B17" s="837" t="str">
        <f>'04-221Master'!B26</f>
        <v>FAZALAHMED IRKAL</v>
      </c>
      <c r="C17" s="349">
        <f>'04-221Master'!C26</f>
        <v>32932</v>
      </c>
      <c r="D17" s="350" t="str">
        <f>'04-221Master'!D26</f>
        <v>MALE</v>
      </c>
      <c r="E17" s="348">
        <f>'04-221Master'!N26</f>
        <v>44494</v>
      </c>
      <c r="F17" s="324" t="str">
        <f>'04-221Master'!F26</f>
        <v>SENIOR HADOOP ADMIN</v>
      </c>
      <c r="G17" s="324"/>
      <c r="H17" s="326"/>
      <c r="I17" s="326"/>
      <c r="J17" s="326"/>
      <c r="K17" s="836" t="s">
        <v>381</v>
      </c>
      <c r="L17" s="836" t="s">
        <v>509</v>
      </c>
      <c r="M17" s="836" t="s">
        <v>509</v>
      </c>
      <c r="N17" s="836" t="s">
        <v>381</v>
      </c>
      <c r="O17" s="836" t="s">
        <v>381</v>
      </c>
      <c r="P17" s="836" t="s">
        <v>381</v>
      </c>
      <c r="Q17" s="836" t="s">
        <v>381</v>
      </c>
      <c r="R17" s="836" t="s">
        <v>381</v>
      </c>
      <c r="S17" s="836" t="s">
        <v>509</v>
      </c>
      <c r="T17" s="836" t="s">
        <v>509</v>
      </c>
      <c r="U17" s="836" t="s">
        <v>381</v>
      </c>
      <c r="V17" s="836" t="s">
        <v>381</v>
      </c>
      <c r="W17" s="836" t="s">
        <v>381</v>
      </c>
      <c r="X17" s="836" t="s">
        <v>381</v>
      </c>
      <c r="Y17" s="836" t="s">
        <v>849</v>
      </c>
      <c r="Z17" s="836" t="s">
        <v>509</v>
      </c>
      <c r="AA17" s="836" t="s">
        <v>509</v>
      </c>
      <c r="AB17" s="836" t="s">
        <v>381</v>
      </c>
      <c r="AC17" s="836" t="s">
        <v>381</v>
      </c>
      <c r="AD17" s="836" t="s">
        <v>381</v>
      </c>
      <c r="AE17" s="836" t="s">
        <v>381</v>
      </c>
      <c r="AF17" s="836" t="s">
        <v>381</v>
      </c>
      <c r="AG17" s="949"/>
      <c r="AH17" s="949"/>
      <c r="AI17" s="949"/>
      <c r="AJ17" s="949"/>
      <c r="AK17" s="949"/>
      <c r="AL17" s="949"/>
      <c r="AM17" s="949"/>
      <c r="AN17" s="949"/>
      <c r="AO17" s="550">
        <f>'04-221Master'!W26</f>
        <v>22</v>
      </c>
    </row>
    <row r="18" spans="1:41" s="425" customFormat="1" ht="22.5" customHeight="1">
      <c r="A18" s="440">
        <v>12</v>
      </c>
      <c r="B18" s="837" t="str">
        <f>'04-221Master'!B27</f>
        <v>SUKRUTH YELLAMBOTLA</v>
      </c>
      <c r="C18" s="349">
        <f>'04-221Master'!C27</f>
        <v>34146</v>
      </c>
      <c r="D18" s="350" t="str">
        <f>'04-221Master'!D27</f>
        <v>MALE</v>
      </c>
      <c r="E18" s="348">
        <f>'04-221Master'!N27</f>
        <v>44509</v>
      </c>
      <c r="F18" s="324" t="str">
        <f>'04-221Master'!F27</f>
        <v>SENIOR APPLICATION CONSULTANT</v>
      </c>
      <c r="G18" s="324"/>
      <c r="H18" s="326"/>
      <c r="I18" s="326"/>
      <c r="J18" s="326"/>
      <c r="K18" s="836" t="s">
        <v>381</v>
      </c>
      <c r="L18" s="836" t="s">
        <v>509</v>
      </c>
      <c r="M18" s="836" t="s">
        <v>509</v>
      </c>
      <c r="N18" s="836" t="s">
        <v>381</v>
      </c>
      <c r="O18" s="836" t="s">
        <v>381</v>
      </c>
      <c r="P18" s="836" t="s">
        <v>381</v>
      </c>
      <c r="Q18" s="836" t="s">
        <v>381</v>
      </c>
      <c r="R18" s="836" t="s">
        <v>381</v>
      </c>
      <c r="S18" s="836" t="s">
        <v>509</v>
      </c>
      <c r="T18" s="836" t="s">
        <v>509</v>
      </c>
      <c r="U18" s="836" t="s">
        <v>381</v>
      </c>
      <c r="V18" s="836" t="s">
        <v>381</v>
      </c>
      <c r="W18" s="836" t="s">
        <v>381</v>
      </c>
      <c r="X18" s="836" t="s">
        <v>381</v>
      </c>
      <c r="Y18" s="836" t="s">
        <v>849</v>
      </c>
      <c r="Z18" s="836" t="s">
        <v>509</v>
      </c>
      <c r="AA18" s="836" t="s">
        <v>509</v>
      </c>
      <c r="AB18" s="836" t="s">
        <v>381</v>
      </c>
      <c r="AC18" s="836" t="s">
        <v>381</v>
      </c>
      <c r="AD18" s="836" t="s">
        <v>381</v>
      </c>
      <c r="AE18" s="836" t="s">
        <v>381</v>
      </c>
      <c r="AF18" s="836" t="s">
        <v>381</v>
      </c>
      <c r="AG18" s="836" t="s">
        <v>509</v>
      </c>
      <c r="AH18" s="836" t="s">
        <v>509</v>
      </c>
      <c r="AI18" s="836" t="s">
        <v>381</v>
      </c>
      <c r="AJ18" s="836" t="s">
        <v>381</v>
      </c>
      <c r="AK18" s="836" t="s">
        <v>381</v>
      </c>
      <c r="AL18" s="836" t="s">
        <v>381</v>
      </c>
      <c r="AM18" s="950" t="s">
        <v>559</v>
      </c>
      <c r="AN18" s="836" t="s">
        <v>509</v>
      </c>
      <c r="AO18" s="550">
        <f>'04-221Master'!W27</f>
        <v>30</v>
      </c>
    </row>
    <row r="19" spans="1:41" s="425" customFormat="1" ht="22.5" customHeight="1">
      <c r="A19" s="440">
        <v>13</v>
      </c>
      <c r="B19" s="837" t="str">
        <f>'04-221Master'!B28</f>
        <v>Ajay Singh</v>
      </c>
      <c r="C19" s="349">
        <f>'04-221Master'!C28</f>
        <v>33635</v>
      </c>
      <c r="D19" s="350" t="str">
        <f>'04-221Master'!D28</f>
        <v>MALE</v>
      </c>
      <c r="E19" s="348">
        <f>'04-221Master'!N28</f>
        <v>44538</v>
      </c>
      <c r="F19" s="324" t="str">
        <f>'04-221Master'!F28</f>
        <v>Sr.Cloud Network Engineer</v>
      </c>
      <c r="G19" s="324"/>
      <c r="H19" s="326"/>
      <c r="I19" s="326"/>
      <c r="J19" s="326"/>
      <c r="K19" s="836" t="s">
        <v>381</v>
      </c>
      <c r="L19" s="836" t="s">
        <v>509</v>
      </c>
      <c r="M19" s="836" t="s">
        <v>509</v>
      </c>
      <c r="N19" s="836" t="s">
        <v>381</v>
      </c>
      <c r="O19" s="836" t="s">
        <v>381</v>
      </c>
      <c r="P19" s="836" t="s">
        <v>381</v>
      </c>
      <c r="Q19" s="836" t="s">
        <v>381</v>
      </c>
      <c r="R19" s="836" t="s">
        <v>381</v>
      </c>
      <c r="S19" s="836" t="s">
        <v>509</v>
      </c>
      <c r="T19" s="836" t="s">
        <v>509</v>
      </c>
      <c r="U19" s="836" t="s">
        <v>381</v>
      </c>
      <c r="V19" s="836" t="s">
        <v>381</v>
      </c>
      <c r="W19" s="836" t="s">
        <v>381</v>
      </c>
      <c r="X19" s="950" t="s">
        <v>559</v>
      </c>
      <c r="Y19" s="836" t="s">
        <v>849</v>
      </c>
      <c r="Z19" s="836" t="s">
        <v>509</v>
      </c>
      <c r="AA19" s="836" t="s">
        <v>509</v>
      </c>
      <c r="AB19" s="836" t="s">
        <v>381</v>
      </c>
      <c r="AC19" s="836" t="s">
        <v>381</v>
      </c>
      <c r="AD19" s="836" t="s">
        <v>381</v>
      </c>
      <c r="AE19" s="836" t="s">
        <v>381</v>
      </c>
      <c r="AF19" s="836" t="s">
        <v>381</v>
      </c>
      <c r="AG19" s="836" t="s">
        <v>509</v>
      </c>
      <c r="AH19" s="836" t="s">
        <v>509</v>
      </c>
      <c r="AI19" s="836" t="s">
        <v>381</v>
      </c>
      <c r="AJ19" s="836" t="s">
        <v>381</v>
      </c>
      <c r="AK19" s="836" t="s">
        <v>381</v>
      </c>
      <c r="AL19" s="836" t="s">
        <v>381</v>
      </c>
      <c r="AM19" s="836" t="s">
        <v>381</v>
      </c>
      <c r="AN19" s="836" t="s">
        <v>509</v>
      </c>
      <c r="AO19" s="550">
        <f>'04-221Master'!W28</f>
        <v>30</v>
      </c>
    </row>
    <row r="20" spans="1:41" s="425" customFormat="1" ht="22.5" customHeight="1">
      <c r="A20" s="440">
        <v>14</v>
      </c>
      <c r="B20" s="837" t="str">
        <f>'04-221Master'!B29</f>
        <v> Rajesh Dhumal</v>
      </c>
      <c r="C20" s="349" t="str">
        <f>'04-221Master'!C29</f>
        <v>15-03-1990</v>
      </c>
      <c r="D20" s="350" t="str">
        <f>'04-221Master'!D29</f>
        <v>MALE</v>
      </c>
      <c r="E20" s="348">
        <f>'04-221Master'!N29</f>
        <v>44579</v>
      </c>
      <c r="F20" s="324" t="str">
        <f>'04-221Master'!F29</f>
        <v>Senior network security analyst.</v>
      </c>
      <c r="G20" s="324"/>
      <c r="H20" s="326"/>
      <c r="I20" s="326"/>
      <c r="J20" s="326"/>
      <c r="K20" s="836" t="s">
        <v>381</v>
      </c>
      <c r="L20" s="836" t="s">
        <v>509</v>
      </c>
      <c r="M20" s="836" t="s">
        <v>509</v>
      </c>
      <c r="N20" s="836" t="s">
        <v>381</v>
      </c>
      <c r="O20" s="836" t="s">
        <v>381</v>
      </c>
      <c r="P20" s="836" t="s">
        <v>381</v>
      </c>
      <c r="Q20" s="836" t="s">
        <v>381</v>
      </c>
      <c r="R20" s="836" t="s">
        <v>381</v>
      </c>
      <c r="S20" s="836" t="s">
        <v>509</v>
      </c>
      <c r="T20" s="836" t="s">
        <v>509</v>
      </c>
      <c r="U20" s="836" t="s">
        <v>381</v>
      </c>
      <c r="V20" s="836" t="s">
        <v>381</v>
      </c>
      <c r="W20" s="836" t="s">
        <v>381</v>
      </c>
      <c r="X20" s="836" t="s">
        <v>381</v>
      </c>
      <c r="Y20" s="836" t="s">
        <v>849</v>
      </c>
      <c r="Z20" s="836" t="s">
        <v>509</v>
      </c>
      <c r="AA20" s="836" t="s">
        <v>509</v>
      </c>
      <c r="AB20" s="836" t="s">
        <v>381</v>
      </c>
      <c r="AC20" s="836" t="s">
        <v>381</v>
      </c>
      <c r="AD20" s="836" t="s">
        <v>381</v>
      </c>
      <c r="AE20" s="836" t="s">
        <v>381</v>
      </c>
      <c r="AF20" s="836" t="s">
        <v>381</v>
      </c>
      <c r="AG20" s="836" t="s">
        <v>509</v>
      </c>
      <c r="AH20" s="836" t="s">
        <v>509</v>
      </c>
      <c r="AI20" s="836" t="s">
        <v>381</v>
      </c>
      <c r="AJ20" s="836" t="s">
        <v>381</v>
      </c>
      <c r="AK20" s="836" t="s">
        <v>381</v>
      </c>
      <c r="AL20" s="836" t="s">
        <v>381</v>
      </c>
      <c r="AM20" s="836" t="s">
        <v>381</v>
      </c>
      <c r="AN20" s="836" t="s">
        <v>509</v>
      </c>
      <c r="AO20" s="550">
        <f>'04-221Master'!W29</f>
        <v>30</v>
      </c>
    </row>
    <row r="21" spans="1:41" s="425" customFormat="1" ht="22.5" customHeight="1">
      <c r="A21" s="440">
        <v>15</v>
      </c>
      <c r="B21" s="837" t="str">
        <f>'04-221Master'!B30</f>
        <v>Ajay Pal Singh</v>
      </c>
      <c r="C21" s="349">
        <f>'04-221Master'!C30</f>
        <v>31491</v>
      </c>
      <c r="D21" s="350" t="str">
        <f>'04-221Master'!D30</f>
        <v>MALE</v>
      </c>
      <c r="E21" s="348">
        <f>'04-221Master'!N30</f>
        <v>44601</v>
      </c>
      <c r="F21" s="324" t="str">
        <f>'04-221Master'!F30</f>
        <v>Network security consultant</v>
      </c>
      <c r="G21" s="324"/>
      <c r="H21" s="326"/>
      <c r="I21" s="326"/>
      <c r="J21" s="326"/>
      <c r="K21" s="836" t="s">
        <v>381</v>
      </c>
      <c r="L21" s="836" t="s">
        <v>509</v>
      </c>
      <c r="M21" s="836" t="s">
        <v>509</v>
      </c>
      <c r="N21" s="836" t="s">
        <v>381</v>
      </c>
      <c r="O21" s="836" t="s">
        <v>381</v>
      </c>
      <c r="P21" s="836" t="s">
        <v>381</v>
      </c>
      <c r="Q21" s="836" t="s">
        <v>381</v>
      </c>
      <c r="R21" s="836" t="s">
        <v>381</v>
      </c>
      <c r="S21" s="836" t="s">
        <v>509</v>
      </c>
      <c r="T21" s="836" t="s">
        <v>509</v>
      </c>
      <c r="U21" s="836" t="s">
        <v>381</v>
      </c>
      <c r="V21" s="836" t="s">
        <v>381</v>
      </c>
      <c r="W21" s="836" t="s">
        <v>381</v>
      </c>
      <c r="X21" s="836" t="s">
        <v>381</v>
      </c>
      <c r="Y21" s="836" t="s">
        <v>849</v>
      </c>
      <c r="Z21" s="836" t="s">
        <v>509</v>
      </c>
      <c r="AA21" s="836" t="s">
        <v>509</v>
      </c>
      <c r="AB21" s="950" t="s">
        <v>559</v>
      </c>
      <c r="AC21" s="836" t="s">
        <v>381</v>
      </c>
      <c r="AD21" s="836" t="s">
        <v>381</v>
      </c>
      <c r="AE21" s="836" t="s">
        <v>381</v>
      </c>
      <c r="AF21" s="836" t="s">
        <v>381</v>
      </c>
      <c r="AG21" s="836" t="s">
        <v>509</v>
      </c>
      <c r="AH21" s="836" t="s">
        <v>509</v>
      </c>
      <c r="AI21" s="836" t="s">
        <v>381</v>
      </c>
      <c r="AJ21" s="836" t="s">
        <v>381</v>
      </c>
      <c r="AK21" s="836" t="s">
        <v>381</v>
      </c>
      <c r="AL21" s="836" t="s">
        <v>381</v>
      </c>
      <c r="AM21" s="836" t="s">
        <v>381</v>
      </c>
      <c r="AN21" s="836" t="s">
        <v>509</v>
      </c>
      <c r="AO21" s="550">
        <f>'04-221Master'!W30</f>
        <v>30</v>
      </c>
    </row>
    <row r="22" spans="1:41" s="425" customFormat="1" ht="22.5" customHeight="1">
      <c r="A22" s="440">
        <v>16</v>
      </c>
      <c r="B22" s="837" t="str">
        <f>'04-221Master'!B31</f>
        <v>PAVANKUMAR</v>
      </c>
      <c r="C22" s="349">
        <f>'04-221Master'!C31</f>
        <v>35211</v>
      </c>
      <c r="D22" s="350" t="str">
        <f>'04-221Master'!D31</f>
        <v>MALE</v>
      </c>
      <c r="E22" s="348">
        <f>'04-221Master'!N31</f>
        <v>44602</v>
      </c>
      <c r="F22" s="324" t="str">
        <f>'04-221Master'!F31</f>
        <v>SAP Basis consultant</v>
      </c>
      <c r="G22" s="324"/>
      <c r="H22" s="326"/>
      <c r="I22" s="326"/>
      <c r="J22" s="326"/>
      <c r="K22" s="836" t="s">
        <v>381</v>
      </c>
      <c r="L22" s="836" t="s">
        <v>509</v>
      </c>
      <c r="M22" s="836" t="s">
        <v>509</v>
      </c>
      <c r="N22" s="836" t="s">
        <v>381</v>
      </c>
      <c r="O22" s="836" t="s">
        <v>381</v>
      </c>
      <c r="P22" s="836" t="s">
        <v>381</v>
      </c>
      <c r="Q22" s="836" t="s">
        <v>381</v>
      </c>
      <c r="R22" s="836" t="s">
        <v>381</v>
      </c>
      <c r="S22" s="836" t="s">
        <v>509</v>
      </c>
      <c r="T22" s="836" t="s">
        <v>509</v>
      </c>
      <c r="U22" s="836" t="s">
        <v>381</v>
      </c>
      <c r="V22" s="836" t="s">
        <v>381</v>
      </c>
      <c r="W22" s="836" t="s">
        <v>381</v>
      </c>
      <c r="X22" s="836" t="s">
        <v>381</v>
      </c>
      <c r="Y22" s="836" t="s">
        <v>849</v>
      </c>
      <c r="Z22" s="836" t="s">
        <v>509</v>
      </c>
      <c r="AA22" s="836" t="s">
        <v>509</v>
      </c>
      <c r="AB22" s="836" t="s">
        <v>381</v>
      </c>
      <c r="AC22" s="836" t="s">
        <v>381</v>
      </c>
      <c r="AD22" s="836" t="s">
        <v>381</v>
      </c>
      <c r="AE22" s="836" t="s">
        <v>381</v>
      </c>
      <c r="AF22" s="836" t="s">
        <v>381</v>
      </c>
      <c r="AG22" s="836" t="s">
        <v>509</v>
      </c>
      <c r="AH22" s="836" t="s">
        <v>509</v>
      </c>
      <c r="AI22" s="836" t="s">
        <v>381</v>
      </c>
      <c r="AJ22" s="836" t="s">
        <v>381</v>
      </c>
      <c r="AK22" s="836" t="s">
        <v>381</v>
      </c>
      <c r="AL22" s="836" t="s">
        <v>381</v>
      </c>
      <c r="AM22" s="836" t="s">
        <v>381</v>
      </c>
      <c r="AN22" s="836" t="s">
        <v>509</v>
      </c>
      <c r="AO22" s="550">
        <f>'04-221Master'!W31</f>
        <v>30</v>
      </c>
    </row>
    <row r="23" spans="1:41" s="425" customFormat="1" ht="22.5" customHeight="1">
      <c r="A23" s="948">
        <v>17</v>
      </c>
      <c r="B23" s="837" t="str">
        <f>'04-221Master'!B32</f>
        <v>Rahul Suryawanshi</v>
      </c>
      <c r="C23" s="349">
        <f>'04-221Master'!C32</f>
        <v>35236</v>
      </c>
      <c r="D23" s="350" t="str">
        <f>'04-221Master'!D32</f>
        <v>MALE</v>
      </c>
      <c r="E23" s="348">
        <f>'04-221Master'!N32</f>
        <v>44624</v>
      </c>
      <c r="F23" s="324" t="str">
        <f>'04-221Master'!F32</f>
        <v>Sr.Network security Analyst</v>
      </c>
      <c r="G23" s="324"/>
      <c r="H23" s="326"/>
      <c r="I23" s="326"/>
      <c r="J23" s="326"/>
      <c r="K23" s="836" t="s">
        <v>381</v>
      </c>
      <c r="L23" s="836" t="s">
        <v>509</v>
      </c>
      <c r="M23" s="836" t="s">
        <v>509</v>
      </c>
      <c r="N23" s="836" t="s">
        <v>381</v>
      </c>
      <c r="O23" s="836" t="s">
        <v>381</v>
      </c>
      <c r="P23" s="836" t="s">
        <v>381</v>
      </c>
      <c r="Q23" s="836" t="s">
        <v>381</v>
      </c>
      <c r="R23" s="950" t="s">
        <v>559</v>
      </c>
      <c r="S23" s="836" t="s">
        <v>509</v>
      </c>
      <c r="T23" s="836" t="s">
        <v>509</v>
      </c>
      <c r="U23" s="836" t="s">
        <v>381</v>
      </c>
      <c r="V23" s="836" t="s">
        <v>381</v>
      </c>
      <c r="W23" s="836" t="s">
        <v>381</v>
      </c>
      <c r="X23" s="836" t="s">
        <v>381</v>
      </c>
      <c r="Y23" s="836" t="s">
        <v>849</v>
      </c>
      <c r="Z23" s="836" t="s">
        <v>509</v>
      </c>
      <c r="AA23" s="836" t="s">
        <v>509</v>
      </c>
      <c r="AB23" s="836" t="s">
        <v>381</v>
      </c>
      <c r="AC23" s="836" t="s">
        <v>381</v>
      </c>
      <c r="AD23" s="836" t="s">
        <v>381</v>
      </c>
      <c r="AE23" s="836" t="s">
        <v>381</v>
      </c>
      <c r="AF23" s="836" t="s">
        <v>381</v>
      </c>
      <c r="AG23" s="836" t="s">
        <v>509</v>
      </c>
      <c r="AH23" s="836" t="s">
        <v>509</v>
      </c>
      <c r="AI23" s="836" t="s">
        <v>381</v>
      </c>
      <c r="AJ23" s="836" t="s">
        <v>381</v>
      </c>
      <c r="AK23" s="836" t="s">
        <v>381</v>
      </c>
      <c r="AL23" s="836" t="s">
        <v>381</v>
      </c>
      <c r="AM23" s="836" t="s">
        <v>381</v>
      </c>
      <c r="AN23" s="836" t="s">
        <v>509</v>
      </c>
      <c r="AO23" s="550">
        <f>'04-221Master'!W32</f>
        <v>30</v>
      </c>
    </row>
    <row r="24" spans="1:41" s="430" customFormat="1" ht="22.5" customHeight="1">
      <c r="A24" s="948">
        <v>18</v>
      </c>
      <c r="B24" s="837" t="str">
        <f>'04-221Master'!B33</f>
        <v xml:space="preserve">Shantanu Patankar </v>
      </c>
      <c r="C24" s="349">
        <f>'04-221Master'!C33</f>
        <v>32959</v>
      </c>
      <c r="D24" s="350" t="str">
        <f>'04-221Master'!D33</f>
        <v>MALE</v>
      </c>
      <c r="E24" s="348">
        <f>'04-221Master'!N33</f>
        <v>44629</v>
      </c>
      <c r="F24" s="324" t="str">
        <f>'04-221Master'!F33</f>
        <v>Network security consultant</v>
      </c>
      <c r="G24" s="324"/>
      <c r="H24" s="326"/>
      <c r="I24" s="326"/>
      <c r="J24" s="326"/>
      <c r="K24" s="836" t="s">
        <v>381</v>
      </c>
      <c r="L24" s="836" t="s">
        <v>509</v>
      </c>
      <c r="M24" s="836" t="s">
        <v>509</v>
      </c>
      <c r="N24" s="836" t="s">
        <v>381</v>
      </c>
      <c r="O24" s="836" t="s">
        <v>381</v>
      </c>
      <c r="P24" s="836" t="s">
        <v>381</v>
      </c>
      <c r="Q24" s="836" t="s">
        <v>381</v>
      </c>
      <c r="R24" s="836" t="s">
        <v>381</v>
      </c>
      <c r="S24" s="836" t="s">
        <v>509</v>
      </c>
      <c r="T24" s="836" t="s">
        <v>509</v>
      </c>
      <c r="U24" s="836" t="s">
        <v>381</v>
      </c>
      <c r="V24" s="836" t="s">
        <v>381</v>
      </c>
      <c r="W24" s="836" t="s">
        <v>381</v>
      </c>
      <c r="X24" s="836" t="s">
        <v>381</v>
      </c>
      <c r="Y24" s="836" t="s">
        <v>849</v>
      </c>
      <c r="Z24" s="836" t="s">
        <v>509</v>
      </c>
      <c r="AA24" s="836" t="s">
        <v>509</v>
      </c>
      <c r="AB24" s="836" t="s">
        <v>381</v>
      </c>
      <c r="AC24" s="836" t="s">
        <v>381</v>
      </c>
      <c r="AD24" s="836" t="s">
        <v>381</v>
      </c>
      <c r="AE24" s="836" t="s">
        <v>381</v>
      </c>
      <c r="AF24" s="836" t="s">
        <v>381</v>
      </c>
      <c r="AG24" s="836" t="s">
        <v>509</v>
      </c>
      <c r="AH24" s="836" t="s">
        <v>509</v>
      </c>
      <c r="AI24" s="836" t="s">
        <v>381</v>
      </c>
      <c r="AJ24" s="836" t="s">
        <v>381</v>
      </c>
      <c r="AK24" s="836" t="s">
        <v>381</v>
      </c>
      <c r="AL24" s="836" t="s">
        <v>381</v>
      </c>
      <c r="AM24" s="836" t="s">
        <v>381</v>
      </c>
      <c r="AN24" s="836" t="s">
        <v>509</v>
      </c>
      <c r="AO24" s="550">
        <f>'04-221Master'!W33</f>
        <v>30</v>
      </c>
    </row>
    <row r="25" spans="1:41" ht="22.5" customHeight="1">
      <c r="A25" s="948">
        <v>19</v>
      </c>
      <c r="B25" s="837" t="str">
        <f>'04-221Master'!B34</f>
        <v>Varalakshmi Vijay</v>
      </c>
      <c r="C25" s="349">
        <f>'04-221Master'!C34</f>
        <v>29711</v>
      </c>
      <c r="D25" s="350" t="str">
        <f>'04-221Master'!D34</f>
        <v>Female</v>
      </c>
      <c r="E25" s="348">
        <f>'04-221Master'!N34</f>
        <v>44641</v>
      </c>
      <c r="F25" s="324" t="str">
        <f>'04-221Master'!F34</f>
        <v>Network security consultant</v>
      </c>
      <c r="G25" s="324"/>
      <c r="H25" s="326"/>
      <c r="I25" s="326"/>
      <c r="J25" s="326"/>
      <c r="K25" s="836" t="s">
        <v>381</v>
      </c>
      <c r="L25" s="836" t="s">
        <v>509</v>
      </c>
      <c r="M25" s="836" t="s">
        <v>509</v>
      </c>
      <c r="N25" s="836" t="s">
        <v>381</v>
      </c>
      <c r="O25" s="836" t="s">
        <v>381</v>
      </c>
      <c r="P25" s="836" t="s">
        <v>381</v>
      </c>
      <c r="Q25" s="836" t="s">
        <v>381</v>
      </c>
      <c r="R25" s="836" t="s">
        <v>381</v>
      </c>
      <c r="S25" s="836" t="s">
        <v>509</v>
      </c>
      <c r="T25" s="836" t="s">
        <v>509</v>
      </c>
      <c r="U25" s="836" t="s">
        <v>381</v>
      </c>
      <c r="V25" s="836" t="s">
        <v>381</v>
      </c>
      <c r="W25" s="836" t="s">
        <v>381</v>
      </c>
      <c r="X25" s="836" t="s">
        <v>381</v>
      </c>
      <c r="Y25" s="836" t="s">
        <v>849</v>
      </c>
      <c r="Z25" s="836" t="s">
        <v>509</v>
      </c>
      <c r="AA25" s="836" t="s">
        <v>509</v>
      </c>
      <c r="AB25" s="836" t="s">
        <v>381</v>
      </c>
      <c r="AC25" s="836" t="s">
        <v>381</v>
      </c>
      <c r="AD25" s="836" t="s">
        <v>381</v>
      </c>
      <c r="AE25" s="836" t="s">
        <v>381</v>
      </c>
      <c r="AF25" s="836" t="s">
        <v>381</v>
      </c>
      <c r="AG25" s="836" t="s">
        <v>509</v>
      </c>
      <c r="AH25" s="836" t="s">
        <v>509</v>
      </c>
      <c r="AI25" s="836" t="s">
        <v>381</v>
      </c>
      <c r="AJ25" s="836" t="s">
        <v>381</v>
      </c>
      <c r="AK25" s="836" t="s">
        <v>381</v>
      </c>
      <c r="AL25" s="836" t="s">
        <v>381</v>
      </c>
      <c r="AM25" s="836" t="s">
        <v>381</v>
      </c>
      <c r="AN25" s="836" t="s">
        <v>509</v>
      </c>
      <c r="AO25" s="550">
        <f>'04-221Master'!W34</f>
        <v>30</v>
      </c>
    </row>
    <row r="26" spans="1:41" ht="22.5" customHeight="1">
      <c r="A26" s="948">
        <v>20</v>
      </c>
      <c r="B26" s="837" t="str">
        <f>'04-221Master'!B35</f>
        <v xml:space="preserve">OMPRAKASH PURI </v>
      </c>
      <c r="C26" s="349">
        <f>'04-221Master'!C35</f>
        <v>31427</v>
      </c>
      <c r="D26" s="350" t="str">
        <f>'04-221Master'!D35</f>
        <v>Male</v>
      </c>
      <c r="E26" s="348">
        <f>'04-221Master'!N35</f>
        <v>44652</v>
      </c>
      <c r="F26" s="324" t="str">
        <f>'04-221Master'!F35</f>
        <v>CONSULTANT</v>
      </c>
      <c r="G26" s="324"/>
      <c r="H26" s="326"/>
      <c r="I26" s="326"/>
      <c r="J26" s="326"/>
      <c r="K26" s="836" t="s">
        <v>381</v>
      </c>
      <c r="L26" s="836" t="s">
        <v>509</v>
      </c>
      <c r="M26" s="836" t="s">
        <v>509</v>
      </c>
      <c r="N26" s="836" t="s">
        <v>381</v>
      </c>
      <c r="O26" s="836" t="s">
        <v>381</v>
      </c>
      <c r="P26" s="836" t="s">
        <v>381</v>
      </c>
      <c r="Q26" s="836" t="s">
        <v>381</v>
      </c>
      <c r="R26" s="836" t="s">
        <v>381</v>
      </c>
      <c r="S26" s="836" t="s">
        <v>509</v>
      </c>
      <c r="T26" s="836" t="s">
        <v>509</v>
      </c>
      <c r="U26" s="836" t="s">
        <v>381</v>
      </c>
      <c r="V26" s="836" t="s">
        <v>381</v>
      </c>
      <c r="W26" s="836" t="s">
        <v>381</v>
      </c>
      <c r="X26" s="836" t="s">
        <v>381</v>
      </c>
      <c r="Y26" s="836" t="s">
        <v>849</v>
      </c>
      <c r="Z26" s="836" t="s">
        <v>509</v>
      </c>
      <c r="AA26" s="836" t="s">
        <v>509</v>
      </c>
      <c r="AB26" s="836" t="s">
        <v>381</v>
      </c>
      <c r="AC26" s="836" t="s">
        <v>381</v>
      </c>
      <c r="AD26" s="836" t="s">
        <v>381</v>
      </c>
      <c r="AE26" s="836" t="s">
        <v>381</v>
      </c>
      <c r="AF26" s="836" t="s">
        <v>381</v>
      </c>
      <c r="AG26" s="836" t="s">
        <v>509</v>
      </c>
      <c r="AH26" s="836" t="s">
        <v>509</v>
      </c>
      <c r="AI26" s="836" t="s">
        <v>381</v>
      </c>
      <c r="AJ26" s="836" t="s">
        <v>381</v>
      </c>
      <c r="AK26" s="836" t="s">
        <v>381</v>
      </c>
      <c r="AL26" s="836" t="s">
        <v>381</v>
      </c>
      <c r="AM26" s="836" t="s">
        <v>381</v>
      </c>
      <c r="AN26" s="836" t="s">
        <v>509</v>
      </c>
      <c r="AO26" s="550">
        <f>'04-221Master'!W35</f>
        <v>30</v>
      </c>
    </row>
    <row r="27" spans="1:41" ht="18">
      <c r="A27" s="948">
        <v>21</v>
      </c>
      <c r="B27" s="837" t="str">
        <f>'04-221Master'!B36</f>
        <v xml:space="preserve">DiptiRanjan Dikhit </v>
      </c>
      <c r="C27" s="349">
        <f>'04-221Master'!C36</f>
        <v>31991</v>
      </c>
      <c r="D27" s="350" t="str">
        <f>'04-221Master'!D36</f>
        <v>Female</v>
      </c>
      <c r="E27" s="348">
        <f>'04-221Master'!N36</f>
        <v>44655</v>
      </c>
      <c r="F27" s="324" t="str">
        <f>'04-221Master'!F36</f>
        <v>Network  Security Engineer</v>
      </c>
      <c r="G27" s="324"/>
      <c r="H27" s="326"/>
      <c r="I27" s="326"/>
      <c r="J27" s="326"/>
      <c r="K27" s="949"/>
      <c r="L27" s="949"/>
      <c r="M27" s="949"/>
      <c r="N27" s="836" t="s">
        <v>381</v>
      </c>
      <c r="O27" s="836" t="s">
        <v>381</v>
      </c>
      <c r="P27" s="836" t="s">
        <v>381</v>
      </c>
      <c r="Q27" s="836" t="s">
        <v>381</v>
      </c>
      <c r="R27" s="836" t="s">
        <v>381</v>
      </c>
      <c r="S27" s="836" t="s">
        <v>509</v>
      </c>
      <c r="T27" s="836" t="s">
        <v>509</v>
      </c>
      <c r="U27" s="836" t="s">
        <v>381</v>
      </c>
      <c r="V27" s="836" t="s">
        <v>381</v>
      </c>
      <c r="W27" s="836" t="s">
        <v>381</v>
      </c>
      <c r="X27" s="836" t="s">
        <v>381</v>
      </c>
      <c r="Y27" s="836" t="s">
        <v>849</v>
      </c>
      <c r="Z27" s="836" t="s">
        <v>509</v>
      </c>
      <c r="AA27" s="836" t="s">
        <v>509</v>
      </c>
      <c r="AB27" s="836" t="s">
        <v>381</v>
      </c>
      <c r="AC27" s="836" t="s">
        <v>381</v>
      </c>
      <c r="AD27" s="836" t="s">
        <v>381</v>
      </c>
      <c r="AE27" s="836" t="s">
        <v>381</v>
      </c>
      <c r="AF27" s="836" t="s">
        <v>381</v>
      </c>
      <c r="AG27" s="836" t="s">
        <v>509</v>
      </c>
      <c r="AH27" s="836" t="s">
        <v>509</v>
      </c>
      <c r="AI27" s="836" t="s">
        <v>381</v>
      </c>
      <c r="AJ27" s="836" t="s">
        <v>381</v>
      </c>
      <c r="AK27" s="836" t="s">
        <v>381</v>
      </c>
      <c r="AL27" s="836" t="s">
        <v>381</v>
      </c>
      <c r="AM27" s="836" t="s">
        <v>381</v>
      </c>
      <c r="AN27" s="836" t="s">
        <v>509</v>
      </c>
      <c r="AO27" s="550">
        <f>'04-221Master'!W36</f>
        <v>27</v>
      </c>
    </row>
    <row r="28" spans="1:41" ht="18">
      <c r="A28" s="874"/>
      <c r="B28" s="676"/>
      <c r="C28" s="677"/>
      <c r="D28" s="564"/>
      <c r="E28" s="565"/>
      <c r="F28" s="566"/>
      <c r="G28" s="566"/>
      <c r="H28" s="835"/>
      <c r="I28" s="835"/>
      <c r="J28" s="835"/>
      <c r="K28" s="875"/>
      <c r="L28" s="875"/>
      <c r="M28" s="875"/>
      <c r="N28" s="875"/>
      <c r="O28" s="876"/>
      <c r="P28" s="876"/>
      <c r="Q28" s="875"/>
      <c r="R28" s="875"/>
      <c r="S28" s="875"/>
      <c r="T28" s="875"/>
      <c r="U28" s="875"/>
      <c r="V28" s="875"/>
      <c r="W28" s="875"/>
      <c r="X28" s="875"/>
      <c r="Y28" s="875"/>
      <c r="Z28" s="875"/>
      <c r="AA28" s="875"/>
      <c r="AB28" s="875"/>
      <c r="AC28" s="875"/>
      <c r="AD28" s="875"/>
      <c r="AE28" s="875"/>
      <c r="AF28" s="875"/>
      <c r="AG28" s="875"/>
      <c r="AH28" s="875"/>
      <c r="AI28" s="875"/>
      <c r="AJ28" s="875"/>
      <c r="AK28" s="875"/>
      <c r="AL28" s="875"/>
      <c r="AM28" s="875"/>
      <c r="AN28" s="875"/>
      <c r="AO28" s="877">
        <f>SUM(AO7:AO27)</f>
        <v>619</v>
      </c>
    </row>
    <row r="29" spans="1:41" ht="18">
      <c r="A29" s="874"/>
      <c r="B29" s="676"/>
      <c r="C29" s="677"/>
      <c r="D29" s="564"/>
      <c r="E29" s="565"/>
      <c r="F29" s="566"/>
      <c r="G29" s="566"/>
      <c r="H29" s="835"/>
      <c r="I29" s="835"/>
      <c r="J29" s="835"/>
      <c r="K29" s="875"/>
      <c r="L29" s="875"/>
      <c r="M29" s="875"/>
      <c r="N29" s="875"/>
      <c r="O29" s="876"/>
      <c r="P29" s="876"/>
      <c r="Q29" s="875"/>
      <c r="R29" s="875"/>
      <c r="S29" s="875"/>
      <c r="T29" s="875"/>
      <c r="U29" s="875"/>
      <c r="V29" s="875"/>
      <c r="W29" s="875"/>
      <c r="X29" s="875"/>
      <c r="Y29" s="875"/>
      <c r="Z29" s="875"/>
      <c r="AA29" s="875"/>
      <c r="AB29" s="875"/>
      <c r="AC29" s="875"/>
      <c r="AD29" s="875"/>
      <c r="AE29" s="875"/>
      <c r="AF29" s="875"/>
      <c r="AG29" s="875"/>
      <c r="AH29" s="875"/>
      <c r="AI29" s="875"/>
      <c r="AJ29" s="875"/>
      <c r="AK29" s="875"/>
      <c r="AL29" s="875"/>
      <c r="AM29" s="875"/>
      <c r="AN29" s="875"/>
      <c r="AO29" s="877"/>
    </row>
    <row r="30" spans="1:41" ht="18">
      <c r="A30" s="874"/>
      <c r="B30" s="676"/>
      <c r="C30" s="677"/>
      <c r="D30" s="564"/>
      <c r="E30" s="565"/>
      <c r="F30" s="566"/>
      <c r="G30" s="566"/>
      <c r="H30" s="835"/>
      <c r="I30" s="835"/>
      <c r="J30" s="835"/>
      <c r="K30" s="875"/>
      <c r="L30" s="875"/>
      <c r="M30" s="875"/>
      <c r="N30" s="875"/>
      <c r="O30" s="876"/>
      <c r="P30" s="876"/>
      <c r="Q30" s="875"/>
      <c r="R30" s="875"/>
      <c r="S30" s="875"/>
      <c r="T30" s="875"/>
      <c r="U30" s="875"/>
      <c r="V30" s="875"/>
      <c r="W30" s="875"/>
      <c r="X30" s="875"/>
      <c r="Y30" s="875"/>
      <c r="Z30" s="875"/>
      <c r="AA30" s="875"/>
      <c r="AB30" s="875"/>
      <c r="AC30" s="875"/>
      <c r="AD30" s="875"/>
      <c r="AE30" s="875"/>
      <c r="AF30" s="875"/>
      <c r="AG30" s="875"/>
      <c r="AH30" s="875"/>
      <c r="AI30" s="875"/>
      <c r="AJ30" s="875"/>
      <c r="AK30" s="875"/>
      <c r="AL30" s="875"/>
      <c r="AM30" s="875"/>
      <c r="AN30" s="875"/>
      <c r="AO30" s="877"/>
    </row>
    <row r="31" spans="1:41" ht="18">
      <c r="A31" s="874"/>
      <c r="B31" s="676"/>
      <c r="C31" s="677"/>
      <c r="D31" s="564"/>
      <c r="E31" s="565"/>
      <c r="F31" s="566"/>
      <c r="G31" s="566"/>
      <c r="H31" s="835"/>
      <c r="I31" s="835"/>
      <c r="J31" s="835"/>
      <c r="K31" s="875"/>
      <c r="L31" s="875"/>
      <c r="M31" s="875"/>
      <c r="N31" s="875"/>
      <c r="O31" s="876"/>
      <c r="P31" s="876"/>
      <c r="Q31" s="875"/>
      <c r="R31" s="875"/>
      <c r="S31" s="875"/>
      <c r="T31" s="875"/>
      <c r="U31" s="875"/>
      <c r="V31" s="875"/>
      <c r="W31" s="875"/>
      <c r="X31" s="875"/>
      <c r="Y31" s="875"/>
      <c r="Z31" s="875"/>
      <c r="AA31" s="875"/>
      <c r="AB31" s="875"/>
      <c r="AC31" s="875"/>
      <c r="AD31" s="875"/>
      <c r="AE31" s="875"/>
      <c r="AF31" s="875"/>
      <c r="AG31" s="875"/>
      <c r="AH31" s="875"/>
      <c r="AI31" s="875"/>
      <c r="AJ31" s="875"/>
      <c r="AK31" s="875"/>
      <c r="AL31" s="875"/>
      <c r="AM31" s="875"/>
      <c r="AN31" s="875"/>
      <c r="AO31" s="877"/>
    </row>
    <row r="32" spans="1:41" ht="15.75">
      <c r="A32" s="441"/>
      <c r="B32" s="536"/>
      <c r="C32" s="430"/>
      <c r="D32" s="430"/>
      <c r="E32" s="430"/>
      <c r="F32" s="430"/>
      <c r="G32" s="430"/>
      <c r="H32" s="430"/>
      <c r="I32" s="430"/>
      <c r="J32" s="430"/>
      <c r="K32" s="430"/>
      <c r="L32" s="430"/>
      <c r="M32" s="430"/>
      <c r="N32" s="430"/>
      <c r="O32" s="430"/>
      <c r="P32" s="430"/>
      <c r="Q32" s="430"/>
      <c r="R32" s="430"/>
      <c r="S32" s="430"/>
      <c r="T32" s="430"/>
      <c r="U32" s="430"/>
      <c r="V32" s="430"/>
      <c r="W32" s="430"/>
      <c r="X32" s="430"/>
      <c r="Y32" s="430"/>
      <c r="Z32" s="430"/>
      <c r="AA32" s="430"/>
      <c r="AB32" s="430"/>
      <c r="AC32" s="607"/>
      <c r="AD32" s="607"/>
      <c r="AE32" s="607"/>
      <c r="AF32" s="607"/>
      <c r="AG32" s="607"/>
      <c r="AH32" s="607"/>
      <c r="AI32" s="607"/>
      <c r="AJ32" s="607"/>
      <c r="AK32" s="430"/>
      <c r="AL32" s="430"/>
      <c r="AM32" s="430"/>
      <c r="AN32" s="430"/>
      <c r="AO32" s="442"/>
    </row>
    <row r="33" spans="1:41" ht="15.75">
      <c r="A33" s="441"/>
      <c r="B33" s="536"/>
      <c r="C33" s="430"/>
      <c r="D33" s="430"/>
      <c r="E33" s="430"/>
      <c r="F33" s="430"/>
      <c r="G33" s="430"/>
      <c r="H33" s="430"/>
      <c r="I33" s="430"/>
      <c r="J33" s="430"/>
      <c r="K33" s="430"/>
      <c r="L33" s="430"/>
      <c r="M33" s="430"/>
      <c r="N33" s="430"/>
      <c r="O33" s="430"/>
      <c r="P33" s="430"/>
      <c r="Q33" s="430"/>
      <c r="R33" s="430"/>
      <c r="S33" s="430"/>
      <c r="T33" s="430"/>
      <c r="U33" s="430"/>
      <c r="V33" s="430"/>
      <c r="W33" s="430"/>
      <c r="X33" s="430"/>
      <c r="Y33" s="430"/>
      <c r="Z33" s="430"/>
      <c r="AA33" s="430"/>
      <c r="AB33" s="430"/>
      <c r="AC33" s="607"/>
      <c r="AD33" s="607"/>
      <c r="AE33" s="607"/>
      <c r="AF33" s="607"/>
      <c r="AG33" s="607"/>
      <c r="AH33" s="607"/>
      <c r="AI33" s="607"/>
      <c r="AJ33" s="607"/>
      <c r="AK33" s="430"/>
      <c r="AL33" s="430"/>
      <c r="AM33" s="430"/>
      <c r="AN33" s="430"/>
      <c r="AO33" s="442"/>
    </row>
    <row r="34" spans="1:41" ht="15.75">
      <c r="A34" s="441"/>
      <c r="B34" s="536"/>
      <c r="C34" s="430"/>
      <c r="D34" s="430"/>
      <c r="E34" s="430"/>
      <c r="F34" s="430"/>
      <c r="G34" s="430"/>
      <c r="H34" s="430"/>
      <c r="I34" s="430"/>
      <c r="J34" s="430"/>
      <c r="K34" s="430"/>
      <c r="L34" s="430"/>
      <c r="M34" s="430"/>
      <c r="N34" s="430"/>
      <c r="O34" s="430"/>
      <c r="P34" s="430"/>
      <c r="Q34" s="430"/>
      <c r="R34" s="430"/>
      <c r="S34" s="430"/>
      <c r="T34" s="430"/>
      <c r="U34" s="430"/>
      <c r="V34" s="430"/>
      <c r="W34" s="430"/>
      <c r="X34" s="430"/>
      <c r="Y34" s="430"/>
      <c r="Z34" s="430"/>
      <c r="AA34" s="430"/>
      <c r="AB34" s="430"/>
      <c r="AC34" s="525"/>
      <c r="AD34" s="525"/>
      <c r="AE34" s="525"/>
      <c r="AF34" s="525"/>
      <c r="AG34" s="525"/>
      <c r="AH34" s="525"/>
      <c r="AI34" s="525"/>
      <c r="AJ34" s="525"/>
      <c r="AK34" s="430"/>
      <c r="AL34" s="430"/>
      <c r="AM34" s="430"/>
      <c r="AN34" s="430"/>
      <c r="AO34" s="442"/>
    </row>
    <row r="35" spans="1:41" ht="15.75">
      <c r="A35" s="441"/>
      <c r="B35" s="536"/>
      <c r="C35" s="430"/>
      <c r="D35" s="430"/>
      <c r="E35" s="430"/>
      <c r="F35" s="430"/>
      <c r="G35" s="430"/>
      <c r="H35" s="430"/>
      <c r="I35" s="430"/>
      <c r="J35" s="430"/>
      <c r="K35" s="430"/>
      <c r="L35" s="430"/>
      <c r="M35" s="430"/>
      <c r="N35" s="430"/>
      <c r="O35" s="430"/>
      <c r="P35" s="430"/>
      <c r="Q35" s="430"/>
      <c r="R35" s="430"/>
      <c r="S35" s="430"/>
      <c r="T35" s="430"/>
      <c r="U35" s="430"/>
      <c r="V35" s="430"/>
      <c r="W35" s="430"/>
      <c r="X35" s="430"/>
      <c r="Y35" s="430"/>
      <c r="Z35" s="430"/>
      <c r="AA35" s="430"/>
      <c r="AB35" s="430"/>
      <c r="AC35" s="607"/>
      <c r="AD35" s="607"/>
      <c r="AE35" s="607"/>
      <c r="AF35" s="607"/>
      <c r="AG35" s="607"/>
      <c r="AH35" s="607"/>
      <c r="AI35" s="607"/>
      <c r="AJ35" s="607"/>
      <c r="AK35" s="430"/>
      <c r="AL35" s="430"/>
      <c r="AM35" s="430"/>
      <c r="AN35" s="430"/>
      <c r="AO35" s="442"/>
    </row>
    <row r="36" spans="1:41" ht="18.600000000000001" customHeight="1" thickBot="1">
      <c r="A36" s="443"/>
      <c r="B36" s="678"/>
      <c r="C36" s="444"/>
      <c r="D36" s="444"/>
      <c r="E36" s="444"/>
      <c r="F36" s="444"/>
      <c r="G36" s="444"/>
      <c r="H36" s="444"/>
      <c r="I36" s="444"/>
      <c r="J36" s="444"/>
      <c r="K36" s="444"/>
      <c r="L36" s="444"/>
      <c r="M36" s="444"/>
      <c r="N36" s="444"/>
      <c r="O36" s="444"/>
      <c r="P36" s="444"/>
      <c r="Q36" s="444"/>
      <c r="R36" s="444"/>
      <c r="S36" s="444"/>
      <c r="T36" s="444"/>
      <c r="U36" s="444"/>
      <c r="V36" s="444"/>
      <c r="W36" s="444"/>
      <c r="X36" s="444"/>
      <c r="Y36" s="444"/>
      <c r="Z36" s="444"/>
      <c r="AA36" s="444"/>
      <c r="AB36" s="444"/>
      <c r="AC36" s="444"/>
      <c r="AD36" s="1089" t="s">
        <v>38</v>
      </c>
      <c r="AE36" s="1089"/>
      <c r="AF36" s="1089"/>
      <c r="AG36" s="1089"/>
      <c r="AH36" s="1089"/>
      <c r="AI36" s="1089"/>
      <c r="AJ36" s="1089"/>
      <c r="AK36" s="1089"/>
      <c r="AL36" s="444"/>
      <c r="AM36" s="444"/>
      <c r="AN36" s="444"/>
      <c r="AO36" s="445"/>
    </row>
    <row r="41" spans="1:41" ht="18.75">
      <c r="C41" s="872"/>
      <c r="D41" s="873"/>
      <c r="E41" s="873"/>
      <c r="F41" s="873"/>
    </row>
    <row r="42" spans="1:41" ht="18.75">
      <c r="C42" s="872"/>
      <c r="D42" s="873"/>
      <c r="E42" s="873"/>
      <c r="F42" s="873"/>
    </row>
    <row r="43" spans="1:41" ht="18.75">
      <c r="C43" s="873"/>
      <c r="D43" s="873"/>
      <c r="E43" s="873"/>
      <c r="F43" s="873"/>
    </row>
    <row r="47" spans="1:41" ht="18.75">
      <c r="C47" s="872"/>
      <c r="D47" s="873"/>
      <c r="E47" s="873"/>
      <c r="F47" s="873"/>
    </row>
  </sheetData>
  <mergeCells count="8">
    <mergeCell ref="AD36:AK36"/>
    <mergeCell ref="A1:AO1"/>
    <mergeCell ref="A2:AO2"/>
    <mergeCell ref="A3:AO3"/>
    <mergeCell ref="G5:H5"/>
    <mergeCell ref="I5:J5"/>
    <mergeCell ref="K5:AL5"/>
    <mergeCell ref="A4:AO4"/>
  </mergeCells>
  <phoneticPr fontId="65" type="noConversion"/>
  <pageMargins left="0.70866141732283472" right="0.70866141732283472" top="0.74803149606299213" bottom="0.74803149606299213" header="0.31496062992125984" footer="0.31496062992125984"/>
  <pageSetup paperSize="9" scale="85" orientation="landscape"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1223"/>
  <sheetViews>
    <sheetView topLeftCell="A1126" zoomScale="90" zoomScaleNormal="90" workbookViewId="0">
      <selection activeCell="A11" sqref="A11:A12"/>
    </sheetView>
  </sheetViews>
  <sheetFormatPr defaultRowHeight="15"/>
  <cols>
    <col min="3" max="3" width="11.28515625" bestFit="1" customWidth="1"/>
    <col min="4" max="4" width="29.42578125" customWidth="1"/>
    <col min="5" max="5" width="20.85546875" customWidth="1"/>
    <col min="7" max="7" width="11.140625" customWidth="1"/>
    <col min="14" max="14" width="24" customWidth="1"/>
  </cols>
  <sheetData>
    <row r="1" spans="1:14">
      <c r="A1" s="1105" t="s">
        <v>448</v>
      </c>
      <c r="B1" s="1106"/>
      <c r="C1" s="1106"/>
      <c r="D1" s="1106"/>
      <c r="E1" s="1106"/>
      <c r="F1" s="1106"/>
      <c r="G1" s="1106"/>
      <c r="H1" s="1106"/>
      <c r="I1" s="1106"/>
      <c r="J1" s="1106"/>
      <c r="K1" s="1106"/>
      <c r="L1" s="1106"/>
      <c r="M1" s="1106"/>
      <c r="N1" s="1106"/>
    </row>
    <row r="2" spans="1:14" ht="15.75" thickBot="1">
      <c r="A2" s="1107"/>
      <c r="B2" s="1108"/>
      <c r="C2" s="1108"/>
      <c r="D2" s="1108"/>
      <c r="E2" s="1108"/>
      <c r="F2" s="1108"/>
      <c r="G2" s="1108"/>
      <c r="H2" s="1108"/>
      <c r="I2" s="1108"/>
      <c r="J2" s="1108"/>
      <c r="K2" s="1108"/>
      <c r="L2" s="1108"/>
      <c r="M2" s="1108"/>
      <c r="N2" s="1108"/>
    </row>
    <row r="3" spans="1:14" ht="15.75" thickBot="1">
      <c r="A3" s="1109" t="s">
        <v>449</v>
      </c>
      <c r="B3" s="1110"/>
      <c r="C3" s="1110"/>
      <c r="D3" s="1110"/>
      <c r="E3" s="1110"/>
      <c r="F3" s="1110"/>
      <c r="G3" s="1110"/>
      <c r="H3" s="1110"/>
      <c r="I3" s="1110"/>
      <c r="J3" s="1110"/>
      <c r="K3" s="1110"/>
      <c r="L3" s="1110"/>
      <c r="M3" s="1110"/>
      <c r="N3" s="1110"/>
    </row>
    <row r="4" spans="1:14">
      <c r="A4" s="351" t="s">
        <v>479</v>
      </c>
      <c r="B4" s="308"/>
      <c r="C4" s="308"/>
      <c r="D4" s="309"/>
      <c r="E4" s="1111" t="s">
        <v>480</v>
      </c>
      <c r="F4" s="1112"/>
      <c r="G4" s="1112"/>
      <c r="H4" s="352"/>
      <c r="I4" s="352"/>
      <c r="J4" s="352"/>
      <c r="K4" s="352"/>
      <c r="L4" s="352"/>
      <c r="M4" s="352"/>
      <c r="N4" s="352"/>
    </row>
    <row r="5" spans="1:14">
      <c r="A5" s="353"/>
      <c r="B5" s="310" t="str">
        <f>'04-221Master'!F5</f>
        <v>Burgeon IT Services Pvt.Ltd.</v>
      </c>
      <c r="C5" s="310"/>
      <c r="D5" s="311"/>
      <c r="E5" s="354"/>
      <c r="F5" s="355"/>
      <c r="G5" s="1113" t="str">
        <f>'04-221Master'!B16</f>
        <v>Venegella Kanaka durga</v>
      </c>
      <c r="H5" s="1113"/>
      <c r="I5" s="1113"/>
      <c r="J5" s="355"/>
      <c r="K5" s="355"/>
      <c r="L5" s="355"/>
      <c r="M5" s="355"/>
      <c r="N5" s="355"/>
    </row>
    <row r="6" spans="1:14" ht="15.75" thickBot="1">
      <c r="A6" s="312"/>
      <c r="B6" s="313" t="str">
        <f>'04-221Master'!F6</f>
        <v>Siri Mansion LIGB 436 Dr.A S Rao Nagar,Hyderabad</v>
      </c>
      <c r="C6" s="313"/>
      <c r="D6" s="314"/>
      <c r="E6" s="354"/>
      <c r="F6" s="355"/>
      <c r="G6" s="355"/>
      <c r="H6" s="355"/>
      <c r="I6" s="355"/>
      <c r="J6" s="355"/>
      <c r="K6" s="355"/>
      <c r="L6" s="355"/>
      <c r="M6" s="355"/>
      <c r="N6" s="355"/>
    </row>
    <row r="7" spans="1:14">
      <c r="A7" s="315" t="s">
        <v>481</v>
      </c>
      <c r="B7" s="308"/>
      <c r="C7" s="308"/>
      <c r="D7" s="309"/>
      <c r="E7" s="315" t="s">
        <v>450</v>
      </c>
      <c r="F7" s="308"/>
      <c r="G7" s="356">
        <f>'04-221Master'!N16</f>
        <v>44021</v>
      </c>
      <c r="H7" s="308"/>
      <c r="I7" s="308"/>
      <c r="J7" s="308"/>
      <c r="K7" s="308"/>
      <c r="L7" s="308"/>
      <c r="M7" s="308"/>
      <c r="N7" s="308"/>
    </row>
    <row r="8" spans="1:14">
      <c r="A8" s="353"/>
      <c r="B8" s="310"/>
      <c r="C8" s="310" t="str">
        <f>'04-221Master'!F8</f>
        <v>IT SUPPORTIVE SERVICES&amp; Pune SEZ Unit-1</v>
      </c>
      <c r="D8" s="311"/>
      <c r="E8" s="316"/>
      <c r="F8" s="310"/>
      <c r="G8" s="310"/>
      <c r="H8" s="310"/>
      <c r="I8" s="310"/>
      <c r="J8" s="310"/>
      <c r="K8" s="310"/>
      <c r="L8" s="310"/>
      <c r="M8" s="310"/>
      <c r="N8" s="310"/>
    </row>
    <row r="9" spans="1:14">
      <c r="A9" s="353"/>
      <c r="B9" s="310"/>
      <c r="C9" s="310"/>
      <c r="D9" s="311"/>
      <c r="E9" s="357"/>
      <c r="F9" s="310"/>
      <c r="G9" s="310"/>
      <c r="H9" s="310"/>
      <c r="I9" s="310"/>
      <c r="J9" s="310"/>
      <c r="K9" s="310"/>
      <c r="L9" s="310"/>
      <c r="M9" s="310"/>
      <c r="N9" s="310"/>
    </row>
    <row r="10" spans="1:14" ht="15.75" thickBot="1">
      <c r="A10" s="390"/>
      <c r="B10" s="318"/>
      <c r="C10" s="318"/>
      <c r="D10" s="358"/>
      <c r="E10" s="312"/>
      <c r="F10" s="313"/>
      <c r="G10" s="313"/>
      <c r="H10" s="313"/>
      <c r="I10" s="313"/>
      <c r="J10" s="313"/>
      <c r="K10" s="313"/>
      <c r="L10" s="313"/>
      <c r="M10" s="313"/>
      <c r="N10" s="313"/>
    </row>
    <row r="11" spans="1:14">
      <c r="A11" s="1114" t="s">
        <v>5</v>
      </c>
      <c r="B11" s="1116" t="s">
        <v>451</v>
      </c>
      <c r="C11" s="1117"/>
      <c r="D11" s="1116" t="s">
        <v>452</v>
      </c>
      <c r="E11" s="1119"/>
      <c r="F11" s="1122" t="s">
        <v>453</v>
      </c>
      <c r="G11" s="1118" t="s">
        <v>454</v>
      </c>
      <c r="H11" s="1124"/>
      <c r="I11" s="1125" t="s">
        <v>455</v>
      </c>
      <c r="J11" s="1124"/>
      <c r="K11" s="1126"/>
      <c r="L11" s="1125" t="s">
        <v>456</v>
      </c>
      <c r="M11" s="1124"/>
      <c r="N11" s="1124"/>
    </row>
    <row r="12" spans="1:14" ht="15.75" thickBot="1">
      <c r="A12" s="1115"/>
      <c r="B12" s="1118"/>
      <c r="C12" s="1119"/>
      <c r="D12" s="1118"/>
      <c r="E12" s="1119"/>
      <c r="F12" s="1123"/>
      <c r="G12" s="1118"/>
      <c r="H12" s="1124"/>
      <c r="I12" s="1127"/>
      <c r="J12" s="1128"/>
      <c r="K12" s="1129"/>
      <c r="L12" s="1127"/>
      <c r="M12" s="1128"/>
      <c r="N12" s="1128"/>
    </row>
    <row r="13" spans="1:14">
      <c r="A13" s="391">
        <v>1</v>
      </c>
      <c r="B13" s="1120"/>
      <c r="C13" s="1121"/>
      <c r="D13" s="1120"/>
      <c r="E13" s="1121"/>
      <c r="F13" s="322">
        <v>6</v>
      </c>
      <c r="G13" s="1120"/>
      <c r="H13" s="1121"/>
      <c r="I13" s="359">
        <v>9</v>
      </c>
      <c r="J13" s="359"/>
      <c r="K13" s="359"/>
      <c r="L13" s="359">
        <v>9</v>
      </c>
      <c r="M13" s="359"/>
      <c r="N13" s="359"/>
    </row>
    <row r="14" spans="1:14" ht="38.25">
      <c r="A14" s="392"/>
      <c r="B14" s="346" t="s">
        <v>457</v>
      </c>
      <c r="C14" s="346" t="s">
        <v>458</v>
      </c>
      <c r="D14" s="346" t="s">
        <v>459</v>
      </c>
      <c r="E14" s="346" t="s">
        <v>133</v>
      </c>
      <c r="F14" s="346"/>
      <c r="G14" s="346" t="s">
        <v>460</v>
      </c>
      <c r="H14" s="346" t="s">
        <v>461</v>
      </c>
      <c r="I14" s="346" t="s">
        <v>462</v>
      </c>
      <c r="J14" s="346" t="s">
        <v>463</v>
      </c>
      <c r="K14" s="346" t="s">
        <v>464</v>
      </c>
      <c r="L14" s="346" t="s">
        <v>465</v>
      </c>
      <c r="M14" s="346" t="s">
        <v>466</v>
      </c>
      <c r="N14" s="360" t="s">
        <v>467</v>
      </c>
    </row>
    <row r="15" spans="1:14">
      <c r="A15" s="392"/>
      <c r="B15" s="361"/>
      <c r="C15" s="346"/>
      <c r="D15" s="346"/>
      <c r="E15" s="346"/>
      <c r="F15" s="346"/>
      <c r="G15" s="346"/>
      <c r="H15" s="346"/>
      <c r="I15" s="346"/>
      <c r="J15" s="346"/>
      <c r="K15" s="346"/>
      <c r="L15" s="346"/>
      <c r="M15" s="346"/>
      <c r="N15" s="346"/>
    </row>
    <row r="16" spans="1:14">
      <c r="A16" s="393"/>
      <c r="B16" s="346"/>
      <c r="C16" s="346"/>
      <c r="D16" s="362"/>
      <c r="E16" s="362"/>
      <c r="F16" s="346"/>
      <c r="G16" s="346"/>
      <c r="H16" s="346"/>
      <c r="I16" s="346"/>
      <c r="J16" s="346"/>
      <c r="K16" s="346"/>
      <c r="L16" s="346"/>
      <c r="M16" s="346"/>
      <c r="N16" s="346"/>
    </row>
    <row r="17" spans="1:15">
      <c r="A17" s="393" t="s">
        <v>785</v>
      </c>
      <c r="B17" s="346">
        <v>1.5</v>
      </c>
      <c r="C17" s="346">
        <v>1</v>
      </c>
      <c r="D17" s="362">
        <v>44575</v>
      </c>
      <c r="E17" s="362">
        <v>44575</v>
      </c>
      <c r="F17" s="346">
        <v>18.5</v>
      </c>
      <c r="G17" s="346"/>
      <c r="H17" s="346"/>
      <c r="I17" s="346" t="s">
        <v>489</v>
      </c>
      <c r="J17" s="346" t="s">
        <v>489</v>
      </c>
      <c r="K17" s="346" t="s">
        <v>489</v>
      </c>
      <c r="L17" s="346"/>
      <c r="M17" s="346"/>
      <c r="N17" s="346"/>
    </row>
    <row r="18" spans="1:15" s="388" customFormat="1">
      <c r="A18" s="393" t="s">
        <v>795</v>
      </c>
      <c r="B18" s="346">
        <v>1.5</v>
      </c>
      <c r="C18" s="346">
        <v>1</v>
      </c>
      <c r="D18" s="362">
        <v>44603</v>
      </c>
      <c r="E18" s="362">
        <v>44603</v>
      </c>
      <c r="F18" s="346">
        <f>F17+B18-C18</f>
        <v>19</v>
      </c>
      <c r="G18" s="346"/>
      <c r="H18" s="346"/>
      <c r="I18" s="346" t="s">
        <v>489</v>
      </c>
      <c r="J18" s="346" t="s">
        <v>489</v>
      </c>
      <c r="K18" s="346" t="s">
        <v>489</v>
      </c>
      <c r="L18" s="346"/>
      <c r="M18" s="346"/>
      <c r="N18" s="346"/>
    </row>
    <row r="19" spans="1:15">
      <c r="A19" s="393" t="s">
        <v>822</v>
      </c>
      <c r="B19" s="346">
        <v>1.5</v>
      </c>
      <c r="C19" s="346">
        <v>0</v>
      </c>
      <c r="D19" s="346">
        <v>0</v>
      </c>
      <c r="E19" s="346">
        <v>0</v>
      </c>
      <c r="F19" s="346">
        <f>F18+B19-C19</f>
        <v>20.5</v>
      </c>
      <c r="G19" s="346"/>
      <c r="H19" s="346"/>
      <c r="I19" s="346" t="s">
        <v>489</v>
      </c>
      <c r="J19" s="346" t="s">
        <v>489</v>
      </c>
      <c r="K19" s="346" t="s">
        <v>489</v>
      </c>
      <c r="L19" s="346"/>
      <c r="M19" s="346"/>
      <c r="N19" s="346"/>
    </row>
    <row r="20" spans="1:15">
      <c r="A20" s="393" t="s">
        <v>846</v>
      </c>
      <c r="B20" s="346">
        <v>1.5</v>
      </c>
      <c r="C20" s="346">
        <v>1</v>
      </c>
      <c r="D20" s="362">
        <v>44662</v>
      </c>
      <c r="E20" s="362">
        <v>44662</v>
      </c>
      <c r="F20" s="346">
        <f>F19+B20-C20</f>
        <v>21</v>
      </c>
      <c r="G20" s="346"/>
      <c r="H20" s="346"/>
      <c r="I20" s="346" t="s">
        <v>489</v>
      </c>
      <c r="J20" s="346" t="s">
        <v>489</v>
      </c>
      <c r="K20" s="346" t="s">
        <v>489</v>
      </c>
      <c r="L20" s="346"/>
      <c r="M20" s="346"/>
      <c r="N20" s="346"/>
      <c r="O20">
        <v>1</v>
      </c>
    </row>
    <row r="21" spans="1:15">
      <c r="A21" s="393"/>
      <c r="B21" s="346"/>
      <c r="C21" s="346"/>
      <c r="D21" s="437"/>
      <c r="E21" s="437"/>
      <c r="F21" s="346"/>
      <c r="G21" s="346"/>
      <c r="H21" s="346"/>
      <c r="I21" s="346"/>
      <c r="J21" s="346"/>
      <c r="K21" s="346"/>
      <c r="L21" s="346"/>
      <c r="M21" s="346"/>
      <c r="N21" s="346"/>
    </row>
    <row r="22" spans="1:15">
      <c r="A22" s="393"/>
      <c r="B22" s="346"/>
      <c r="C22" s="346"/>
      <c r="D22" s="438"/>
      <c r="E22" s="446"/>
      <c r="F22" s="346"/>
      <c r="G22" s="346"/>
      <c r="H22" s="346"/>
      <c r="I22" s="346"/>
      <c r="J22" s="346"/>
      <c r="K22" s="346"/>
      <c r="L22" s="346"/>
      <c r="M22" s="346"/>
      <c r="N22" s="346"/>
    </row>
    <row r="23" spans="1:15">
      <c r="A23" s="393"/>
      <c r="B23" s="346"/>
      <c r="C23" s="346"/>
      <c r="D23" s="446"/>
      <c r="E23" s="446"/>
      <c r="F23" s="346"/>
      <c r="G23" s="346"/>
      <c r="H23" s="346"/>
      <c r="I23" s="346"/>
      <c r="J23" s="346"/>
      <c r="K23" s="346"/>
      <c r="L23" s="346"/>
      <c r="M23" s="346"/>
      <c r="N23" s="346"/>
    </row>
    <row r="24" spans="1:15">
      <c r="A24" s="393"/>
      <c r="B24" s="346"/>
      <c r="C24" s="346"/>
      <c r="D24" s="436"/>
      <c r="E24" s="436"/>
      <c r="F24" s="346"/>
      <c r="G24" s="346"/>
      <c r="H24" s="346"/>
      <c r="I24" s="346"/>
      <c r="J24" s="346"/>
      <c r="K24" s="434"/>
      <c r="L24" s="346"/>
      <c r="M24" s="346"/>
      <c r="N24" s="346"/>
    </row>
    <row r="25" spans="1:15">
      <c r="A25" s="394"/>
      <c r="B25" s="346"/>
      <c r="C25" s="346"/>
      <c r="D25" s="362"/>
      <c r="E25" s="362"/>
      <c r="F25" s="346"/>
      <c r="G25" s="346"/>
      <c r="H25" s="346"/>
      <c r="I25" s="346"/>
      <c r="J25" s="346"/>
      <c r="K25" s="434"/>
      <c r="L25" s="346"/>
      <c r="M25" s="346"/>
      <c r="N25" s="346"/>
    </row>
    <row r="26" spans="1:15">
      <c r="A26" s="394"/>
      <c r="B26" s="346"/>
      <c r="C26" s="346"/>
      <c r="D26" s="436"/>
      <c r="E26" s="436"/>
      <c r="F26" s="346"/>
      <c r="G26" s="346"/>
      <c r="H26" s="346"/>
      <c r="I26" s="346"/>
      <c r="J26" s="346"/>
      <c r="K26" s="346"/>
      <c r="L26" s="346"/>
      <c r="M26" s="346"/>
      <c r="N26" s="346"/>
    </row>
    <row r="27" spans="1:15">
      <c r="A27" s="394"/>
      <c r="B27" s="346"/>
      <c r="C27" s="346"/>
      <c r="D27" s="490"/>
      <c r="E27" s="490"/>
      <c r="F27" s="346"/>
      <c r="G27" s="346"/>
      <c r="H27" s="346"/>
      <c r="I27" s="346"/>
      <c r="J27" s="346"/>
      <c r="K27" s="346"/>
      <c r="L27" s="346"/>
      <c r="M27" s="346"/>
      <c r="N27" s="346"/>
    </row>
    <row r="28" spans="1:15">
      <c r="A28" s="361"/>
      <c r="B28" s="346"/>
      <c r="C28" s="346"/>
      <c r="D28" s="436"/>
      <c r="E28" s="436"/>
      <c r="F28" s="346"/>
      <c r="G28" s="346"/>
      <c r="H28" s="346"/>
      <c r="I28" s="346"/>
      <c r="J28" s="346"/>
      <c r="K28" s="346"/>
      <c r="L28" s="346"/>
      <c r="M28" s="346"/>
      <c r="N28" s="346"/>
    </row>
    <row r="29" spans="1:15">
      <c r="A29" s="361"/>
      <c r="B29" s="346"/>
      <c r="C29" s="346"/>
      <c r="D29" s="436"/>
      <c r="E29" s="436"/>
      <c r="F29" s="346"/>
      <c r="G29" s="346"/>
      <c r="H29" s="346"/>
      <c r="I29" s="346"/>
      <c r="J29" s="346"/>
      <c r="K29" s="346"/>
      <c r="L29" s="346"/>
      <c r="M29" s="346"/>
      <c r="N29" s="346"/>
    </row>
    <row r="30" spans="1:15">
      <c r="A30" s="361"/>
      <c r="B30" s="346"/>
      <c r="C30" s="346"/>
      <c r="D30" s="436"/>
      <c r="E30" s="436"/>
      <c r="F30" s="346"/>
      <c r="G30" s="346"/>
      <c r="H30" s="346"/>
      <c r="I30" s="346"/>
      <c r="J30" s="346"/>
      <c r="K30" s="346"/>
      <c r="L30" s="346"/>
      <c r="M30" s="346"/>
      <c r="N30" s="346"/>
    </row>
    <row r="31" spans="1:15">
      <c r="A31" s="361"/>
      <c r="B31" s="346"/>
      <c r="C31" s="346"/>
      <c r="D31" s="436"/>
      <c r="E31" s="436"/>
      <c r="F31" s="346"/>
      <c r="G31" s="346"/>
      <c r="H31" s="346"/>
      <c r="I31" s="346"/>
      <c r="J31" s="346"/>
      <c r="K31" s="346"/>
      <c r="L31" s="346"/>
      <c r="M31" s="346"/>
      <c r="N31" s="346"/>
    </row>
    <row r="32" spans="1:15">
      <c r="A32" s="361"/>
      <c r="B32" s="346"/>
      <c r="C32" s="346"/>
      <c r="D32" s="436"/>
      <c r="E32" s="436"/>
      <c r="F32" s="346"/>
      <c r="G32" s="346"/>
      <c r="H32" s="346"/>
      <c r="I32" s="346"/>
      <c r="J32" s="346"/>
      <c r="K32" s="346"/>
      <c r="L32" s="346"/>
      <c r="M32" s="346"/>
      <c r="N32" s="346"/>
    </row>
    <row r="33" spans="1:14">
      <c r="A33" s="428"/>
      <c r="B33" s="409"/>
      <c r="C33" s="409"/>
      <c r="D33" s="602"/>
      <c r="E33" s="602"/>
      <c r="F33" s="409"/>
      <c r="G33" s="409"/>
      <c r="H33" s="409"/>
      <c r="I33" s="409"/>
      <c r="J33" s="409"/>
      <c r="K33" s="409"/>
      <c r="L33" s="409"/>
      <c r="M33" s="346"/>
      <c r="N33" s="346"/>
    </row>
    <row r="34" spans="1:14">
      <c r="A34" s="428"/>
      <c r="B34" s="409"/>
      <c r="C34" s="409"/>
      <c r="D34" s="602"/>
      <c r="E34" s="602"/>
      <c r="F34" s="409"/>
      <c r="G34" s="409"/>
      <c r="H34" s="409"/>
      <c r="I34" s="409"/>
      <c r="J34" s="409"/>
      <c r="K34" s="409"/>
      <c r="L34" s="346"/>
      <c r="M34" s="346"/>
      <c r="N34" s="346"/>
    </row>
    <row r="35" spans="1:14">
      <c r="A35" s="392"/>
      <c r="B35" s="346"/>
      <c r="C35" s="346"/>
      <c r="D35" s="362"/>
      <c r="E35" s="362"/>
      <c r="F35" s="409"/>
      <c r="G35" s="346"/>
      <c r="H35" s="346"/>
      <c r="I35" s="409"/>
      <c r="J35" s="409"/>
      <c r="K35" s="409"/>
      <c r="L35" s="346"/>
      <c r="M35" s="346"/>
      <c r="N35" s="346"/>
    </row>
    <row r="36" spans="1:14">
      <c r="A36" s="392"/>
      <c r="B36" s="346"/>
      <c r="C36" s="346"/>
      <c r="D36" s="346"/>
      <c r="E36" s="346"/>
      <c r="F36" s="346"/>
      <c r="G36" s="346"/>
      <c r="H36" s="346"/>
      <c r="I36" s="346"/>
      <c r="J36" s="346"/>
      <c r="K36" s="346"/>
      <c r="L36" s="346"/>
      <c r="M36" s="346"/>
      <c r="N36" s="346"/>
    </row>
    <row r="37" spans="1:14">
      <c r="A37" s="392"/>
      <c r="B37" s="346"/>
      <c r="C37" s="346"/>
      <c r="D37" s="346"/>
      <c r="E37" s="346"/>
      <c r="F37" s="346"/>
      <c r="G37" s="346"/>
      <c r="H37" s="346"/>
      <c r="I37" s="346"/>
      <c r="J37" s="346"/>
      <c r="K37" s="346"/>
      <c r="L37" s="346"/>
      <c r="M37" s="346"/>
      <c r="N37" s="346"/>
    </row>
    <row r="38" spans="1:14">
      <c r="A38" s="392"/>
      <c r="B38" s="346"/>
      <c r="C38" s="346"/>
      <c r="D38" s="346"/>
      <c r="E38" s="346"/>
      <c r="F38" s="346"/>
      <c r="G38" s="346"/>
      <c r="H38" s="346"/>
      <c r="I38" s="346"/>
      <c r="J38" s="346"/>
      <c r="K38" s="346"/>
      <c r="L38" s="346"/>
      <c r="M38" s="346"/>
      <c r="N38" s="346"/>
    </row>
    <row r="39" spans="1:14">
      <c r="A39" s="392"/>
      <c r="B39" s="346"/>
      <c r="C39" s="346"/>
      <c r="D39" s="346"/>
      <c r="E39" s="346"/>
      <c r="F39" s="346"/>
      <c r="G39" s="346"/>
      <c r="H39" s="346"/>
      <c r="I39" s="346"/>
      <c r="J39" s="346"/>
      <c r="K39" s="346"/>
      <c r="L39" s="346"/>
      <c r="M39" s="346"/>
      <c r="N39" s="346"/>
    </row>
    <row r="40" spans="1:14">
      <c r="A40" s="392"/>
      <c r="B40" s="346"/>
      <c r="C40" s="346"/>
      <c r="D40" s="346"/>
      <c r="E40" s="346"/>
      <c r="F40" s="346"/>
      <c r="G40" s="346"/>
      <c r="H40" s="346"/>
      <c r="I40" s="346"/>
      <c r="J40" s="346"/>
      <c r="K40" s="346"/>
      <c r="L40" s="346"/>
      <c r="M40" s="346"/>
      <c r="N40" s="346"/>
    </row>
    <row r="41" spans="1:14">
      <c r="A41" s="396"/>
      <c r="B41" s="395"/>
      <c r="C41" s="395"/>
      <c r="D41" s="395"/>
      <c r="E41" s="395"/>
      <c r="F41" s="395"/>
      <c r="G41" s="395"/>
      <c r="H41" s="395"/>
      <c r="I41" s="395"/>
      <c r="J41" s="395"/>
      <c r="K41" s="395"/>
      <c r="L41" s="395"/>
      <c r="M41" s="395"/>
      <c r="N41" s="395"/>
    </row>
    <row r="42" spans="1:14">
      <c r="A42" s="396"/>
      <c r="B42" s="395"/>
      <c r="C42" s="395"/>
      <c r="D42" s="395"/>
      <c r="E42" s="395"/>
      <c r="F42" s="395"/>
      <c r="G42" s="395"/>
      <c r="H42" s="395"/>
      <c r="I42" s="395"/>
      <c r="J42" s="395"/>
      <c r="K42" s="395"/>
      <c r="L42" s="395"/>
      <c r="M42" s="395"/>
      <c r="N42" s="395"/>
    </row>
    <row r="43" spans="1:14">
      <c r="A43" s="396"/>
      <c r="B43" s="395"/>
      <c r="C43" s="395"/>
      <c r="D43" s="395"/>
      <c r="E43" s="395"/>
      <c r="F43" s="395"/>
      <c r="G43" s="395"/>
      <c r="H43" s="395"/>
      <c r="I43" s="395"/>
      <c r="J43" s="395"/>
      <c r="K43" s="395"/>
      <c r="L43" s="395"/>
      <c r="M43" s="395"/>
      <c r="N43" s="395"/>
    </row>
    <row r="44" spans="1:14" ht="15.75" thickBot="1">
      <c r="A44" s="397"/>
      <c r="B44" s="398"/>
      <c r="C44" s="398"/>
      <c r="D44" s="398"/>
      <c r="E44" s="398"/>
      <c r="F44" s="398"/>
      <c r="G44" s="1104" t="s">
        <v>38</v>
      </c>
      <c r="H44" s="1104"/>
      <c r="I44" s="1104"/>
      <c r="J44" s="1104"/>
      <c r="K44" s="1104"/>
      <c r="L44" s="1104"/>
      <c r="M44" s="1104"/>
      <c r="N44" s="1104"/>
    </row>
    <row r="61" spans="1:14" ht="15.75" thickBot="1"/>
    <row r="62" spans="1:14">
      <c r="A62" s="1105" t="s">
        <v>448</v>
      </c>
      <c r="B62" s="1106"/>
      <c r="C62" s="1106"/>
      <c r="D62" s="1106"/>
      <c r="E62" s="1106"/>
      <c r="F62" s="1106"/>
      <c r="G62" s="1106"/>
      <c r="H62" s="1106"/>
      <c r="I62" s="1106"/>
      <c r="J62" s="1106"/>
      <c r="K62" s="1106"/>
      <c r="L62" s="1106"/>
      <c r="M62" s="1106"/>
      <c r="N62" s="1106"/>
    </row>
    <row r="63" spans="1:14" ht="15.75" thickBot="1">
      <c r="A63" s="1107"/>
      <c r="B63" s="1108"/>
      <c r="C63" s="1108"/>
      <c r="D63" s="1108"/>
      <c r="E63" s="1108"/>
      <c r="F63" s="1108"/>
      <c r="G63" s="1108"/>
      <c r="H63" s="1108"/>
      <c r="I63" s="1108"/>
      <c r="J63" s="1108"/>
      <c r="K63" s="1108"/>
      <c r="L63" s="1108"/>
      <c r="M63" s="1108"/>
      <c r="N63" s="1108"/>
    </row>
    <row r="64" spans="1:14" ht="15.75" thickBot="1">
      <c r="A64" s="1109" t="s">
        <v>449</v>
      </c>
      <c r="B64" s="1110"/>
      <c r="C64" s="1110"/>
      <c r="D64" s="1110"/>
      <c r="E64" s="1110"/>
      <c r="F64" s="1110"/>
      <c r="G64" s="1110"/>
      <c r="H64" s="1110"/>
      <c r="I64" s="1110"/>
      <c r="J64" s="1110"/>
      <c r="K64" s="1110"/>
      <c r="L64" s="1110"/>
      <c r="M64" s="1110"/>
      <c r="N64" s="1110"/>
    </row>
    <row r="65" spans="1:14">
      <c r="A65" s="351" t="s">
        <v>479</v>
      </c>
      <c r="B65" s="308"/>
      <c r="C65" s="308"/>
      <c r="D65" s="309"/>
      <c r="E65" s="1111" t="s">
        <v>480</v>
      </c>
      <c r="F65" s="1112"/>
      <c r="G65" s="1112"/>
      <c r="H65" s="352"/>
      <c r="I65" s="352"/>
      <c r="J65" s="352"/>
      <c r="K65" s="352"/>
      <c r="L65" s="352"/>
      <c r="M65" s="352"/>
      <c r="N65" s="352"/>
    </row>
    <row r="66" spans="1:14">
      <c r="A66" s="353"/>
      <c r="B66" s="310" t="str">
        <f>'04-221Master'!F5</f>
        <v>Burgeon IT Services Pvt.Ltd.</v>
      </c>
      <c r="C66" s="310"/>
      <c r="D66" s="311"/>
      <c r="E66" s="354"/>
      <c r="F66" s="355"/>
      <c r="G66" s="1113" t="str">
        <f>'04-221Master'!B17</f>
        <v>Moeenahmed Shakilahmed Shaikh</v>
      </c>
      <c r="H66" s="1113"/>
      <c r="I66" s="1113"/>
      <c r="J66" s="355"/>
      <c r="K66" s="355"/>
      <c r="L66" s="355"/>
      <c r="M66" s="355"/>
      <c r="N66" s="355"/>
    </row>
    <row r="67" spans="1:14" ht="15.75" thickBot="1">
      <c r="A67" s="312"/>
      <c r="B67" s="313" t="str">
        <f>'04-221Master'!F6</f>
        <v>Siri Mansion LIGB 436 Dr.A S Rao Nagar,Hyderabad</v>
      </c>
      <c r="C67" s="313"/>
      <c r="D67" s="314"/>
      <c r="E67" s="354"/>
      <c r="F67" s="355"/>
      <c r="G67" s="355"/>
      <c r="H67" s="355"/>
      <c r="I67" s="355"/>
      <c r="J67" s="355"/>
      <c r="K67" s="355"/>
      <c r="L67" s="355"/>
      <c r="M67" s="355"/>
      <c r="N67" s="355"/>
    </row>
    <row r="68" spans="1:14">
      <c r="A68" s="315" t="s">
        <v>481</v>
      </c>
      <c r="B68" s="308"/>
      <c r="C68" s="308"/>
      <c r="D68" s="309"/>
      <c r="E68" s="315" t="s">
        <v>450</v>
      </c>
      <c r="F68" s="308"/>
      <c r="G68" s="356">
        <f>'04-221Master'!N17</f>
        <v>44041</v>
      </c>
      <c r="H68" s="308"/>
      <c r="I68" s="308"/>
      <c r="J68" s="308"/>
      <c r="K68" s="308"/>
      <c r="L68" s="308"/>
      <c r="M68" s="308"/>
      <c r="N68" s="308"/>
    </row>
    <row r="69" spans="1:14">
      <c r="A69" s="353"/>
      <c r="B69" s="310"/>
      <c r="C69" s="310" t="str">
        <f>'04-221Master'!F8</f>
        <v>IT SUPPORTIVE SERVICES&amp; Pune SEZ Unit-1</v>
      </c>
      <c r="D69" s="311"/>
      <c r="E69" s="316"/>
      <c r="F69" s="310"/>
      <c r="G69" s="310"/>
      <c r="H69" s="310"/>
      <c r="I69" s="310"/>
      <c r="J69" s="310"/>
      <c r="K69" s="310"/>
      <c r="L69" s="310"/>
      <c r="M69" s="310"/>
      <c r="N69" s="310"/>
    </row>
    <row r="70" spans="1:14">
      <c r="A70" s="353"/>
      <c r="B70" s="310"/>
      <c r="C70" s="310"/>
      <c r="D70" s="311"/>
      <c r="E70" s="357"/>
      <c r="F70" s="310"/>
      <c r="G70" s="310"/>
      <c r="H70" s="310"/>
      <c r="I70" s="310"/>
      <c r="J70" s="310"/>
      <c r="K70" s="310"/>
      <c r="L70" s="310"/>
      <c r="M70" s="310"/>
      <c r="N70" s="310"/>
    </row>
    <row r="71" spans="1:14" ht="15.75" thickBot="1">
      <c r="A71" s="390"/>
      <c r="B71" s="318"/>
      <c r="C71" s="318"/>
      <c r="D71" s="358"/>
      <c r="E71" s="312"/>
      <c r="F71" s="313"/>
      <c r="G71" s="313"/>
      <c r="H71" s="313"/>
      <c r="I71" s="313"/>
      <c r="J71" s="313"/>
      <c r="K71" s="313"/>
      <c r="L71" s="313"/>
      <c r="M71" s="313"/>
      <c r="N71" s="313"/>
    </row>
    <row r="72" spans="1:14">
      <c r="A72" s="1114" t="s">
        <v>5</v>
      </c>
      <c r="B72" s="1116" t="s">
        <v>451</v>
      </c>
      <c r="C72" s="1117"/>
      <c r="D72" s="1116" t="s">
        <v>452</v>
      </c>
      <c r="E72" s="1119"/>
      <c r="F72" s="1122" t="s">
        <v>453</v>
      </c>
      <c r="G72" s="1118" t="s">
        <v>454</v>
      </c>
      <c r="H72" s="1124"/>
      <c r="I72" s="1125" t="s">
        <v>455</v>
      </c>
      <c r="J72" s="1124"/>
      <c r="K72" s="1126"/>
      <c r="L72" s="1125" t="s">
        <v>456</v>
      </c>
      <c r="M72" s="1124"/>
      <c r="N72" s="1124"/>
    </row>
    <row r="73" spans="1:14" ht="15.75" thickBot="1">
      <c r="A73" s="1115"/>
      <c r="B73" s="1118"/>
      <c r="C73" s="1119"/>
      <c r="D73" s="1118"/>
      <c r="E73" s="1119"/>
      <c r="F73" s="1123"/>
      <c r="G73" s="1118"/>
      <c r="H73" s="1124"/>
      <c r="I73" s="1127"/>
      <c r="J73" s="1128"/>
      <c r="K73" s="1129"/>
      <c r="L73" s="1127"/>
      <c r="M73" s="1128"/>
      <c r="N73" s="1128"/>
    </row>
    <row r="74" spans="1:14">
      <c r="A74" s="391">
        <v>1</v>
      </c>
      <c r="B74" s="1120"/>
      <c r="C74" s="1121"/>
      <c r="D74" s="1120"/>
      <c r="E74" s="1121"/>
      <c r="F74" s="322">
        <v>6</v>
      </c>
      <c r="G74" s="1120"/>
      <c r="H74" s="1121"/>
      <c r="I74" s="359">
        <v>9</v>
      </c>
      <c r="J74" s="359"/>
      <c r="K74" s="359"/>
      <c r="L74" s="359">
        <v>9</v>
      </c>
      <c r="M74" s="359"/>
      <c r="N74" s="359"/>
    </row>
    <row r="75" spans="1:14" ht="38.25">
      <c r="A75" s="392"/>
      <c r="B75" s="346" t="s">
        <v>457</v>
      </c>
      <c r="C75" s="346" t="s">
        <v>458</v>
      </c>
      <c r="D75" s="346" t="s">
        <v>459</v>
      </c>
      <c r="E75" s="346" t="s">
        <v>133</v>
      </c>
      <c r="F75" s="346"/>
      <c r="G75" s="346" t="s">
        <v>460</v>
      </c>
      <c r="H75" s="346" t="s">
        <v>461</v>
      </c>
      <c r="I75" s="346" t="s">
        <v>462</v>
      </c>
      <c r="J75" s="346" t="s">
        <v>463</v>
      </c>
      <c r="K75" s="346" t="s">
        <v>464</v>
      </c>
      <c r="L75" s="346" t="s">
        <v>465</v>
      </c>
      <c r="M75" s="346" t="s">
        <v>466</v>
      </c>
      <c r="N75" s="360" t="s">
        <v>467</v>
      </c>
    </row>
    <row r="76" spans="1:14">
      <c r="A76" s="392"/>
      <c r="B76" s="361"/>
      <c r="C76" s="346"/>
      <c r="D76" s="346"/>
      <c r="E76" s="346"/>
      <c r="F76" s="346"/>
      <c r="G76" s="346"/>
      <c r="H76" s="346"/>
      <c r="I76" s="346"/>
      <c r="J76" s="346"/>
      <c r="K76" s="346"/>
      <c r="L76" s="346"/>
      <c r="M76" s="346"/>
      <c r="N76" s="346"/>
    </row>
    <row r="77" spans="1:14">
      <c r="A77" s="393"/>
      <c r="B77" s="346"/>
      <c r="C77" s="346"/>
      <c r="D77" s="362"/>
      <c r="E77" s="362"/>
      <c r="F77" s="346"/>
      <c r="G77" s="346"/>
      <c r="H77" s="346"/>
      <c r="I77" s="346"/>
      <c r="J77" s="346"/>
      <c r="K77" s="346"/>
      <c r="L77" s="346"/>
      <c r="M77" s="346"/>
      <c r="N77" s="346"/>
    </row>
    <row r="78" spans="1:14">
      <c r="A78" s="393" t="s">
        <v>785</v>
      </c>
      <c r="B78" s="346">
        <v>1.5</v>
      </c>
      <c r="C78" s="346"/>
      <c r="D78" s="346"/>
      <c r="E78" s="346"/>
      <c r="F78" s="346">
        <v>24</v>
      </c>
      <c r="G78" s="346"/>
      <c r="H78" s="346"/>
      <c r="I78" s="346" t="s">
        <v>489</v>
      </c>
      <c r="J78" s="346" t="s">
        <v>489</v>
      </c>
      <c r="K78" s="346" t="s">
        <v>489</v>
      </c>
      <c r="L78" s="346"/>
      <c r="M78" s="346"/>
      <c r="N78" s="346"/>
    </row>
    <row r="79" spans="1:14" s="388" customFormat="1">
      <c r="A79" s="393" t="s">
        <v>795</v>
      </c>
      <c r="B79" s="346">
        <v>1.5</v>
      </c>
      <c r="C79" s="346">
        <v>0</v>
      </c>
      <c r="D79" s="346">
        <v>0</v>
      </c>
      <c r="E79" s="346">
        <v>0</v>
      </c>
      <c r="F79" s="346">
        <f>F78+B79-C79</f>
        <v>25.5</v>
      </c>
      <c r="G79" s="346"/>
      <c r="H79" s="346"/>
      <c r="I79" s="346" t="s">
        <v>489</v>
      </c>
      <c r="J79" s="346" t="s">
        <v>489</v>
      </c>
      <c r="K79" s="346" t="s">
        <v>489</v>
      </c>
      <c r="L79" s="346"/>
      <c r="M79" s="346"/>
      <c r="N79" s="346"/>
    </row>
    <row r="80" spans="1:14" s="388" customFormat="1">
      <c r="A80" s="393" t="s">
        <v>822</v>
      </c>
      <c r="B80" s="346">
        <v>1.5</v>
      </c>
      <c r="C80" s="346">
        <v>1</v>
      </c>
      <c r="D80" s="362">
        <v>44627</v>
      </c>
      <c r="E80" s="362">
        <v>44627</v>
      </c>
      <c r="F80" s="346">
        <f>F79+B80-C80</f>
        <v>26</v>
      </c>
      <c r="G80" s="346"/>
      <c r="H80" s="346"/>
      <c r="I80" s="346" t="s">
        <v>489</v>
      </c>
      <c r="J80" s="346" t="s">
        <v>489</v>
      </c>
      <c r="K80" s="346" t="s">
        <v>489</v>
      </c>
      <c r="L80" s="346"/>
      <c r="M80" s="346"/>
      <c r="N80" s="346"/>
    </row>
    <row r="81" spans="1:15" s="388" customFormat="1">
      <c r="A81" s="393" t="s">
        <v>846</v>
      </c>
      <c r="B81" s="346">
        <v>1.5</v>
      </c>
      <c r="C81" s="346">
        <v>0</v>
      </c>
      <c r="D81" s="346">
        <v>0</v>
      </c>
      <c r="E81" s="346">
        <v>0</v>
      </c>
      <c r="F81" s="346">
        <f>F80+B81-C81</f>
        <v>27.5</v>
      </c>
      <c r="G81" s="346"/>
      <c r="H81" s="346"/>
      <c r="I81" s="346" t="s">
        <v>489</v>
      </c>
      <c r="J81" s="346" t="s">
        <v>489</v>
      </c>
      <c r="K81" s="346" t="s">
        <v>489</v>
      </c>
      <c r="L81" s="346"/>
      <c r="M81" s="346"/>
      <c r="N81" s="346"/>
      <c r="O81" s="388">
        <v>2</v>
      </c>
    </row>
    <row r="82" spans="1:15">
      <c r="A82" s="393"/>
      <c r="B82" s="346"/>
      <c r="C82" s="346"/>
      <c r="D82" s="437"/>
      <c r="E82" s="437"/>
      <c r="F82" s="346"/>
      <c r="G82" s="346"/>
      <c r="H82" s="346"/>
      <c r="I82" s="346"/>
      <c r="J82" s="346"/>
      <c r="K82" s="346"/>
      <c r="L82" s="346"/>
      <c r="M82" s="346"/>
      <c r="N82" s="346"/>
    </row>
    <row r="83" spans="1:15">
      <c r="A83" s="393"/>
      <c r="B83" s="346"/>
      <c r="C83" s="346"/>
      <c r="D83" s="438"/>
      <c r="E83" s="438"/>
      <c r="F83" s="346"/>
      <c r="G83" s="346"/>
      <c r="H83" s="346"/>
      <c r="I83" s="346"/>
      <c r="J83" s="346"/>
      <c r="K83" s="346"/>
      <c r="L83" s="346"/>
      <c r="M83" s="346"/>
      <c r="N83" s="346"/>
    </row>
    <row r="84" spans="1:15">
      <c r="A84" s="393"/>
      <c r="B84" s="346"/>
      <c r="C84" s="346"/>
      <c r="D84" s="446"/>
      <c r="E84" s="446"/>
      <c r="F84" s="346"/>
      <c r="G84" s="346"/>
      <c r="H84" s="346"/>
      <c r="I84" s="346"/>
      <c r="J84" s="346"/>
      <c r="K84" s="346"/>
      <c r="L84" s="346"/>
      <c r="M84" s="346"/>
      <c r="N84" s="346"/>
    </row>
    <row r="85" spans="1:15">
      <c r="A85" s="393"/>
      <c r="B85" s="346"/>
      <c r="C85" s="346"/>
      <c r="D85" s="436"/>
      <c r="E85" s="436"/>
      <c r="F85" s="346"/>
      <c r="G85" s="346"/>
      <c r="H85" s="346"/>
      <c r="I85" s="346"/>
      <c r="J85" s="346"/>
      <c r="K85" s="434"/>
      <c r="L85" s="346"/>
      <c r="M85" s="346"/>
      <c r="N85" s="346"/>
    </row>
    <row r="86" spans="1:15">
      <c r="A86" s="393"/>
      <c r="B86" s="346"/>
      <c r="C86" s="346"/>
      <c r="D86" s="447"/>
      <c r="E86" s="447"/>
      <c r="F86" s="346"/>
      <c r="G86" s="346"/>
      <c r="H86" s="346"/>
      <c r="I86" s="346"/>
      <c r="J86" s="346"/>
      <c r="K86" s="346"/>
      <c r="L86" s="346"/>
      <c r="M86" s="346"/>
      <c r="N86" s="346"/>
    </row>
    <row r="87" spans="1:15">
      <c r="A87" s="551"/>
      <c r="B87" s="346"/>
      <c r="C87" s="346"/>
      <c r="D87" s="449"/>
      <c r="E87" s="449"/>
      <c r="F87" s="346"/>
      <c r="G87" s="346"/>
      <c r="H87" s="346"/>
      <c r="I87" s="346"/>
      <c r="J87" s="346"/>
      <c r="K87" s="346"/>
      <c r="L87" s="346"/>
      <c r="M87" s="346"/>
      <c r="N87" s="346"/>
    </row>
    <row r="88" spans="1:15">
      <c r="A88" s="551"/>
      <c r="B88" s="346"/>
      <c r="C88" s="346"/>
      <c r="D88" s="490"/>
      <c r="E88" s="490"/>
      <c r="F88" s="346"/>
      <c r="G88" s="346"/>
      <c r="H88" s="346"/>
      <c r="I88" s="346"/>
      <c r="J88" s="346"/>
      <c r="K88" s="346"/>
      <c r="L88" s="346"/>
      <c r="M88" s="346"/>
      <c r="N88" s="346"/>
    </row>
    <row r="89" spans="1:15">
      <c r="A89" s="551"/>
      <c r="B89" s="346"/>
      <c r="C89" s="346"/>
      <c r="D89" s="491"/>
      <c r="E89" s="491"/>
      <c r="F89" s="346"/>
      <c r="G89" s="346"/>
      <c r="H89" s="346"/>
      <c r="I89" s="346"/>
      <c r="J89" s="346"/>
      <c r="K89" s="346"/>
      <c r="L89" s="346"/>
      <c r="M89" s="346"/>
      <c r="N89" s="346"/>
    </row>
    <row r="90" spans="1:15">
      <c r="A90" s="551"/>
      <c r="B90" s="346"/>
      <c r="C90" s="346"/>
      <c r="D90" s="499"/>
      <c r="E90" s="499"/>
      <c r="F90" s="346"/>
      <c r="G90" s="346"/>
      <c r="H90" s="346"/>
      <c r="I90" s="346"/>
      <c r="J90" s="346"/>
      <c r="K90" s="346"/>
      <c r="L90" s="346"/>
      <c r="M90" s="346"/>
      <c r="N90" s="346"/>
    </row>
    <row r="91" spans="1:15">
      <c r="A91" s="361"/>
      <c r="B91" s="346"/>
      <c r="C91" s="346"/>
      <c r="D91" s="436"/>
      <c r="E91" s="436"/>
      <c r="F91" s="346"/>
      <c r="G91" s="346"/>
      <c r="H91" s="346"/>
      <c r="I91" s="346"/>
      <c r="J91" s="346"/>
      <c r="K91" s="346"/>
      <c r="L91" s="346"/>
      <c r="M91" s="346"/>
      <c r="N91" s="346"/>
    </row>
    <row r="92" spans="1:15">
      <c r="A92" s="361"/>
      <c r="B92" s="346"/>
      <c r="C92" s="346"/>
      <c r="D92" s="436"/>
      <c r="E92" s="436"/>
      <c r="F92" s="346"/>
      <c r="G92" s="346"/>
      <c r="H92" s="346"/>
      <c r="I92" s="346"/>
      <c r="J92" s="346"/>
      <c r="K92" s="346"/>
      <c r="L92" s="346"/>
      <c r="M92" s="346"/>
      <c r="N92" s="346"/>
    </row>
    <row r="93" spans="1:15" s="388" customFormat="1">
      <c r="A93" s="361"/>
      <c r="B93" s="346"/>
      <c r="C93" s="346"/>
      <c r="D93" s="436"/>
      <c r="E93" s="436"/>
      <c r="F93" s="346"/>
      <c r="G93" s="346"/>
      <c r="H93" s="346"/>
      <c r="I93" s="346"/>
      <c r="J93" s="346"/>
      <c r="K93" s="346"/>
      <c r="L93" s="346"/>
      <c r="M93" s="346"/>
      <c r="N93" s="346"/>
    </row>
    <row r="94" spans="1:15">
      <c r="A94" s="428"/>
      <c r="B94" s="409"/>
      <c r="C94" s="409"/>
      <c r="D94" s="602"/>
      <c r="E94" s="602"/>
      <c r="F94" s="409"/>
      <c r="G94" s="409"/>
      <c r="H94" s="409"/>
      <c r="I94" s="409"/>
      <c r="J94" s="409"/>
      <c r="K94" s="409"/>
      <c r="L94" s="346"/>
      <c r="M94" s="346"/>
      <c r="N94" s="346"/>
    </row>
    <row r="95" spans="1:15" s="388" customFormat="1">
      <c r="A95" s="428"/>
      <c r="B95" s="409"/>
      <c r="C95" s="409"/>
      <c r="D95" s="602"/>
      <c r="E95" s="602"/>
      <c r="F95" s="409"/>
      <c r="G95" s="409"/>
      <c r="H95" s="409"/>
      <c r="I95" s="409"/>
      <c r="J95" s="409"/>
      <c r="K95" s="409"/>
      <c r="L95" s="346"/>
      <c r="M95" s="346"/>
      <c r="N95" s="346"/>
    </row>
    <row r="96" spans="1:15" s="388" customFormat="1">
      <c r="A96" s="710"/>
      <c r="B96" s="346"/>
      <c r="C96" s="346"/>
      <c r="D96" s="346"/>
      <c r="E96" s="346"/>
      <c r="F96" s="409"/>
      <c r="G96" s="346"/>
      <c r="H96" s="346"/>
      <c r="I96" s="409"/>
      <c r="J96" s="409"/>
      <c r="K96" s="409"/>
      <c r="L96" s="346"/>
      <c r="M96" s="346"/>
      <c r="N96" s="346"/>
    </row>
    <row r="97" spans="1:14">
      <c r="A97" s="392"/>
      <c r="B97" s="346"/>
      <c r="C97" s="346"/>
      <c r="D97" s="346"/>
      <c r="E97" s="346"/>
      <c r="F97" s="346"/>
      <c r="G97" s="346"/>
      <c r="H97" s="346"/>
      <c r="I97" s="346"/>
      <c r="J97" s="346"/>
      <c r="K97" s="346"/>
      <c r="L97" s="346"/>
      <c r="M97" s="346"/>
      <c r="N97" s="346"/>
    </row>
    <row r="98" spans="1:14">
      <c r="A98" s="392"/>
      <c r="B98" s="346"/>
      <c r="C98" s="346"/>
      <c r="D98" s="346"/>
      <c r="E98" s="346"/>
      <c r="F98" s="346"/>
      <c r="G98" s="346"/>
      <c r="H98" s="346"/>
      <c r="I98" s="346"/>
      <c r="J98" s="346"/>
      <c r="K98" s="346"/>
      <c r="L98" s="346"/>
      <c r="M98" s="346"/>
      <c r="N98" s="346"/>
    </row>
    <row r="99" spans="1:14">
      <c r="A99" s="392"/>
      <c r="B99" s="346"/>
      <c r="C99" s="346"/>
      <c r="D99" s="346"/>
      <c r="E99" s="346"/>
      <c r="F99" s="346"/>
      <c r="G99" s="346"/>
      <c r="H99" s="346"/>
      <c r="I99" s="346"/>
      <c r="J99" s="346"/>
      <c r="K99" s="346"/>
      <c r="L99" s="346"/>
      <c r="M99" s="346"/>
      <c r="N99" s="346"/>
    </row>
    <row r="100" spans="1:14">
      <c r="A100" s="392"/>
      <c r="B100" s="346"/>
      <c r="C100" s="346"/>
      <c r="D100" s="346"/>
      <c r="E100" s="346"/>
      <c r="F100" s="346"/>
      <c r="G100" s="346"/>
      <c r="H100" s="346"/>
      <c r="I100" s="346"/>
      <c r="J100" s="346"/>
      <c r="K100" s="346"/>
      <c r="L100" s="346"/>
      <c r="M100" s="346"/>
      <c r="N100" s="346"/>
    </row>
    <row r="101" spans="1:14">
      <c r="A101" s="392"/>
      <c r="B101" s="346"/>
      <c r="C101" s="346"/>
      <c r="D101" s="346"/>
      <c r="E101" s="346"/>
      <c r="F101" s="346"/>
      <c r="G101" s="346"/>
      <c r="H101" s="346"/>
      <c r="I101" s="346"/>
      <c r="J101" s="346"/>
      <c r="K101" s="346"/>
      <c r="L101" s="346"/>
      <c r="M101" s="346"/>
      <c r="N101" s="346"/>
    </row>
    <row r="102" spans="1:14">
      <c r="A102" s="396"/>
      <c r="B102" s="395"/>
      <c r="C102" s="395"/>
      <c r="D102" s="395"/>
      <c r="E102" s="395"/>
      <c r="F102" s="395"/>
      <c r="G102" s="395"/>
      <c r="H102" s="395"/>
      <c r="I102" s="395"/>
      <c r="J102" s="395"/>
      <c r="K102" s="395"/>
      <c r="L102" s="395"/>
      <c r="M102" s="395"/>
      <c r="N102" s="395"/>
    </row>
    <row r="103" spans="1:14">
      <c r="A103" s="396"/>
      <c r="B103" s="395"/>
      <c r="C103" s="395"/>
      <c r="D103" s="395"/>
      <c r="E103" s="395"/>
      <c r="F103" s="395"/>
      <c r="G103" s="395"/>
      <c r="H103" s="395"/>
      <c r="I103" s="395"/>
      <c r="J103" s="395"/>
      <c r="K103" s="395"/>
      <c r="L103" s="395"/>
      <c r="M103" s="395"/>
      <c r="N103" s="395"/>
    </row>
    <row r="104" spans="1:14">
      <c r="A104" s="396"/>
      <c r="B104" s="395"/>
      <c r="C104" s="395"/>
      <c r="D104" s="395"/>
      <c r="E104" s="395"/>
      <c r="F104" s="395"/>
      <c r="G104" s="395"/>
      <c r="H104" s="395"/>
      <c r="I104" s="395"/>
      <c r="J104" s="395"/>
      <c r="K104" s="395"/>
      <c r="L104" s="395"/>
      <c r="M104" s="395"/>
      <c r="N104" s="395"/>
    </row>
    <row r="105" spans="1:14" ht="15.75" thickBot="1">
      <c r="A105" s="397"/>
      <c r="B105" s="398"/>
      <c r="C105" s="398"/>
      <c r="D105" s="398"/>
      <c r="E105" s="398"/>
      <c r="F105" s="398"/>
      <c r="G105" s="1104" t="s">
        <v>38</v>
      </c>
      <c r="H105" s="1104"/>
      <c r="I105" s="1104"/>
      <c r="J105" s="1104"/>
      <c r="K105" s="1104"/>
      <c r="L105" s="1104"/>
      <c r="M105" s="1104"/>
      <c r="N105" s="1104"/>
    </row>
    <row r="122" spans="1:14" ht="15.75" thickBot="1"/>
    <row r="123" spans="1:14" s="388" customFormat="1">
      <c r="A123" s="1105" t="s">
        <v>448</v>
      </c>
      <c r="B123" s="1106"/>
      <c r="C123" s="1106"/>
      <c r="D123" s="1106"/>
      <c r="E123" s="1106"/>
      <c r="F123" s="1106"/>
      <c r="G123" s="1106"/>
      <c r="H123" s="1106"/>
      <c r="I123" s="1106"/>
      <c r="J123" s="1106"/>
      <c r="K123" s="1106"/>
      <c r="L123" s="1106"/>
      <c r="M123" s="1106"/>
      <c r="N123" s="1106"/>
    </row>
    <row r="124" spans="1:14" s="388" customFormat="1" ht="15.75" thickBot="1">
      <c r="A124" s="1107"/>
      <c r="B124" s="1108"/>
      <c r="C124" s="1108"/>
      <c r="D124" s="1108"/>
      <c r="E124" s="1108"/>
      <c r="F124" s="1108"/>
      <c r="G124" s="1108"/>
      <c r="H124" s="1108"/>
      <c r="I124" s="1108"/>
      <c r="J124" s="1108"/>
      <c r="K124" s="1108"/>
      <c r="L124" s="1108"/>
      <c r="M124" s="1108"/>
      <c r="N124" s="1108"/>
    </row>
    <row r="125" spans="1:14" s="388" customFormat="1" ht="15.75" thickBot="1">
      <c r="A125" s="1109" t="s">
        <v>449</v>
      </c>
      <c r="B125" s="1110"/>
      <c r="C125" s="1110"/>
      <c r="D125" s="1110"/>
      <c r="E125" s="1110"/>
      <c r="F125" s="1110"/>
      <c r="G125" s="1110"/>
      <c r="H125" s="1110"/>
      <c r="I125" s="1110"/>
      <c r="J125" s="1110"/>
      <c r="K125" s="1110"/>
      <c r="L125" s="1110"/>
      <c r="M125" s="1110"/>
      <c r="N125" s="1110"/>
    </row>
    <row r="126" spans="1:14" s="388" customFormat="1">
      <c r="A126" s="351" t="s">
        <v>479</v>
      </c>
      <c r="B126" s="308"/>
      <c r="C126" s="308"/>
      <c r="D126" s="309"/>
      <c r="E126" s="1111" t="s">
        <v>480</v>
      </c>
      <c r="F126" s="1112"/>
      <c r="G126" s="1112"/>
      <c r="H126" s="352"/>
      <c r="I126" s="352"/>
      <c r="J126" s="352"/>
      <c r="K126" s="352"/>
      <c r="L126" s="352"/>
      <c r="M126" s="352"/>
      <c r="N126" s="352"/>
    </row>
    <row r="127" spans="1:14" s="388" customFormat="1">
      <c r="A127" s="353"/>
      <c r="B127" s="419" t="s">
        <v>382</v>
      </c>
      <c r="C127" s="310"/>
      <c r="D127" s="311"/>
      <c r="E127" s="354"/>
      <c r="F127" s="355"/>
      <c r="G127" s="1113" t="str">
        <f>'04-221Master'!B18</f>
        <v>Yarramaddu Raveendra Reddy</v>
      </c>
      <c r="H127" s="1113"/>
      <c r="I127" s="1113"/>
      <c r="J127" s="355"/>
      <c r="K127" s="355"/>
      <c r="L127" s="355"/>
      <c r="M127" s="355"/>
      <c r="N127" s="355"/>
    </row>
    <row r="128" spans="1:14" s="388" customFormat="1" ht="15.75" thickBot="1">
      <c r="A128" s="312"/>
      <c r="B128" s="421" t="s">
        <v>383</v>
      </c>
      <c r="C128" s="313"/>
      <c r="D128" s="314"/>
      <c r="E128" s="354"/>
      <c r="F128" s="355"/>
      <c r="G128" s="355"/>
      <c r="H128" s="355"/>
      <c r="I128" s="355"/>
      <c r="J128" s="355"/>
      <c r="K128" s="355"/>
      <c r="L128" s="355"/>
      <c r="M128" s="355"/>
      <c r="N128" s="355"/>
    </row>
    <row r="129" spans="1:15" s="388" customFormat="1">
      <c r="A129" s="315" t="s">
        <v>481</v>
      </c>
      <c r="B129" s="308"/>
      <c r="C129" s="308"/>
      <c r="D129" s="309"/>
      <c r="E129" s="315" t="s">
        <v>450</v>
      </c>
      <c r="F129" s="308"/>
      <c r="G129" s="356">
        <f>'04-221Master'!N18</f>
        <v>44335</v>
      </c>
      <c r="H129" s="308"/>
      <c r="I129" s="308"/>
      <c r="J129" s="308"/>
      <c r="K129" s="308"/>
      <c r="L129" s="308"/>
      <c r="M129" s="308"/>
      <c r="N129" s="308"/>
    </row>
    <row r="130" spans="1:15" s="388" customFormat="1">
      <c r="A130" s="353"/>
      <c r="B130" s="310"/>
      <c r="C130" s="310">
        <f>'04-221Master'!F308</f>
        <v>0</v>
      </c>
      <c r="D130" s="311"/>
      <c r="E130" s="316"/>
      <c r="F130" s="310"/>
      <c r="G130" s="310"/>
      <c r="H130" s="310"/>
      <c r="I130" s="310"/>
      <c r="J130" s="310"/>
      <c r="K130" s="310"/>
      <c r="L130" s="310"/>
      <c r="M130" s="310"/>
      <c r="N130" s="310"/>
    </row>
    <row r="131" spans="1:15" s="388" customFormat="1">
      <c r="A131" s="353"/>
      <c r="B131" s="310"/>
      <c r="C131" s="310"/>
      <c r="D131" s="311"/>
      <c r="E131" s="357"/>
      <c r="F131" s="310"/>
      <c r="G131" s="310"/>
      <c r="H131" s="310"/>
      <c r="I131" s="310"/>
      <c r="J131" s="310"/>
      <c r="K131" s="310"/>
      <c r="L131" s="310"/>
      <c r="M131" s="310"/>
      <c r="N131" s="310"/>
    </row>
    <row r="132" spans="1:15" s="388" customFormat="1" ht="15.75" thickBot="1">
      <c r="A132" s="390"/>
      <c r="B132" s="318"/>
      <c r="C132" s="318"/>
      <c r="D132" s="358"/>
      <c r="E132" s="312"/>
      <c r="F132" s="313"/>
      <c r="G132" s="313"/>
      <c r="H132" s="313"/>
      <c r="I132" s="313"/>
      <c r="J132" s="313"/>
      <c r="K132" s="313"/>
      <c r="L132" s="313"/>
      <c r="M132" s="313"/>
      <c r="N132" s="313"/>
    </row>
    <row r="133" spans="1:15" s="388" customFormat="1">
      <c r="A133" s="1114" t="s">
        <v>5</v>
      </c>
      <c r="B133" s="1116" t="s">
        <v>451</v>
      </c>
      <c r="C133" s="1117"/>
      <c r="D133" s="1116" t="s">
        <v>452</v>
      </c>
      <c r="E133" s="1119"/>
      <c r="F133" s="1122" t="s">
        <v>453</v>
      </c>
      <c r="G133" s="1118" t="s">
        <v>454</v>
      </c>
      <c r="H133" s="1124"/>
      <c r="I133" s="1125" t="s">
        <v>455</v>
      </c>
      <c r="J133" s="1124"/>
      <c r="K133" s="1126"/>
      <c r="L133" s="1125" t="s">
        <v>456</v>
      </c>
      <c r="M133" s="1124"/>
      <c r="N133" s="1124"/>
    </row>
    <row r="134" spans="1:15" s="388" customFormat="1" ht="15.75" thickBot="1">
      <c r="A134" s="1115"/>
      <c r="B134" s="1118"/>
      <c r="C134" s="1119"/>
      <c r="D134" s="1118"/>
      <c r="E134" s="1119"/>
      <c r="F134" s="1123"/>
      <c r="G134" s="1118"/>
      <c r="H134" s="1124"/>
      <c r="I134" s="1127"/>
      <c r="J134" s="1128"/>
      <c r="K134" s="1129"/>
      <c r="L134" s="1127"/>
      <c r="M134" s="1128"/>
      <c r="N134" s="1128"/>
    </row>
    <row r="135" spans="1:15" s="388" customFormat="1">
      <c r="A135" s="391">
        <v>1</v>
      </c>
      <c r="B135" s="1120"/>
      <c r="C135" s="1121"/>
      <c r="D135" s="1120"/>
      <c r="E135" s="1121"/>
      <c r="F135" s="322">
        <v>6</v>
      </c>
      <c r="G135" s="1120"/>
      <c r="H135" s="1121"/>
      <c r="I135" s="359">
        <v>9</v>
      </c>
      <c r="J135" s="359"/>
      <c r="K135" s="359"/>
      <c r="L135" s="359">
        <v>9</v>
      </c>
      <c r="M135" s="359"/>
      <c r="N135" s="359"/>
    </row>
    <row r="136" spans="1:15" s="388" customFormat="1" ht="38.25">
      <c r="A136" s="392"/>
      <c r="B136" s="346" t="s">
        <v>457</v>
      </c>
      <c r="C136" s="346" t="s">
        <v>458</v>
      </c>
      <c r="D136" s="346" t="s">
        <v>459</v>
      </c>
      <c r="E136" s="346" t="s">
        <v>133</v>
      </c>
      <c r="F136" s="346"/>
      <c r="G136" s="346" t="s">
        <v>460</v>
      </c>
      <c r="H136" s="346" t="s">
        <v>461</v>
      </c>
      <c r="I136" s="346" t="s">
        <v>462</v>
      </c>
      <c r="J136" s="346" t="s">
        <v>463</v>
      </c>
      <c r="K136" s="346" t="s">
        <v>464</v>
      </c>
      <c r="L136" s="346" t="s">
        <v>465</v>
      </c>
      <c r="M136" s="346" t="s">
        <v>466</v>
      </c>
      <c r="N136" s="360" t="s">
        <v>467</v>
      </c>
    </row>
    <row r="137" spans="1:15" s="388" customFormat="1">
      <c r="A137" s="393"/>
      <c r="B137" s="346"/>
      <c r="C137" s="346"/>
      <c r="D137" s="346"/>
      <c r="E137" s="346"/>
      <c r="F137" s="346"/>
      <c r="G137" s="346"/>
      <c r="H137" s="346"/>
      <c r="I137" s="346"/>
      <c r="J137" s="346"/>
      <c r="K137" s="346"/>
      <c r="L137" s="346"/>
      <c r="M137" s="346"/>
      <c r="N137" s="346"/>
    </row>
    <row r="138" spans="1:15" s="388" customFormat="1">
      <c r="A138" s="361" t="s">
        <v>785</v>
      </c>
      <c r="B138" s="346">
        <v>1.5</v>
      </c>
      <c r="C138" s="346"/>
      <c r="D138" s="436"/>
      <c r="E138" s="436"/>
      <c r="F138" s="346">
        <v>5</v>
      </c>
      <c r="G138" s="346"/>
      <c r="H138" s="346"/>
      <c r="I138" s="346" t="s">
        <v>489</v>
      </c>
      <c r="J138" s="346" t="s">
        <v>489</v>
      </c>
      <c r="K138" s="346" t="s">
        <v>489</v>
      </c>
      <c r="L138" s="346"/>
      <c r="M138" s="346"/>
      <c r="N138" s="346"/>
    </row>
    <row r="139" spans="1:15" s="388" customFormat="1">
      <c r="A139" s="393" t="s">
        <v>795</v>
      </c>
      <c r="B139" s="346">
        <v>1.5</v>
      </c>
      <c r="C139" s="346">
        <v>1</v>
      </c>
      <c r="D139" s="362">
        <v>44596</v>
      </c>
      <c r="E139" s="362">
        <v>44596</v>
      </c>
      <c r="F139" s="346">
        <f>F138+B139-C139</f>
        <v>5.5</v>
      </c>
      <c r="G139" s="346"/>
      <c r="H139" s="346"/>
      <c r="I139" s="346" t="s">
        <v>489</v>
      </c>
      <c r="J139" s="346" t="s">
        <v>489</v>
      </c>
      <c r="K139" s="346" t="s">
        <v>489</v>
      </c>
      <c r="L139" s="346"/>
      <c r="M139" s="346"/>
      <c r="N139" s="346"/>
    </row>
    <row r="140" spans="1:15" s="388" customFormat="1">
      <c r="A140" s="393" t="s">
        <v>823</v>
      </c>
      <c r="B140" s="346">
        <v>1.5</v>
      </c>
      <c r="C140" s="346">
        <v>0</v>
      </c>
      <c r="D140" s="346">
        <v>0</v>
      </c>
      <c r="E140" s="346">
        <v>0</v>
      </c>
      <c r="F140" s="346">
        <f>F139+B140-C140</f>
        <v>7</v>
      </c>
      <c r="G140" s="346"/>
      <c r="H140" s="346"/>
      <c r="I140" s="346" t="s">
        <v>489</v>
      </c>
      <c r="J140" s="346" t="s">
        <v>489</v>
      </c>
      <c r="K140" s="346" t="s">
        <v>489</v>
      </c>
      <c r="L140" s="346"/>
      <c r="M140" s="346"/>
      <c r="N140" s="346"/>
    </row>
    <row r="141" spans="1:15" s="388" customFormat="1">
      <c r="A141" s="393" t="s">
        <v>846</v>
      </c>
      <c r="B141" s="346">
        <v>1.5</v>
      </c>
      <c r="C141" s="346">
        <v>1</v>
      </c>
      <c r="D141" s="362">
        <v>44655</v>
      </c>
      <c r="E141" s="362">
        <v>44655</v>
      </c>
      <c r="F141" s="346">
        <f>F140+B141-C141</f>
        <v>7.5</v>
      </c>
      <c r="G141" s="346"/>
      <c r="H141" s="346"/>
      <c r="I141" s="346" t="s">
        <v>489</v>
      </c>
      <c r="J141" s="346" t="s">
        <v>489</v>
      </c>
      <c r="K141" s="346" t="s">
        <v>489</v>
      </c>
      <c r="L141" s="346"/>
      <c r="M141" s="346"/>
      <c r="N141" s="346"/>
      <c r="O141" s="388">
        <v>3</v>
      </c>
    </row>
    <row r="142" spans="1:15" s="388" customFormat="1">
      <c r="A142" s="428"/>
      <c r="B142" s="409"/>
      <c r="C142" s="409"/>
      <c r="D142" s="602"/>
      <c r="E142" s="602"/>
      <c r="F142" s="409"/>
      <c r="G142" s="409"/>
      <c r="H142" s="409"/>
      <c r="I142" s="409"/>
      <c r="J142" s="409"/>
      <c r="K142" s="409"/>
      <c r="L142" s="346"/>
      <c r="M142" s="346"/>
      <c r="N142" s="346"/>
    </row>
    <row r="143" spans="1:15" s="388" customFormat="1">
      <c r="A143" s="710"/>
      <c r="B143" s="346"/>
      <c r="C143" s="346"/>
      <c r="D143" s="346"/>
      <c r="E143" s="346"/>
      <c r="F143" s="409"/>
      <c r="G143" s="346"/>
      <c r="H143" s="346"/>
      <c r="I143" s="409"/>
      <c r="J143" s="409"/>
      <c r="K143" s="409"/>
      <c r="L143" s="346"/>
      <c r="M143" s="346"/>
      <c r="N143" s="346"/>
    </row>
    <row r="144" spans="1:15" s="388" customFormat="1">
      <c r="A144" s="394"/>
      <c r="B144" s="346"/>
      <c r="C144" s="346"/>
      <c r="D144" s="499"/>
      <c r="E144" s="499"/>
      <c r="F144" s="346"/>
      <c r="G144" s="346"/>
      <c r="H144" s="346"/>
      <c r="I144" s="346"/>
      <c r="J144" s="346"/>
      <c r="K144" s="346"/>
      <c r="L144" s="346"/>
      <c r="M144" s="346"/>
      <c r="N144" s="346"/>
    </row>
    <row r="145" spans="1:14" s="388" customFormat="1">
      <c r="A145" s="394"/>
      <c r="B145" s="346"/>
      <c r="C145" s="346"/>
      <c r="D145" s="499"/>
      <c r="E145" s="499"/>
      <c r="F145" s="346"/>
      <c r="G145" s="346"/>
      <c r="H145" s="346"/>
      <c r="I145" s="346"/>
      <c r="J145" s="346"/>
      <c r="K145" s="346"/>
      <c r="L145" s="346"/>
      <c r="M145" s="346"/>
      <c r="N145" s="346"/>
    </row>
    <row r="146" spans="1:14" s="388" customFormat="1">
      <c r="A146" s="394"/>
      <c r="B146" s="346"/>
      <c r="C146" s="346"/>
      <c r="D146" s="499"/>
      <c r="E146" s="499"/>
      <c r="F146" s="346"/>
      <c r="G146" s="346"/>
      <c r="H146" s="346"/>
      <c r="I146" s="346"/>
      <c r="J146" s="346"/>
      <c r="K146" s="346"/>
      <c r="L146" s="346"/>
      <c r="M146" s="346"/>
      <c r="N146" s="346"/>
    </row>
    <row r="147" spans="1:14" s="388" customFormat="1">
      <c r="A147" s="394"/>
      <c r="B147" s="346"/>
      <c r="C147" s="346"/>
      <c r="D147" s="499"/>
      <c r="E147" s="436"/>
      <c r="F147" s="346"/>
      <c r="G147" s="346"/>
      <c r="H147" s="346"/>
      <c r="I147" s="346"/>
      <c r="J147" s="346"/>
      <c r="K147" s="346"/>
      <c r="L147" s="346"/>
      <c r="M147" s="346"/>
      <c r="N147" s="346"/>
    </row>
    <row r="148" spans="1:14" s="388" customFormat="1">
      <c r="A148" s="394"/>
      <c r="B148" s="346"/>
      <c r="C148" s="346"/>
      <c r="D148" s="362"/>
      <c r="E148" s="362"/>
      <c r="F148" s="346"/>
      <c r="G148" s="346"/>
      <c r="H148" s="346"/>
      <c r="I148" s="346"/>
      <c r="J148" s="346"/>
      <c r="K148" s="346"/>
      <c r="L148" s="346"/>
      <c r="M148" s="346"/>
      <c r="N148" s="346"/>
    </row>
    <row r="149" spans="1:14" s="388" customFormat="1">
      <c r="A149" s="394"/>
      <c r="B149" s="346"/>
      <c r="C149" s="346"/>
      <c r="D149" s="362"/>
      <c r="E149" s="362"/>
      <c r="F149" s="346"/>
      <c r="G149" s="346"/>
      <c r="H149" s="346"/>
      <c r="I149" s="346"/>
      <c r="J149" s="346"/>
      <c r="K149" s="346"/>
      <c r="L149" s="346"/>
      <c r="M149" s="346"/>
      <c r="N149" s="346"/>
    </row>
    <row r="150" spans="1:14" s="388" customFormat="1">
      <c r="A150" s="394"/>
      <c r="B150" s="346"/>
      <c r="C150" s="346"/>
      <c r="D150" s="362"/>
      <c r="E150" s="362"/>
      <c r="F150" s="346"/>
      <c r="G150" s="346"/>
      <c r="H150" s="346"/>
      <c r="I150" s="346"/>
      <c r="J150" s="346"/>
      <c r="K150" s="346"/>
      <c r="L150" s="346"/>
      <c r="M150" s="346"/>
      <c r="N150" s="346"/>
    </row>
    <row r="151" spans="1:14" s="388" customFormat="1">
      <c r="A151" s="394"/>
      <c r="B151" s="346"/>
      <c r="C151" s="346"/>
      <c r="D151" s="362"/>
      <c r="E151" s="362"/>
      <c r="F151" s="346"/>
      <c r="G151" s="346"/>
      <c r="H151" s="346"/>
      <c r="I151" s="346"/>
      <c r="J151" s="346"/>
      <c r="K151" s="346"/>
      <c r="L151" s="346"/>
      <c r="M151" s="346"/>
      <c r="N151" s="346"/>
    </row>
    <row r="152" spans="1:14" s="388" customFormat="1">
      <c r="A152" s="394"/>
      <c r="B152" s="346"/>
      <c r="C152" s="346"/>
      <c r="D152" s="362"/>
      <c r="E152" s="362"/>
      <c r="F152" s="346"/>
      <c r="G152" s="346"/>
      <c r="H152" s="346"/>
      <c r="I152" s="346"/>
      <c r="J152" s="346"/>
      <c r="K152" s="346"/>
      <c r="L152" s="346"/>
      <c r="M152" s="346"/>
      <c r="N152" s="346"/>
    </row>
    <row r="153" spans="1:14" s="388" customFormat="1">
      <c r="A153" s="392"/>
      <c r="B153" s="346"/>
      <c r="C153" s="346"/>
      <c r="D153" s="346"/>
      <c r="E153" s="346"/>
      <c r="F153" s="346"/>
      <c r="G153" s="346"/>
      <c r="H153" s="346"/>
      <c r="I153" s="346"/>
      <c r="J153" s="346"/>
      <c r="K153" s="346"/>
      <c r="L153" s="346"/>
      <c r="M153" s="346"/>
      <c r="N153" s="346"/>
    </row>
    <row r="154" spans="1:14" s="388" customFormat="1">
      <c r="A154" s="392"/>
      <c r="B154" s="346"/>
      <c r="C154" s="346"/>
      <c r="D154" s="346"/>
      <c r="E154" s="346"/>
      <c r="F154" s="346"/>
      <c r="G154" s="346"/>
      <c r="H154" s="346"/>
      <c r="I154" s="346"/>
      <c r="J154" s="346"/>
      <c r="K154" s="346"/>
      <c r="L154" s="346"/>
      <c r="M154" s="346"/>
      <c r="N154" s="346"/>
    </row>
    <row r="155" spans="1:14" s="388" customFormat="1">
      <c r="A155" s="392"/>
      <c r="B155" s="346"/>
      <c r="C155" s="346"/>
      <c r="D155" s="346"/>
      <c r="E155" s="346"/>
      <c r="F155" s="346"/>
      <c r="G155" s="346"/>
      <c r="H155" s="346"/>
      <c r="I155" s="346"/>
      <c r="J155" s="346"/>
      <c r="K155" s="346"/>
      <c r="L155" s="346"/>
      <c r="M155" s="346"/>
      <c r="N155" s="346"/>
    </row>
    <row r="156" spans="1:14" s="388" customFormat="1">
      <c r="A156" s="392"/>
      <c r="B156" s="346"/>
      <c r="C156" s="346"/>
      <c r="D156" s="346"/>
      <c r="E156" s="346"/>
      <c r="F156" s="346"/>
      <c r="G156" s="346"/>
      <c r="H156" s="346"/>
      <c r="I156" s="346"/>
      <c r="J156" s="346"/>
      <c r="K156" s="346"/>
      <c r="L156" s="346"/>
      <c r="M156" s="346"/>
      <c r="N156" s="346"/>
    </row>
    <row r="157" spans="1:14" s="388" customFormat="1">
      <c r="A157" s="392"/>
      <c r="B157" s="346"/>
      <c r="C157" s="346"/>
      <c r="D157" s="346"/>
      <c r="E157" s="346"/>
      <c r="F157" s="346"/>
      <c r="G157" s="346"/>
      <c r="H157" s="346"/>
      <c r="I157" s="346"/>
      <c r="J157" s="346"/>
      <c r="K157" s="346"/>
      <c r="L157" s="346"/>
      <c r="M157" s="346"/>
      <c r="N157" s="346"/>
    </row>
    <row r="158" spans="1:14" s="388" customFormat="1">
      <c r="A158" s="353"/>
      <c r="B158" s="310"/>
      <c r="C158" s="310"/>
      <c r="D158" s="310"/>
      <c r="E158" s="310"/>
      <c r="F158" s="310"/>
      <c r="G158" s="310"/>
      <c r="H158" s="310"/>
      <c r="I158" s="310"/>
      <c r="J158" s="310"/>
      <c r="K158" s="310"/>
      <c r="L158" s="310"/>
      <c r="M158" s="310"/>
      <c r="N158" s="310"/>
    </row>
    <row r="159" spans="1:14" s="388" customFormat="1">
      <c r="A159" s="353"/>
      <c r="B159" s="310"/>
      <c r="C159" s="310"/>
      <c r="D159" s="310"/>
      <c r="E159" s="310"/>
      <c r="F159" s="310"/>
      <c r="G159" s="310"/>
      <c r="H159" s="310"/>
      <c r="I159" s="310"/>
      <c r="J159" s="310"/>
      <c r="K159" s="310"/>
      <c r="L159" s="310"/>
      <c r="M159" s="310"/>
      <c r="N159" s="310"/>
    </row>
    <row r="160" spans="1:14" s="388" customFormat="1">
      <c r="A160" s="353"/>
      <c r="B160" s="310"/>
      <c r="C160" s="310"/>
      <c r="D160" s="310"/>
      <c r="E160" s="310"/>
      <c r="F160" s="310"/>
      <c r="G160" s="310"/>
      <c r="H160" s="310"/>
      <c r="I160" s="310"/>
      <c r="J160" s="310"/>
      <c r="K160" s="310"/>
      <c r="L160" s="310"/>
      <c r="M160" s="310"/>
      <c r="N160" s="310"/>
    </row>
    <row r="161" spans="1:14" s="388" customFormat="1">
      <c r="A161" s="396"/>
      <c r="B161" s="395"/>
      <c r="C161" s="395"/>
      <c r="D161" s="395"/>
      <c r="E161" s="395"/>
      <c r="F161" s="395"/>
      <c r="G161" s="395"/>
      <c r="H161" s="395"/>
      <c r="I161" s="395"/>
      <c r="J161" s="395"/>
      <c r="K161" s="395"/>
      <c r="L161" s="395"/>
      <c r="M161" s="395"/>
      <c r="N161" s="395"/>
    </row>
    <row r="162" spans="1:14" s="388" customFormat="1">
      <c r="A162" s="396"/>
      <c r="B162" s="395"/>
      <c r="C162" s="395"/>
      <c r="D162" s="395"/>
      <c r="E162" s="395"/>
      <c r="F162" s="395"/>
      <c r="G162" s="395"/>
      <c r="H162" s="395"/>
      <c r="I162" s="395"/>
      <c r="J162" s="395"/>
      <c r="K162" s="395"/>
      <c r="L162" s="395"/>
      <c r="M162" s="395"/>
      <c r="N162" s="395"/>
    </row>
    <row r="163" spans="1:14" s="388" customFormat="1">
      <c r="A163" s="396"/>
      <c r="B163" s="395"/>
      <c r="C163" s="395"/>
      <c r="D163" s="395"/>
      <c r="E163" s="395"/>
      <c r="F163" s="395"/>
      <c r="G163" s="395"/>
      <c r="H163" s="395"/>
      <c r="I163" s="395"/>
      <c r="J163" s="395"/>
      <c r="K163" s="395"/>
      <c r="L163" s="395"/>
      <c r="M163" s="395"/>
      <c r="N163" s="395"/>
    </row>
    <row r="164" spans="1:14" s="388" customFormat="1" ht="15.75" thickBot="1">
      <c r="A164" s="397"/>
      <c r="B164" s="398"/>
      <c r="C164" s="398"/>
      <c r="D164" s="398"/>
      <c r="E164" s="398"/>
      <c r="F164" s="398"/>
      <c r="G164" s="1104" t="s">
        <v>38</v>
      </c>
      <c r="H164" s="1104"/>
      <c r="I164" s="1104"/>
      <c r="J164" s="1104"/>
      <c r="K164" s="1104"/>
      <c r="L164" s="1104"/>
      <c r="M164" s="1104"/>
      <c r="N164" s="1104"/>
    </row>
    <row r="167" spans="1:14" s="388" customFormat="1"/>
    <row r="168" spans="1:14" s="388" customFormat="1"/>
    <row r="169" spans="1:14" s="388" customFormat="1"/>
    <row r="170" spans="1:14" s="388" customFormat="1"/>
    <row r="171" spans="1:14" s="388" customFormat="1"/>
    <row r="172" spans="1:14" s="388" customFormat="1"/>
    <row r="173" spans="1:14" s="388" customFormat="1"/>
    <row r="174" spans="1:14" s="388" customFormat="1"/>
    <row r="175" spans="1:14" s="388" customFormat="1"/>
    <row r="176" spans="1:14" s="388" customFormat="1"/>
    <row r="177" spans="1:14" s="388" customFormat="1"/>
    <row r="178" spans="1:14" s="388" customFormat="1"/>
    <row r="179" spans="1:14" s="388" customFormat="1"/>
    <row r="180" spans="1:14" s="388" customFormat="1"/>
    <row r="183" spans="1:14" ht="15.75" thickBot="1"/>
    <row r="184" spans="1:14" s="388" customFormat="1">
      <c r="A184" s="1105" t="s">
        <v>448</v>
      </c>
      <c r="B184" s="1106"/>
      <c r="C184" s="1106"/>
      <c r="D184" s="1106"/>
      <c r="E184" s="1106"/>
      <c r="F184" s="1106"/>
      <c r="G184" s="1106"/>
      <c r="H184" s="1106"/>
      <c r="I184" s="1106"/>
      <c r="J184" s="1106"/>
      <c r="K184" s="1106"/>
      <c r="L184" s="1106"/>
      <c r="M184" s="1106"/>
      <c r="N184" s="1106"/>
    </row>
    <row r="185" spans="1:14" s="388" customFormat="1" ht="15.75" thickBot="1">
      <c r="A185" s="1107"/>
      <c r="B185" s="1108"/>
      <c r="C185" s="1108"/>
      <c r="D185" s="1108"/>
      <c r="E185" s="1108"/>
      <c r="F185" s="1108"/>
      <c r="G185" s="1108"/>
      <c r="H185" s="1108"/>
      <c r="I185" s="1108"/>
      <c r="J185" s="1108"/>
      <c r="K185" s="1108"/>
      <c r="L185" s="1108"/>
      <c r="M185" s="1108"/>
      <c r="N185" s="1108"/>
    </row>
    <row r="186" spans="1:14" s="388" customFormat="1" ht="15.75" thickBot="1">
      <c r="A186" s="1109" t="s">
        <v>449</v>
      </c>
      <c r="B186" s="1110"/>
      <c r="C186" s="1110"/>
      <c r="D186" s="1110"/>
      <c r="E186" s="1110"/>
      <c r="F186" s="1110"/>
      <c r="G186" s="1110"/>
      <c r="H186" s="1110"/>
      <c r="I186" s="1110"/>
      <c r="J186" s="1110"/>
      <c r="K186" s="1110"/>
      <c r="L186" s="1110"/>
      <c r="M186" s="1110"/>
      <c r="N186" s="1110"/>
    </row>
    <row r="187" spans="1:14" s="388" customFormat="1">
      <c r="A187" s="351" t="s">
        <v>479</v>
      </c>
      <c r="B187" s="308"/>
      <c r="C187" s="308"/>
      <c r="D187" s="309"/>
      <c r="E187" s="1111" t="s">
        <v>480</v>
      </c>
      <c r="F187" s="1112"/>
      <c r="G187" s="1112"/>
      <c r="H187" s="352"/>
      <c r="I187" s="352"/>
      <c r="J187" s="352"/>
      <c r="K187" s="352"/>
      <c r="L187" s="352"/>
      <c r="M187" s="352"/>
      <c r="N187" s="352"/>
    </row>
    <row r="188" spans="1:14" s="388" customFormat="1">
      <c r="A188" s="353"/>
      <c r="B188" s="419" t="s">
        <v>382</v>
      </c>
      <c r="C188" s="310"/>
      <c r="D188" s="311"/>
      <c r="E188" s="354"/>
      <c r="F188" s="355"/>
      <c r="G188" s="1113" t="str">
        <f>'04-221Master'!B19</f>
        <v>Chitra Kulkarni</v>
      </c>
      <c r="H188" s="1113"/>
      <c r="I188" s="1113"/>
      <c r="J188" s="355"/>
      <c r="K188" s="355"/>
      <c r="L188" s="355"/>
      <c r="M188" s="355"/>
      <c r="N188" s="355"/>
    </row>
    <row r="189" spans="1:14" s="388" customFormat="1" ht="15.75" thickBot="1">
      <c r="A189" s="312"/>
      <c r="B189" s="421" t="s">
        <v>383</v>
      </c>
      <c r="C189" s="313"/>
      <c r="D189" s="314"/>
      <c r="E189" s="354"/>
      <c r="F189" s="355"/>
      <c r="G189" s="355"/>
      <c r="H189" s="355"/>
      <c r="I189" s="355"/>
      <c r="J189" s="355"/>
      <c r="K189" s="355"/>
      <c r="L189" s="355"/>
      <c r="M189" s="355"/>
      <c r="N189" s="355"/>
    </row>
    <row r="190" spans="1:14" s="388" customFormat="1">
      <c r="A190" s="315" t="s">
        <v>481</v>
      </c>
      <c r="B190" s="308"/>
      <c r="C190" s="308"/>
      <c r="D190" s="309"/>
      <c r="E190" s="315" t="s">
        <v>450</v>
      </c>
      <c r="F190" s="308"/>
      <c r="G190" s="356">
        <f>'04-221Master'!N19</f>
        <v>44390</v>
      </c>
      <c r="H190" s="308"/>
      <c r="I190" s="308"/>
      <c r="J190" s="308"/>
      <c r="K190" s="308"/>
      <c r="L190" s="308"/>
      <c r="M190" s="308"/>
      <c r="N190" s="308"/>
    </row>
    <row r="191" spans="1:14" s="388" customFormat="1">
      <c r="A191" s="353"/>
      <c r="B191" s="310"/>
      <c r="C191" s="310">
        <f>'04-221Master'!F355</f>
        <v>0</v>
      </c>
      <c r="D191" s="311"/>
      <c r="E191" s="316"/>
      <c r="F191" s="310"/>
      <c r="G191" s="310"/>
      <c r="H191" s="310"/>
      <c r="I191" s="310"/>
      <c r="J191" s="310"/>
      <c r="K191" s="310"/>
      <c r="L191" s="310"/>
      <c r="M191" s="310"/>
      <c r="N191" s="310"/>
    </row>
    <row r="192" spans="1:14" s="388" customFormat="1">
      <c r="A192" s="353"/>
      <c r="B192" s="310"/>
      <c r="C192" s="310"/>
      <c r="D192" s="311"/>
      <c r="E192" s="357"/>
      <c r="F192" s="310"/>
      <c r="G192" s="310"/>
      <c r="H192" s="310"/>
      <c r="I192" s="310"/>
      <c r="J192" s="310"/>
      <c r="K192" s="310"/>
      <c r="L192" s="310"/>
      <c r="M192" s="310"/>
      <c r="N192" s="310"/>
    </row>
    <row r="193" spans="1:15" s="388" customFormat="1" ht="15.75" thickBot="1">
      <c r="A193" s="390"/>
      <c r="B193" s="318"/>
      <c r="C193" s="318"/>
      <c r="D193" s="358"/>
      <c r="E193" s="312"/>
      <c r="F193" s="313"/>
      <c r="G193" s="313"/>
      <c r="H193" s="313"/>
      <c r="I193" s="313"/>
      <c r="J193" s="313"/>
      <c r="K193" s="313"/>
      <c r="L193" s="313"/>
      <c r="M193" s="313"/>
      <c r="N193" s="313"/>
    </row>
    <row r="194" spans="1:15" s="388" customFormat="1">
      <c r="A194" s="1114" t="s">
        <v>5</v>
      </c>
      <c r="B194" s="1116" t="s">
        <v>451</v>
      </c>
      <c r="C194" s="1117"/>
      <c r="D194" s="1116" t="s">
        <v>452</v>
      </c>
      <c r="E194" s="1119"/>
      <c r="F194" s="1122" t="s">
        <v>453</v>
      </c>
      <c r="G194" s="1118" t="s">
        <v>454</v>
      </c>
      <c r="H194" s="1124"/>
      <c r="I194" s="1125" t="s">
        <v>455</v>
      </c>
      <c r="J194" s="1124"/>
      <c r="K194" s="1126"/>
      <c r="L194" s="1125" t="s">
        <v>456</v>
      </c>
      <c r="M194" s="1124"/>
      <c r="N194" s="1124"/>
    </row>
    <row r="195" spans="1:15" s="388" customFormat="1" ht="15.75" thickBot="1">
      <c r="A195" s="1115"/>
      <c r="B195" s="1118"/>
      <c r="C195" s="1119"/>
      <c r="D195" s="1118"/>
      <c r="E195" s="1119"/>
      <c r="F195" s="1123"/>
      <c r="G195" s="1118"/>
      <c r="H195" s="1124"/>
      <c r="I195" s="1127"/>
      <c r="J195" s="1128"/>
      <c r="K195" s="1129"/>
      <c r="L195" s="1127"/>
      <c r="M195" s="1128"/>
      <c r="N195" s="1128"/>
    </row>
    <row r="196" spans="1:15" s="388" customFormat="1">
      <c r="A196" s="391">
        <v>1</v>
      </c>
      <c r="B196" s="1120"/>
      <c r="C196" s="1121"/>
      <c r="D196" s="1120"/>
      <c r="E196" s="1121"/>
      <c r="F196" s="322">
        <v>6</v>
      </c>
      <c r="G196" s="1120"/>
      <c r="H196" s="1121"/>
      <c r="I196" s="359">
        <v>9</v>
      </c>
      <c r="J196" s="359"/>
      <c r="K196" s="359"/>
      <c r="L196" s="359">
        <v>9</v>
      </c>
      <c r="M196" s="359"/>
      <c r="N196" s="359"/>
    </row>
    <row r="197" spans="1:15" s="388" customFormat="1" ht="38.25">
      <c r="A197" s="392"/>
      <c r="B197" s="346" t="s">
        <v>457</v>
      </c>
      <c r="C197" s="346" t="s">
        <v>458</v>
      </c>
      <c r="D197" s="346" t="s">
        <v>459</v>
      </c>
      <c r="E197" s="346" t="s">
        <v>133</v>
      </c>
      <c r="F197" s="346"/>
      <c r="G197" s="346" t="s">
        <v>460</v>
      </c>
      <c r="H197" s="346" t="s">
        <v>461</v>
      </c>
      <c r="I197" s="346" t="s">
        <v>462</v>
      </c>
      <c r="J197" s="346" t="s">
        <v>463</v>
      </c>
      <c r="K197" s="346" t="s">
        <v>464</v>
      </c>
      <c r="L197" s="346" t="s">
        <v>465</v>
      </c>
      <c r="M197" s="346" t="s">
        <v>466</v>
      </c>
      <c r="N197" s="360" t="s">
        <v>467</v>
      </c>
    </row>
    <row r="198" spans="1:15" s="388" customFormat="1">
      <c r="A198" s="393"/>
      <c r="B198" s="346"/>
      <c r="C198" s="346"/>
      <c r="D198" s="346"/>
      <c r="E198" s="346"/>
      <c r="F198" s="346"/>
      <c r="G198" s="346"/>
      <c r="H198" s="346"/>
      <c r="I198" s="346"/>
      <c r="J198" s="346"/>
      <c r="K198" s="346"/>
      <c r="L198" s="346"/>
      <c r="M198" s="346"/>
      <c r="N198" s="346"/>
    </row>
    <row r="199" spans="1:15" s="388" customFormat="1">
      <c r="A199" s="393"/>
      <c r="B199" s="346"/>
      <c r="C199" s="346"/>
      <c r="D199" s="362"/>
      <c r="E199" s="362"/>
      <c r="F199" s="346"/>
      <c r="G199" s="346"/>
      <c r="H199" s="346"/>
      <c r="I199" s="346"/>
      <c r="J199" s="346"/>
      <c r="K199" s="346"/>
      <c r="L199" s="346"/>
      <c r="M199" s="346"/>
      <c r="N199" s="346"/>
    </row>
    <row r="200" spans="1:15" s="388" customFormat="1">
      <c r="A200" s="393"/>
      <c r="B200" s="346"/>
      <c r="C200" s="346"/>
      <c r="D200" s="499"/>
      <c r="E200" s="499"/>
      <c r="F200" s="346"/>
      <c r="G200" s="346"/>
      <c r="H200" s="346"/>
      <c r="I200" s="346"/>
      <c r="J200" s="346"/>
      <c r="K200" s="346"/>
      <c r="L200" s="346"/>
      <c r="M200" s="346"/>
      <c r="N200" s="346"/>
    </row>
    <row r="201" spans="1:15" s="388" customFormat="1">
      <c r="A201" s="361" t="s">
        <v>785</v>
      </c>
      <c r="B201" s="346">
        <v>1.5</v>
      </c>
      <c r="C201" s="346"/>
      <c r="D201" s="436"/>
      <c r="E201" s="436"/>
      <c r="F201" s="346">
        <v>5.5</v>
      </c>
      <c r="G201" s="346"/>
      <c r="H201" s="346"/>
      <c r="I201" s="346" t="s">
        <v>489</v>
      </c>
      <c r="J201" s="346" t="s">
        <v>489</v>
      </c>
      <c r="K201" s="346" t="s">
        <v>489</v>
      </c>
      <c r="L201" s="346"/>
      <c r="M201" s="346"/>
      <c r="N201" s="346"/>
    </row>
    <row r="202" spans="1:15" s="388" customFormat="1">
      <c r="A202" s="393" t="s">
        <v>795</v>
      </c>
      <c r="B202" s="346">
        <v>1.5</v>
      </c>
      <c r="C202" s="346">
        <v>0</v>
      </c>
      <c r="D202" s="346">
        <v>0</v>
      </c>
      <c r="E202" s="346">
        <v>0</v>
      </c>
      <c r="F202" s="346">
        <f>F201+B202-C202</f>
        <v>7</v>
      </c>
      <c r="G202" s="346"/>
      <c r="H202" s="346"/>
      <c r="I202" s="346" t="s">
        <v>489</v>
      </c>
      <c r="J202" s="346" t="s">
        <v>489</v>
      </c>
      <c r="K202" s="346" t="s">
        <v>489</v>
      </c>
      <c r="L202" s="346"/>
      <c r="M202" s="346"/>
      <c r="N202" s="346"/>
    </row>
    <row r="203" spans="1:15" s="388" customFormat="1">
      <c r="A203" s="393" t="s">
        <v>823</v>
      </c>
      <c r="B203" s="346">
        <v>1.5</v>
      </c>
      <c r="C203" s="346">
        <v>0</v>
      </c>
      <c r="D203" s="346">
        <v>0</v>
      </c>
      <c r="E203" s="346">
        <v>0</v>
      </c>
      <c r="F203" s="346">
        <f>F202+B203-C203</f>
        <v>8.5</v>
      </c>
      <c r="G203" s="346"/>
      <c r="H203" s="346"/>
      <c r="I203" s="346" t="s">
        <v>489</v>
      </c>
      <c r="J203" s="346" t="s">
        <v>489</v>
      </c>
      <c r="K203" s="346" t="s">
        <v>489</v>
      </c>
      <c r="L203" s="346"/>
      <c r="M203" s="346"/>
      <c r="N203" s="346"/>
    </row>
    <row r="204" spans="1:15" s="388" customFormat="1">
      <c r="A204" s="393" t="s">
        <v>846</v>
      </c>
      <c r="B204" s="346">
        <v>1.5</v>
      </c>
      <c r="C204" s="346">
        <v>1</v>
      </c>
      <c r="D204" s="362">
        <v>44669</v>
      </c>
      <c r="E204" s="362">
        <v>44669</v>
      </c>
      <c r="F204" s="346">
        <f>F203+B204-C204</f>
        <v>9</v>
      </c>
      <c r="G204" s="346"/>
      <c r="H204" s="346"/>
      <c r="I204" s="346" t="s">
        <v>489</v>
      </c>
      <c r="J204" s="346" t="s">
        <v>489</v>
      </c>
      <c r="K204" s="346" t="s">
        <v>489</v>
      </c>
      <c r="L204" s="346"/>
      <c r="M204" s="346"/>
      <c r="N204" s="346"/>
      <c r="O204" s="388">
        <v>4</v>
      </c>
    </row>
    <row r="205" spans="1:15" s="388" customFormat="1">
      <c r="A205" s="428"/>
      <c r="B205" s="409"/>
      <c r="C205" s="409"/>
      <c r="D205" s="602"/>
      <c r="E205" s="602"/>
      <c r="F205" s="409"/>
      <c r="G205" s="409"/>
      <c r="H205" s="409"/>
      <c r="I205" s="409"/>
      <c r="J205" s="409"/>
      <c r="K205" s="409"/>
      <c r="L205" s="346"/>
      <c r="M205" s="346"/>
      <c r="N205" s="346"/>
    </row>
    <row r="206" spans="1:15" s="388" customFormat="1">
      <c r="A206" s="710"/>
      <c r="B206" s="346"/>
      <c r="C206" s="346"/>
      <c r="D206" s="346"/>
      <c r="E206" s="346"/>
      <c r="F206" s="409"/>
      <c r="G206" s="346"/>
      <c r="H206" s="346"/>
      <c r="I206" s="409"/>
      <c r="J206" s="409"/>
      <c r="K206" s="409"/>
      <c r="L206" s="346"/>
      <c r="M206" s="346"/>
      <c r="N206" s="346"/>
    </row>
    <row r="207" spans="1:15" s="388" customFormat="1">
      <c r="A207" s="394"/>
      <c r="B207" s="346"/>
      <c r="C207" s="346"/>
      <c r="D207" s="499"/>
      <c r="E207" s="499"/>
      <c r="F207" s="346"/>
      <c r="G207" s="346"/>
      <c r="H207" s="346"/>
      <c r="I207" s="346"/>
      <c r="J207" s="346"/>
      <c r="K207" s="346"/>
      <c r="L207" s="346"/>
      <c r="M207" s="346"/>
      <c r="N207" s="346"/>
    </row>
    <row r="208" spans="1:15" s="388" customFormat="1">
      <c r="A208" s="394"/>
      <c r="B208" s="346"/>
      <c r="C208" s="346"/>
      <c r="D208" s="499"/>
      <c r="E208" s="436"/>
      <c r="F208" s="346"/>
      <c r="G208" s="346"/>
      <c r="H208" s="346"/>
      <c r="I208" s="346"/>
      <c r="J208" s="346"/>
      <c r="K208" s="346"/>
      <c r="L208" s="346"/>
      <c r="M208" s="346"/>
      <c r="N208" s="346"/>
    </row>
    <row r="209" spans="1:14" s="388" customFormat="1">
      <c r="A209" s="394"/>
      <c r="B209" s="346"/>
      <c r="C209" s="346"/>
      <c r="D209" s="362"/>
      <c r="E209" s="362"/>
      <c r="F209" s="346"/>
      <c r="G209" s="346"/>
      <c r="H209" s="346"/>
      <c r="I209" s="346"/>
      <c r="J209" s="346"/>
      <c r="K209" s="346"/>
      <c r="L209" s="346"/>
      <c r="M209" s="346"/>
      <c r="N209" s="346"/>
    </row>
    <row r="210" spans="1:14" s="388" customFormat="1">
      <c r="A210" s="394"/>
      <c r="B210" s="346"/>
      <c r="C210" s="346"/>
      <c r="D210" s="362"/>
      <c r="E210" s="362"/>
      <c r="F210" s="346"/>
      <c r="G210" s="346"/>
      <c r="H210" s="346"/>
      <c r="I210" s="346"/>
      <c r="J210" s="346"/>
      <c r="K210" s="346"/>
      <c r="L210" s="346"/>
      <c r="M210" s="346"/>
      <c r="N210" s="346"/>
    </row>
    <row r="211" spans="1:14" s="388" customFormat="1">
      <c r="A211" s="394"/>
      <c r="B211" s="346"/>
      <c r="C211" s="346"/>
      <c r="D211" s="362"/>
      <c r="E211" s="362"/>
      <c r="F211" s="346"/>
      <c r="G211" s="346"/>
      <c r="H211" s="346"/>
      <c r="I211" s="346"/>
      <c r="J211" s="346"/>
      <c r="K211" s="346"/>
      <c r="L211" s="346"/>
      <c r="M211" s="346"/>
      <c r="N211" s="346"/>
    </row>
    <row r="212" spans="1:14" s="388" customFormat="1">
      <c r="A212" s="394"/>
      <c r="B212" s="346"/>
      <c r="C212" s="346"/>
      <c r="D212" s="362"/>
      <c r="E212" s="362"/>
      <c r="F212" s="346"/>
      <c r="G212" s="346"/>
      <c r="H212" s="346"/>
      <c r="I212" s="346"/>
      <c r="J212" s="346"/>
      <c r="K212" s="346"/>
      <c r="L212" s="346"/>
      <c r="M212" s="346"/>
      <c r="N212" s="346"/>
    </row>
    <row r="213" spans="1:14" s="388" customFormat="1">
      <c r="A213" s="394"/>
      <c r="B213" s="346"/>
      <c r="C213" s="346"/>
      <c r="D213" s="362"/>
      <c r="E213" s="362"/>
      <c r="F213" s="346"/>
      <c r="G213" s="346"/>
      <c r="H213" s="346"/>
      <c r="I213" s="346"/>
      <c r="J213" s="346"/>
      <c r="K213" s="346"/>
      <c r="L213" s="346"/>
      <c r="M213" s="346"/>
      <c r="N213" s="346"/>
    </row>
    <row r="214" spans="1:14" s="388" customFormat="1">
      <c r="A214" s="392"/>
      <c r="B214" s="346"/>
      <c r="C214" s="346"/>
      <c r="D214" s="346"/>
      <c r="E214" s="346"/>
      <c r="F214" s="346"/>
      <c r="G214" s="346"/>
      <c r="H214" s="346"/>
      <c r="I214" s="346"/>
      <c r="J214" s="346"/>
      <c r="K214" s="346"/>
      <c r="L214" s="346"/>
      <c r="M214" s="346"/>
      <c r="N214" s="346"/>
    </row>
    <row r="215" spans="1:14" s="388" customFormat="1">
      <c r="A215" s="392"/>
      <c r="B215" s="346"/>
      <c r="C215" s="346"/>
      <c r="D215" s="346"/>
      <c r="E215" s="346"/>
      <c r="F215" s="346"/>
      <c r="G215" s="346"/>
      <c r="H215" s="346"/>
      <c r="I215" s="346"/>
      <c r="J215" s="346"/>
      <c r="K215" s="346"/>
      <c r="L215" s="346"/>
      <c r="M215" s="346"/>
      <c r="N215" s="346"/>
    </row>
    <row r="216" spans="1:14" s="388" customFormat="1">
      <c r="A216" s="392"/>
      <c r="B216" s="346"/>
      <c r="C216" s="346"/>
      <c r="D216" s="346"/>
      <c r="E216" s="346"/>
      <c r="F216" s="346"/>
      <c r="G216" s="346"/>
      <c r="H216" s="346"/>
      <c r="I216" s="346"/>
      <c r="J216" s="346"/>
      <c r="K216" s="346"/>
      <c r="L216" s="346"/>
      <c r="M216" s="346"/>
      <c r="N216" s="346"/>
    </row>
    <row r="217" spans="1:14" s="388" customFormat="1">
      <c r="A217" s="392"/>
      <c r="B217" s="346"/>
      <c r="C217" s="346"/>
      <c r="D217" s="346"/>
      <c r="E217" s="346"/>
      <c r="F217" s="346"/>
      <c r="G217" s="346"/>
      <c r="H217" s="346"/>
      <c r="I217" s="346"/>
      <c r="J217" s="346"/>
      <c r="K217" s="346"/>
      <c r="L217" s="346"/>
      <c r="M217" s="346"/>
      <c r="N217" s="346"/>
    </row>
    <row r="218" spans="1:14" s="388" customFormat="1">
      <c r="A218" s="392"/>
      <c r="B218" s="346"/>
      <c r="C218" s="346"/>
      <c r="D218" s="346"/>
      <c r="E218" s="346"/>
      <c r="F218" s="346"/>
      <c r="G218" s="346"/>
      <c r="H218" s="346"/>
      <c r="I218" s="346"/>
      <c r="J218" s="346"/>
      <c r="K218" s="346"/>
      <c r="L218" s="346"/>
      <c r="M218" s="346"/>
      <c r="N218" s="346"/>
    </row>
    <row r="219" spans="1:14" s="388" customFormat="1">
      <c r="A219" s="353"/>
      <c r="B219" s="310"/>
      <c r="C219" s="310"/>
      <c r="D219" s="310"/>
      <c r="E219" s="310"/>
      <c r="F219" s="310"/>
      <c r="G219" s="310"/>
      <c r="H219" s="310"/>
      <c r="I219" s="310"/>
      <c r="J219" s="310"/>
      <c r="K219" s="310"/>
      <c r="L219" s="310"/>
      <c r="M219" s="310"/>
      <c r="N219" s="310"/>
    </row>
    <row r="220" spans="1:14" s="388" customFormat="1">
      <c r="A220" s="353"/>
      <c r="B220" s="310"/>
      <c r="C220" s="310"/>
      <c r="D220" s="310"/>
      <c r="E220" s="310"/>
      <c r="F220" s="310"/>
      <c r="G220" s="310"/>
      <c r="H220" s="310"/>
      <c r="I220" s="310"/>
      <c r="J220" s="310"/>
      <c r="K220" s="310"/>
      <c r="L220" s="310"/>
      <c r="M220" s="310"/>
      <c r="N220" s="310"/>
    </row>
    <row r="221" spans="1:14" s="388" customFormat="1">
      <c r="A221" s="353"/>
      <c r="B221" s="310"/>
      <c r="C221" s="310"/>
      <c r="D221" s="310"/>
      <c r="E221" s="310"/>
      <c r="F221" s="310"/>
      <c r="G221" s="310"/>
      <c r="H221" s="310"/>
      <c r="I221" s="310"/>
      <c r="J221" s="310"/>
      <c r="K221" s="310"/>
      <c r="L221" s="310"/>
      <c r="M221" s="310"/>
      <c r="N221" s="310"/>
    </row>
    <row r="222" spans="1:14" s="388" customFormat="1">
      <c r="A222" s="396"/>
      <c r="B222" s="395"/>
      <c r="C222" s="395"/>
      <c r="D222" s="395"/>
      <c r="E222" s="395"/>
      <c r="F222" s="395"/>
      <c r="G222" s="395"/>
      <c r="H222" s="395"/>
      <c r="I222" s="395"/>
      <c r="J222" s="395"/>
      <c r="K222" s="395"/>
      <c r="L222" s="395"/>
      <c r="M222" s="395"/>
      <c r="N222" s="395"/>
    </row>
    <row r="223" spans="1:14" s="388" customFormat="1">
      <c r="A223" s="396"/>
      <c r="B223" s="395"/>
      <c r="C223" s="395"/>
      <c r="D223" s="395"/>
      <c r="E223" s="395"/>
      <c r="F223" s="395"/>
      <c r="G223" s="395"/>
      <c r="H223" s="395"/>
      <c r="I223" s="395"/>
      <c r="J223" s="395"/>
      <c r="K223" s="395"/>
      <c r="L223" s="395"/>
      <c r="M223" s="395"/>
      <c r="N223" s="395"/>
    </row>
    <row r="224" spans="1:14" s="388" customFormat="1">
      <c r="A224" s="396"/>
      <c r="B224" s="395"/>
      <c r="C224" s="395"/>
      <c r="D224" s="395"/>
      <c r="E224" s="395"/>
      <c r="F224" s="395"/>
      <c r="G224" s="395"/>
      <c r="H224" s="395"/>
      <c r="I224" s="395"/>
      <c r="J224" s="395"/>
      <c r="K224" s="395"/>
      <c r="L224" s="395"/>
      <c r="M224" s="395"/>
      <c r="N224" s="395"/>
    </row>
    <row r="225" spans="1:14" s="388" customFormat="1" ht="15.75" thickBot="1">
      <c r="A225" s="397"/>
      <c r="B225" s="398"/>
      <c r="C225" s="398"/>
      <c r="D225" s="398"/>
      <c r="E225" s="398"/>
      <c r="F225" s="398"/>
      <c r="G225" s="1104" t="s">
        <v>38</v>
      </c>
      <c r="H225" s="1104"/>
      <c r="I225" s="1104"/>
      <c r="J225" s="1104"/>
      <c r="K225" s="1104"/>
      <c r="L225" s="1104"/>
      <c r="M225" s="1104"/>
      <c r="N225" s="1104"/>
    </row>
    <row r="226" spans="1:14" s="388" customFormat="1"/>
    <row r="227" spans="1:14" s="388" customFormat="1"/>
    <row r="228" spans="1:14" s="388" customFormat="1"/>
    <row r="229" spans="1:14" s="388" customFormat="1"/>
    <row r="230" spans="1:14" s="388" customFormat="1"/>
    <row r="231" spans="1:14" s="388" customFormat="1"/>
    <row r="232" spans="1:14" s="388" customFormat="1"/>
    <row r="233" spans="1:14" s="388" customFormat="1"/>
    <row r="234" spans="1:14" s="388" customFormat="1"/>
    <row r="235" spans="1:14" s="388" customFormat="1"/>
    <row r="236" spans="1:14" s="388" customFormat="1"/>
    <row r="237" spans="1:14" s="388" customFormat="1"/>
    <row r="238" spans="1:14" s="388" customFormat="1"/>
    <row r="239" spans="1:14" s="388" customFormat="1"/>
    <row r="240" spans="1:14" s="388" customFormat="1"/>
    <row r="241" spans="1:14" s="388" customFormat="1"/>
    <row r="242" spans="1:14" s="388" customFormat="1"/>
    <row r="243" spans="1:14" s="388" customFormat="1"/>
    <row r="244" spans="1:14" s="388" customFormat="1" ht="15.75" thickBot="1"/>
    <row r="245" spans="1:14" s="388" customFormat="1">
      <c r="A245" s="1105" t="s">
        <v>448</v>
      </c>
      <c r="B245" s="1106"/>
      <c r="C245" s="1106"/>
      <c r="D245" s="1106"/>
      <c r="E245" s="1106"/>
      <c r="F245" s="1106"/>
      <c r="G245" s="1106"/>
      <c r="H245" s="1106"/>
      <c r="I245" s="1106"/>
      <c r="J245" s="1106"/>
      <c r="K245" s="1106"/>
      <c r="L245" s="1106"/>
      <c r="M245" s="1106"/>
      <c r="N245" s="1106"/>
    </row>
    <row r="246" spans="1:14" s="388" customFormat="1" ht="15.75" thickBot="1">
      <c r="A246" s="1107"/>
      <c r="B246" s="1108"/>
      <c r="C246" s="1108"/>
      <c r="D246" s="1108"/>
      <c r="E246" s="1108"/>
      <c r="F246" s="1108"/>
      <c r="G246" s="1108"/>
      <c r="H246" s="1108"/>
      <c r="I246" s="1108"/>
      <c r="J246" s="1108"/>
      <c r="K246" s="1108"/>
      <c r="L246" s="1108"/>
      <c r="M246" s="1108"/>
      <c r="N246" s="1108"/>
    </row>
    <row r="247" spans="1:14" s="388" customFormat="1" ht="15.75" thickBot="1">
      <c r="A247" s="1109" t="s">
        <v>449</v>
      </c>
      <c r="B247" s="1110"/>
      <c r="C247" s="1110"/>
      <c r="D247" s="1110"/>
      <c r="E247" s="1110"/>
      <c r="F247" s="1110"/>
      <c r="G247" s="1110"/>
      <c r="H247" s="1110"/>
      <c r="I247" s="1110"/>
      <c r="J247" s="1110"/>
      <c r="K247" s="1110"/>
      <c r="L247" s="1110"/>
      <c r="M247" s="1110"/>
      <c r="N247" s="1110"/>
    </row>
    <row r="248" spans="1:14" s="388" customFormat="1">
      <c r="A248" s="351" t="s">
        <v>479</v>
      </c>
      <c r="B248" s="308"/>
      <c r="C248" s="308"/>
      <c r="D248" s="309"/>
      <c r="E248" s="1111" t="s">
        <v>480</v>
      </c>
      <c r="F248" s="1112"/>
      <c r="G248" s="1112"/>
      <c r="H248" s="352"/>
      <c r="I248" s="352"/>
      <c r="J248" s="352"/>
      <c r="K248" s="352"/>
      <c r="L248" s="352"/>
      <c r="M248" s="352"/>
      <c r="N248" s="352"/>
    </row>
    <row r="249" spans="1:14" s="388" customFormat="1">
      <c r="A249" s="353"/>
      <c r="B249" s="419" t="s">
        <v>382</v>
      </c>
      <c r="C249" s="310"/>
      <c r="D249" s="311"/>
      <c r="E249" s="354"/>
      <c r="F249" s="355"/>
      <c r="G249" s="1113" t="str">
        <f>'04-221Master'!B20</f>
        <v>Sunnapalli Anil</v>
      </c>
      <c r="H249" s="1113"/>
      <c r="I249" s="1113"/>
      <c r="J249" s="355"/>
      <c r="K249" s="355"/>
      <c r="L249" s="355"/>
      <c r="M249" s="355"/>
      <c r="N249" s="355"/>
    </row>
    <row r="250" spans="1:14" s="388" customFormat="1" ht="15.75" thickBot="1">
      <c r="A250" s="312"/>
      <c r="B250" s="421" t="s">
        <v>383</v>
      </c>
      <c r="C250" s="313"/>
      <c r="D250" s="314"/>
      <c r="E250" s="354"/>
      <c r="F250" s="355"/>
      <c r="G250" s="355"/>
      <c r="H250" s="355"/>
      <c r="I250" s="355"/>
      <c r="J250" s="355"/>
      <c r="K250" s="355"/>
      <c r="L250" s="355"/>
      <c r="M250" s="355"/>
      <c r="N250" s="355"/>
    </row>
    <row r="251" spans="1:14" s="388" customFormat="1">
      <c r="A251" s="315" t="s">
        <v>481</v>
      </c>
      <c r="B251" s="308"/>
      <c r="C251" s="308"/>
      <c r="D251" s="309"/>
      <c r="E251" s="315" t="s">
        <v>450</v>
      </c>
      <c r="F251" s="308"/>
      <c r="G251" s="356">
        <f>'04-221Master'!N20</f>
        <v>44409</v>
      </c>
      <c r="H251" s="308"/>
      <c r="I251" s="308"/>
      <c r="J251" s="308"/>
      <c r="K251" s="308"/>
      <c r="L251" s="308"/>
      <c r="M251" s="308"/>
      <c r="N251" s="308"/>
    </row>
    <row r="252" spans="1:14" s="388" customFormat="1">
      <c r="A252" s="353"/>
      <c r="B252" s="310"/>
      <c r="C252" s="310">
        <f>'04-221Master'!F401</f>
        <v>0</v>
      </c>
      <c r="D252" s="311"/>
      <c r="E252" s="316"/>
      <c r="F252" s="310"/>
      <c r="G252" s="310"/>
      <c r="H252" s="310"/>
      <c r="I252" s="310"/>
      <c r="J252" s="310"/>
      <c r="K252" s="310"/>
      <c r="L252" s="310"/>
      <c r="M252" s="310"/>
      <c r="N252" s="310"/>
    </row>
    <row r="253" spans="1:14" s="388" customFormat="1">
      <c r="A253" s="353"/>
      <c r="B253" s="310"/>
      <c r="C253" s="310"/>
      <c r="D253" s="311"/>
      <c r="E253" s="357"/>
      <c r="F253" s="310"/>
      <c r="G253" s="310"/>
      <c r="H253" s="310"/>
      <c r="I253" s="310"/>
      <c r="J253" s="310"/>
      <c r="K253" s="310"/>
      <c r="L253" s="310"/>
      <c r="M253" s="310"/>
      <c r="N253" s="310"/>
    </row>
    <row r="254" spans="1:14" s="388" customFormat="1" ht="15.75" thickBot="1">
      <c r="A254" s="390"/>
      <c r="B254" s="318"/>
      <c r="C254" s="318"/>
      <c r="D254" s="358"/>
      <c r="E254" s="312"/>
      <c r="F254" s="313"/>
      <c r="G254" s="313"/>
      <c r="H254" s="313"/>
      <c r="I254" s="313"/>
      <c r="J254" s="313"/>
      <c r="K254" s="313"/>
      <c r="L254" s="313"/>
      <c r="M254" s="313"/>
      <c r="N254" s="313"/>
    </row>
    <row r="255" spans="1:14" s="388" customFormat="1">
      <c r="A255" s="1114" t="s">
        <v>5</v>
      </c>
      <c r="B255" s="1116" t="s">
        <v>451</v>
      </c>
      <c r="C255" s="1117"/>
      <c r="D255" s="1116" t="s">
        <v>452</v>
      </c>
      <c r="E255" s="1119"/>
      <c r="F255" s="1122" t="s">
        <v>453</v>
      </c>
      <c r="G255" s="1118" t="s">
        <v>454</v>
      </c>
      <c r="H255" s="1124"/>
      <c r="I255" s="1125" t="s">
        <v>455</v>
      </c>
      <c r="J255" s="1124"/>
      <c r="K255" s="1126"/>
      <c r="L255" s="1125" t="s">
        <v>456</v>
      </c>
      <c r="M255" s="1124"/>
      <c r="N255" s="1124"/>
    </row>
    <row r="256" spans="1:14" s="388" customFormat="1" ht="15.75" thickBot="1">
      <c r="A256" s="1115"/>
      <c r="B256" s="1118"/>
      <c r="C256" s="1119"/>
      <c r="D256" s="1118"/>
      <c r="E256" s="1119"/>
      <c r="F256" s="1123"/>
      <c r="G256" s="1118"/>
      <c r="H256" s="1124"/>
      <c r="I256" s="1127"/>
      <c r="J256" s="1128"/>
      <c r="K256" s="1129"/>
      <c r="L256" s="1127"/>
      <c r="M256" s="1128"/>
      <c r="N256" s="1128"/>
    </row>
    <row r="257" spans="1:15" s="388" customFormat="1">
      <c r="A257" s="391">
        <v>1</v>
      </c>
      <c r="B257" s="1120"/>
      <c r="C257" s="1121"/>
      <c r="D257" s="1120"/>
      <c r="E257" s="1121"/>
      <c r="F257" s="322">
        <v>6</v>
      </c>
      <c r="G257" s="1120"/>
      <c r="H257" s="1121"/>
      <c r="I257" s="359">
        <v>9</v>
      </c>
      <c r="J257" s="359"/>
      <c r="K257" s="359"/>
      <c r="L257" s="359">
        <v>9</v>
      </c>
      <c r="M257" s="359"/>
      <c r="N257" s="359"/>
    </row>
    <row r="258" spans="1:15" s="388" customFormat="1" ht="38.25">
      <c r="A258" s="392"/>
      <c r="B258" s="346" t="s">
        <v>457</v>
      </c>
      <c r="C258" s="346" t="s">
        <v>458</v>
      </c>
      <c r="D258" s="346" t="s">
        <v>459</v>
      </c>
      <c r="E258" s="346" t="s">
        <v>133</v>
      </c>
      <c r="F258" s="346"/>
      <c r="G258" s="346" t="s">
        <v>460</v>
      </c>
      <c r="H258" s="346" t="s">
        <v>461</v>
      </c>
      <c r="I258" s="346" t="s">
        <v>462</v>
      </c>
      <c r="J258" s="346" t="s">
        <v>463</v>
      </c>
      <c r="K258" s="346" t="s">
        <v>464</v>
      </c>
      <c r="L258" s="346" t="s">
        <v>465</v>
      </c>
      <c r="M258" s="346" t="s">
        <v>466</v>
      </c>
      <c r="N258" s="360" t="s">
        <v>467</v>
      </c>
    </row>
    <row r="259" spans="1:15" s="388" customFormat="1">
      <c r="A259" s="393"/>
      <c r="B259" s="346"/>
      <c r="C259" s="346"/>
      <c r="D259" s="346"/>
      <c r="E259" s="346"/>
      <c r="F259" s="346"/>
      <c r="G259" s="346"/>
      <c r="H259" s="346"/>
      <c r="I259" s="346"/>
      <c r="J259" s="346"/>
      <c r="K259" s="346"/>
      <c r="L259" s="346"/>
      <c r="M259" s="346"/>
      <c r="N259" s="346"/>
    </row>
    <row r="260" spans="1:15" s="388" customFormat="1">
      <c r="A260" s="361" t="s">
        <v>785</v>
      </c>
      <c r="B260" s="346">
        <v>1.5</v>
      </c>
      <c r="C260" s="346">
        <v>1</v>
      </c>
      <c r="D260" s="362">
        <v>44564</v>
      </c>
      <c r="E260" s="362">
        <v>44564</v>
      </c>
      <c r="F260" s="346">
        <v>6.5</v>
      </c>
      <c r="G260" s="346"/>
      <c r="H260" s="346"/>
      <c r="I260" s="346" t="s">
        <v>489</v>
      </c>
      <c r="J260" s="346" t="s">
        <v>489</v>
      </c>
      <c r="K260" s="346" t="s">
        <v>489</v>
      </c>
      <c r="L260" s="346"/>
      <c r="M260" s="346"/>
      <c r="N260" s="346"/>
    </row>
    <row r="261" spans="1:15" s="388" customFormat="1">
      <c r="A261" s="393" t="s">
        <v>795</v>
      </c>
      <c r="B261" s="346">
        <v>1.5</v>
      </c>
      <c r="C261" s="346">
        <v>1</v>
      </c>
      <c r="D261" s="362">
        <v>44603</v>
      </c>
      <c r="E261" s="362">
        <v>44603</v>
      </c>
      <c r="F261" s="346">
        <f>F260+B261-C261</f>
        <v>7</v>
      </c>
      <c r="G261" s="346"/>
      <c r="H261" s="346"/>
      <c r="I261" s="346" t="s">
        <v>489</v>
      </c>
      <c r="J261" s="346" t="s">
        <v>489</v>
      </c>
      <c r="K261" s="346" t="s">
        <v>489</v>
      </c>
      <c r="L261" s="346"/>
      <c r="M261" s="346"/>
      <c r="N261" s="346"/>
    </row>
    <row r="262" spans="1:15" s="388" customFormat="1">
      <c r="A262" s="393" t="s">
        <v>823</v>
      </c>
      <c r="B262" s="346">
        <v>1.5</v>
      </c>
      <c r="C262" s="346">
        <v>0</v>
      </c>
      <c r="D262" s="346">
        <v>0</v>
      </c>
      <c r="E262" s="346">
        <v>0</v>
      </c>
      <c r="F262" s="346">
        <f>F261+B262-C262</f>
        <v>8.5</v>
      </c>
      <c r="G262" s="346"/>
      <c r="H262" s="346"/>
      <c r="I262" s="346" t="s">
        <v>489</v>
      </c>
      <c r="J262" s="346" t="s">
        <v>489</v>
      </c>
      <c r="K262" s="346" t="s">
        <v>489</v>
      </c>
      <c r="L262" s="346"/>
      <c r="M262" s="346"/>
      <c r="N262" s="346"/>
    </row>
    <row r="263" spans="1:15" s="388" customFormat="1">
      <c r="A263" s="393" t="s">
        <v>846</v>
      </c>
      <c r="B263" s="346">
        <v>1.5</v>
      </c>
      <c r="C263" s="346">
        <v>0</v>
      </c>
      <c r="D263" s="346">
        <v>0</v>
      </c>
      <c r="E263" s="346">
        <v>0</v>
      </c>
      <c r="F263" s="346">
        <f>F262+B263-C263</f>
        <v>10</v>
      </c>
      <c r="G263" s="346"/>
      <c r="H263" s="346"/>
      <c r="I263" s="346" t="s">
        <v>489</v>
      </c>
      <c r="J263" s="346" t="s">
        <v>489</v>
      </c>
      <c r="K263" s="346" t="s">
        <v>489</v>
      </c>
      <c r="L263" s="346"/>
      <c r="M263" s="346"/>
      <c r="N263" s="346"/>
      <c r="O263" s="388">
        <v>5</v>
      </c>
    </row>
    <row r="264" spans="1:15" s="388" customFormat="1">
      <c r="A264" s="428"/>
      <c r="B264" s="409"/>
      <c r="C264" s="409"/>
      <c r="D264" s="602"/>
      <c r="E264" s="602"/>
      <c r="F264" s="409"/>
      <c r="G264" s="409"/>
      <c r="H264" s="409"/>
      <c r="I264" s="409"/>
      <c r="J264" s="409"/>
      <c r="K264" s="409"/>
      <c r="L264" s="346"/>
      <c r="M264" s="346"/>
      <c r="N264" s="346"/>
    </row>
    <row r="265" spans="1:15" s="388" customFormat="1">
      <c r="A265" s="710"/>
      <c r="B265" s="346"/>
      <c r="C265" s="346"/>
      <c r="D265" s="362"/>
      <c r="E265" s="362"/>
      <c r="F265" s="409"/>
      <c r="G265" s="346"/>
      <c r="H265" s="346"/>
      <c r="I265" s="409"/>
      <c r="J265" s="409"/>
      <c r="K265" s="409"/>
      <c r="L265" s="346"/>
      <c r="M265" s="346"/>
      <c r="N265" s="346"/>
    </row>
    <row r="266" spans="1:15" s="388" customFormat="1">
      <c r="A266" s="394"/>
      <c r="B266" s="346"/>
      <c r="C266" s="346"/>
      <c r="D266" s="499"/>
      <c r="E266" s="499"/>
      <c r="F266" s="346"/>
      <c r="G266" s="346"/>
      <c r="H266" s="346"/>
      <c r="I266" s="346"/>
      <c r="J266" s="346"/>
      <c r="K266" s="346"/>
      <c r="L266" s="346"/>
      <c r="M266" s="346"/>
      <c r="N266" s="346"/>
    </row>
    <row r="267" spans="1:15" s="388" customFormat="1">
      <c r="A267" s="394"/>
      <c r="B267" s="393"/>
      <c r="C267" s="346"/>
      <c r="D267" s="499"/>
      <c r="E267" s="499"/>
      <c r="F267" s="346"/>
      <c r="G267" s="346"/>
      <c r="H267" s="346"/>
      <c r="I267" s="346"/>
      <c r="J267" s="346"/>
      <c r="K267" s="346"/>
      <c r="L267" s="346"/>
      <c r="M267" s="346"/>
      <c r="N267" s="346"/>
    </row>
    <row r="268" spans="1:15" s="388" customFormat="1">
      <c r="A268" s="394"/>
      <c r="B268" s="346"/>
      <c r="C268" s="346"/>
      <c r="D268" s="499"/>
      <c r="E268" s="499"/>
      <c r="F268" s="346"/>
      <c r="G268" s="346"/>
      <c r="H268" s="346"/>
      <c r="I268" s="346"/>
      <c r="J268" s="346"/>
      <c r="K268" s="346"/>
      <c r="L268" s="346"/>
      <c r="M268" s="346"/>
      <c r="N268" s="346"/>
    </row>
    <row r="269" spans="1:15" s="388" customFormat="1">
      <c r="A269" s="394"/>
      <c r="B269" s="346"/>
      <c r="C269" s="346"/>
      <c r="D269" s="499"/>
      <c r="E269" s="436"/>
      <c r="F269" s="346"/>
      <c r="G269" s="346"/>
      <c r="H269" s="346"/>
      <c r="I269" s="346"/>
      <c r="J269" s="346"/>
      <c r="K269" s="346"/>
      <c r="L269" s="346"/>
      <c r="M269" s="346"/>
      <c r="N269" s="346"/>
    </row>
    <row r="270" spans="1:15" s="388" customFormat="1">
      <c r="A270" s="394"/>
      <c r="B270" s="346"/>
      <c r="C270" s="346"/>
      <c r="D270" s="362"/>
      <c r="E270" s="362"/>
      <c r="F270" s="346"/>
      <c r="G270" s="346"/>
      <c r="H270" s="346"/>
      <c r="I270" s="346"/>
      <c r="J270" s="346"/>
      <c r="K270" s="346"/>
      <c r="L270" s="346"/>
      <c r="M270" s="346"/>
      <c r="N270" s="346"/>
    </row>
    <row r="271" spans="1:15" s="388" customFormat="1">
      <c r="A271" s="394"/>
      <c r="B271" s="346"/>
      <c r="C271" s="346"/>
      <c r="D271" s="362"/>
      <c r="E271" s="362"/>
      <c r="F271" s="346"/>
      <c r="G271" s="346"/>
      <c r="H271" s="346"/>
      <c r="I271" s="346"/>
      <c r="J271" s="346"/>
      <c r="K271" s="346"/>
      <c r="L271" s="346"/>
      <c r="M271" s="346"/>
      <c r="N271" s="346"/>
    </row>
    <row r="272" spans="1:15" s="388" customFormat="1">
      <c r="A272" s="394"/>
      <c r="B272" s="346"/>
      <c r="C272" s="346"/>
      <c r="D272" s="362"/>
      <c r="E272" s="362"/>
      <c r="F272" s="346"/>
      <c r="G272" s="346"/>
      <c r="H272" s="346"/>
      <c r="I272" s="346"/>
      <c r="J272" s="346"/>
      <c r="K272" s="346"/>
      <c r="L272" s="346"/>
      <c r="M272" s="346"/>
      <c r="N272" s="346"/>
    </row>
    <row r="273" spans="1:14" s="388" customFormat="1">
      <c r="A273" s="394"/>
      <c r="B273" s="346"/>
      <c r="C273" s="346"/>
      <c r="D273" s="362"/>
      <c r="E273" s="362"/>
      <c r="F273" s="346"/>
      <c r="G273" s="346"/>
      <c r="H273" s="346"/>
      <c r="I273" s="346"/>
      <c r="J273" s="346"/>
      <c r="K273" s="346"/>
      <c r="L273" s="346"/>
      <c r="M273" s="346"/>
      <c r="N273" s="346"/>
    </row>
    <row r="274" spans="1:14" s="388" customFormat="1">
      <c r="A274" s="394"/>
      <c r="B274" s="346"/>
      <c r="C274" s="346"/>
      <c r="D274" s="362"/>
      <c r="E274" s="362"/>
      <c r="F274" s="346"/>
      <c r="G274" s="346"/>
      <c r="H274" s="346"/>
      <c r="I274" s="346"/>
      <c r="J274" s="346"/>
      <c r="K274" s="346"/>
      <c r="L274" s="346"/>
      <c r="M274" s="346"/>
      <c r="N274" s="346"/>
    </row>
    <row r="275" spans="1:14" s="388" customFormat="1">
      <c r="A275" s="392"/>
      <c r="B275" s="346"/>
      <c r="C275" s="346"/>
      <c r="D275" s="346"/>
      <c r="E275" s="346"/>
      <c r="F275" s="346"/>
      <c r="G275" s="346"/>
      <c r="H275" s="346"/>
      <c r="I275" s="346"/>
      <c r="J275" s="346"/>
      <c r="K275" s="346"/>
      <c r="L275" s="346"/>
      <c r="M275" s="346"/>
      <c r="N275" s="346"/>
    </row>
    <row r="276" spans="1:14" s="388" customFormat="1">
      <c r="A276" s="392"/>
      <c r="B276" s="346"/>
      <c r="C276" s="346"/>
      <c r="D276" s="346"/>
      <c r="E276" s="346"/>
      <c r="F276" s="346"/>
      <c r="G276" s="346"/>
      <c r="H276" s="346"/>
      <c r="I276" s="346"/>
      <c r="J276" s="346"/>
      <c r="K276" s="346"/>
      <c r="L276" s="346"/>
      <c r="M276" s="346"/>
      <c r="N276" s="346"/>
    </row>
    <row r="277" spans="1:14" s="388" customFormat="1">
      <c r="A277" s="392"/>
      <c r="B277" s="346"/>
      <c r="C277" s="346"/>
      <c r="D277" s="346"/>
      <c r="E277" s="346"/>
      <c r="F277" s="346"/>
      <c r="G277" s="346"/>
      <c r="H277" s="346"/>
      <c r="I277" s="346"/>
      <c r="J277" s="346"/>
      <c r="K277" s="346"/>
      <c r="L277" s="346"/>
      <c r="M277" s="346"/>
      <c r="N277" s="346"/>
    </row>
    <row r="278" spans="1:14" s="388" customFormat="1">
      <c r="A278" s="392"/>
      <c r="B278" s="346"/>
      <c r="C278" s="346"/>
      <c r="D278" s="346"/>
      <c r="E278" s="346"/>
      <c r="F278" s="346"/>
      <c r="G278" s="346"/>
      <c r="H278" s="346"/>
      <c r="I278" s="346"/>
      <c r="J278" s="346"/>
      <c r="K278" s="346"/>
      <c r="L278" s="346"/>
      <c r="M278" s="346"/>
      <c r="N278" s="346"/>
    </row>
    <row r="279" spans="1:14" s="388" customFormat="1">
      <c r="A279" s="392"/>
      <c r="B279" s="346"/>
      <c r="C279" s="346"/>
      <c r="D279" s="346"/>
      <c r="E279" s="346"/>
      <c r="F279" s="346"/>
      <c r="G279" s="346"/>
      <c r="H279" s="346"/>
      <c r="I279" s="346"/>
      <c r="J279" s="346"/>
      <c r="K279" s="346"/>
      <c r="L279" s="346"/>
      <c r="M279" s="346"/>
      <c r="N279" s="346"/>
    </row>
    <row r="280" spans="1:14" s="388" customFormat="1">
      <c r="A280" s="353"/>
      <c r="B280" s="310"/>
      <c r="C280" s="310"/>
      <c r="D280" s="310"/>
      <c r="E280" s="310"/>
      <c r="F280" s="310"/>
      <c r="G280" s="310"/>
      <c r="H280" s="310"/>
      <c r="I280" s="310"/>
      <c r="J280" s="310"/>
      <c r="K280" s="310"/>
      <c r="L280" s="310"/>
      <c r="M280" s="310"/>
      <c r="N280" s="310"/>
    </row>
    <row r="281" spans="1:14" s="388" customFormat="1">
      <c r="A281" s="353"/>
      <c r="B281" s="310"/>
      <c r="C281" s="310"/>
      <c r="D281" s="310"/>
      <c r="E281" s="310"/>
      <c r="F281" s="310"/>
      <c r="G281" s="310"/>
      <c r="H281" s="310"/>
      <c r="I281" s="310"/>
      <c r="J281" s="310"/>
      <c r="K281" s="310"/>
      <c r="L281" s="310"/>
      <c r="M281" s="310"/>
      <c r="N281" s="310"/>
    </row>
    <row r="282" spans="1:14" s="388" customFormat="1">
      <c r="A282" s="353"/>
      <c r="B282" s="310"/>
      <c r="C282" s="310"/>
      <c r="D282" s="310"/>
      <c r="E282" s="310"/>
      <c r="F282" s="310"/>
      <c r="G282" s="310"/>
      <c r="H282" s="310"/>
      <c r="I282" s="310"/>
      <c r="J282" s="310"/>
      <c r="K282" s="310"/>
      <c r="L282" s="310"/>
      <c r="M282" s="310"/>
      <c r="N282" s="310"/>
    </row>
    <row r="283" spans="1:14" s="388" customFormat="1">
      <c r="A283" s="396"/>
      <c r="B283" s="395"/>
      <c r="C283" s="395"/>
      <c r="D283" s="395"/>
      <c r="E283" s="395"/>
      <c r="F283" s="395"/>
      <c r="G283" s="395"/>
      <c r="H283" s="395"/>
      <c r="I283" s="395"/>
      <c r="J283" s="395"/>
      <c r="K283" s="395"/>
      <c r="L283" s="395"/>
      <c r="M283" s="395"/>
      <c r="N283" s="395"/>
    </row>
    <row r="284" spans="1:14" s="388" customFormat="1">
      <c r="A284" s="396"/>
      <c r="B284" s="395"/>
      <c r="C284" s="395"/>
      <c r="D284" s="395"/>
      <c r="E284" s="395"/>
      <c r="F284" s="395"/>
      <c r="G284" s="395"/>
      <c r="H284" s="395"/>
      <c r="I284" s="395"/>
      <c r="J284" s="395"/>
      <c r="K284" s="395"/>
      <c r="L284" s="395"/>
      <c r="M284" s="395"/>
      <c r="N284" s="395"/>
    </row>
    <row r="285" spans="1:14" s="388" customFormat="1">
      <c r="A285" s="396"/>
      <c r="B285" s="395"/>
      <c r="C285" s="395"/>
      <c r="D285" s="395"/>
      <c r="E285" s="395"/>
      <c r="F285" s="395"/>
      <c r="G285" s="395"/>
      <c r="H285" s="395"/>
      <c r="I285" s="395"/>
      <c r="J285" s="395"/>
      <c r="K285" s="395"/>
      <c r="L285" s="395"/>
      <c r="M285" s="395"/>
      <c r="N285" s="395"/>
    </row>
    <row r="286" spans="1:14" s="388" customFormat="1" ht="15.75" thickBot="1">
      <c r="A286" s="397"/>
      <c r="B286" s="398"/>
      <c r="C286" s="398"/>
      <c r="D286" s="398"/>
      <c r="E286" s="398"/>
      <c r="F286" s="398"/>
      <c r="G286" s="1104" t="s">
        <v>38</v>
      </c>
      <c r="H286" s="1104"/>
      <c r="I286" s="1104"/>
      <c r="J286" s="1104"/>
      <c r="K286" s="1104"/>
      <c r="L286" s="1104"/>
      <c r="M286" s="1104"/>
      <c r="N286" s="1104"/>
    </row>
    <row r="290" s="388" customFormat="1"/>
    <row r="291" s="388" customFormat="1"/>
    <row r="292" s="388" customFormat="1"/>
    <row r="293" s="388" customFormat="1"/>
    <row r="294" s="388" customFormat="1"/>
    <row r="295" s="388" customFormat="1"/>
    <row r="296" s="388" customFormat="1"/>
    <row r="297" s="388" customFormat="1"/>
    <row r="298" s="388" customFormat="1"/>
    <row r="299" s="388" customFormat="1"/>
    <row r="300" s="388" customFormat="1"/>
    <row r="301" s="388" customFormat="1"/>
    <row r="302" s="388" customFormat="1"/>
    <row r="305" spans="1:14" ht="15.75" thickBot="1"/>
    <row r="306" spans="1:14" s="388" customFormat="1">
      <c r="A306" s="1105" t="s">
        <v>448</v>
      </c>
      <c r="B306" s="1106"/>
      <c r="C306" s="1106"/>
      <c r="D306" s="1106"/>
      <c r="E306" s="1106"/>
      <c r="F306" s="1106"/>
      <c r="G306" s="1106"/>
      <c r="H306" s="1106"/>
      <c r="I306" s="1106"/>
      <c r="J306" s="1106"/>
      <c r="K306" s="1106"/>
      <c r="L306" s="1106"/>
      <c r="M306" s="1106"/>
      <c r="N306" s="1106"/>
    </row>
    <row r="307" spans="1:14" s="388" customFormat="1" ht="15.75" thickBot="1">
      <c r="A307" s="1107"/>
      <c r="B307" s="1108"/>
      <c r="C307" s="1108"/>
      <c r="D307" s="1108"/>
      <c r="E307" s="1108"/>
      <c r="F307" s="1108"/>
      <c r="G307" s="1108"/>
      <c r="H307" s="1108"/>
      <c r="I307" s="1108"/>
      <c r="J307" s="1108"/>
      <c r="K307" s="1108"/>
      <c r="L307" s="1108"/>
      <c r="M307" s="1108"/>
      <c r="N307" s="1108"/>
    </row>
    <row r="308" spans="1:14" s="388" customFormat="1" ht="15.75" thickBot="1">
      <c r="A308" s="1109" t="s">
        <v>449</v>
      </c>
      <c r="B308" s="1110"/>
      <c r="C308" s="1110"/>
      <c r="D308" s="1110"/>
      <c r="E308" s="1110"/>
      <c r="F308" s="1110"/>
      <c r="G308" s="1110"/>
      <c r="H308" s="1110"/>
      <c r="I308" s="1110"/>
      <c r="J308" s="1110"/>
      <c r="K308" s="1110"/>
      <c r="L308" s="1110"/>
      <c r="M308" s="1110"/>
      <c r="N308" s="1110"/>
    </row>
    <row r="309" spans="1:14" s="388" customFormat="1">
      <c r="A309" s="351" t="s">
        <v>479</v>
      </c>
      <c r="B309" s="308"/>
      <c r="C309" s="308"/>
      <c r="D309" s="309"/>
      <c r="E309" s="1111" t="s">
        <v>480</v>
      </c>
      <c r="F309" s="1112"/>
      <c r="G309" s="1112"/>
      <c r="H309" s="352"/>
      <c r="I309" s="352"/>
      <c r="J309" s="352"/>
      <c r="K309" s="352"/>
      <c r="L309" s="352"/>
      <c r="M309" s="352"/>
      <c r="N309" s="352"/>
    </row>
    <row r="310" spans="1:14" s="388" customFormat="1">
      <c r="A310" s="353"/>
      <c r="B310" s="419" t="s">
        <v>382</v>
      </c>
      <c r="C310" s="310"/>
      <c r="D310" s="311"/>
      <c r="E310" s="354"/>
      <c r="F310" s="355"/>
      <c r="G310" s="1113" t="str">
        <f>'04-221Master'!B21</f>
        <v>Himanshu Anand</v>
      </c>
      <c r="H310" s="1113"/>
      <c r="I310" s="1113"/>
      <c r="J310" s="355"/>
      <c r="K310" s="355"/>
      <c r="L310" s="355"/>
      <c r="M310" s="355"/>
      <c r="N310" s="355"/>
    </row>
    <row r="311" spans="1:14" s="388" customFormat="1" ht="15.75" thickBot="1">
      <c r="A311" s="312"/>
      <c r="B311" s="421" t="s">
        <v>383</v>
      </c>
      <c r="C311" s="313"/>
      <c r="D311" s="314"/>
      <c r="E311" s="354"/>
      <c r="F311" s="355"/>
      <c r="G311" s="355"/>
      <c r="H311" s="355"/>
      <c r="I311" s="355"/>
      <c r="J311" s="355"/>
      <c r="K311" s="355"/>
      <c r="L311" s="355"/>
      <c r="M311" s="355"/>
      <c r="N311" s="355"/>
    </row>
    <row r="312" spans="1:14" s="388" customFormat="1">
      <c r="A312" s="315" t="s">
        <v>481</v>
      </c>
      <c r="B312" s="308"/>
      <c r="C312" s="308"/>
      <c r="D312" s="309"/>
      <c r="E312" s="315" t="s">
        <v>450</v>
      </c>
      <c r="F312" s="308"/>
      <c r="G312" s="356">
        <f>'04-221Master'!N21</f>
        <v>44432</v>
      </c>
      <c r="H312" s="308"/>
      <c r="I312" s="308"/>
      <c r="J312" s="308"/>
      <c r="K312" s="308"/>
      <c r="L312" s="308"/>
      <c r="M312" s="308"/>
      <c r="N312" s="308"/>
    </row>
    <row r="313" spans="1:14" s="388" customFormat="1">
      <c r="A313" s="353"/>
      <c r="B313" s="310"/>
      <c r="C313" s="310" t="str">
        <f>'04-221Master'!F21</f>
        <v xml:space="preserve">Sr. DBA / Sr. Administrator </v>
      </c>
      <c r="D313" s="311"/>
      <c r="E313" s="316"/>
      <c r="F313" s="310"/>
      <c r="G313" s="310"/>
      <c r="H313" s="310"/>
      <c r="I313" s="310"/>
      <c r="J313" s="310"/>
      <c r="K313" s="310"/>
      <c r="L313" s="310"/>
      <c r="M313" s="310"/>
      <c r="N313" s="310"/>
    </row>
    <row r="314" spans="1:14" s="388" customFormat="1">
      <c r="A314" s="353"/>
      <c r="B314" s="310"/>
      <c r="C314" s="310"/>
      <c r="D314" s="311"/>
      <c r="E314" s="357"/>
      <c r="F314" s="310"/>
      <c r="G314" s="310"/>
      <c r="H314" s="310"/>
      <c r="I314" s="310"/>
      <c r="J314" s="310"/>
      <c r="K314" s="310"/>
      <c r="L314" s="310"/>
      <c r="M314" s="310"/>
      <c r="N314" s="310"/>
    </row>
    <row r="315" spans="1:14" s="388" customFormat="1" ht="15.75" thickBot="1">
      <c r="A315" s="390"/>
      <c r="B315" s="318"/>
      <c r="C315" s="318"/>
      <c r="D315" s="358"/>
      <c r="E315" s="312"/>
      <c r="F315" s="313"/>
      <c r="G315" s="313"/>
      <c r="H315" s="313"/>
      <c r="I315" s="313"/>
      <c r="J315" s="313"/>
      <c r="K315" s="313"/>
      <c r="L315" s="313"/>
      <c r="M315" s="313"/>
      <c r="N315" s="313"/>
    </row>
    <row r="316" spans="1:14" s="388" customFormat="1">
      <c r="A316" s="1114" t="s">
        <v>5</v>
      </c>
      <c r="B316" s="1116" t="s">
        <v>451</v>
      </c>
      <c r="C316" s="1117"/>
      <c r="D316" s="1116" t="s">
        <v>452</v>
      </c>
      <c r="E316" s="1119"/>
      <c r="F316" s="1122" t="s">
        <v>453</v>
      </c>
      <c r="G316" s="1118" t="s">
        <v>454</v>
      </c>
      <c r="H316" s="1124"/>
      <c r="I316" s="1125" t="s">
        <v>455</v>
      </c>
      <c r="J316" s="1124"/>
      <c r="K316" s="1126"/>
      <c r="L316" s="1125" t="s">
        <v>456</v>
      </c>
      <c r="M316" s="1124"/>
      <c r="N316" s="1124"/>
    </row>
    <row r="317" spans="1:14" s="388" customFormat="1" ht="15.75" thickBot="1">
      <c r="A317" s="1115"/>
      <c r="B317" s="1118"/>
      <c r="C317" s="1119"/>
      <c r="D317" s="1118"/>
      <c r="E317" s="1119"/>
      <c r="F317" s="1123"/>
      <c r="G317" s="1118"/>
      <c r="H317" s="1124"/>
      <c r="I317" s="1127"/>
      <c r="J317" s="1128"/>
      <c r="K317" s="1129"/>
      <c r="L317" s="1127"/>
      <c r="M317" s="1128"/>
      <c r="N317" s="1128"/>
    </row>
    <row r="318" spans="1:14" s="388" customFormat="1">
      <c r="A318" s="391">
        <v>1</v>
      </c>
      <c r="B318" s="1120"/>
      <c r="C318" s="1121"/>
      <c r="D318" s="1120"/>
      <c r="E318" s="1121"/>
      <c r="F318" s="322">
        <v>6</v>
      </c>
      <c r="G318" s="1120"/>
      <c r="H318" s="1121"/>
      <c r="I318" s="359">
        <v>9</v>
      </c>
      <c r="J318" s="359"/>
      <c r="K318" s="359"/>
      <c r="L318" s="359">
        <v>9</v>
      </c>
      <c r="M318" s="359"/>
      <c r="N318" s="359"/>
    </row>
    <row r="319" spans="1:14" s="12" customFormat="1" ht="38.25">
      <c r="A319" s="537"/>
      <c r="B319" s="360" t="s">
        <v>457</v>
      </c>
      <c r="C319" s="360" t="s">
        <v>458</v>
      </c>
      <c r="D319" s="360" t="s">
        <v>459</v>
      </c>
      <c r="E319" s="360" t="s">
        <v>133</v>
      </c>
      <c r="F319" s="360"/>
      <c r="G319" s="360" t="s">
        <v>460</v>
      </c>
      <c r="H319" s="360" t="s">
        <v>461</v>
      </c>
      <c r="I319" s="360" t="s">
        <v>462</v>
      </c>
      <c r="J319" s="360" t="s">
        <v>463</v>
      </c>
      <c r="K319" s="360" t="s">
        <v>464</v>
      </c>
      <c r="L319" s="360" t="s">
        <v>465</v>
      </c>
      <c r="M319" s="360" t="s">
        <v>466</v>
      </c>
      <c r="N319" s="360" t="s">
        <v>467</v>
      </c>
    </row>
    <row r="320" spans="1:14" s="388" customFormat="1">
      <c r="A320" s="393"/>
      <c r="B320" s="346"/>
      <c r="C320" s="346"/>
      <c r="D320" s="346"/>
      <c r="E320" s="346"/>
      <c r="F320" s="346"/>
      <c r="G320" s="346"/>
      <c r="H320" s="346"/>
      <c r="I320" s="346"/>
      <c r="J320" s="346"/>
      <c r="K320" s="346"/>
      <c r="L320" s="346"/>
      <c r="M320" s="346"/>
      <c r="N320" s="346"/>
    </row>
    <row r="321" spans="1:15" s="388" customFormat="1">
      <c r="A321" s="361" t="s">
        <v>785</v>
      </c>
      <c r="B321" s="346">
        <v>1.5</v>
      </c>
      <c r="C321" s="346"/>
      <c r="D321" s="436"/>
      <c r="E321" s="436"/>
      <c r="F321" s="346">
        <v>5.5</v>
      </c>
      <c r="G321" s="346"/>
      <c r="H321" s="346"/>
      <c r="I321" s="346" t="s">
        <v>489</v>
      </c>
      <c r="J321" s="346" t="s">
        <v>489</v>
      </c>
      <c r="K321" s="346" t="s">
        <v>489</v>
      </c>
      <c r="L321" s="346"/>
      <c r="M321" s="346"/>
      <c r="N321" s="346"/>
    </row>
    <row r="322" spans="1:15" s="388" customFormat="1">
      <c r="A322" s="393" t="s">
        <v>795</v>
      </c>
      <c r="B322" s="346">
        <v>1.5</v>
      </c>
      <c r="C322" s="346">
        <v>0</v>
      </c>
      <c r="D322" s="346">
        <v>0</v>
      </c>
      <c r="E322" s="346">
        <v>0</v>
      </c>
      <c r="F322" s="346">
        <f>F321+B322-C322</f>
        <v>7</v>
      </c>
      <c r="G322" s="346"/>
      <c r="H322" s="346"/>
      <c r="I322" s="346" t="s">
        <v>489</v>
      </c>
      <c r="J322" s="346" t="s">
        <v>489</v>
      </c>
      <c r="K322" s="346" t="s">
        <v>489</v>
      </c>
      <c r="L322" s="346"/>
      <c r="M322" s="346"/>
      <c r="N322" s="346"/>
    </row>
    <row r="323" spans="1:15" s="388" customFormat="1">
      <c r="A323" s="393" t="s">
        <v>823</v>
      </c>
      <c r="B323" s="346">
        <v>1.5</v>
      </c>
      <c r="C323" s="346">
        <v>0</v>
      </c>
      <c r="D323" s="346">
        <v>0</v>
      </c>
      <c r="E323" s="346">
        <v>0</v>
      </c>
      <c r="F323" s="346">
        <f>F322+B323-C323</f>
        <v>8.5</v>
      </c>
      <c r="G323" s="346"/>
      <c r="H323" s="346"/>
      <c r="I323" s="346" t="s">
        <v>489</v>
      </c>
      <c r="J323" s="346" t="s">
        <v>489</v>
      </c>
      <c r="K323" s="346" t="s">
        <v>489</v>
      </c>
      <c r="L323" s="346"/>
      <c r="M323" s="346"/>
      <c r="N323" s="346"/>
    </row>
    <row r="324" spans="1:15" s="388" customFormat="1">
      <c r="A324" s="393" t="s">
        <v>846</v>
      </c>
      <c r="B324" s="346">
        <v>1.5</v>
      </c>
      <c r="C324" s="346">
        <v>0</v>
      </c>
      <c r="D324" s="346">
        <v>0</v>
      </c>
      <c r="E324" s="346">
        <v>0</v>
      </c>
      <c r="F324" s="346">
        <f>F323+B324-C324</f>
        <v>10</v>
      </c>
      <c r="G324" s="346"/>
      <c r="H324" s="346"/>
      <c r="I324" s="346" t="s">
        <v>489</v>
      </c>
      <c r="J324" s="346" t="s">
        <v>489</v>
      </c>
      <c r="K324" s="346" t="s">
        <v>489</v>
      </c>
      <c r="L324" s="346"/>
      <c r="M324" s="346"/>
      <c r="N324" s="346"/>
      <c r="O324" s="388">
        <v>6</v>
      </c>
    </row>
    <row r="325" spans="1:15" s="388" customFormat="1">
      <c r="A325" s="428"/>
      <c r="B325" s="409"/>
      <c r="C325" s="409"/>
      <c r="D325" s="602"/>
      <c r="E325" s="602"/>
      <c r="F325" s="409"/>
      <c r="G325" s="409"/>
      <c r="H325" s="409"/>
      <c r="I325" s="409"/>
      <c r="J325" s="409"/>
      <c r="K325" s="409"/>
      <c r="L325" s="346"/>
      <c r="M325" s="346"/>
      <c r="N325" s="346"/>
    </row>
    <row r="326" spans="1:15" s="388" customFormat="1">
      <c r="A326" s="710"/>
      <c r="B326" s="346"/>
      <c r="C326" s="346"/>
      <c r="D326" s="346"/>
      <c r="E326" s="346"/>
      <c r="F326" s="409"/>
      <c r="G326" s="346"/>
      <c r="H326" s="346"/>
      <c r="I326" s="409"/>
      <c r="J326" s="409"/>
      <c r="K326" s="409"/>
      <c r="L326" s="346"/>
      <c r="M326" s="346"/>
      <c r="N326" s="346"/>
    </row>
    <row r="327" spans="1:15" s="388" customFormat="1">
      <c r="A327" s="394"/>
      <c r="B327" s="346"/>
      <c r="C327" s="346"/>
      <c r="D327" s="499"/>
      <c r="E327" s="499"/>
      <c r="F327" s="346"/>
      <c r="G327" s="346"/>
      <c r="H327" s="346"/>
      <c r="I327" s="346"/>
      <c r="J327" s="346"/>
      <c r="K327" s="346"/>
      <c r="L327" s="346"/>
      <c r="M327" s="346"/>
      <c r="N327" s="346"/>
    </row>
    <row r="328" spans="1:15" s="388" customFormat="1">
      <c r="A328" s="394"/>
      <c r="B328" s="346"/>
      <c r="C328" s="346"/>
      <c r="D328" s="499"/>
      <c r="E328" s="499"/>
      <c r="F328" s="346"/>
      <c r="G328" s="346"/>
      <c r="H328" s="346"/>
      <c r="I328" s="346"/>
      <c r="J328" s="346"/>
      <c r="K328" s="346"/>
      <c r="L328" s="346"/>
      <c r="M328" s="346"/>
      <c r="N328" s="346"/>
    </row>
    <row r="329" spans="1:15" s="388" customFormat="1">
      <c r="A329" s="394"/>
      <c r="B329" s="346"/>
      <c r="C329" s="346"/>
      <c r="D329" s="499"/>
      <c r="E329" s="499"/>
      <c r="F329" s="346"/>
      <c r="G329" s="346"/>
      <c r="H329" s="346"/>
      <c r="I329" s="346"/>
      <c r="J329" s="346"/>
      <c r="K329" s="346"/>
      <c r="L329" s="346"/>
      <c r="M329" s="346"/>
      <c r="N329" s="346"/>
    </row>
    <row r="330" spans="1:15" s="388" customFormat="1">
      <c r="A330" s="394"/>
      <c r="B330" s="346"/>
      <c r="C330" s="346"/>
      <c r="D330" s="499"/>
      <c r="E330" s="436"/>
      <c r="F330" s="346"/>
      <c r="G330" s="346"/>
      <c r="H330" s="346"/>
      <c r="I330" s="346"/>
      <c r="J330" s="346"/>
      <c r="K330" s="346"/>
      <c r="L330" s="346"/>
      <c r="M330" s="346"/>
      <c r="N330" s="346"/>
    </row>
    <row r="331" spans="1:15" s="388" customFormat="1">
      <c r="A331" s="394"/>
      <c r="B331" s="346"/>
      <c r="C331" s="346"/>
      <c r="D331" s="362"/>
      <c r="E331" s="362"/>
      <c r="F331" s="346"/>
      <c r="G331" s="346"/>
      <c r="H331" s="346"/>
      <c r="I331" s="346"/>
      <c r="J331" s="346"/>
      <c r="K331" s="346"/>
      <c r="L331" s="346"/>
      <c r="M331" s="346"/>
      <c r="N331" s="346"/>
    </row>
    <row r="332" spans="1:15" s="388" customFormat="1">
      <c r="A332" s="394"/>
      <c r="B332" s="346"/>
      <c r="C332" s="346"/>
      <c r="D332" s="362"/>
      <c r="E332" s="362"/>
      <c r="F332" s="346"/>
      <c r="G332" s="346"/>
      <c r="H332" s="346"/>
      <c r="I332" s="346"/>
      <c r="J332" s="346"/>
      <c r="K332" s="346"/>
      <c r="L332" s="346"/>
      <c r="M332" s="346"/>
      <c r="N332" s="346"/>
    </row>
    <row r="333" spans="1:15" s="388" customFormat="1">
      <c r="A333" s="394"/>
      <c r="B333" s="346"/>
      <c r="C333" s="346"/>
      <c r="D333" s="362"/>
      <c r="E333" s="362"/>
      <c r="F333" s="346"/>
      <c r="G333" s="346"/>
      <c r="H333" s="346"/>
      <c r="I333" s="346"/>
      <c r="J333" s="346"/>
      <c r="K333" s="346"/>
      <c r="L333" s="346"/>
      <c r="M333" s="346"/>
      <c r="N333" s="346"/>
    </row>
    <row r="334" spans="1:15" s="388" customFormat="1">
      <c r="A334" s="394"/>
      <c r="B334" s="346"/>
      <c r="C334" s="346"/>
      <c r="D334" s="362"/>
      <c r="E334" s="362"/>
      <c r="F334" s="346"/>
      <c r="G334" s="346"/>
      <c r="H334" s="346"/>
      <c r="I334" s="346"/>
      <c r="J334" s="346"/>
      <c r="K334" s="346"/>
      <c r="L334" s="346"/>
      <c r="M334" s="346"/>
      <c r="N334" s="346"/>
    </row>
    <row r="335" spans="1:15" s="388" customFormat="1">
      <c r="A335" s="394"/>
      <c r="B335" s="346"/>
      <c r="C335" s="346"/>
      <c r="D335" s="362"/>
      <c r="E335" s="362"/>
      <c r="F335" s="346"/>
      <c r="G335" s="346"/>
      <c r="H335" s="346"/>
      <c r="I335" s="346"/>
      <c r="J335" s="346"/>
      <c r="K335" s="346"/>
      <c r="L335" s="346"/>
      <c r="M335" s="346"/>
      <c r="N335" s="346"/>
    </row>
    <row r="336" spans="1:15" s="388" customFormat="1">
      <c r="A336" s="392"/>
      <c r="B336" s="346"/>
      <c r="C336" s="346"/>
      <c r="D336" s="346"/>
      <c r="E336" s="346"/>
      <c r="F336" s="346"/>
      <c r="G336" s="346"/>
      <c r="H336" s="346"/>
      <c r="I336" s="346"/>
      <c r="J336" s="346"/>
      <c r="K336" s="346"/>
      <c r="L336" s="346"/>
      <c r="M336" s="346"/>
      <c r="N336" s="346"/>
    </row>
    <row r="337" spans="1:14" s="388" customFormat="1">
      <c r="A337" s="392"/>
      <c r="B337" s="346"/>
      <c r="C337" s="346"/>
      <c r="D337" s="346"/>
      <c r="E337" s="346"/>
      <c r="F337" s="346"/>
      <c r="G337" s="346"/>
      <c r="H337" s="346"/>
      <c r="I337" s="346"/>
      <c r="J337" s="346"/>
      <c r="K337" s="346"/>
      <c r="L337" s="346"/>
      <c r="M337" s="346"/>
      <c r="N337" s="346"/>
    </row>
    <row r="338" spans="1:14" s="388" customFormat="1">
      <c r="A338" s="392"/>
      <c r="B338" s="346"/>
      <c r="C338" s="346"/>
      <c r="D338" s="346"/>
      <c r="E338" s="346"/>
      <c r="F338" s="346"/>
      <c r="G338" s="346"/>
      <c r="H338" s="346"/>
      <c r="I338" s="346"/>
      <c r="J338" s="346"/>
      <c r="K338" s="346"/>
      <c r="L338" s="346"/>
      <c r="M338" s="346"/>
      <c r="N338" s="346"/>
    </row>
    <row r="339" spans="1:14" s="388" customFormat="1">
      <c r="A339" s="392"/>
      <c r="B339" s="346"/>
      <c r="C339" s="346"/>
      <c r="D339" s="346"/>
      <c r="E339" s="346"/>
      <c r="F339" s="346"/>
      <c r="G339" s="346"/>
      <c r="H339" s="346"/>
      <c r="I339" s="346"/>
      <c r="J339" s="346"/>
      <c r="K339" s="346"/>
      <c r="L339" s="346"/>
      <c r="M339" s="346"/>
      <c r="N339" s="346"/>
    </row>
    <row r="340" spans="1:14" s="388" customFormat="1">
      <c r="A340" s="392"/>
      <c r="B340" s="346"/>
      <c r="C340" s="346"/>
      <c r="D340" s="346"/>
      <c r="E340" s="346"/>
      <c r="F340" s="346"/>
      <c r="G340" s="346"/>
      <c r="H340" s="346"/>
      <c r="I340" s="346"/>
      <c r="J340" s="346"/>
      <c r="K340" s="346"/>
      <c r="L340" s="346"/>
      <c r="M340" s="346"/>
      <c r="N340" s="346"/>
    </row>
    <row r="341" spans="1:14" s="388" customFormat="1">
      <c r="A341" s="353"/>
      <c r="B341" s="310"/>
      <c r="C341" s="310"/>
      <c r="D341" s="310"/>
      <c r="E341" s="310"/>
      <c r="F341" s="310"/>
      <c r="G341" s="310"/>
      <c r="H341" s="310"/>
      <c r="I341" s="310"/>
      <c r="J341" s="310"/>
      <c r="K341" s="310"/>
      <c r="L341" s="310"/>
      <c r="M341" s="310"/>
      <c r="N341" s="310"/>
    </row>
    <row r="342" spans="1:14" s="388" customFormat="1">
      <c r="A342" s="353"/>
      <c r="B342" s="310"/>
      <c r="C342" s="310"/>
      <c r="D342" s="310"/>
      <c r="E342" s="310"/>
      <c r="F342" s="310"/>
      <c r="G342" s="310"/>
      <c r="H342" s="310"/>
      <c r="I342" s="310"/>
      <c r="J342" s="310"/>
      <c r="K342" s="310"/>
      <c r="L342" s="310"/>
      <c r="M342" s="310"/>
      <c r="N342" s="310"/>
    </row>
    <row r="343" spans="1:14" s="388" customFormat="1">
      <c r="A343" s="353"/>
      <c r="B343" s="310"/>
      <c r="C343" s="310"/>
      <c r="D343" s="310"/>
      <c r="E343" s="310"/>
      <c r="F343" s="310"/>
      <c r="G343" s="310"/>
      <c r="H343" s="310"/>
      <c r="I343" s="310"/>
      <c r="J343" s="310"/>
      <c r="K343" s="310"/>
      <c r="L343" s="310"/>
      <c r="M343" s="310"/>
      <c r="N343" s="310"/>
    </row>
    <row r="344" spans="1:14" s="388" customFormat="1">
      <c r="A344" s="396"/>
      <c r="B344" s="395"/>
      <c r="C344" s="395"/>
      <c r="D344" s="395"/>
      <c r="E344" s="395"/>
      <c r="F344" s="395"/>
      <c r="G344" s="395"/>
      <c r="H344" s="395"/>
      <c r="I344" s="395"/>
      <c r="J344" s="395"/>
      <c r="K344" s="395"/>
      <c r="L344" s="395"/>
      <c r="M344" s="395"/>
      <c r="N344" s="395"/>
    </row>
    <row r="345" spans="1:14" s="388" customFormat="1">
      <c r="A345" s="396"/>
      <c r="B345" s="395"/>
      <c r="C345" s="395"/>
      <c r="D345" s="395"/>
      <c r="E345" s="395"/>
      <c r="F345" s="395"/>
      <c r="G345" s="395"/>
      <c r="H345" s="395"/>
      <c r="I345" s="395"/>
      <c r="J345" s="395"/>
      <c r="K345" s="395"/>
      <c r="L345" s="395"/>
      <c r="M345" s="395"/>
      <c r="N345" s="395"/>
    </row>
    <row r="346" spans="1:14" s="388" customFormat="1">
      <c r="A346" s="396"/>
      <c r="B346" s="395"/>
      <c r="C346" s="395"/>
      <c r="D346" s="395"/>
      <c r="E346" s="395"/>
      <c r="F346" s="395"/>
      <c r="G346" s="395"/>
      <c r="H346" s="395"/>
      <c r="I346" s="395"/>
      <c r="J346" s="395"/>
      <c r="K346" s="395"/>
      <c r="L346" s="395"/>
      <c r="M346" s="395"/>
      <c r="N346" s="395"/>
    </row>
    <row r="347" spans="1:14" s="388" customFormat="1" ht="15.75" thickBot="1">
      <c r="A347" s="397"/>
      <c r="B347" s="398"/>
      <c r="C347" s="398"/>
      <c r="D347" s="398"/>
      <c r="E347" s="398"/>
      <c r="F347" s="398"/>
      <c r="G347" s="1104" t="s">
        <v>38</v>
      </c>
      <c r="H347" s="1104"/>
      <c r="I347" s="1104"/>
      <c r="J347" s="1104"/>
      <c r="K347" s="1104"/>
      <c r="L347" s="1104"/>
      <c r="M347" s="1104"/>
      <c r="N347" s="1104"/>
    </row>
    <row r="363" spans="1:14" ht="15.75" thickBot="1"/>
    <row r="364" spans="1:14">
      <c r="A364" s="1105" t="s">
        <v>448</v>
      </c>
      <c r="B364" s="1106"/>
      <c r="C364" s="1106"/>
      <c r="D364" s="1106"/>
      <c r="E364" s="1106"/>
      <c r="F364" s="1106"/>
      <c r="G364" s="1106"/>
      <c r="H364" s="1106"/>
      <c r="I364" s="1106"/>
      <c r="J364" s="1106"/>
      <c r="K364" s="1106"/>
      <c r="L364" s="1106"/>
      <c r="M364" s="1106"/>
      <c r="N364" s="1106"/>
    </row>
    <row r="365" spans="1:14" ht="15.75" thickBot="1">
      <c r="A365" s="1107"/>
      <c r="B365" s="1108"/>
      <c r="C365" s="1108"/>
      <c r="D365" s="1108"/>
      <c r="E365" s="1108"/>
      <c r="F365" s="1108"/>
      <c r="G365" s="1108"/>
      <c r="H365" s="1108"/>
      <c r="I365" s="1108"/>
      <c r="J365" s="1108"/>
      <c r="K365" s="1108"/>
      <c r="L365" s="1108"/>
      <c r="M365" s="1108"/>
      <c r="N365" s="1108"/>
    </row>
    <row r="366" spans="1:14" ht="15.75" thickBot="1">
      <c r="A366" s="1109" t="s">
        <v>449</v>
      </c>
      <c r="B366" s="1110"/>
      <c r="C366" s="1110"/>
      <c r="D366" s="1110"/>
      <c r="E366" s="1110"/>
      <c r="F366" s="1110"/>
      <c r="G366" s="1110"/>
      <c r="H366" s="1110"/>
      <c r="I366" s="1110"/>
      <c r="J366" s="1110"/>
      <c r="K366" s="1110"/>
      <c r="L366" s="1110"/>
      <c r="M366" s="1110"/>
      <c r="N366" s="1110"/>
    </row>
    <row r="367" spans="1:14">
      <c r="A367" s="351" t="s">
        <v>479</v>
      </c>
      <c r="B367" s="308"/>
      <c r="C367" s="308"/>
      <c r="D367" s="309"/>
      <c r="E367" s="1111" t="s">
        <v>480</v>
      </c>
      <c r="F367" s="1112"/>
      <c r="G367" s="1112"/>
      <c r="H367" s="352"/>
      <c r="I367" s="352"/>
      <c r="J367" s="352"/>
      <c r="K367" s="352"/>
      <c r="L367" s="352"/>
      <c r="M367" s="352"/>
      <c r="N367" s="352"/>
    </row>
    <row r="368" spans="1:14">
      <c r="A368" s="353"/>
      <c r="B368" s="419" t="s">
        <v>382</v>
      </c>
      <c r="C368" s="310"/>
      <c r="D368" s="311"/>
      <c r="E368" s="354"/>
      <c r="F368" s="355"/>
      <c r="G368" s="1113" t="str">
        <f>'04-221Master'!B22</f>
        <v>Kanchupati Kondaiah</v>
      </c>
      <c r="H368" s="1113"/>
      <c r="I368" s="1113"/>
      <c r="J368" s="355"/>
      <c r="K368" s="355"/>
      <c r="L368" s="355"/>
      <c r="M368" s="355"/>
      <c r="N368" s="355"/>
    </row>
    <row r="369" spans="1:15" ht="15.75" thickBot="1">
      <c r="A369" s="312"/>
      <c r="B369" s="421" t="s">
        <v>383</v>
      </c>
      <c r="C369" s="313"/>
      <c r="D369" s="314"/>
      <c r="E369" s="354"/>
      <c r="F369" s="355"/>
      <c r="G369" s="355"/>
      <c r="H369" s="355"/>
      <c r="I369" s="355"/>
      <c r="J369" s="355"/>
      <c r="K369" s="355"/>
      <c r="L369" s="355"/>
      <c r="M369" s="355"/>
      <c r="N369" s="355"/>
    </row>
    <row r="370" spans="1:15">
      <c r="A370" s="315" t="s">
        <v>481</v>
      </c>
      <c r="B370" s="308"/>
      <c r="C370" s="308"/>
      <c r="D370" s="309"/>
      <c r="E370" s="315" t="s">
        <v>450</v>
      </c>
      <c r="F370" s="308"/>
      <c r="G370" s="356">
        <f>'04-221Master'!N22</f>
        <v>44434</v>
      </c>
      <c r="H370" s="308"/>
      <c r="I370" s="308"/>
      <c r="J370" s="308"/>
      <c r="K370" s="308"/>
      <c r="L370" s="308"/>
      <c r="M370" s="308"/>
      <c r="N370" s="308"/>
    </row>
    <row r="371" spans="1:15">
      <c r="A371" s="353"/>
      <c r="B371" s="310"/>
      <c r="C371" s="310" t="str">
        <f>'04-221Master'!F22</f>
        <v xml:space="preserve"> SQL DATABASE ADMINISTRATOR</v>
      </c>
      <c r="D371" s="311"/>
      <c r="E371" s="316"/>
      <c r="F371" s="310"/>
      <c r="G371" s="310"/>
      <c r="H371" s="310"/>
      <c r="I371" s="310"/>
      <c r="J371" s="310"/>
      <c r="K371" s="310"/>
      <c r="L371" s="310"/>
      <c r="M371" s="310"/>
      <c r="N371" s="310"/>
    </row>
    <row r="372" spans="1:15">
      <c r="A372" s="353"/>
      <c r="B372" s="310"/>
      <c r="C372" s="310"/>
      <c r="D372" s="311"/>
      <c r="E372" s="357"/>
      <c r="F372" s="310"/>
      <c r="G372" s="310"/>
      <c r="H372" s="310"/>
      <c r="I372" s="310"/>
      <c r="J372" s="310"/>
      <c r="K372" s="310"/>
      <c r="L372" s="310"/>
      <c r="M372" s="310"/>
      <c r="N372" s="310"/>
    </row>
    <row r="373" spans="1:15" ht="15.75" thickBot="1">
      <c r="A373" s="390"/>
      <c r="B373" s="318"/>
      <c r="C373" s="318"/>
      <c r="D373" s="358"/>
      <c r="E373" s="312"/>
      <c r="F373" s="313"/>
      <c r="G373" s="313"/>
      <c r="H373" s="313"/>
      <c r="I373" s="313"/>
      <c r="J373" s="313"/>
      <c r="K373" s="313"/>
      <c r="L373" s="313"/>
      <c r="M373" s="313"/>
      <c r="N373" s="313"/>
    </row>
    <row r="374" spans="1:15">
      <c r="A374" s="1114" t="s">
        <v>5</v>
      </c>
      <c r="B374" s="1116" t="s">
        <v>451</v>
      </c>
      <c r="C374" s="1117"/>
      <c r="D374" s="1116" t="s">
        <v>452</v>
      </c>
      <c r="E374" s="1119"/>
      <c r="F374" s="1122" t="s">
        <v>453</v>
      </c>
      <c r="G374" s="1118" t="s">
        <v>454</v>
      </c>
      <c r="H374" s="1124"/>
      <c r="I374" s="1125" t="s">
        <v>455</v>
      </c>
      <c r="J374" s="1124"/>
      <c r="K374" s="1126"/>
      <c r="L374" s="1125" t="s">
        <v>456</v>
      </c>
      <c r="M374" s="1124"/>
      <c r="N374" s="1124"/>
    </row>
    <row r="375" spans="1:15" ht="15.75" thickBot="1">
      <c r="A375" s="1115"/>
      <c r="B375" s="1118"/>
      <c r="C375" s="1119"/>
      <c r="D375" s="1118"/>
      <c r="E375" s="1119"/>
      <c r="F375" s="1123"/>
      <c r="G375" s="1118"/>
      <c r="H375" s="1124"/>
      <c r="I375" s="1127"/>
      <c r="J375" s="1128"/>
      <c r="K375" s="1129"/>
      <c r="L375" s="1127"/>
      <c r="M375" s="1128"/>
      <c r="N375" s="1128"/>
    </row>
    <row r="376" spans="1:15">
      <c r="A376" s="391">
        <v>1</v>
      </c>
      <c r="B376" s="1120"/>
      <c r="C376" s="1121"/>
      <c r="D376" s="1120"/>
      <c r="E376" s="1121"/>
      <c r="F376" s="322">
        <v>6</v>
      </c>
      <c r="G376" s="1120"/>
      <c r="H376" s="1121"/>
      <c r="I376" s="359">
        <v>9</v>
      </c>
      <c r="J376" s="359"/>
      <c r="K376" s="359"/>
      <c r="L376" s="359">
        <v>9</v>
      </c>
      <c r="M376" s="359"/>
      <c r="N376" s="359"/>
    </row>
    <row r="377" spans="1:15" ht="38.25">
      <c r="A377" s="537"/>
      <c r="B377" s="360" t="s">
        <v>457</v>
      </c>
      <c r="C377" s="360" t="s">
        <v>458</v>
      </c>
      <c r="D377" s="360" t="s">
        <v>459</v>
      </c>
      <c r="E377" s="360" t="s">
        <v>133</v>
      </c>
      <c r="F377" s="360"/>
      <c r="G377" s="360" t="s">
        <v>460</v>
      </c>
      <c r="H377" s="360" t="s">
        <v>461</v>
      </c>
      <c r="I377" s="360" t="s">
        <v>462</v>
      </c>
      <c r="J377" s="360" t="s">
        <v>463</v>
      </c>
      <c r="K377" s="360" t="s">
        <v>464</v>
      </c>
      <c r="L377" s="360" t="s">
        <v>465</v>
      </c>
      <c r="M377" s="360" t="s">
        <v>466</v>
      </c>
      <c r="N377" s="360" t="s">
        <v>467</v>
      </c>
    </row>
    <row r="378" spans="1:15">
      <c r="A378" s="361" t="s">
        <v>785</v>
      </c>
      <c r="B378" s="346">
        <v>1.5</v>
      </c>
      <c r="C378" s="346">
        <v>1</v>
      </c>
      <c r="D378" s="436">
        <v>44571</v>
      </c>
      <c r="E378" s="436">
        <v>44571</v>
      </c>
      <c r="F378" s="346">
        <v>5.5</v>
      </c>
      <c r="G378" s="346"/>
      <c r="H378" s="346"/>
      <c r="I378" s="346" t="s">
        <v>489</v>
      </c>
      <c r="J378" s="346" t="s">
        <v>489</v>
      </c>
      <c r="K378" s="346" t="s">
        <v>489</v>
      </c>
      <c r="L378" s="346"/>
      <c r="M378" s="346"/>
      <c r="N378" s="346"/>
    </row>
    <row r="379" spans="1:15" s="388" customFormat="1">
      <c r="A379" s="393" t="s">
        <v>795</v>
      </c>
      <c r="B379" s="346">
        <v>1.5</v>
      </c>
      <c r="C379" s="346">
        <v>0</v>
      </c>
      <c r="D379" s="346">
        <v>0</v>
      </c>
      <c r="E379" s="346">
        <v>0</v>
      </c>
      <c r="F379" s="346">
        <f>F378+B379-C379</f>
        <v>7</v>
      </c>
      <c r="G379" s="346"/>
      <c r="H379" s="346"/>
      <c r="I379" s="346" t="s">
        <v>489</v>
      </c>
      <c r="J379" s="346" t="s">
        <v>489</v>
      </c>
      <c r="K379" s="346" t="s">
        <v>489</v>
      </c>
      <c r="L379" s="346"/>
      <c r="M379" s="346"/>
      <c r="N379" s="346"/>
    </row>
    <row r="380" spans="1:15" s="388" customFormat="1">
      <c r="A380" s="393" t="s">
        <v>823</v>
      </c>
      <c r="B380" s="346">
        <v>1.5</v>
      </c>
      <c r="C380" s="346">
        <v>1</v>
      </c>
      <c r="D380" s="362">
        <v>44642</v>
      </c>
      <c r="E380" s="362">
        <v>44642</v>
      </c>
      <c r="F380" s="346">
        <f>F379+B380-C380</f>
        <v>7.5</v>
      </c>
      <c r="G380" s="346"/>
      <c r="H380" s="346"/>
      <c r="I380" s="346" t="s">
        <v>489</v>
      </c>
      <c r="J380" s="346" t="s">
        <v>489</v>
      </c>
      <c r="K380" s="346" t="s">
        <v>489</v>
      </c>
      <c r="L380" s="346"/>
      <c r="M380" s="346"/>
      <c r="N380" s="346"/>
    </row>
    <row r="381" spans="1:15" s="388" customFormat="1">
      <c r="A381" s="393" t="s">
        <v>846</v>
      </c>
      <c r="B381" s="346">
        <v>1.5</v>
      </c>
      <c r="C381" s="346">
        <v>1</v>
      </c>
      <c r="D381" s="362">
        <v>44673</v>
      </c>
      <c r="E381" s="362">
        <v>44673</v>
      </c>
      <c r="F381" s="346">
        <f>F380+B381-C381</f>
        <v>8</v>
      </c>
      <c r="G381" s="346"/>
      <c r="H381" s="346"/>
      <c r="I381" s="346" t="s">
        <v>489</v>
      </c>
      <c r="J381" s="346" t="s">
        <v>489</v>
      </c>
      <c r="K381" s="346" t="s">
        <v>489</v>
      </c>
      <c r="L381" s="346"/>
      <c r="M381" s="346"/>
      <c r="N381" s="346"/>
      <c r="O381" s="388">
        <v>7</v>
      </c>
    </row>
    <row r="382" spans="1:15" s="388" customFormat="1">
      <c r="A382" s="428"/>
      <c r="B382" s="409"/>
      <c r="C382" s="409"/>
      <c r="D382" s="602"/>
      <c r="E382" s="602"/>
      <c r="F382" s="409"/>
      <c r="G382" s="409"/>
      <c r="H382" s="409"/>
      <c r="I382" s="409"/>
      <c r="J382" s="409"/>
      <c r="K382" s="409"/>
      <c r="L382" s="346"/>
      <c r="M382" s="346"/>
      <c r="N382" s="346"/>
    </row>
    <row r="383" spans="1:15" s="388" customFormat="1">
      <c r="A383" s="710"/>
      <c r="B383" s="346"/>
      <c r="C383" s="346"/>
      <c r="D383" s="436"/>
      <c r="E383" s="436"/>
      <c r="F383" s="409"/>
      <c r="G383" s="346"/>
      <c r="H383" s="346"/>
      <c r="I383" s="409"/>
      <c r="J383" s="409"/>
      <c r="K383" s="409"/>
      <c r="L383" s="346"/>
      <c r="M383" s="346"/>
      <c r="N383" s="346"/>
    </row>
    <row r="384" spans="1:15">
      <c r="A384" s="394"/>
      <c r="B384" s="346"/>
      <c r="C384" s="346"/>
      <c r="D384" s="499"/>
      <c r="E384" s="499"/>
      <c r="F384" s="346"/>
      <c r="G384" s="346"/>
      <c r="H384" s="346"/>
      <c r="I384" s="346"/>
      <c r="J384" s="346"/>
      <c r="K384" s="346"/>
      <c r="L384" s="346"/>
      <c r="M384" s="346"/>
      <c r="N384" s="346"/>
    </row>
    <row r="385" spans="1:14">
      <c r="A385" s="394"/>
      <c r="B385" s="346"/>
      <c r="C385" s="346"/>
      <c r="D385" s="499"/>
      <c r="E385" s="499"/>
      <c r="F385" s="346"/>
      <c r="G385" s="346"/>
      <c r="H385" s="346"/>
      <c r="I385" s="346"/>
      <c r="J385" s="346"/>
      <c r="K385" s="346"/>
      <c r="L385" s="346"/>
      <c r="M385" s="346"/>
      <c r="N385" s="346"/>
    </row>
    <row r="386" spans="1:14">
      <c r="A386" s="394"/>
      <c r="B386" s="346"/>
      <c r="C386" s="346"/>
      <c r="D386" s="499"/>
      <c r="E386" s="499"/>
      <c r="F386" s="346"/>
      <c r="G386" s="346"/>
      <c r="H386" s="346"/>
      <c r="I386" s="346"/>
      <c r="J386" s="346"/>
      <c r="K386" s="346"/>
      <c r="L386" s="346"/>
      <c r="M386" s="346"/>
      <c r="N386" s="346"/>
    </row>
    <row r="387" spans="1:14">
      <c r="A387" s="394"/>
      <c r="B387" s="346"/>
      <c r="C387" s="346"/>
      <c r="D387" s="499"/>
      <c r="E387" s="499"/>
      <c r="F387" s="346"/>
      <c r="G387" s="346"/>
      <c r="H387" s="346"/>
      <c r="I387" s="346"/>
      <c r="J387" s="346"/>
      <c r="K387" s="346"/>
      <c r="L387" s="346"/>
      <c r="M387" s="346"/>
      <c r="N387" s="346"/>
    </row>
    <row r="388" spans="1:14">
      <c r="A388" s="394"/>
      <c r="B388" s="346"/>
      <c r="C388" s="346"/>
      <c r="D388" s="499"/>
      <c r="E388" s="436"/>
      <c r="F388" s="346"/>
      <c r="G388" s="346"/>
      <c r="H388" s="346"/>
      <c r="I388" s="346"/>
      <c r="J388" s="346"/>
      <c r="K388" s="346"/>
      <c r="L388" s="346"/>
      <c r="M388" s="346"/>
      <c r="N388" s="346"/>
    </row>
    <row r="389" spans="1:14">
      <c r="A389" s="394"/>
      <c r="B389" s="346"/>
      <c r="C389" s="346"/>
      <c r="D389" s="362"/>
      <c r="E389" s="362"/>
      <c r="F389" s="346"/>
      <c r="G389" s="346"/>
      <c r="H389" s="346"/>
      <c r="I389" s="346"/>
      <c r="J389" s="346"/>
      <c r="K389" s="346"/>
      <c r="L389" s="346"/>
      <c r="M389" s="346"/>
      <c r="N389" s="346"/>
    </row>
    <row r="390" spans="1:14">
      <c r="A390" s="394"/>
      <c r="B390" s="346"/>
      <c r="C390" s="346"/>
      <c r="D390" s="362"/>
      <c r="E390" s="362"/>
      <c r="F390" s="346"/>
      <c r="G390" s="346"/>
      <c r="H390" s="346"/>
      <c r="I390" s="346"/>
      <c r="J390" s="346"/>
      <c r="K390" s="346"/>
      <c r="L390" s="346"/>
      <c r="M390" s="346"/>
      <c r="N390" s="346"/>
    </row>
    <row r="391" spans="1:14">
      <c r="A391" s="394"/>
      <c r="B391" s="346"/>
      <c r="C391" s="346"/>
      <c r="D391" s="362"/>
      <c r="E391" s="362"/>
      <c r="F391" s="346"/>
      <c r="G391" s="346"/>
      <c r="H391" s="346"/>
      <c r="I391" s="346"/>
      <c r="J391" s="346"/>
      <c r="K391" s="346"/>
      <c r="L391" s="346"/>
      <c r="M391" s="346"/>
      <c r="N391" s="346"/>
    </row>
    <row r="392" spans="1:14">
      <c r="A392" s="394"/>
      <c r="B392" s="346"/>
      <c r="C392" s="346"/>
      <c r="D392" s="362"/>
      <c r="E392" s="362"/>
      <c r="F392" s="346"/>
      <c r="G392" s="346"/>
      <c r="H392" s="346"/>
      <c r="I392" s="346"/>
      <c r="J392" s="346"/>
      <c r="K392" s="346"/>
      <c r="L392" s="346"/>
      <c r="M392" s="346"/>
      <c r="N392" s="346"/>
    </row>
    <row r="393" spans="1:14">
      <c r="A393" s="394"/>
      <c r="B393" s="346"/>
      <c r="C393" s="346"/>
      <c r="D393" s="362"/>
      <c r="E393" s="362"/>
      <c r="F393" s="346"/>
      <c r="G393" s="346"/>
      <c r="H393" s="346"/>
      <c r="I393" s="346"/>
      <c r="J393" s="346"/>
      <c r="K393" s="346"/>
      <c r="L393" s="346"/>
      <c r="M393" s="346"/>
      <c r="N393" s="346"/>
    </row>
    <row r="394" spans="1:14">
      <c r="A394" s="392"/>
      <c r="B394" s="346"/>
      <c r="C394" s="346"/>
      <c r="D394" s="346"/>
      <c r="E394" s="346"/>
      <c r="F394" s="346"/>
      <c r="G394" s="346"/>
      <c r="H394" s="346"/>
      <c r="I394" s="346"/>
      <c r="J394" s="346"/>
      <c r="K394" s="346"/>
      <c r="L394" s="346"/>
      <c r="M394" s="346"/>
      <c r="N394" s="346"/>
    </row>
    <row r="395" spans="1:14">
      <c r="A395" s="392"/>
      <c r="B395" s="346"/>
      <c r="C395" s="346"/>
      <c r="D395" s="346"/>
      <c r="E395" s="346"/>
      <c r="F395" s="346"/>
      <c r="G395" s="346"/>
      <c r="H395" s="346"/>
      <c r="I395" s="346"/>
      <c r="J395" s="346"/>
      <c r="K395" s="346"/>
      <c r="L395" s="346"/>
      <c r="M395" s="346"/>
      <c r="N395" s="346"/>
    </row>
    <row r="396" spans="1:14">
      <c r="A396" s="392"/>
      <c r="B396" s="346"/>
      <c r="C396" s="346"/>
      <c r="D396" s="346"/>
      <c r="E396" s="346"/>
      <c r="F396" s="346"/>
      <c r="G396" s="346"/>
      <c r="H396" s="346"/>
      <c r="I396" s="346"/>
      <c r="J396" s="346"/>
      <c r="K396" s="346"/>
      <c r="L396" s="346"/>
      <c r="M396" s="346"/>
      <c r="N396" s="346"/>
    </row>
    <row r="397" spans="1:14">
      <c r="A397" s="392"/>
      <c r="B397" s="346"/>
      <c r="C397" s="346"/>
      <c r="D397" s="346"/>
      <c r="E397" s="346"/>
      <c r="F397" s="346"/>
      <c r="G397" s="346"/>
      <c r="H397" s="346"/>
      <c r="I397" s="346"/>
      <c r="J397" s="346"/>
      <c r="K397" s="346"/>
      <c r="L397" s="346"/>
      <c r="M397" s="346"/>
      <c r="N397" s="346"/>
    </row>
    <row r="398" spans="1:14">
      <c r="A398" s="392"/>
      <c r="B398" s="346"/>
      <c r="C398" s="346"/>
      <c r="D398" s="346"/>
      <c r="E398" s="346"/>
      <c r="F398" s="346"/>
      <c r="G398" s="346"/>
      <c r="H398" s="346"/>
      <c r="I398" s="346"/>
      <c r="J398" s="346"/>
      <c r="K398" s="346"/>
      <c r="L398" s="346"/>
      <c r="M398" s="346"/>
      <c r="N398" s="346"/>
    </row>
    <row r="399" spans="1:14">
      <c r="A399" s="353"/>
      <c r="B399" s="310"/>
      <c r="C399" s="310"/>
      <c r="D399" s="310"/>
      <c r="E399" s="310"/>
      <c r="F399" s="310"/>
      <c r="G399" s="310"/>
      <c r="H399" s="310"/>
      <c r="I399" s="310"/>
      <c r="J399" s="310"/>
      <c r="K399" s="310"/>
      <c r="L399" s="310"/>
      <c r="M399" s="310"/>
      <c r="N399" s="310"/>
    </row>
    <row r="400" spans="1:14">
      <c r="A400" s="353"/>
      <c r="B400" s="310"/>
      <c r="C400" s="310"/>
      <c r="D400" s="310"/>
      <c r="E400" s="310"/>
      <c r="F400" s="310"/>
      <c r="G400" s="310"/>
      <c r="H400" s="310"/>
      <c r="I400" s="310"/>
      <c r="J400" s="310"/>
      <c r="K400" s="310"/>
      <c r="L400" s="310"/>
      <c r="M400" s="310"/>
      <c r="N400" s="310"/>
    </row>
    <row r="401" spans="1:14">
      <c r="A401" s="353"/>
      <c r="B401" s="310"/>
      <c r="C401" s="310"/>
      <c r="D401" s="310"/>
      <c r="E401" s="310"/>
      <c r="F401" s="310"/>
      <c r="G401" s="310"/>
      <c r="H401" s="310"/>
      <c r="I401" s="310"/>
      <c r="J401" s="310"/>
      <c r="K401" s="310"/>
      <c r="L401" s="310"/>
      <c r="M401" s="310"/>
      <c r="N401" s="310"/>
    </row>
    <row r="402" spans="1:14">
      <c r="A402" s="396"/>
      <c r="B402" s="395"/>
      <c r="C402" s="395"/>
      <c r="D402" s="395"/>
      <c r="E402" s="395"/>
      <c r="F402" s="395"/>
      <c r="G402" s="395"/>
      <c r="H402" s="395"/>
      <c r="I402" s="395"/>
      <c r="J402" s="395"/>
      <c r="K402" s="395"/>
      <c r="L402" s="395"/>
      <c r="M402" s="395"/>
      <c r="N402" s="395"/>
    </row>
    <row r="403" spans="1:14">
      <c r="A403" s="396"/>
      <c r="B403" s="395"/>
      <c r="C403" s="395"/>
      <c r="D403" s="395"/>
      <c r="E403" s="395"/>
      <c r="F403" s="395"/>
      <c r="G403" s="395"/>
      <c r="H403" s="395"/>
      <c r="I403" s="395"/>
      <c r="J403" s="395"/>
      <c r="K403" s="395"/>
      <c r="L403" s="395"/>
      <c r="M403" s="395"/>
      <c r="N403" s="395"/>
    </row>
    <row r="404" spans="1:14">
      <c r="A404" s="396"/>
      <c r="B404" s="395"/>
      <c r="C404" s="395"/>
      <c r="D404" s="395"/>
      <c r="E404" s="395"/>
      <c r="F404" s="395"/>
      <c r="G404" s="395"/>
      <c r="H404" s="395"/>
      <c r="I404" s="395"/>
      <c r="J404" s="395"/>
      <c r="K404" s="395"/>
      <c r="L404" s="395"/>
      <c r="M404" s="395"/>
      <c r="N404" s="395"/>
    </row>
    <row r="405" spans="1:14" ht="15.75" thickBot="1">
      <c r="A405" s="397"/>
      <c r="B405" s="398"/>
      <c r="C405" s="398"/>
      <c r="D405" s="398"/>
      <c r="E405" s="398"/>
      <c r="F405" s="398"/>
      <c r="G405" s="1104" t="s">
        <v>38</v>
      </c>
      <c r="H405" s="1104"/>
      <c r="I405" s="1104"/>
      <c r="J405" s="1104"/>
      <c r="K405" s="1104"/>
      <c r="L405" s="1104"/>
      <c r="M405" s="1104"/>
      <c r="N405" s="1104"/>
    </row>
    <row r="422" spans="1:14" ht="15.75" thickBot="1"/>
    <row r="423" spans="1:14">
      <c r="A423" s="1105" t="s">
        <v>448</v>
      </c>
      <c r="B423" s="1106"/>
      <c r="C423" s="1106"/>
      <c r="D423" s="1106"/>
      <c r="E423" s="1106"/>
      <c r="F423" s="1106"/>
      <c r="G423" s="1106"/>
      <c r="H423" s="1106"/>
      <c r="I423" s="1106"/>
      <c r="J423" s="1106"/>
      <c r="K423" s="1106"/>
      <c r="L423" s="1106"/>
      <c r="M423" s="1106"/>
      <c r="N423" s="1106"/>
    </row>
    <row r="424" spans="1:14" ht="15.75" thickBot="1">
      <c r="A424" s="1107"/>
      <c r="B424" s="1108"/>
      <c r="C424" s="1108"/>
      <c r="D424" s="1108"/>
      <c r="E424" s="1108"/>
      <c r="F424" s="1108"/>
      <c r="G424" s="1108"/>
      <c r="H424" s="1108"/>
      <c r="I424" s="1108"/>
      <c r="J424" s="1108"/>
      <c r="K424" s="1108"/>
      <c r="L424" s="1108"/>
      <c r="M424" s="1108"/>
      <c r="N424" s="1108"/>
    </row>
    <row r="425" spans="1:14" ht="15.75" thickBot="1">
      <c r="A425" s="1109" t="s">
        <v>449</v>
      </c>
      <c r="B425" s="1110"/>
      <c r="C425" s="1110"/>
      <c r="D425" s="1110"/>
      <c r="E425" s="1110"/>
      <c r="F425" s="1110"/>
      <c r="G425" s="1110"/>
      <c r="H425" s="1110"/>
      <c r="I425" s="1110"/>
      <c r="J425" s="1110"/>
      <c r="K425" s="1110"/>
      <c r="L425" s="1110"/>
      <c r="M425" s="1110"/>
      <c r="N425" s="1110"/>
    </row>
    <row r="426" spans="1:14">
      <c r="A426" s="351" t="s">
        <v>479</v>
      </c>
      <c r="B426" s="308"/>
      <c r="C426" s="308"/>
      <c r="D426" s="309"/>
      <c r="E426" s="1111" t="s">
        <v>480</v>
      </c>
      <c r="F426" s="1112"/>
      <c r="G426" s="1112"/>
      <c r="H426" s="352"/>
      <c r="I426" s="352"/>
      <c r="J426" s="352"/>
      <c r="K426" s="352"/>
      <c r="L426" s="352"/>
      <c r="M426" s="352"/>
      <c r="N426" s="352"/>
    </row>
    <row r="427" spans="1:14">
      <c r="A427" s="353"/>
      <c r="B427" s="419" t="s">
        <v>382</v>
      </c>
      <c r="C427" s="310"/>
      <c r="D427" s="311"/>
      <c r="E427" s="354"/>
      <c r="F427" s="355"/>
      <c r="G427" s="1113" t="str">
        <f>'04-221Master'!B23</f>
        <v>Santosh Patel</v>
      </c>
      <c r="H427" s="1113"/>
      <c r="I427" s="1113"/>
      <c r="J427" s="355"/>
      <c r="K427" s="355"/>
      <c r="L427" s="355"/>
      <c r="M427" s="355"/>
      <c r="N427" s="355"/>
    </row>
    <row r="428" spans="1:14" ht="15.75" thickBot="1">
      <c r="A428" s="312"/>
      <c r="B428" s="421" t="s">
        <v>383</v>
      </c>
      <c r="C428" s="313"/>
      <c r="D428" s="314"/>
      <c r="E428" s="354"/>
      <c r="F428" s="355"/>
      <c r="G428" s="355"/>
      <c r="H428" s="355"/>
      <c r="I428" s="355"/>
      <c r="J428" s="355"/>
      <c r="K428" s="355"/>
      <c r="L428" s="355"/>
      <c r="M428" s="355"/>
      <c r="N428" s="355"/>
    </row>
    <row r="429" spans="1:14">
      <c r="A429" s="315" t="s">
        <v>481</v>
      </c>
      <c r="B429" s="308"/>
      <c r="C429" s="308"/>
      <c r="D429" s="309"/>
      <c r="E429" s="315" t="s">
        <v>450</v>
      </c>
      <c r="F429" s="308"/>
      <c r="G429" s="356">
        <f>'04-221Master'!N23</f>
        <v>44438</v>
      </c>
      <c r="H429" s="308"/>
      <c r="I429" s="308"/>
      <c r="J429" s="308"/>
      <c r="K429" s="308"/>
      <c r="L429" s="308"/>
      <c r="M429" s="308"/>
      <c r="N429" s="308"/>
    </row>
    <row r="430" spans="1:14">
      <c r="A430" s="353"/>
      <c r="B430" s="310"/>
      <c r="C430" s="310" t="str">
        <f>'04-221Master'!F23</f>
        <v>Senior  Support Engineer</v>
      </c>
      <c r="D430" s="311"/>
      <c r="E430" s="316"/>
      <c r="F430" s="310"/>
      <c r="G430" s="310"/>
      <c r="H430" s="310"/>
      <c r="I430" s="310"/>
      <c r="J430" s="310"/>
      <c r="K430" s="310"/>
      <c r="L430" s="310"/>
      <c r="M430" s="310"/>
      <c r="N430" s="310"/>
    </row>
    <row r="431" spans="1:14">
      <c r="A431" s="353"/>
      <c r="B431" s="310"/>
      <c r="C431" s="310"/>
      <c r="D431" s="311"/>
      <c r="E431" s="357"/>
      <c r="F431" s="310"/>
      <c r="G431" s="310"/>
      <c r="H431" s="310"/>
      <c r="I431" s="310"/>
      <c r="J431" s="310"/>
      <c r="K431" s="310"/>
      <c r="L431" s="310"/>
      <c r="M431" s="310"/>
      <c r="N431" s="310"/>
    </row>
    <row r="432" spans="1:14" ht="15.75" thickBot="1">
      <c r="A432" s="390"/>
      <c r="B432" s="318"/>
      <c r="C432" s="318"/>
      <c r="D432" s="358"/>
      <c r="E432" s="312"/>
      <c r="F432" s="313"/>
      <c r="G432" s="313"/>
      <c r="H432" s="313"/>
      <c r="I432" s="313"/>
      <c r="J432" s="313"/>
      <c r="K432" s="313"/>
      <c r="L432" s="313"/>
      <c r="M432" s="313"/>
      <c r="N432" s="313"/>
    </row>
    <row r="433" spans="1:15">
      <c r="A433" s="1114" t="s">
        <v>5</v>
      </c>
      <c r="B433" s="1116" t="s">
        <v>451</v>
      </c>
      <c r="C433" s="1117"/>
      <c r="D433" s="1116" t="s">
        <v>452</v>
      </c>
      <c r="E433" s="1119"/>
      <c r="F433" s="1122" t="s">
        <v>453</v>
      </c>
      <c r="G433" s="1118" t="s">
        <v>454</v>
      </c>
      <c r="H433" s="1124"/>
      <c r="I433" s="1125" t="s">
        <v>455</v>
      </c>
      <c r="J433" s="1124"/>
      <c r="K433" s="1126"/>
      <c r="L433" s="1125" t="s">
        <v>456</v>
      </c>
      <c r="M433" s="1124"/>
      <c r="N433" s="1124"/>
    </row>
    <row r="434" spans="1:15" ht="15.75" thickBot="1">
      <c r="A434" s="1115"/>
      <c r="B434" s="1118"/>
      <c r="C434" s="1119"/>
      <c r="D434" s="1118"/>
      <c r="E434" s="1119"/>
      <c r="F434" s="1123"/>
      <c r="G434" s="1118"/>
      <c r="H434" s="1124"/>
      <c r="I434" s="1127"/>
      <c r="J434" s="1128"/>
      <c r="K434" s="1129"/>
      <c r="L434" s="1127"/>
      <c r="M434" s="1128"/>
      <c r="N434" s="1128"/>
    </row>
    <row r="435" spans="1:15">
      <c r="A435" s="391">
        <v>1</v>
      </c>
      <c r="B435" s="1120"/>
      <c r="C435" s="1121"/>
      <c r="D435" s="1120"/>
      <c r="E435" s="1121"/>
      <c r="F435" s="322">
        <v>6</v>
      </c>
      <c r="G435" s="1120"/>
      <c r="H435" s="1121"/>
      <c r="I435" s="359">
        <v>9</v>
      </c>
      <c r="J435" s="359"/>
      <c r="K435" s="359"/>
      <c r="L435" s="359">
        <v>9</v>
      </c>
      <c r="M435" s="359"/>
      <c r="N435" s="359"/>
    </row>
    <row r="436" spans="1:15" ht="38.25">
      <c r="A436" s="537"/>
      <c r="B436" s="360" t="s">
        <v>457</v>
      </c>
      <c r="C436" s="360" t="s">
        <v>458</v>
      </c>
      <c r="D436" s="360" t="s">
        <v>459</v>
      </c>
      <c r="E436" s="360" t="s">
        <v>133</v>
      </c>
      <c r="F436" s="360"/>
      <c r="G436" s="360" t="s">
        <v>460</v>
      </c>
      <c r="H436" s="360" t="s">
        <v>461</v>
      </c>
      <c r="I436" s="360" t="s">
        <v>462</v>
      </c>
      <c r="J436" s="360" t="s">
        <v>463</v>
      </c>
      <c r="K436" s="360" t="s">
        <v>464</v>
      </c>
      <c r="L436" s="360" t="s">
        <v>465</v>
      </c>
      <c r="M436" s="360" t="s">
        <v>466</v>
      </c>
      <c r="N436" s="360" t="s">
        <v>467</v>
      </c>
    </row>
    <row r="437" spans="1:15">
      <c r="A437" s="361" t="s">
        <v>785</v>
      </c>
      <c r="B437" s="346">
        <v>1.5</v>
      </c>
      <c r="C437" s="346"/>
      <c r="D437" s="346"/>
      <c r="E437" s="346"/>
      <c r="F437" s="346">
        <v>5</v>
      </c>
      <c r="G437" s="346"/>
      <c r="H437" s="346"/>
      <c r="I437" s="346" t="s">
        <v>489</v>
      </c>
      <c r="J437" s="346" t="s">
        <v>489</v>
      </c>
      <c r="K437" s="346" t="s">
        <v>489</v>
      </c>
      <c r="L437" s="346"/>
      <c r="M437" s="346"/>
      <c r="N437" s="346"/>
    </row>
    <row r="438" spans="1:15" s="388" customFormat="1">
      <c r="A438" s="393" t="s">
        <v>795</v>
      </c>
      <c r="B438" s="346">
        <v>1.5</v>
      </c>
      <c r="C438" s="346">
        <v>0</v>
      </c>
      <c r="D438" s="346">
        <v>0</v>
      </c>
      <c r="E438" s="346">
        <v>0</v>
      </c>
      <c r="F438" s="346">
        <f>F437+B438-C438</f>
        <v>6.5</v>
      </c>
      <c r="G438" s="346"/>
      <c r="H438" s="346"/>
      <c r="I438" s="346" t="s">
        <v>489</v>
      </c>
      <c r="J438" s="346" t="s">
        <v>489</v>
      </c>
      <c r="K438" s="346" t="s">
        <v>489</v>
      </c>
      <c r="L438" s="346"/>
      <c r="M438" s="346"/>
      <c r="N438" s="346"/>
    </row>
    <row r="439" spans="1:15" s="388" customFormat="1">
      <c r="A439" s="393" t="s">
        <v>823</v>
      </c>
      <c r="B439" s="346">
        <v>1.5</v>
      </c>
      <c r="C439" s="346">
        <v>0</v>
      </c>
      <c r="D439" s="346">
        <v>0</v>
      </c>
      <c r="E439" s="346">
        <v>0</v>
      </c>
      <c r="F439" s="346">
        <f>F438+B439-C439</f>
        <v>8</v>
      </c>
      <c r="G439" s="346"/>
      <c r="H439" s="346"/>
      <c r="I439" s="346" t="s">
        <v>489</v>
      </c>
      <c r="J439" s="346" t="s">
        <v>489</v>
      </c>
      <c r="K439" s="346" t="s">
        <v>489</v>
      </c>
      <c r="L439" s="346"/>
      <c r="M439" s="346"/>
      <c r="N439" s="346"/>
    </row>
    <row r="440" spans="1:15" s="388" customFormat="1">
      <c r="A440" s="393" t="s">
        <v>846</v>
      </c>
      <c r="B440" s="346">
        <v>1.5</v>
      </c>
      <c r="C440" s="346">
        <v>0</v>
      </c>
      <c r="D440" s="346">
        <v>0</v>
      </c>
      <c r="E440" s="346">
        <v>0</v>
      </c>
      <c r="F440" s="346">
        <f>F439+B440-C440</f>
        <v>9.5</v>
      </c>
      <c r="G440" s="346"/>
      <c r="H440" s="346"/>
      <c r="I440" s="346" t="s">
        <v>489</v>
      </c>
      <c r="J440" s="346" t="s">
        <v>489</v>
      </c>
      <c r="K440" s="346" t="s">
        <v>489</v>
      </c>
      <c r="L440" s="346"/>
      <c r="M440" s="346"/>
      <c r="N440" s="346"/>
      <c r="O440" s="388">
        <v>8</v>
      </c>
    </row>
    <row r="441" spans="1:15" s="388" customFormat="1">
      <c r="A441" s="428"/>
      <c r="B441" s="409"/>
      <c r="C441" s="409"/>
      <c r="D441" s="602"/>
      <c r="E441" s="602"/>
      <c r="F441" s="409"/>
      <c r="G441" s="409"/>
      <c r="H441" s="409"/>
      <c r="I441" s="409"/>
      <c r="J441" s="409"/>
      <c r="K441" s="409"/>
      <c r="L441" s="346"/>
      <c r="M441" s="346"/>
      <c r="N441" s="346"/>
    </row>
    <row r="442" spans="1:15" s="388" customFormat="1">
      <c r="A442" s="710"/>
      <c r="B442" s="346"/>
      <c r="C442" s="346"/>
      <c r="D442" s="346"/>
      <c r="E442" s="346"/>
      <c r="F442" s="409"/>
      <c r="G442" s="346"/>
      <c r="H442" s="346"/>
      <c r="I442" s="409"/>
      <c r="J442" s="409"/>
      <c r="K442" s="409"/>
      <c r="L442" s="346"/>
      <c r="M442" s="346"/>
      <c r="N442" s="346"/>
    </row>
    <row r="443" spans="1:15">
      <c r="A443" s="394"/>
      <c r="B443" s="346"/>
      <c r="C443" s="346"/>
      <c r="D443" s="499"/>
      <c r="E443" s="499"/>
      <c r="F443" s="346"/>
      <c r="G443" s="346"/>
      <c r="H443" s="346"/>
      <c r="I443" s="346"/>
      <c r="J443" s="346"/>
      <c r="K443" s="346"/>
      <c r="L443" s="346"/>
      <c r="M443" s="346"/>
      <c r="N443" s="346"/>
    </row>
    <row r="444" spans="1:15">
      <c r="A444" s="394"/>
      <c r="B444" s="346"/>
      <c r="C444" s="346"/>
      <c r="D444" s="499"/>
      <c r="E444" s="499"/>
      <c r="F444" s="346"/>
      <c r="G444" s="346"/>
      <c r="H444" s="346"/>
      <c r="I444" s="346"/>
      <c r="J444" s="346"/>
      <c r="K444" s="346"/>
      <c r="L444" s="346"/>
      <c r="M444" s="346"/>
      <c r="N444" s="346"/>
    </row>
    <row r="445" spans="1:15">
      <c r="A445" s="394"/>
      <c r="B445" s="346"/>
      <c r="C445" s="346"/>
      <c r="D445" s="499"/>
      <c r="E445" s="499"/>
      <c r="F445" s="346"/>
      <c r="G445" s="346"/>
      <c r="H445" s="346"/>
      <c r="I445" s="346"/>
      <c r="J445" s="346"/>
      <c r="K445" s="346"/>
      <c r="L445" s="346"/>
      <c r="M445" s="346"/>
      <c r="N445" s="346"/>
    </row>
    <row r="446" spans="1:15">
      <c r="A446" s="394"/>
      <c r="B446" s="346"/>
      <c r="C446" s="346"/>
      <c r="D446" s="499"/>
      <c r="E446" s="499"/>
      <c r="F446" s="346"/>
      <c r="G446" s="346"/>
      <c r="H446" s="346"/>
      <c r="I446" s="346"/>
      <c r="J446" s="346"/>
      <c r="K446" s="346"/>
      <c r="L446" s="346"/>
      <c r="M446" s="346"/>
      <c r="N446" s="346"/>
    </row>
    <row r="447" spans="1:15">
      <c r="A447" s="394"/>
      <c r="B447" s="346"/>
      <c r="C447" s="346"/>
      <c r="D447" s="499"/>
      <c r="E447" s="436"/>
      <c r="F447" s="346"/>
      <c r="G447" s="346"/>
      <c r="H447" s="346"/>
      <c r="I447" s="346"/>
      <c r="J447" s="346"/>
      <c r="K447" s="346"/>
      <c r="L447" s="346"/>
      <c r="M447" s="346"/>
      <c r="N447" s="346"/>
    </row>
    <row r="448" spans="1:15">
      <c r="A448" s="394"/>
      <c r="B448" s="346"/>
      <c r="C448" s="346"/>
      <c r="D448" s="362"/>
      <c r="E448" s="362"/>
      <c r="F448" s="346"/>
      <c r="G448" s="346"/>
      <c r="H448" s="346"/>
      <c r="I448" s="346"/>
      <c r="J448" s="346"/>
      <c r="K448" s="346"/>
      <c r="L448" s="346"/>
      <c r="M448" s="346"/>
      <c r="N448" s="346"/>
    </row>
    <row r="449" spans="1:14">
      <c r="A449" s="394"/>
      <c r="B449" s="346"/>
      <c r="C449" s="346"/>
      <c r="D449" s="362"/>
      <c r="E449" s="362"/>
      <c r="F449" s="346"/>
      <c r="G449" s="346"/>
      <c r="H449" s="346"/>
      <c r="I449" s="346"/>
      <c r="J449" s="346"/>
      <c r="K449" s="346"/>
      <c r="L449" s="346"/>
      <c r="M449" s="346"/>
      <c r="N449" s="346"/>
    </row>
    <row r="450" spans="1:14">
      <c r="A450" s="394"/>
      <c r="B450" s="346"/>
      <c r="C450" s="346"/>
      <c r="D450" s="362"/>
      <c r="E450" s="362"/>
      <c r="F450" s="346"/>
      <c r="G450" s="346"/>
      <c r="H450" s="346"/>
      <c r="I450" s="346"/>
      <c r="J450" s="346"/>
      <c r="K450" s="346"/>
      <c r="L450" s="346"/>
      <c r="M450" s="346"/>
      <c r="N450" s="346"/>
    </row>
    <row r="451" spans="1:14">
      <c r="A451" s="394"/>
      <c r="B451" s="346"/>
      <c r="C451" s="346"/>
      <c r="D451" s="362"/>
      <c r="E451" s="362"/>
      <c r="F451" s="346"/>
      <c r="G451" s="346"/>
      <c r="H451" s="346"/>
      <c r="I451" s="346"/>
      <c r="J451" s="346"/>
      <c r="K451" s="346"/>
      <c r="L451" s="346"/>
      <c r="M451" s="346"/>
      <c r="N451" s="346"/>
    </row>
    <row r="452" spans="1:14">
      <c r="A452" s="394"/>
      <c r="B452" s="346"/>
      <c r="C452" s="346"/>
      <c r="D452" s="362"/>
      <c r="E452" s="362"/>
      <c r="F452" s="346"/>
      <c r="G452" s="346"/>
      <c r="H452" s="346"/>
      <c r="I452" s="346"/>
      <c r="J452" s="346"/>
      <c r="K452" s="346"/>
      <c r="L452" s="346"/>
      <c r="M452" s="346"/>
      <c r="N452" s="346"/>
    </row>
    <row r="453" spans="1:14">
      <c r="A453" s="392"/>
      <c r="B453" s="346"/>
      <c r="C453" s="346"/>
      <c r="D453" s="346"/>
      <c r="E453" s="346"/>
      <c r="F453" s="346"/>
      <c r="G453" s="346"/>
      <c r="H453" s="346"/>
      <c r="I453" s="346"/>
      <c r="J453" s="346"/>
      <c r="K453" s="346"/>
      <c r="L453" s="346"/>
      <c r="M453" s="346"/>
      <c r="N453" s="346"/>
    </row>
    <row r="454" spans="1:14">
      <c r="A454" s="392"/>
      <c r="B454" s="346"/>
      <c r="C454" s="346"/>
      <c r="D454" s="346"/>
      <c r="E454" s="346"/>
      <c r="F454" s="346"/>
      <c r="G454" s="346"/>
      <c r="H454" s="346"/>
      <c r="I454" s="346"/>
      <c r="J454" s="346"/>
      <c r="K454" s="346"/>
      <c r="L454" s="346"/>
      <c r="M454" s="346"/>
      <c r="N454" s="346"/>
    </row>
    <row r="455" spans="1:14">
      <c r="A455" s="392"/>
      <c r="B455" s="346"/>
      <c r="C455" s="346"/>
      <c r="D455" s="346"/>
      <c r="E455" s="346"/>
      <c r="F455" s="346"/>
      <c r="G455" s="346"/>
      <c r="H455" s="346"/>
      <c r="I455" s="346"/>
      <c r="J455" s="346"/>
      <c r="K455" s="346"/>
      <c r="L455" s="346"/>
      <c r="M455" s="346"/>
      <c r="N455" s="346"/>
    </row>
    <row r="456" spans="1:14">
      <c r="A456" s="392"/>
      <c r="B456" s="346"/>
      <c r="C456" s="346"/>
      <c r="D456" s="346"/>
      <c r="E456" s="346"/>
      <c r="F456" s="346"/>
      <c r="G456" s="346"/>
      <c r="H456" s="346"/>
      <c r="I456" s="346"/>
      <c r="J456" s="346"/>
      <c r="K456" s="346"/>
      <c r="L456" s="346"/>
      <c r="M456" s="346"/>
      <c r="N456" s="346"/>
    </row>
    <row r="457" spans="1:14">
      <c r="A457" s="392"/>
      <c r="B457" s="346"/>
      <c r="C457" s="346"/>
      <c r="D457" s="346"/>
      <c r="E457" s="346"/>
      <c r="F457" s="346"/>
      <c r="G457" s="346"/>
      <c r="H457" s="346"/>
      <c r="I457" s="346"/>
      <c r="J457" s="346"/>
      <c r="K457" s="346"/>
      <c r="L457" s="346"/>
      <c r="M457" s="346"/>
      <c r="N457" s="346"/>
    </row>
    <row r="458" spans="1:14">
      <c r="A458" s="353"/>
      <c r="B458" s="310"/>
      <c r="C458" s="310"/>
      <c r="D458" s="310"/>
      <c r="E458" s="310"/>
      <c r="F458" s="310"/>
      <c r="G458" s="310"/>
      <c r="H458" s="310"/>
      <c r="I458" s="310"/>
      <c r="J458" s="310"/>
      <c r="K458" s="310"/>
      <c r="L458" s="310"/>
      <c r="M458" s="310"/>
      <c r="N458" s="310"/>
    </row>
    <row r="459" spans="1:14">
      <c r="A459" s="353"/>
      <c r="B459" s="310"/>
      <c r="C459" s="310"/>
      <c r="D459" s="310"/>
      <c r="E459" s="310"/>
      <c r="F459" s="310"/>
      <c r="G459" s="310"/>
      <c r="H459" s="310"/>
      <c r="I459" s="310"/>
      <c r="J459" s="310"/>
      <c r="K459" s="310"/>
      <c r="L459" s="310"/>
      <c r="M459" s="310"/>
      <c r="N459" s="310"/>
    </row>
    <row r="460" spans="1:14">
      <c r="A460" s="353"/>
      <c r="B460" s="310"/>
      <c r="C460" s="310"/>
      <c r="D460" s="310"/>
      <c r="E460" s="310"/>
      <c r="F460" s="310"/>
      <c r="G460" s="310"/>
      <c r="H460" s="310"/>
      <c r="I460" s="310"/>
      <c r="J460" s="310"/>
      <c r="K460" s="310"/>
      <c r="L460" s="310"/>
      <c r="M460" s="310"/>
      <c r="N460" s="310"/>
    </row>
    <row r="461" spans="1:14">
      <c r="A461" s="396"/>
      <c r="B461" s="395"/>
      <c r="C461" s="395"/>
      <c r="D461" s="395"/>
      <c r="E461" s="395"/>
      <c r="F461" s="395"/>
      <c r="G461" s="395"/>
      <c r="H461" s="395"/>
      <c r="I461" s="395"/>
      <c r="J461" s="395"/>
      <c r="K461" s="395"/>
      <c r="L461" s="395"/>
      <c r="M461" s="395"/>
      <c r="N461" s="395"/>
    </row>
    <row r="462" spans="1:14">
      <c r="A462" s="396"/>
      <c r="B462" s="395"/>
      <c r="C462" s="395"/>
      <c r="D462" s="395"/>
      <c r="E462" s="395"/>
      <c r="F462" s="395"/>
      <c r="G462" s="395"/>
      <c r="H462" s="395"/>
      <c r="I462" s="395"/>
      <c r="J462" s="395"/>
      <c r="K462" s="395"/>
      <c r="L462" s="395"/>
      <c r="M462" s="395"/>
      <c r="N462" s="395"/>
    </row>
    <row r="463" spans="1:14">
      <c r="A463" s="396"/>
      <c r="B463" s="395"/>
      <c r="C463" s="395"/>
      <c r="D463" s="395"/>
      <c r="E463" s="395"/>
      <c r="F463" s="395"/>
      <c r="G463" s="395"/>
      <c r="H463" s="395"/>
      <c r="I463" s="395"/>
      <c r="J463" s="395"/>
      <c r="K463" s="395"/>
      <c r="L463" s="395"/>
      <c r="M463" s="395"/>
      <c r="N463" s="395"/>
    </row>
    <row r="464" spans="1:14" ht="15.75" thickBot="1">
      <c r="A464" s="397"/>
      <c r="B464" s="398"/>
      <c r="C464" s="398"/>
      <c r="D464" s="398"/>
      <c r="E464" s="398"/>
      <c r="F464" s="398"/>
      <c r="G464" s="1104" t="s">
        <v>38</v>
      </c>
      <c r="H464" s="1104"/>
      <c r="I464" s="1104"/>
      <c r="J464" s="1104"/>
      <c r="K464" s="1104"/>
      <c r="L464" s="1104"/>
      <c r="M464" s="1104"/>
      <c r="N464" s="1104"/>
    </row>
    <row r="465" spans="1:14" s="9" customFormat="1"/>
    <row r="466" spans="1:14" s="9" customFormat="1"/>
    <row r="467" spans="1:14" s="9" customFormat="1"/>
    <row r="468" spans="1:14" s="9" customFormat="1"/>
    <row r="469" spans="1:14" s="9" customFormat="1"/>
    <row r="470" spans="1:14" s="9" customFormat="1"/>
    <row r="471" spans="1:14" s="9" customFormat="1"/>
    <row r="472" spans="1:14" s="9" customFormat="1"/>
    <row r="473" spans="1:14" s="9" customFormat="1"/>
    <row r="474" spans="1:14" s="9" customFormat="1"/>
    <row r="475" spans="1:14" s="9" customFormat="1"/>
    <row r="476" spans="1:14" s="9" customFormat="1"/>
    <row r="477" spans="1:14" s="9" customFormat="1"/>
    <row r="478" spans="1:14" s="9" customFormat="1"/>
    <row r="479" spans="1:14" s="9" customFormat="1" ht="15.75" thickBot="1"/>
    <row r="480" spans="1:14">
      <c r="A480" s="1105" t="s">
        <v>448</v>
      </c>
      <c r="B480" s="1106"/>
      <c r="C480" s="1106"/>
      <c r="D480" s="1106"/>
      <c r="E480" s="1106"/>
      <c r="F480" s="1106"/>
      <c r="G480" s="1106"/>
      <c r="H480" s="1106"/>
      <c r="I480" s="1106"/>
      <c r="J480" s="1106"/>
      <c r="K480" s="1106"/>
      <c r="L480" s="1106"/>
      <c r="M480" s="1106"/>
      <c r="N480" s="1106"/>
    </row>
    <row r="481" spans="1:14" ht="15.75" thickBot="1">
      <c r="A481" s="1107"/>
      <c r="B481" s="1108"/>
      <c r="C481" s="1108"/>
      <c r="D481" s="1108"/>
      <c r="E481" s="1108"/>
      <c r="F481" s="1108"/>
      <c r="G481" s="1108"/>
      <c r="H481" s="1108"/>
      <c r="I481" s="1108"/>
      <c r="J481" s="1108"/>
      <c r="K481" s="1108"/>
      <c r="L481" s="1108"/>
      <c r="M481" s="1108"/>
      <c r="N481" s="1108"/>
    </row>
    <row r="482" spans="1:14" ht="15.75" thickBot="1">
      <c r="A482" s="1109" t="s">
        <v>449</v>
      </c>
      <c r="B482" s="1110"/>
      <c r="C482" s="1110"/>
      <c r="D482" s="1110"/>
      <c r="E482" s="1110"/>
      <c r="F482" s="1110"/>
      <c r="G482" s="1110"/>
      <c r="H482" s="1110"/>
      <c r="I482" s="1110"/>
      <c r="J482" s="1110"/>
      <c r="K482" s="1110"/>
      <c r="L482" s="1110"/>
      <c r="M482" s="1110"/>
      <c r="N482" s="1110"/>
    </row>
    <row r="483" spans="1:14">
      <c r="A483" s="351" t="s">
        <v>479</v>
      </c>
      <c r="B483" s="308"/>
      <c r="C483" s="308"/>
      <c r="D483" s="309"/>
      <c r="E483" s="1111" t="s">
        <v>480</v>
      </c>
      <c r="F483" s="1112"/>
      <c r="G483" s="1112"/>
      <c r="H483" s="352"/>
      <c r="I483" s="352"/>
      <c r="J483" s="352"/>
      <c r="K483" s="352"/>
      <c r="L483" s="352"/>
      <c r="M483" s="352"/>
      <c r="N483" s="352"/>
    </row>
    <row r="484" spans="1:14">
      <c r="A484" s="353"/>
      <c r="B484" s="419" t="s">
        <v>382</v>
      </c>
      <c r="C484" s="310"/>
      <c r="D484" s="311"/>
      <c r="E484" s="354"/>
      <c r="F484" s="355"/>
      <c r="G484" s="1113" t="str">
        <f>'04-221Master'!B24</f>
        <v>Basweshwar Pawar</v>
      </c>
      <c r="H484" s="1113"/>
      <c r="I484" s="1113"/>
      <c r="J484" s="355"/>
      <c r="K484" s="355"/>
      <c r="L484" s="355"/>
      <c r="M484" s="355"/>
      <c r="N484" s="355"/>
    </row>
    <row r="485" spans="1:14" ht="15.75" thickBot="1">
      <c r="A485" s="312"/>
      <c r="B485" s="421" t="s">
        <v>383</v>
      </c>
      <c r="C485" s="313"/>
      <c r="D485" s="314"/>
      <c r="E485" s="354"/>
      <c r="F485" s="355"/>
      <c r="G485" s="355"/>
      <c r="H485" s="355"/>
      <c r="I485" s="355"/>
      <c r="J485" s="355"/>
      <c r="K485" s="355"/>
      <c r="L485" s="355"/>
      <c r="M485" s="355"/>
      <c r="N485" s="355"/>
    </row>
    <row r="486" spans="1:14">
      <c r="A486" s="315" t="s">
        <v>481</v>
      </c>
      <c r="B486" s="308"/>
      <c r="C486" s="308"/>
      <c r="D486" s="309"/>
      <c r="E486" s="315" t="s">
        <v>450</v>
      </c>
      <c r="F486" s="308"/>
      <c r="G486" s="356">
        <f>'04-221Master'!N24</f>
        <v>44446</v>
      </c>
      <c r="H486" s="308"/>
      <c r="I486" s="308"/>
      <c r="J486" s="308"/>
      <c r="K486" s="308"/>
      <c r="L486" s="308"/>
      <c r="M486" s="308"/>
      <c r="N486" s="308"/>
    </row>
    <row r="487" spans="1:14">
      <c r="A487" s="353"/>
      <c r="B487" s="310"/>
      <c r="C487" s="310" t="str">
        <f>'04-221Master'!F24</f>
        <v>Lead PMO</v>
      </c>
      <c r="D487" s="311"/>
      <c r="E487" s="316"/>
      <c r="F487" s="310"/>
      <c r="G487" s="310"/>
      <c r="H487" s="310"/>
      <c r="I487" s="310"/>
      <c r="J487" s="310"/>
      <c r="K487" s="310"/>
      <c r="L487" s="310"/>
      <c r="M487" s="310"/>
      <c r="N487" s="310"/>
    </row>
    <row r="488" spans="1:14">
      <c r="A488" s="353"/>
      <c r="B488" s="310"/>
      <c r="C488" s="310"/>
      <c r="D488" s="311"/>
      <c r="E488" s="357"/>
      <c r="F488" s="310"/>
      <c r="G488" s="310"/>
      <c r="H488" s="310"/>
      <c r="I488" s="310"/>
      <c r="J488" s="310"/>
      <c r="K488" s="310"/>
      <c r="L488" s="310"/>
      <c r="M488" s="310"/>
      <c r="N488" s="310"/>
    </row>
    <row r="489" spans="1:14" ht="15.75" thickBot="1">
      <c r="A489" s="390"/>
      <c r="B489" s="318"/>
      <c r="C489" s="318"/>
      <c r="D489" s="358"/>
      <c r="E489" s="312"/>
      <c r="F489" s="313"/>
      <c r="G489" s="313"/>
      <c r="H489" s="313"/>
      <c r="I489" s="313"/>
      <c r="J489" s="313"/>
      <c r="K489" s="313"/>
      <c r="L489" s="313"/>
      <c r="M489" s="313"/>
      <c r="N489" s="313"/>
    </row>
    <row r="490" spans="1:14">
      <c r="A490" s="1114" t="s">
        <v>5</v>
      </c>
      <c r="B490" s="1116" t="s">
        <v>451</v>
      </c>
      <c r="C490" s="1117"/>
      <c r="D490" s="1116" t="s">
        <v>452</v>
      </c>
      <c r="E490" s="1119"/>
      <c r="F490" s="1122" t="s">
        <v>453</v>
      </c>
      <c r="G490" s="1118" t="s">
        <v>454</v>
      </c>
      <c r="H490" s="1124"/>
      <c r="I490" s="1125" t="s">
        <v>455</v>
      </c>
      <c r="J490" s="1124"/>
      <c r="K490" s="1126"/>
      <c r="L490" s="1125" t="s">
        <v>456</v>
      </c>
      <c r="M490" s="1124"/>
      <c r="N490" s="1124"/>
    </row>
    <row r="491" spans="1:14" ht="15.75" thickBot="1">
      <c r="A491" s="1115"/>
      <c r="B491" s="1118"/>
      <c r="C491" s="1119"/>
      <c r="D491" s="1118"/>
      <c r="E491" s="1119"/>
      <c r="F491" s="1123"/>
      <c r="G491" s="1118"/>
      <c r="H491" s="1124"/>
      <c r="I491" s="1127"/>
      <c r="J491" s="1128"/>
      <c r="K491" s="1129"/>
      <c r="L491" s="1127"/>
      <c r="M491" s="1128"/>
      <c r="N491" s="1128"/>
    </row>
    <row r="492" spans="1:14">
      <c r="A492" s="391">
        <v>1</v>
      </c>
      <c r="B492" s="1120"/>
      <c r="C492" s="1121"/>
      <c r="D492" s="1120"/>
      <c r="E492" s="1121"/>
      <c r="F492" s="322">
        <v>6</v>
      </c>
      <c r="G492" s="1120"/>
      <c r="H492" s="1121"/>
      <c r="I492" s="359">
        <v>9</v>
      </c>
      <c r="J492" s="359"/>
      <c r="K492" s="359"/>
      <c r="L492" s="359">
        <v>9</v>
      </c>
      <c r="M492" s="359"/>
      <c r="N492" s="359"/>
    </row>
    <row r="493" spans="1:14" ht="38.25">
      <c r="A493" s="537"/>
      <c r="B493" s="360" t="s">
        <v>457</v>
      </c>
      <c r="C493" s="360" t="s">
        <v>458</v>
      </c>
      <c r="D493" s="360" t="s">
        <v>459</v>
      </c>
      <c r="E493" s="360" t="s">
        <v>133</v>
      </c>
      <c r="F493" s="360"/>
      <c r="G493" s="360" t="s">
        <v>460</v>
      </c>
      <c r="H493" s="360" t="s">
        <v>461</v>
      </c>
      <c r="I493" s="360" t="s">
        <v>462</v>
      </c>
      <c r="J493" s="360" t="s">
        <v>463</v>
      </c>
      <c r="K493" s="360" t="s">
        <v>464</v>
      </c>
      <c r="L493" s="360" t="s">
        <v>465</v>
      </c>
      <c r="M493" s="360" t="s">
        <v>466</v>
      </c>
      <c r="N493" s="360" t="s">
        <v>467</v>
      </c>
    </row>
    <row r="494" spans="1:14">
      <c r="A494" s="393"/>
      <c r="B494" s="346"/>
      <c r="C494" s="346"/>
      <c r="D494" s="346"/>
      <c r="E494" s="346"/>
      <c r="F494" s="346"/>
      <c r="G494" s="346"/>
      <c r="H494" s="346"/>
      <c r="I494" s="346"/>
      <c r="J494" s="346"/>
      <c r="K494" s="346"/>
      <c r="L494" s="346"/>
      <c r="M494" s="346"/>
      <c r="N494" s="346"/>
    </row>
    <row r="495" spans="1:14">
      <c r="A495" s="361" t="s">
        <v>785</v>
      </c>
      <c r="B495" s="346">
        <v>1.5</v>
      </c>
      <c r="C495" s="346"/>
      <c r="D495" s="346"/>
      <c r="E495" s="346"/>
      <c r="F495" s="346">
        <v>3</v>
      </c>
      <c r="G495" s="346"/>
      <c r="H495" s="346"/>
      <c r="I495" s="346" t="s">
        <v>489</v>
      </c>
      <c r="J495" s="346" t="s">
        <v>489</v>
      </c>
      <c r="K495" s="346" t="s">
        <v>489</v>
      </c>
      <c r="L495" s="346"/>
      <c r="M495" s="346"/>
      <c r="N495" s="346"/>
    </row>
    <row r="496" spans="1:14" s="388" customFormat="1">
      <c r="A496" s="393" t="s">
        <v>795</v>
      </c>
      <c r="B496" s="346">
        <v>1.5</v>
      </c>
      <c r="C496" s="346">
        <v>0</v>
      </c>
      <c r="D496" s="346">
        <v>0</v>
      </c>
      <c r="E496" s="346">
        <v>0</v>
      </c>
      <c r="F496" s="346">
        <f>F495+B496-C496</f>
        <v>4.5</v>
      </c>
      <c r="G496" s="346"/>
      <c r="H496" s="346"/>
      <c r="I496" s="346" t="s">
        <v>489</v>
      </c>
      <c r="J496" s="346" t="s">
        <v>489</v>
      </c>
      <c r="K496" s="346" t="s">
        <v>489</v>
      </c>
      <c r="L496" s="346"/>
      <c r="M496" s="346"/>
      <c r="N496" s="346"/>
    </row>
    <row r="497" spans="1:15" s="388" customFormat="1">
      <c r="A497" s="393" t="s">
        <v>823</v>
      </c>
      <c r="B497" s="346">
        <v>1.5</v>
      </c>
      <c r="C497" s="346">
        <v>0</v>
      </c>
      <c r="D497" s="346">
        <v>0</v>
      </c>
      <c r="E497" s="346">
        <v>0</v>
      </c>
      <c r="F497" s="346">
        <f>F496+B497-C497</f>
        <v>6</v>
      </c>
      <c r="G497" s="346"/>
      <c r="H497" s="346"/>
      <c r="I497" s="346" t="s">
        <v>489</v>
      </c>
      <c r="J497" s="346" t="s">
        <v>489</v>
      </c>
      <c r="K497" s="346" t="s">
        <v>489</v>
      </c>
      <c r="L497" s="346"/>
      <c r="M497" s="346"/>
      <c r="N497" s="346"/>
    </row>
    <row r="498" spans="1:15" s="388" customFormat="1">
      <c r="A498" s="393" t="s">
        <v>846</v>
      </c>
      <c r="B498" s="346">
        <v>1.5</v>
      </c>
      <c r="C498" s="346">
        <v>0</v>
      </c>
      <c r="D498" s="346">
        <v>0</v>
      </c>
      <c r="E498" s="346">
        <v>0</v>
      </c>
      <c r="F498" s="346">
        <f>F497+B498-C498</f>
        <v>7.5</v>
      </c>
      <c r="G498" s="346"/>
      <c r="H498" s="346"/>
      <c r="I498" s="346" t="s">
        <v>489</v>
      </c>
      <c r="J498" s="346" t="s">
        <v>489</v>
      </c>
      <c r="K498" s="346" t="s">
        <v>489</v>
      </c>
      <c r="L498" s="346"/>
      <c r="M498" s="346"/>
      <c r="N498" s="346"/>
      <c r="O498" s="388">
        <v>9</v>
      </c>
    </row>
    <row r="499" spans="1:15" s="388" customFormat="1">
      <c r="A499" s="428"/>
      <c r="B499" s="409"/>
      <c r="C499" s="409"/>
      <c r="D499" s="602"/>
      <c r="E499" s="602"/>
      <c r="F499" s="409"/>
      <c r="G499" s="409"/>
      <c r="H499" s="409"/>
      <c r="I499" s="409"/>
      <c r="J499" s="409"/>
      <c r="K499" s="409"/>
      <c r="L499" s="346"/>
      <c r="M499" s="346"/>
      <c r="N499" s="346"/>
    </row>
    <row r="500" spans="1:15" s="388" customFormat="1">
      <c r="A500" s="710"/>
      <c r="B500" s="346"/>
      <c r="C500" s="346"/>
      <c r="D500" s="346"/>
      <c r="E500" s="346"/>
      <c r="F500" s="409"/>
      <c r="G500" s="346"/>
      <c r="H500" s="346"/>
      <c r="I500" s="409"/>
      <c r="J500" s="409"/>
      <c r="K500" s="409"/>
      <c r="L500" s="346"/>
      <c r="M500" s="346"/>
      <c r="N500" s="346"/>
    </row>
    <row r="501" spans="1:15">
      <c r="A501" s="394"/>
      <c r="B501" s="346"/>
      <c r="C501" s="346"/>
      <c r="D501" s="499"/>
      <c r="E501" s="499"/>
      <c r="F501" s="346"/>
      <c r="G501" s="346"/>
      <c r="H501" s="346"/>
      <c r="I501" s="346"/>
      <c r="J501" s="346"/>
      <c r="K501" s="346"/>
      <c r="L501" s="346"/>
      <c r="M501" s="346"/>
      <c r="N501" s="346"/>
    </row>
    <row r="502" spans="1:15">
      <c r="A502" s="394"/>
      <c r="B502" s="346"/>
      <c r="C502" s="346"/>
      <c r="D502" s="499"/>
      <c r="E502" s="499"/>
      <c r="F502" s="346"/>
      <c r="G502" s="346"/>
      <c r="H502" s="346"/>
      <c r="I502" s="346"/>
      <c r="J502" s="346"/>
      <c r="K502" s="346"/>
      <c r="L502" s="346"/>
      <c r="M502" s="346"/>
      <c r="N502" s="346"/>
    </row>
    <row r="503" spans="1:15">
      <c r="A503" s="394"/>
      <c r="B503" s="346"/>
      <c r="C503" s="346"/>
      <c r="D503" s="499"/>
      <c r="E503" s="499"/>
      <c r="F503" s="346"/>
      <c r="G503" s="346"/>
      <c r="H503" s="346"/>
      <c r="I503" s="346"/>
      <c r="J503" s="346"/>
      <c r="K503" s="346"/>
      <c r="L503" s="346"/>
      <c r="M503" s="346"/>
      <c r="N503" s="346"/>
    </row>
    <row r="504" spans="1:15">
      <c r="A504" s="394"/>
      <c r="B504" s="346"/>
      <c r="C504" s="346"/>
      <c r="D504" s="499"/>
      <c r="E504" s="436"/>
      <c r="F504" s="346"/>
      <c r="G504" s="346"/>
      <c r="H504" s="346"/>
      <c r="I504" s="346"/>
      <c r="J504" s="346"/>
      <c r="K504" s="346"/>
      <c r="L504" s="346"/>
      <c r="M504" s="346"/>
      <c r="N504" s="346"/>
    </row>
    <row r="505" spans="1:15">
      <c r="A505" s="394"/>
      <c r="B505" s="346"/>
      <c r="C505" s="346"/>
      <c r="D505" s="362"/>
      <c r="E505" s="362"/>
      <c r="F505" s="346"/>
      <c r="G505" s="346"/>
      <c r="H505" s="346"/>
      <c r="I505" s="346"/>
      <c r="J505" s="346"/>
      <c r="K505" s="346"/>
      <c r="L505" s="346"/>
      <c r="M505" s="346"/>
      <c r="N505" s="346"/>
    </row>
    <row r="506" spans="1:15">
      <c r="A506" s="394"/>
      <c r="B506" s="346"/>
      <c r="C506" s="346"/>
      <c r="D506" s="362"/>
      <c r="E506" s="362"/>
      <c r="F506" s="346"/>
      <c r="G506" s="346"/>
      <c r="H506" s="346"/>
      <c r="I506" s="346"/>
      <c r="J506" s="346"/>
      <c r="K506" s="346"/>
      <c r="L506" s="346"/>
      <c r="M506" s="346"/>
      <c r="N506" s="346"/>
    </row>
    <row r="507" spans="1:15">
      <c r="A507" s="394"/>
      <c r="B507" s="346"/>
      <c r="C507" s="346"/>
      <c r="D507" s="362"/>
      <c r="E507" s="362"/>
      <c r="F507" s="346"/>
      <c r="G507" s="346"/>
      <c r="H507" s="346"/>
      <c r="I507" s="346"/>
      <c r="J507" s="346"/>
      <c r="K507" s="346"/>
      <c r="L507" s="346"/>
      <c r="M507" s="346"/>
      <c r="N507" s="346"/>
    </row>
    <row r="508" spans="1:15">
      <c r="A508" s="394"/>
      <c r="B508" s="346"/>
      <c r="C508" s="346"/>
      <c r="D508" s="362"/>
      <c r="E508" s="362"/>
      <c r="F508" s="346"/>
      <c r="G508" s="346"/>
      <c r="H508" s="346"/>
      <c r="I508" s="346"/>
      <c r="J508" s="346"/>
      <c r="K508" s="346"/>
      <c r="L508" s="346"/>
      <c r="M508" s="346"/>
      <c r="N508" s="346"/>
    </row>
    <row r="509" spans="1:15">
      <c r="A509" s="394"/>
      <c r="B509" s="346"/>
      <c r="C509" s="346"/>
      <c r="D509" s="362"/>
      <c r="E509" s="362"/>
      <c r="F509" s="346"/>
      <c r="G509" s="346"/>
      <c r="H509" s="346"/>
      <c r="I509" s="346"/>
      <c r="J509" s="346"/>
      <c r="K509" s="346"/>
      <c r="L509" s="346"/>
      <c r="M509" s="346"/>
      <c r="N509" s="346"/>
    </row>
    <row r="510" spans="1:15">
      <c r="A510" s="392"/>
      <c r="B510" s="346"/>
      <c r="C510" s="346"/>
      <c r="D510" s="346"/>
      <c r="E510" s="346"/>
      <c r="F510" s="346"/>
      <c r="G510" s="346"/>
      <c r="H510" s="346"/>
      <c r="I510" s="346"/>
      <c r="J510" s="346"/>
      <c r="K510" s="346"/>
      <c r="L510" s="346"/>
      <c r="M510" s="346"/>
      <c r="N510" s="346"/>
    </row>
    <row r="511" spans="1:15">
      <c r="A511" s="392"/>
      <c r="B511" s="346"/>
      <c r="C511" s="346"/>
      <c r="D511" s="346"/>
      <c r="E511" s="346"/>
      <c r="F511" s="346"/>
      <c r="G511" s="346"/>
      <c r="H511" s="346"/>
      <c r="I511" s="346"/>
      <c r="J511" s="346"/>
      <c r="K511" s="346"/>
      <c r="L511" s="346"/>
      <c r="M511" s="346"/>
      <c r="N511" s="346"/>
    </row>
    <row r="512" spans="1:15">
      <c r="A512" s="392"/>
      <c r="B512" s="346"/>
      <c r="C512" s="346"/>
      <c r="D512" s="346"/>
      <c r="E512" s="346"/>
      <c r="F512" s="346"/>
      <c r="G512" s="346"/>
      <c r="H512" s="346"/>
      <c r="I512" s="346"/>
      <c r="J512" s="346"/>
      <c r="K512" s="346"/>
      <c r="L512" s="346"/>
      <c r="M512" s="346"/>
      <c r="N512" s="346"/>
    </row>
    <row r="513" spans="1:14">
      <c r="A513" s="392"/>
      <c r="B513" s="346"/>
      <c r="C513" s="346"/>
      <c r="D513" s="346"/>
      <c r="E513" s="346"/>
      <c r="F513" s="346"/>
      <c r="G513" s="346"/>
      <c r="H513" s="346"/>
      <c r="I513" s="346"/>
      <c r="J513" s="346"/>
      <c r="K513" s="346"/>
      <c r="L513" s="346"/>
      <c r="M513" s="346"/>
      <c r="N513" s="346"/>
    </row>
    <row r="514" spans="1:14">
      <c r="A514" s="392"/>
      <c r="B514" s="346"/>
      <c r="C514" s="346"/>
      <c r="D514" s="346"/>
      <c r="E514" s="346"/>
      <c r="F514" s="346"/>
      <c r="G514" s="346"/>
      <c r="H514" s="346"/>
      <c r="I514" s="346"/>
      <c r="J514" s="346"/>
      <c r="K514" s="346"/>
      <c r="L514" s="346"/>
      <c r="M514" s="346"/>
      <c r="N514" s="346"/>
    </row>
    <row r="515" spans="1:14">
      <c r="A515" s="353"/>
      <c r="B515" s="310"/>
      <c r="C515" s="310"/>
      <c r="D515" s="310"/>
      <c r="E515" s="310"/>
      <c r="F515" s="310"/>
      <c r="G515" s="310"/>
      <c r="H515" s="310"/>
      <c r="I515" s="310"/>
      <c r="J515" s="310"/>
      <c r="K515" s="310"/>
      <c r="L515" s="310"/>
      <c r="M515" s="310"/>
      <c r="N515" s="310"/>
    </row>
    <row r="516" spans="1:14">
      <c r="A516" s="353"/>
      <c r="B516" s="310"/>
      <c r="C516" s="310"/>
      <c r="D516" s="310"/>
      <c r="E516" s="310"/>
      <c r="F516" s="310"/>
      <c r="G516" s="310"/>
      <c r="H516" s="310"/>
      <c r="I516" s="310"/>
      <c r="J516" s="310"/>
      <c r="K516" s="310"/>
      <c r="L516" s="310"/>
      <c r="M516" s="310"/>
      <c r="N516" s="310"/>
    </row>
    <row r="517" spans="1:14">
      <c r="A517" s="353"/>
      <c r="B517" s="310"/>
      <c r="C517" s="310"/>
      <c r="D517" s="310"/>
      <c r="E517" s="310"/>
      <c r="F517" s="310"/>
      <c r="G517" s="310"/>
      <c r="H517" s="310"/>
      <c r="I517" s="310"/>
      <c r="J517" s="310"/>
      <c r="K517" s="310"/>
      <c r="L517" s="310"/>
      <c r="M517" s="310"/>
      <c r="N517" s="310"/>
    </row>
    <row r="518" spans="1:14">
      <c r="A518" s="396"/>
      <c r="B518" s="395"/>
      <c r="C518" s="395"/>
      <c r="D518" s="395"/>
      <c r="E518" s="395"/>
      <c r="F518" s="395"/>
      <c r="G518" s="395"/>
      <c r="H518" s="395"/>
      <c r="I518" s="395"/>
      <c r="J518" s="395"/>
      <c r="K518" s="395"/>
      <c r="L518" s="395"/>
      <c r="M518" s="395"/>
      <c r="N518" s="395"/>
    </row>
    <row r="519" spans="1:14">
      <c r="A519" s="396"/>
      <c r="B519" s="395"/>
      <c r="C519" s="395"/>
      <c r="D519" s="395"/>
      <c r="E519" s="395"/>
      <c r="F519" s="395"/>
      <c r="G519" s="395"/>
      <c r="H519" s="395"/>
      <c r="I519" s="395"/>
      <c r="J519" s="395"/>
      <c r="K519" s="395"/>
      <c r="L519" s="395"/>
      <c r="M519" s="395"/>
      <c r="N519" s="395"/>
    </row>
    <row r="520" spans="1:14">
      <c r="A520" s="396"/>
      <c r="B520" s="395"/>
      <c r="C520" s="395"/>
      <c r="D520" s="395"/>
      <c r="E520" s="395"/>
      <c r="F520" s="395"/>
      <c r="G520" s="395"/>
      <c r="H520" s="395"/>
      <c r="I520" s="395"/>
      <c r="J520" s="395"/>
      <c r="K520" s="395"/>
      <c r="L520" s="395"/>
      <c r="M520" s="395"/>
      <c r="N520" s="395"/>
    </row>
    <row r="521" spans="1:14" ht="15.75" thickBot="1">
      <c r="A521" s="397"/>
      <c r="B521" s="398"/>
      <c r="C521" s="398"/>
      <c r="D521" s="398"/>
      <c r="E521" s="398"/>
      <c r="F521" s="398"/>
      <c r="G521" s="1104" t="s">
        <v>38</v>
      </c>
      <c r="H521" s="1104"/>
      <c r="I521" s="1104"/>
      <c r="J521" s="1104"/>
      <c r="K521" s="1104"/>
      <c r="L521" s="1104"/>
      <c r="M521" s="1104"/>
      <c r="N521" s="1104"/>
    </row>
    <row r="522" spans="1:14">
      <c r="A522" s="388"/>
      <c r="B522" s="388"/>
      <c r="C522" s="388"/>
      <c r="D522" s="388"/>
      <c r="E522" s="388"/>
      <c r="F522" s="388"/>
      <c r="G522" s="388"/>
      <c r="H522" s="388"/>
      <c r="I522" s="388"/>
      <c r="J522" s="388"/>
      <c r="K522" s="388"/>
      <c r="L522" s="388"/>
      <c r="M522" s="388"/>
      <c r="N522" s="388"/>
    </row>
    <row r="523" spans="1:14">
      <c r="A523" s="388"/>
      <c r="B523" s="388"/>
      <c r="C523" s="388"/>
      <c r="D523" s="388"/>
      <c r="E523" s="388"/>
      <c r="F523" s="388"/>
      <c r="G523" s="388"/>
      <c r="H523" s="388"/>
      <c r="I523" s="388"/>
      <c r="J523" s="388"/>
      <c r="K523" s="388"/>
      <c r="L523" s="388"/>
      <c r="M523" s="388"/>
      <c r="N523" s="388"/>
    </row>
    <row r="524" spans="1:14">
      <c r="A524" s="388"/>
      <c r="B524" s="388"/>
      <c r="C524" s="388"/>
      <c r="D524" s="388"/>
      <c r="E524" s="388"/>
      <c r="F524" s="388"/>
      <c r="G524" s="388"/>
      <c r="H524" s="388"/>
      <c r="I524" s="388"/>
      <c r="J524" s="388"/>
      <c r="K524" s="388"/>
      <c r="L524" s="388"/>
      <c r="M524" s="388"/>
      <c r="N524" s="388"/>
    </row>
    <row r="525" spans="1:14">
      <c r="A525" s="388"/>
      <c r="B525" s="388"/>
      <c r="C525" s="388"/>
      <c r="D525" s="388"/>
      <c r="E525" s="388"/>
      <c r="F525" s="388"/>
      <c r="G525" s="388"/>
      <c r="H525" s="388"/>
      <c r="I525" s="388"/>
      <c r="J525" s="388"/>
      <c r="K525" s="388"/>
      <c r="L525" s="388"/>
      <c r="M525" s="388"/>
      <c r="N525" s="388"/>
    </row>
    <row r="526" spans="1:14">
      <c r="A526" s="388"/>
      <c r="B526" s="388"/>
      <c r="C526" s="388"/>
      <c r="D526" s="388"/>
      <c r="E526" s="388"/>
      <c r="F526" s="388"/>
      <c r="G526" s="388"/>
      <c r="H526" s="388"/>
      <c r="I526" s="388"/>
      <c r="J526" s="388"/>
      <c r="K526" s="388"/>
      <c r="L526" s="388"/>
      <c r="M526" s="388"/>
      <c r="N526" s="388"/>
    </row>
    <row r="527" spans="1:14">
      <c r="A527" s="388"/>
      <c r="B527" s="388"/>
      <c r="C527" s="388"/>
      <c r="D527" s="388"/>
      <c r="E527" s="388"/>
      <c r="F527" s="388"/>
      <c r="G527" s="388"/>
      <c r="H527" s="388"/>
      <c r="I527" s="388"/>
      <c r="J527" s="388"/>
      <c r="K527" s="388"/>
      <c r="L527" s="388"/>
      <c r="M527" s="388"/>
      <c r="N527" s="388"/>
    </row>
    <row r="528" spans="1:14">
      <c r="A528" s="388"/>
      <c r="B528" s="388"/>
      <c r="C528" s="388"/>
      <c r="D528" s="388"/>
      <c r="E528" s="388"/>
      <c r="F528" s="388"/>
      <c r="G528" s="388"/>
      <c r="H528" s="388"/>
      <c r="I528" s="388"/>
      <c r="J528" s="388"/>
      <c r="K528" s="388"/>
      <c r="L528" s="388"/>
      <c r="M528" s="388"/>
      <c r="N528" s="388"/>
    </row>
    <row r="529" spans="1:14">
      <c r="A529" s="388"/>
      <c r="B529" s="388"/>
      <c r="C529" s="388"/>
      <c r="D529" s="388"/>
      <c r="E529" s="388"/>
      <c r="F529" s="388"/>
      <c r="G529" s="388"/>
      <c r="H529" s="388"/>
      <c r="I529" s="388"/>
      <c r="J529" s="388"/>
      <c r="K529" s="388"/>
      <c r="L529" s="388"/>
      <c r="M529" s="388"/>
      <c r="N529" s="388"/>
    </row>
    <row r="530" spans="1:14">
      <c r="A530" s="388"/>
      <c r="B530" s="388"/>
      <c r="C530" s="388"/>
      <c r="D530" s="388"/>
      <c r="E530" s="388"/>
      <c r="F530" s="388"/>
      <c r="G530" s="388"/>
      <c r="H530" s="388"/>
      <c r="I530" s="388"/>
      <c r="J530" s="388"/>
      <c r="K530" s="388"/>
      <c r="L530" s="388"/>
      <c r="M530" s="388"/>
      <c r="N530" s="388"/>
    </row>
    <row r="531" spans="1:14">
      <c r="A531" s="388"/>
      <c r="B531" s="388"/>
      <c r="C531" s="388"/>
      <c r="D531" s="388"/>
      <c r="E531" s="388"/>
      <c r="F531" s="388"/>
      <c r="G531" s="388"/>
      <c r="H531" s="388"/>
      <c r="I531" s="388"/>
      <c r="J531" s="388"/>
      <c r="K531" s="388"/>
      <c r="L531" s="388"/>
      <c r="M531" s="388"/>
      <c r="N531" s="388"/>
    </row>
    <row r="532" spans="1:14">
      <c r="A532" s="388"/>
      <c r="B532" s="388"/>
      <c r="C532" s="388"/>
      <c r="D532" s="388"/>
      <c r="E532" s="388"/>
      <c r="F532" s="388"/>
      <c r="G532" s="388"/>
      <c r="H532" s="388"/>
      <c r="I532" s="388"/>
      <c r="J532" s="388"/>
      <c r="K532" s="388"/>
      <c r="L532" s="388"/>
      <c r="M532" s="388"/>
      <c r="N532" s="388"/>
    </row>
    <row r="533" spans="1:14">
      <c r="A533" s="388"/>
      <c r="B533" s="388"/>
      <c r="C533" s="388"/>
      <c r="D533" s="388"/>
      <c r="E533" s="388"/>
      <c r="F533" s="388"/>
      <c r="G533" s="388"/>
      <c r="H533" s="388"/>
      <c r="I533" s="388"/>
      <c r="J533" s="388"/>
      <c r="K533" s="388"/>
      <c r="L533" s="388"/>
      <c r="M533" s="388"/>
      <c r="N533" s="388"/>
    </row>
    <row r="534" spans="1:14">
      <c r="A534" s="388"/>
      <c r="B534" s="388"/>
      <c r="C534" s="388"/>
      <c r="D534" s="388"/>
      <c r="E534" s="388"/>
      <c r="F534" s="388"/>
      <c r="G534" s="388"/>
      <c r="H534" s="388"/>
      <c r="I534" s="388"/>
      <c r="J534" s="388"/>
      <c r="K534" s="388"/>
      <c r="L534" s="388"/>
      <c r="M534" s="388"/>
      <c r="N534" s="388"/>
    </row>
    <row r="535" spans="1:14">
      <c r="A535" s="388"/>
      <c r="B535" s="388"/>
      <c r="C535" s="388"/>
      <c r="D535" s="388"/>
      <c r="E535" s="388"/>
      <c r="F535" s="388"/>
      <c r="G535" s="388"/>
      <c r="H535" s="388"/>
      <c r="I535" s="388"/>
      <c r="J535" s="388"/>
      <c r="K535" s="388"/>
      <c r="L535" s="388"/>
      <c r="M535" s="388"/>
      <c r="N535" s="388"/>
    </row>
    <row r="536" spans="1:14">
      <c r="A536" s="388"/>
      <c r="B536" s="388"/>
      <c r="C536" s="388"/>
      <c r="D536" s="388"/>
      <c r="E536" s="388"/>
      <c r="F536" s="388"/>
      <c r="G536" s="388"/>
      <c r="H536" s="388"/>
      <c r="I536" s="388"/>
      <c r="J536" s="388"/>
      <c r="K536" s="388"/>
      <c r="L536" s="388"/>
      <c r="M536" s="388"/>
      <c r="N536" s="388"/>
    </row>
    <row r="537" spans="1:14">
      <c r="A537" s="388"/>
      <c r="B537" s="388"/>
      <c r="C537" s="388"/>
      <c r="D537" s="388"/>
      <c r="E537" s="388"/>
      <c r="F537" s="388"/>
      <c r="G537" s="388"/>
      <c r="H537" s="388"/>
      <c r="I537" s="388"/>
      <c r="J537" s="388"/>
      <c r="K537" s="388"/>
      <c r="L537" s="388"/>
      <c r="M537" s="388"/>
      <c r="N537" s="388"/>
    </row>
    <row r="538" spans="1:14" ht="15.75" thickBot="1">
      <c r="A538" s="388"/>
      <c r="B538" s="388"/>
      <c r="C538" s="388"/>
      <c r="D538" s="388"/>
      <c r="E538" s="388"/>
      <c r="F538" s="388"/>
      <c r="G538" s="388"/>
      <c r="H538" s="388"/>
      <c r="I538" s="388"/>
      <c r="J538" s="388"/>
      <c r="K538" s="388"/>
      <c r="L538" s="388"/>
      <c r="M538" s="388"/>
      <c r="N538" s="388"/>
    </row>
    <row r="539" spans="1:14">
      <c r="A539" s="1105" t="s">
        <v>448</v>
      </c>
      <c r="B539" s="1106"/>
      <c r="C539" s="1106"/>
      <c r="D539" s="1106"/>
      <c r="E539" s="1106"/>
      <c r="F539" s="1106"/>
      <c r="G539" s="1106"/>
      <c r="H539" s="1106"/>
      <c r="I539" s="1106"/>
      <c r="J539" s="1106"/>
      <c r="K539" s="1106"/>
      <c r="L539" s="1106"/>
      <c r="M539" s="1106"/>
      <c r="N539" s="1106"/>
    </row>
    <row r="540" spans="1:14" ht="15.75" thickBot="1">
      <c r="A540" s="1107"/>
      <c r="B540" s="1108"/>
      <c r="C540" s="1108"/>
      <c r="D540" s="1108"/>
      <c r="E540" s="1108"/>
      <c r="F540" s="1108"/>
      <c r="G540" s="1108"/>
      <c r="H540" s="1108"/>
      <c r="I540" s="1108"/>
      <c r="J540" s="1108"/>
      <c r="K540" s="1108"/>
      <c r="L540" s="1108"/>
      <c r="M540" s="1108"/>
      <c r="N540" s="1108"/>
    </row>
    <row r="541" spans="1:14" ht="15.75" thickBot="1">
      <c r="A541" s="1109" t="s">
        <v>449</v>
      </c>
      <c r="B541" s="1110"/>
      <c r="C541" s="1110"/>
      <c r="D541" s="1110"/>
      <c r="E541" s="1110"/>
      <c r="F541" s="1110"/>
      <c r="G541" s="1110"/>
      <c r="H541" s="1110"/>
      <c r="I541" s="1110"/>
      <c r="J541" s="1110"/>
      <c r="K541" s="1110"/>
      <c r="L541" s="1110"/>
      <c r="M541" s="1110"/>
      <c r="N541" s="1110"/>
    </row>
    <row r="542" spans="1:14">
      <c r="A542" s="351" t="s">
        <v>479</v>
      </c>
      <c r="B542" s="308"/>
      <c r="C542" s="308"/>
      <c r="D542" s="309"/>
      <c r="E542" s="1111" t="s">
        <v>480</v>
      </c>
      <c r="F542" s="1112"/>
      <c r="G542" s="1112"/>
      <c r="H542" s="352"/>
      <c r="I542" s="352"/>
      <c r="J542" s="352"/>
      <c r="K542" s="352"/>
      <c r="L542" s="352"/>
      <c r="M542" s="352"/>
      <c r="N542" s="352"/>
    </row>
    <row r="543" spans="1:14">
      <c r="A543" s="353"/>
      <c r="B543" s="419" t="s">
        <v>382</v>
      </c>
      <c r="C543" s="310"/>
      <c r="D543" s="311"/>
      <c r="E543" s="354"/>
      <c r="F543" s="355"/>
      <c r="G543" s="1113" t="str">
        <f>'04-221Master'!B25</f>
        <v>Hemanth Mishra</v>
      </c>
      <c r="H543" s="1113"/>
      <c r="I543" s="1113"/>
      <c r="J543" s="355"/>
      <c r="K543" s="355"/>
      <c r="L543" s="355"/>
      <c r="M543" s="355"/>
      <c r="N543" s="355"/>
    </row>
    <row r="544" spans="1:14" ht="15.75" thickBot="1">
      <c r="A544" s="312"/>
      <c r="B544" s="421" t="s">
        <v>383</v>
      </c>
      <c r="C544" s="313"/>
      <c r="D544" s="314"/>
      <c r="E544" s="354"/>
      <c r="F544" s="355"/>
      <c r="G544" s="355"/>
      <c r="H544" s="355"/>
      <c r="I544" s="355"/>
      <c r="J544" s="355"/>
      <c r="K544" s="355"/>
      <c r="L544" s="355"/>
      <c r="M544" s="355"/>
      <c r="N544" s="355"/>
    </row>
    <row r="545" spans="1:15">
      <c r="A545" s="315" t="s">
        <v>481</v>
      </c>
      <c r="B545" s="308"/>
      <c r="C545" s="308"/>
      <c r="D545" s="309"/>
      <c r="E545" s="315" t="s">
        <v>450</v>
      </c>
      <c r="F545" s="308"/>
      <c r="G545" s="356">
        <f>'04-221Master'!N25</f>
        <v>44490</v>
      </c>
      <c r="H545" s="308"/>
      <c r="I545" s="308"/>
      <c r="J545" s="308"/>
      <c r="K545" s="308"/>
      <c r="L545" s="308"/>
      <c r="M545" s="308"/>
      <c r="N545" s="308"/>
    </row>
    <row r="546" spans="1:15">
      <c r="A546" s="353"/>
      <c r="B546" s="310"/>
      <c r="C546" s="310" t="str">
        <f>'04-221Master'!F25</f>
        <v>Technology Analyst</v>
      </c>
      <c r="D546" s="311"/>
      <c r="E546" s="316"/>
      <c r="F546" s="310"/>
      <c r="G546" s="310"/>
      <c r="H546" s="310"/>
      <c r="I546" s="310"/>
      <c r="J546" s="310"/>
      <c r="K546" s="310"/>
      <c r="L546" s="310"/>
      <c r="M546" s="310"/>
      <c r="N546" s="310"/>
    </row>
    <row r="547" spans="1:15">
      <c r="A547" s="353"/>
      <c r="B547" s="310"/>
      <c r="C547" s="310"/>
      <c r="D547" s="311"/>
      <c r="E547" s="357"/>
      <c r="F547" s="310"/>
      <c r="G547" s="310"/>
      <c r="H547" s="310"/>
      <c r="I547" s="310"/>
      <c r="J547" s="310"/>
      <c r="K547" s="310"/>
      <c r="L547" s="310"/>
      <c r="M547" s="310"/>
      <c r="N547" s="310"/>
    </row>
    <row r="548" spans="1:15" ht="15.75" thickBot="1">
      <c r="A548" s="390"/>
      <c r="B548" s="318"/>
      <c r="C548" s="318"/>
      <c r="D548" s="358"/>
      <c r="E548" s="312"/>
      <c r="F548" s="313"/>
      <c r="G548" s="313"/>
      <c r="H548" s="313"/>
      <c r="I548" s="313"/>
      <c r="J548" s="313"/>
      <c r="K548" s="313"/>
      <c r="L548" s="313"/>
      <c r="M548" s="313"/>
      <c r="N548" s="313"/>
    </row>
    <row r="549" spans="1:15">
      <c r="A549" s="1114" t="s">
        <v>5</v>
      </c>
      <c r="B549" s="1116" t="s">
        <v>451</v>
      </c>
      <c r="C549" s="1117"/>
      <c r="D549" s="1116" t="s">
        <v>452</v>
      </c>
      <c r="E549" s="1119"/>
      <c r="F549" s="1122" t="s">
        <v>453</v>
      </c>
      <c r="G549" s="1118" t="s">
        <v>454</v>
      </c>
      <c r="H549" s="1124"/>
      <c r="I549" s="1125" t="s">
        <v>455</v>
      </c>
      <c r="J549" s="1124"/>
      <c r="K549" s="1126"/>
      <c r="L549" s="1125" t="s">
        <v>456</v>
      </c>
      <c r="M549" s="1124"/>
      <c r="N549" s="1124"/>
    </row>
    <row r="550" spans="1:15" ht="15.75" thickBot="1">
      <c r="A550" s="1115"/>
      <c r="B550" s="1118"/>
      <c r="C550" s="1119"/>
      <c r="D550" s="1118"/>
      <c r="E550" s="1119"/>
      <c r="F550" s="1123"/>
      <c r="G550" s="1118"/>
      <c r="H550" s="1124"/>
      <c r="I550" s="1127"/>
      <c r="J550" s="1128"/>
      <c r="K550" s="1129"/>
      <c r="L550" s="1127"/>
      <c r="M550" s="1128"/>
      <c r="N550" s="1128"/>
    </row>
    <row r="551" spans="1:15">
      <c r="A551" s="391">
        <v>1</v>
      </c>
      <c r="B551" s="1120"/>
      <c r="C551" s="1121"/>
      <c r="D551" s="1120"/>
      <c r="E551" s="1121"/>
      <c r="F551" s="322">
        <v>6</v>
      </c>
      <c r="G551" s="1120"/>
      <c r="H551" s="1121"/>
      <c r="I551" s="359">
        <v>9</v>
      </c>
      <c r="J551" s="359"/>
      <c r="K551" s="359"/>
      <c r="L551" s="359">
        <v>9</v>
      </c>
      <c r="M551" s="359"/>
      <c r="N551" s="359"/>
    </row>
    <row r="552" spans="1:15" ht="38.25">
      <c r="A552" s="537"/>
      <c r="B552" s="360" t="s">
        <v>457</v>
      </c>
      <c r="C552" s="360" t="s">
        <v>458</v>
      </c>
      <c r="D552" s="360" t="s">
        <v>459</v>
      </c>
      <c r="E552" s="360" t="s">
        <v>133</v>
      </c>
      <c r="F552" s="360"/>
      <c r="G552" s="360" t="s">
        <v>460</v>
      </c>
      <c r="H552" s="360" t="s">
        <v>461</v>
      </c>
      <c r="I552" s="360" t="s">
        <v>462</v>
      </c>
      <c r="J552" s="360" t="s">
        <v>463</v>
      </c>
      <c r="K552" s="360" t="s">
        <v>464</v>
      </c>
      <c r="L552" s="360" t="s">
        <v>465</v>
      </c>
      <c r="M552" s="360" t="s">
        <v>466</v>
      </c>
      <c r="N552" s="360" t="s">
        <v>467</v>
      </c>
    </row>
    <row r="553" spans="1:15">
      <c r="A553" s="393" t="s">
        <v>785</v>
      </c>
      <c r="B553" s="346">
        <v>1.5</v>
      </c>
      <c r="C553" s="346">
        <v>1</v>
      </c>
      <c r="D553" s="362">
        <v>44592</v>
      </c>
      <c r="E553" s="362">
        <v>44592</v>
      </c>
      <c r="F553" s="346">
        <v>2.5</v>
      </c>
      <c r="G553" s="346"/>
      <c r="H553" s="346"/>
      <c r="I553" s="346" t="s">
        <v>489</v>
      </c>
      <c r="J553" s="346" t="s">
        <v>489</v>
      </c>
      <c r="K553" s="346" t="s">
        <v>489</v>
      </c>
      <c r="L553" s="346"/>
      <c r="M553" s="346"/>
      <c r="N553" s="346"/>
    </row>
    <row r="554" spans="1:15" s="388" customFormat="1">
      <c r="A554" s="393" t="s">
        <v>795</v>
      </c>
      <c r="B554" s="346">
        <v>1.5</v>
      </c>
      <c r="C554" s="346">
        <v>0</v>
      </c>
      <c r="D554" s="346">
        <v>0</v>
      </c>
      <c r="E554" s="346">
        <v>0</v>
      </c>
      <c r="F554" s="346">
        <f>F553+B554-C554</f>
        <v>4</v>
      </c>
      <c r="G554" s="346"/>
      <c r="H554" s="346"/>
      <c r="I554" s="346" t="s">
        <v>489</v>
      </c>
      <c r="J554" s="346" t="s">
        <v>489</v>
      </c>
      <c r="K554" s="346" t="s">
        <v>489</v>
      </c>
      <c r="L554" s="346"/>
      <c r="M554" s="346"/>
      <c r="N554" s="346"/>
    </row>
    <row r="555" spans="1:15" s="388" customFormat="1">
      <c r="A555" s="393" t="s">
        <v>823</v>
      </c>
      <c r="B555" s="346">
        <v>1.5</v>
      </c>
      <c r="C555" s="346">
        <v>1</v>
      </c>
      <c r="D555" s="362">
        <v>44631</v>
      </c>
      <c r="E555" s="362">
        <v>44631</v>
      </c>
      <c r="F555" s="346">
        <f>F554+B555-C555</f>
        <v>4.5</v>
      </c>
      <c r="G555" s="346"/>
      <c r="H555" s="346"/>
      <c r="I555" s="346" t="s">
        <v>489</v>
      </c>
      <c r="J555" s="346" t="s">
        <v>489</v>
      </c>
      <c r="K555" s="346" t="s">
        <v>489</v>
      </c>
      <c r="L555" s="346"/>
      <c r="M555" s="346"/>
      <c r="N555" s="346"/>
    </row>
    <row r="556" spans="1:15" s="388" customFormat="1">
      <c r="A556" s="393" t="s">
        <v>846</v>
      </c>
      <c r="B556" s="346">
        <v>1.5</v>
      </c>
      <c r="C556" s="346">
        <v>1</v>
      </c>
      <c r="D556" s="362">
        <v>44652</v>
      </c>
      <c r="E556" s="362">
        <v>44652</v>
      </c>
      <c r="F556" s="346">
        <f>F555+B556-C556</f>
        <v>5</v>
      </c>
      <c r="G556" s="346"/>
      <c r="H556" s="346"/>
      <c r="I556" s="346" t="s">
        <v>489</v>
      </c>
      <c r="J556" s="346" t="s">
        <v>489</v>
      </c>
      <c r="K556" s="346" t="s">
        <v>489</v>
      </c>
      <c r="L556" s="346"/>
      <c r="M556" s="346"/>
      <c r="N556" s="346"/>
      <c r="O556" s="388">
        <v>10</v>
      </c>
    </row>
    <row r="557" spans="1:15">
      <c r="A557" s="393"/>
      <c r="B557" s="346"/>
      <c r="C557" s="346"/>
      <c r="D557" s="499"/>
      <c r="E557" s="499"/>
      <c r="F557" s="346"/>
      <c r="G557" s="346"/>
      <c r="H557" s="346"/>
      <c r="I557" s="346"/>
      <c r="J557" s="346"/>
      <c r="K557" s="346"/>
      <c r="L557" s="346"/>
      <c r="M557" s="346"/>
      <c r="N557" s="346"/>
    </row>
    <row r="558" spans="1:15">
      <c r="A558" s="393"/>
      <c r="B558" s="346"/>
      <c r="C558" s="346"/>
      <c r="D558" s="436"/>
      <c r="E558" s="436"/>
      <c r="F558" s="346"/>
      <c r="G558" s="346"/>
      <c r="H558" s="346"/>
      <c r="I558" s="346"/>
      <c r="J558" s="346"/>
      <c r="K558" s="434"/>
      <c r="L558" s="346"/>
      <c r="M558" s="346"/>
      <c r="N558" s="346"/>
    </row>
    <row r="559" spans="1:15">
      <c r="A559" s="394"/>
      <c r="B559" s="346"/>
      <c r="C559" s="346"/>
      <c r="D559" s="499"/>
      <c r="E559" s="499"/>
      <c r="F559" s="346"/>
      <c r="G559" s="346"/>
      <c r="H559" s="346"/>
      <c r="I559" s="346"/>
      <c r="J559" s="346"/>
      <c r="K559" s="346"/>
      <c r="L559" s="346"/>
      <c r="M559" s="346"/>
      <c r="N559" s="346"/>
    </row>
    <row r="560" spans="1:15">
      <c r="A560" s="394"/>
      <c r="B560" s="346"/>
      <c r="C560" s="346"/>
      <c r="D560" s="499"/>
      <c r="E560" s="499"/>
      <c r="F560" s="346"/>
      <c r="G560" s="346"/>
      <c r="H560" s="346"/>
      <c r="I560" s="346"/>
      <c r="J560" s="346"/>
      <c r="K560" s="346"/>
      <c r="L560" s="346"/>
      <c r="M560" s="346"/>
      <c r="N560" s="346"/>
    </row>
    <row r="561" spans="1:14">
      <c r="A561" s="394"/>
      <c r="B561" s="346"/>
      <c r="C561" s="346"/>
      <c r="D561" s="499"/>
      <c r="E561" s="499"/>
      <c r="F561" s="346"/>
      <c r="G561" s="346"/>
      <c r="H561" s="346"/>
      <c r="I561" s="346"/>
      <c r="J561" s="346"/>
      <c r="K561" s="346"/>
      <c r="L561" s="346"/>
      <c r="M561" s="346"/>
      <c r="N561" s="346"/>
    </row>
    <row r="562" spans="1:14">
      <c r="A562" s="394"/>
      <c r="B562" s="346"/>
      <c r="C562" s="346"/>
      <c r="D562" s="499"/>
      <c r="E562" s="499"/>
      <c r="F562" s="346"/>
      <c r="G562" s="346"/>
      <c r="H562" s="346"/>
      <c r="I562" s="346"/>
      <c r="J562" s="346"/>
      <c r="K562" s="346"/>
      <c r="L562" s="346"/>
      <c r="M562" s="346"/>
      <c r="N562" s="346"/>
    </row>
    <row r="563" spans="1:14">
      <c r="A563" s="394"/>
      <c r="B563" s="346"/>
      <c r="C563" s="346"/>
      <c r="D563" s="499"/>
      <c r="E563" s="436"/>
      <c r="F563" s="346"/>
      <c r="G563" s="346"/>
      <c r="H563" s="346"/>
      <c r="I563" s="346"/>
      <c r="J563" s="346"/>
      <c r="K563" s="346"/>
      <c r="L563" s="346"/>
      <c r="M563" s="346"/>
      <c r="N563" s="346"/>
    </row>
    <row r="564" spans="1:14">
      <c r="A564" s="394"/>
      <c r="B564" s="346"/>
      <c r="C564" s="346"/>
      <c r="D564" s="362"/>
      <c r="E564" s="362"/>
      <c r="F564" s="346"/>
      <c r="G564" s="346"/>
      <c r="H564" s="346"/>
      <c r="I564" s="346"/>
      <c r="J564" s="346"/>
      <c r="K564" s="346"/>
      <c r="L564" s="346"/>
      <c r="M564" s="346"/>
      <c r="N564" s="346"/>
    </row>
    <row r="565" spans="1:14">
      <c r="A565" s="394"/>
      <c r="B565" s="346"/>
      <c r="C565" s="346"/>
      <c r="D565" s="362"/>
      <c r="E565" s="362"/>
      <c r="F565" s="346"/>
      <c r="G565" s="346"/>
      <c r="H565" s="346"/>
      <c r="I565" s="346"/>
      <c r="J565" s="346"/>
      <c r="K565" s="346"/>
      <c r="L565" s="346"/>
      <c r="M565" s="346"/>
      <c r="N565" s="346"/>
    </row>
    <row r="566" spans="1:14">
      <c r="A566" s="394"/>
      <c r="B566" s="346"/>
      <c r="C566" s="346"/>
      <c r="D566" s="362"/>
      <c r="E566" s="362"/>
      <c r="F566" s="346"/>
      <c r="G566" s="346"/>
      <c r="H566" s="346"/>
      <c r="I566" s="346"/>
      <c r="J566" s="346"/>
      <c r="K566" s="346"/>
      <c r="L566" s="346"/>
      <c r="M566" s="346"/>
      <c r="N566" s="346"/>
    </row>
    <row r="567" spans="1:14">
      <c r="A567" s="394"/>
      <c r="B567" s="346"/>
      <c r="C567" s="346"/>
      <c r="D567" s="362"/>
      <c r="E567" s="362"/>
      <c r="F567" s="346"/>
      <c r="G567" s="346"/>
      <c r="H567" s="346"/>
      <c r="I567" s="346"/>
      <c r="J567" s="346"/>
      <c r="K567" s="346"/>
      <c r="L567" s="346"/>
      <c r="M567" s="346"/>
      <c r="N567" s="346"/>
    </row>
    <row r="568" spans="1:14">
      <c r="A568" s="394"/>
      <c r="B568" s="346"/>
      <c r="C568" s="346"/>
      <c r="D568" s="362"/>
      <c r="E568" s="362"/>
      <c r="F568" s="346"/>
      <c r="G568" s="346"/>
      <c r="H568" s="346"/>
      <c r="I568" s="346"/>
      <c r="J568" s="346"/>
      <c r="K568" s="346"/>
      <c r="L568" s="346"/>
      <c r="M568" s="346"/>
      <c r="N568" s="346"/>
    </row>
    <row r="569" spans="1:14">
      <c r="A569" s="392"/>
      <c r="B569" s="346"/>
      <c r="C569" s="346"/>
      <c r="D569" s="346"/>
      <c r="E569" s="346"/>
      <c r="F569" s="346"/>
      <c r="G569" s="346"/>
      <c r="H569" s="346"/>
      <c r="I569" s="346"/>
      <c r="J569" s="346"/>
      <c r="K569" s="346"/>
      <c r="L569" s="346"/>
      <c r="M569" s="346"/>
      <c r="N569" s="346"/>
    </row>
    <row r="570" spans="1:14">
      <c r="A570" s="392"/>
      <c r="B570" s="346"/>
      <c r="C570" s="346"/>
      <c r="D570" s="346"/>
      <c r="E570" s="346"/>
      <c r="F570" s="346"/>
      <c r="G570" s="346"/>
      <c r="H570" s="346"/>
      <c r="I570" s="346"/>
      <c r="J570" s="346"/>
      <c r="K570" s="346"/>
      <c r="L570" s="346"/>
      <c r="M570" s="346"/>
      <c r="N570" s="346"/>
    </row>
    <row r="571" spans="1:14">
      <c r="A571" s="392"/>
      <c r="B571" s="346"/>
      <c r="C571" s="346"/>
      <c r="D571" s="346"/>
      <c r="E571" s="346"/>
      <c r="F571" s="346"/>
      <c r="G571" s="346"/>
      <c r="H571" s="346"/>
      <c r="I571" s="346"/>
      <c r="J571" s="346"/>
      <c r="K571" s="346"/>
      <c r="L571" s="346"/>
      <c r="M571" s="346"/>
      <c r="N571" s="346"/>
    </row>
    <row r="572" spans="1:14">
      <c r="A572" s="392"/>
      <c r="B572" s="346"/>
      <c r="C572" s="346"/>
      <c r="D572" s="346"/>
      <c r="E572" s="346"/>
      <c r="F572" s="346"/>
      <c r="G572" s="346"/>
      <c r="H572" s="346"/>
      <c r="I572" s="346"/>
      <c r="J572" s="346"/>
      <c r="K572" s="346"/>
      <c r="L572" s="346"/>
      <c r="M572" s="346"/>
      <c r="N572" s="346"/>
    </row>
    <row r="573" spans="1:14">
      <c r="A573" s="392"/>
      <c r="B573" s="346"/>
      <c r="C573" s="346"/>
      <c r="D573" s="346"/>
      <c r="E573" s="346"/>
      <c r="F573" s="346"/>
      <c r="G573" s="346"/>
      <c r="H573" s="346"/>
      <c r="I573" s="346"/>
      <c r="J573" s="346"/>
      <c r="K573" s="346"/>
      <c r="L573" s="346"/>
      <c r="M573" s="346"/>
      <c r="N573" s="346"/>
    </row>
    <row r="574" spans="1:14">
      <c r="A574" s="353"/>
      <c r="B574" s="310"/>
      <c r="C574" s="310"/>
      <c r="D574" s="310"/>
      <c r="E574" s="310"/>
      <c r="F574" s="310"/>
      <c r="G574" s="310"/>
      <c r="H574" s="310"/>
      <c r="I574" s="310"/>
      <c r="J574" s="310"/>
      <c r="K574" s="310"/>
      <c r="L574" s="310"/>
      <c r="M574" s="310"/>
      <c r="N574" s="310"/>
    </row>
    <row r="575" spans="1:14">
      <c r="A575" s="353"/>
      <c r="B575" s="310"/>
      <c r="C575" s="310"/>
      <c r="D575" s="310"/>
      <c r="E575" s="310"/>
      <c r="F575" s="310"/>
      <c r="G575" s="310"/>
      <c r="H575" s="310"/>
      <c r="I575" s="310"/>
      <c r="J575" s="310"/>
      <c r="K575" s="310"/>
      <c r="L575" s="310"/>
      <c r="M575" s="310"/>
      <c r="N575" s="310"/>
    </row>
    <row r="576" spans="1:14">
      <c r="A576" s="353"/>
      <c r="B576" s="310"/>
      <c r="C576" s="310"/>
      <c r="D576" s="310"/>
      <c r="E576" s="310"/>
      <c r="F576" s="310"/>
      <c r="G576" s="310"/>
      <c r="H576" s="310"/>
      <c r="I576" s="310"/>
      <c r="J576" s="310"/>
      <c r="K576" s="310"/>
      <c r="L576" s="310"/>
      <c r="M576" s="310"/>
      <c r="N576" s="310"/>
    </row>
    <row r="577" spans="1:14">
      <c r="A577" s="396"/>
      <c r="B577" s="395"/>
      <c r="C577" s="395"/>
      <c r="D577" s="395"/>
      <c r="E577" s="395"/>
      <c r="F577" s="395"/>
      <c r="G577" s="395"/>
      <c r="H577" s="395"/>
      <c r="I577" s="395"/>
      <c r="J577" s="395"/>
      <c r="K577" s="395"/>
      <c r="L577" s="395"/>
      <c r="M577" s="395"/>
      <c r="N577" s="395"/>
    </row>
    <row r="578" spans="1:14">
      <c r="A578" s="396"/>
      <c r="B578" s="395"/>
      <c r="C578" s="395"/>
      <c r="D578" s="395"/>
      <c r="E578" s="395"/>
      <c r="F578" s="395"/>
      <c r="G578" s="395"/>
      <c r="H578" s="395"/>
      <c r="I578" s="395"/>
      <c r="J578" s="395"/>
      <c r="K578" s="395"/>
      <c r="L578" s="395"/>
      <c r="M578" s="395"/>
      <c r="N578" s="395"/>
    </row>
    <row r="579" spans="1:14">
      <c r="A579" s="396"/>
      <c r="B579" s="395"/>
      <c r="C579" s="395"/>
      <c r="D579" s="395"/>
      <c r="E579" s="395"/>
      <c r="F579" s="395"/>
      <c r="G579" s="395"/>
      <c r="H579" s="395"/>
      <c r="I579" s="395"/>
      <c r="J579" s="395"/>
      <c r="K579" s="395"/>
      <c r="L579" s="395"/>
      <c r="M579" s="395"/>
      <c r="N579" s="395"/>
    </row>
    <row r="580" spans="1:14" ht="15.75" thickBot="1">
      <c r="A580" s="397"/>
      <c r="B580" s="398"/>
      <c r="C580" s="398"/>
      <c r="D580" s="398"/>
      <c r="E580" s="398"/>
      <c r="F580" s="398"/>
      <c r="G580" s="1104" t="s">
        <v>38</v>
      </c>
      <c r="H580" s="1104"/>
      <c r="I580" s="1104"/>
      <c r="J580" s="1104"/>
      <c r="K580" s="1104"/>
      <c r="L580" s="1104"/>
      <c r="M580" s="1104"/>
      <c r="N580" s="1104"/>
    </row>
    <row r="581" spans="1:14">
      <c r="A581" s="388"/>
      <c r="B581" s="388"/>
      <c r="C581" s="388"/>
      <c r="D581" s="388"/>
      <c r="E581" s="388"/>
      <c r="F581" s="388"/>
      <c r="G581" s="388"/>
      <c r="H581" s="388"/>
      <c r="I581" s="388"/>
      <c r="J581" s="388"/>
      <c r="K581" s="388"/>
      <c r="L581" s="388"/>
      <c r="M581" s="388"/>
      <c r="N581" s="388"/>
    </row>
    <row r="582" spans="1:14">
      <c r="A582" s="388"/>
      <c r="B582" s="388"/>
      <c r="C582" s="388"/>
      <c r="D582" s="388"/>
      <c r="E582" s="388"/>
      <c r="F582" s="388"/>
      <c r="G582" s="388"/>
      <c r="H582" s="388"/>
      <c r="I582" s="388"/>
      <c r="J582" s="388"/>
      <c r="K582" s="388"/>
      <c r="L582" s="388"/>
      <c r="M582" s="388"/>
      <c r="N582" s="388"/>
    </row>
    <row r="583" spans="1:14">
      <c r="A583" s="388"/>
      <c r="B583" s="388"/>
      <c r="C583" s="388"/>
      <c r="D583" s="388"/>
      <c r="E583" s="388"/>
      <c r="F583" s="388"/>
      <c r="G583" s="388"/>
      <c r="H583" s="388"/>
      <c r="I583" s="388"/>
      <c r="J583" s="388"/>
      <c r="K583" s="388"/>
      <c r="L583" s="388"/>
      <c r="M583" s="388"/>
      <c r="N583" s="388"/>
    </row>
    <row r="584" spans="1:14">
      <c r="A584" s="388"/>
      <c r="B584" s="388"/>
      <c r="C584" s="388"/>
      <c r="D584" s="388"/>
      <c r="E584" s="388"/>
      <c r="F584" s="388"/>
      <c r="G584" s="388"/>
      <c r="H584" s="388"/>
      <c r="I584" s="388"/>
      <c r="J584" s="388"/>
      <c r="K584" s="388"/>
      <c r="L584" s="388"/>
      <c r="M584" s="388"/>
      <c r="N584" s="388"/>
    </row>
    <row r="585" spans="1:14">
      <c r="A585" s="388"/>
      <c r="B585" s="388"/>
      <c r="C585" s="388"/>
      <c r="D585" s="388"/>
      <c r="E585" s="388"/>
      <c r="F585" s="388"/>
      <c r="G585" s="388"/>
      <c r="H585" s="388"/>
      <c r="I585" s="388"/>
      <c r="J585" s="388"/>
      <c r="K585" s="388"/>
      <c r="L585" s="388"/>
      <c r="M585" s="388"/>
      <c r="N585" s="388"/>
    </row>
    <row r="586" spans="1:14">
      <c r="A586" s="388"/>
      <c r="B586" s="388"/>
      <c r="C586" s="388"/>
      <c r="D586" s="388"/>
      <c r="E586" s="388"/>
      <c r="F586" s="388"/>
      <c r="G586" s="388"/>
      <c r="H586" s="388"/>
      <c r="I586" s="388"/>
      <c r="J586" s="388"/>
      <c r="K586" s="388"/>
      <c r="L586" s="388"/>
      <c r="M586" s="388"/>
      <c r="N586" s="388"/>
    </row>
    <row r="587" spans="1:14">
      <c r="A587" s="388"/>
      <c r="B587" s="388"/>
      <c r="C587" s="388"/>
      <c r="D587" s="388"/>
      <c r="E587" s="388"/>
      <c r="F587" s="388"/>
      <c r="G587" s="388"/>
      <c r="H587" s="388"/>
      <c r="I587" s="388"/>
      <c r="J587" s="388"/>
      <c r="K587" s="388"/>
      <c r="L587" s="388"/>
      <c r="M587" s="388"/>
      <c r="N587" s="388"/>
    </row>
    <row r="588" spans="1:14">
      <c r="A588" s="388"/>
      <c r="B588" s="388"/>
      <c r="C588" s="388"/>
      <c r="D588" s="388"/>
      <c r="E588" s="388"/>
      <c r="F588" s="388"/>
      <c r="G588" s="388"/>
      <c r="H588" s="388"/>
      <c r="I588" s="388"/>
      <c r="J588" s="388"/>
      <c r="K588" s="388"/>
      <c r="L588" s="388"/>
      <c r="M588" s="388"/>
      <c r="N588" s="388"/>
    </row>
    <row r="589" spans="1:14">
      <c r="A589" s="388"/>
      <c r="B589" s="388"/>
      <c r="C589" s="388"/>
      <c r="D589" s="388"/>
      <c r="E589" s="388"/>
      <c r="F589" s="388"/>
      <c r="G589" s="388"/>
      <c r="H589" s="388"/>
      <c r="I589" s="388"/>
      <c r="J589" s="388"/>
      <c r="K589" s="388"/>
      <c r="L589" s="388"/>
      <c r="M589" s="388"/>
      <c r="N589" s="388"/>
    </row>
    <row r="590" spans="1:14">
      <c r="A590" s="388"/>
      <c r="B590" s="388"/>
      <c r="C590" s="388"/>
      <c r="D590" s="388"/>
      <c r="E590" s="388"/>
      <c r="F590" s="388"/>
      <c r="G590" s="388"/>
      <c r="H590" s="388"/>
      <c r="I590" s="388"/>
      <c r="J590" s="388"/>
      <c r="K590" s="388"/>
      <c r="L590" s="388"/>
      <c r="M590" s="388"/>
      <c r="N590" s="388"/>
    </row>
    <row r="591" spans="1:14">
      <c r="A591" s="388"/>
      <c r="B591" s="388"/>
      <c r="C591" s="388"/>
      <c r="D591" s="388"/>
      <c r="E591" s="388"/>
      <c r="F591" s="388"/>
      <c r="G591" s="388"/>
      <c r="H591" s="388"/>
      <c r="I591" s="388"/>
      <c r="J591" s="388"/>
      <c r="K591" s="388"/>
      <c r="L591" s="388"/>
      <c r="M591" s="388"/>
      <c r="N591" s="388"/>
    </row>
    <row r="592" spans="1:14">
      <c r="A592" s="388"/>
      <c r="B592" s="388"/>
      <c r="C592" s="388"/>
      <c r="D592" s="388"/>
      <c r="E592" s="388"/>
      <c r="F592" s="388"/>
      <c r="G592" s="388"/>
      <c r="H592" s="388"/>
      <c r="I592" s="388"/>
      <c r="J592" s="388"/>
      <c r="K592" s="388"/>
      <c r="L592" s="388"/>
      <c r="M592" s="388"/>
      <c r="N592" s="388"/>
    </row>
    <row r="593" spans="1:14">
      <c r="A593" s="388"/>
      <c r="B593" s="388"/>
      <c r="C593" s="388"/>
      <c r="D593" s="388"/>
      <c r="E593" s="388"/>
      <c r="F593" s="388"/>
      <c r="G593" s="388"/>
      <c r="H593" s="388"/>
      <c r="I593" s="388"/>
      <c r="J593" s="388"/>
      <c r="K593" s="388"/>
      <c r="L593" s="388"/>
      <c r="M593" s="388"/>
      <c r="N593" s="388"/>
    </row>
    <row r="594" spans="1:14">
      <c r="A594" s="388"/>
      <c r="B594" s="388"/>
      <c r="C594" s="388"/>
      <c r="D594" s="388"/>
      <c r="E594" s="388"/>
      <c r="F594" s="388"/>
      <c r="G594" s="388"/>
      <c r="H594" s="388"/>
      <c r="I594" s="388"/>
      <c r="J594" s="388"/>
      <c r="K594" s="388"/>
      <c r="L594" s="388"/>
      <c r="M594" s="388"/>
      <c r="N594" s="388"/>
    </row>
    <row r="595" spans="1:14">
      <c r="A595" s="388"/>
      <c r="B595" s="388"/>
      <c r="C595" s="388"/>
      <c r="D595" s="388"/>
      <c r="E595" s="388"/>
      <c r="F595" s="388"/>
      <c r="G595" s="388"/>
      <c r="H595" s="388"/>
      <c r="I595" s="388"/>
      <c r="J595" s="388"/>
      <c r="K595" s="388"/>
      <c r="L595" s="388"/>
      <c r="M595" s="388"/>
      <c r="N595" s="388"/>
    </row>
    <row r="596" spans="1:14">
      <c r="A596" s="388"/>
      <c r="B596" s="388"/>
      <c r="C596" s="388"/>
      <c r="D596" s="388"/>
      <c r="E596" s="388"/>
      <c r="F596" s="388"/>
      <c r="G596" s="388"/>
      <c r="H596" s="388"/>
      <c r="I596" s="388"/>
      <c r="J596" s="388"/>
      <c r="K596" s="388"/>
      <c r="L596" s="388"/>
      <c r="M596" s="388"/>
      <c r="N596" s="388"/>
    </row>
    <row r="597" spans="1:14" ht="15.75" thickBot="1">
      <c r="A597" s="388"/>
      <c r="B597" s="388"/>
      <c r="C597" s="388"/>
      <c r="D597" s="388"/>
      <c r="E597" s="388"/>
      <c r="F597" s="388"/>
      <c r="G597" s="388"/>
      <c r="H597" s="388"/>
      <c r="I597" s="388"/>
      <c r="J597" s="388"/>
      <c r="K597" s="388"/>
      <c r="L597" s="388"/>
      <c r="M597" s="388"/>
      <c r="N597" s="388"/>
    </row>
    <row r="598" spans="1:14">
      <c r="A598" s="1105" t="s">
        <v>448</v>
      </c>
      <c r="B598" s="1106"/>
      <c r="C598" s="1106"/>
      <c r="D598" s="1106"/>
      <c r="E598" s="1106"/>
      <c r="F598" s="1106"/>
      <c r="G598" s="1106"/>
      <c r="H598" s="1106"/>
      <c r="I598" s="1106"/>
      <c r="J598" s="1106"/>
      <c r="K598" s="1106"/>
      <c r="L598" s="1106"/>
      <c r="M598" s="1106"/>
      <c r="N598" s="1106"/>
    </row>
    <row r="599" spans="1:14" ht="15.75" thickBot="1">
      <c r="A599" s="1107"/>
      <c r="B599" s="1108"/>
      <c r="C599" s="1108"/>
      <c r="D599" s="1108"/>
      <c r="E599" s="1108"/>
      <c r="F599" s="1108"/>
      <c r="G599" s="1108"/>
      <c r="H599" s="1108"/>
      <c r="I599" s="1108"/>
      <c r="J599" s="1108"/>
      <c r="K599" s="1108"/>
      <c r="L599" s="1108"/>
      <c r="M599" s="1108"/>
      <c r="N599" s="1108"/>
    </row>
    <row r="600" spans="1:14" ht="15.75" thickBot="1">
      <c r="A600" s="1109" t="s">
        <v>449</v>
      </c>
      <c r="B600" s="1110"/>
      <c r="C600" s="1110"/>
      <c r="D600" s="1110"/>
      <c r="E600" s="1110"/>
      <c r="F600" s="1110"/>
      <c r="G600" s="1110"/>
      <c r="H600" s="1110"/>
      <c r="I600" s="1110"/>
      <c r="J600" s="1110"/>
      <c r="K600" s="1110"/>
      <c r="L600" s="1110"/>
      <c r="M600" s="1110"/>
      <c r="N600" s="1110"/>
    </row>
    <row r="601" spans="1:14">
      <c r="A601" s="351" t="s">
        <v>479</v>
      </c>
      <c r="B601" s="308"/>
      <c r="C601" s="308"/>
      <c r="D601" s="309"/>
      <c r="E601" s="1111" t="s">
        <v>480</v>
      </c>
      <c r="F601" s="1112"/>
      <c r="G601" s="1112"/>
      <c r="H601" s="352"/>
      <c r="I601" s="352"/>
      <c r="J601" s="352"/>
      <c r="K601" s="352"/>
      <c r="L601" s="352"/>
      <c r="M601" s="352"/>
      <c r="N601" s="352"/>
    </row>
    <row r="602" spans="1:14">
      <c r="A602" s="353"/>
      <c r="B602" s="419" t="s">
        <v>382</v>
      </c>
      <c r="C602" s="310"/>
      <c r="D602" s="311"/>
      <c r="E602" s="354"/>
      <c r="F602" s="355"/>
      <c r="G602" s="1113" t="str">
        <f>'04-221Master'!B26</f>
        <v>FAZALAHMED IRKAL</v>
      </c>
      <c r="H602" s="1113"/>
      <c r="I602" s="1113"/>
      <c r="J602" s="355"/>
      <c r="K602" s="355"/>
      <c r="L602" s="355"/>
      <c r="M602" s="355"/>
      <c r="N602" s="355"/>
    </row>
    <row r="603" spans="1:14" ht="15.75" thickBot="1">
      <c r="A603" s="312"/>
      <c r="B603" s="421" t="s">
        <v>383</v>
      </c>
      <c r="C603" s="313"/>
      <c r="D603" s="314"/>
      <c r="E603" s="354"/>
      <c r="F603" s="355"/>
      <c r="G603" s="355"/>
      <c r="H603" s="355"/>
      <c r="I603" s="355"/>
      <c r="J603" s="355"/>
      <c r="K603" s="355"/>
      <c r="L603" s="355"/>
      <c r="M603" s="355"/>
      <c r="N603" s="355"/>
    </row>
    <row r="604" spans="1:14">
      <c r="A604" s="315" t="s">
        <v>481</v>
      </c>
      <c r="B604" s="308"/>
      <c r="C604" s="308"/>
      <c r="D604" s="309"/>
      <c r="E604" s="315" t="s">
        <v>450</v>
      </c>
      <c r="F604" s="308"/>
      <c r="G604" s="356">
        <f>'04-221Master'!N26</f>
        <v>44494</v>
      </c>
      <c r="H604" s="308"/>
      <c r="I604" s="308"/>
      <c r="J604" s="308"/>
      <c r="K604" s="308"/>
      <c r="L604" s="308"/>
      <c r="M604" s="308"/>
      <c r="N604" s="308"/>
    </row>
    <row r="605" spans="1:14">
      <c r="A605" s="353"/>
      <c r="B605" s="310"/>
      <c r="C605" s="590" t="str">
        <f>'04-221Master'!F26</f>
        <v>SENIOR HADOOP ADMIN</v>
      </c>
      <c r="D605" s="311"/>
      <c r="E605" s="316"/>
      <c r="F605" s="310"/>
      <c r="G605" s="310"/>
      <c r="H605" s="310"/>
      <c r="I605" s="310"/>
      <c r="J605" s="310"/>
      <c r="K605" s="310"/>
      <c r="L605" s="310"/>
      <c r="M605" s="310"/>
      <c r="N605" s="310"/>
    </row>
    <row r="606" spans="1:14">
      <c r="A606" s="353"/>
      <c r="B606" s="310"/>
      <c r="C606" s="310"/>
      <c r="D606" s="311"/>
      <c r="E606" s="357"/>
      <c r="F606" s="310"/>
      <c r="G606" s="310"/>
      <c r="H606" s="310"/>
      <c r="I606" s="310"/>
      <c r="J606" s="310"/>
      <c r="K606" s="310"/>
      <c r="L606" s="310"/>
      <c r="M606" s="310"/>
      <c r="N606" s="310"/>
    </row>
    <row r="607" spans="1:14" ht="15.75" thickBot="1">
      <c r="A607" s="390"/>
      <c r="B607" s="318"/>
      <c r="C607" s="318"/>
      <c r="D607" s="358"/>
      <c r="E607" s="312"/>
      <c r="F607" s="313"/>
      <c r="G607" s="313"/>
      <c r="H607" s="313"/>
      <c r="I607" s="313"/>
      <c r="J607" s="313"/>
      <c r="K607" s="313"/>
      <c r="L607" s="313"/>
      <c r="M607" s="313"/>
      <c r="N607" s="313"/>
    </row>
    <row r="608" spans="1:14">
      <c r="A608" s="1114" t="s">
        <v>5</v>
      </c>
      <c r="B608" s="1116" t="s">
        <v>451</v>
      </c>
      <c r="C608" s="1117"/>
      <c r="D608" s="1116" t="s">
        <v>452</v>
      </c>
      <c r="E608" s="1119"/>
      <c r="F608" s="1122" t="s">
        <v>453</v>
      </c>
      <c r="G608" s="1118" t="s">
        <v>454</v>
      </c>
      <c r="H608" s="1124"/>
      <c r="I608" s="1125" t="s">
        <v>455</v>
      </c>
      <c r="J608" s="1124"/>
      <c r="K608" s="1126"/>
      <c r="L608" s="1125" t="s">
        <v>456</v>
      </c>
      <c r="M608" s="1124"/>
      <c r="N608" s="1124"/>
    </row>
    <row r="609" spans="1:15" ht="15.75" thickBot="1">
      <c r="A609" s="1115"/>
      <c r="B609" s="1118"/>
      <c r="C609" s="1119"/>
      <c r="D609" s="1118"/>
      <c r="E609" s="1119"/>
      <c r="F609" s="1123"/>
      <c r="G609" s="1118"/>
      <c r="H609" s="1124"/>
      <c r="I609" s="1127"/>
      <c r="J609" s="1128"/>
      <c r="K609" s="1129"/>
      <c r="L609" s="1127"/>
      <c r="M609" s="1128"/>
      <c r="N609" s="1128"/>
    </row>
    <row r="610" spans="1:15">
      <c r="A610" s="391">
        <v>1</v>
      </c>
      <c r="B610" s="1120"/>
      <c r="C610" s="1121"/>
      <c r="D610" s="1120"/>
      <c r="E610" s="1121"/>
      <c r="F610" s="322">
        <v>6</v>
      </c>
      <c r="G610" s="1120"/>
      <c r="H610" s="1121"/>
      <c r="I610" s="359">
        <v>9</v>
      </c>
      <c r="J610" s="359"/>
      <c r="K610" s="359"/>
      <c r="L610" s="359">
        <v>9</v>
      </c>
      <c r="M610" s="359"/>
      <c r="N610" s="359"/>
    </row>
    <row r="611" spans="1:15" ht="38.25">
      <c r="A611" s="537"/>
      <c r="B611" s="360" t="s">
        <v>457</v>
      </c>
      <c r="C611" s="360" t="s">
        <v>458</v>
      </c>
      <c r="D611" s="360" t="s">
        <v>459</v>
      </c>
      <c r="E611" s="360" t="s">
        <v>133</v>
      </c>
      <c r="F611" s="360"/>
      <c r="G611" s="360" t="s">
        <v>460</v>
      </c>
      <c r="H611" s="360" t="s">
        <v>461</v>
      </c>
      <c r="I611" s="360" t="s">
        <v>462</v>
      </c>
      <c r="J611" s="360" t="s">
        <v>463</v>
      </c>
      <c r="K611" s="360" t="s">
        <v>464</v>
      </c>
      <c r="L611" s="360" t="s">
        <v>465</v>
      </c>
      <c r="M611" s="360" t="s">
        <v>466</v>
      </c>
      <c r="N611" s="360" t="s">
        <v>467</v>
      </c>
    </row>
    <row r="612" spans="1:15">
      <c r="A612" s="393" t="s">
        <v>785</v>
      </c>
      <c r="B612" s="346">
        <v>1.5</v>
      </c>
      <c r="C612" s="346"/>
      <c r="D612" s="499"/>
      <c r="E612" s="499"/>
      <c r="F612" s="346">
        <v>4.5</v>
      </c>
      <c r="G612" s="346"/>
      <c r="H612" s="346"/>
      <c r="I612" s="346" t="s">
        <v>489</v>
      </c>
      <c r="J612" s="346" t="s">
        <v>489</v>
      </c>
      <c r="K612" s="346" t="s">
        <v>489</v>
      </c>
      <c r="L612" s="346"/>
      <c r="M612" s="346"/>
      <c r="N612" s="346"/>
    </row>
    <row r="613" spans="1:15" s="388" customFormat="1">
      <c r="A613" s="393" t="s">
        <v>795</v>
      </c>
      <c r="B613" s="346">
        <v>1.5</v>
      </c>
      <c r="C613" s="346">
        <v>1</v>
      </c>
      <c r="D613" s="362">
        <v>44610</v>
      </c>
      <c r="E613" s="362">
        <v>44610</v>
      </c>
      <c r="F613" s="346">
        <f>F612+B613-C613</f>
        <v>5</v>
      </c>
      <c r="G613" s="346"/>
      <c r="H613" s="346"/>
      <c r="I613" s="346" t="s">
        <v>489</v>
      </c>
      <c r="J613" s="346" t="s">
        <v>489</v>
      </c>
      <c r="K613" s="346" t="s">
        <v>489</v>
      </c>
      <c r="L613" s="346"/>
      <c r="M613" s="346"/>
      <c r="N613" s="346"/>
    </row>
    <row r="614" spans="1:15" s="388" customFormat="1">
      <c r="A614" s="393" t="s">
        <v>823</v>
      </c>
      <c r="B614" s="346">
        <v>1.5</v>
      </c>
      <c r="C614" s="346">
        <v>1</v>
      </c>
      <c r="D614" s="362">
        <v>44637</v>
      </c>
      <c r="E614" s="362">
        <v>44637</v>
      </c>
      <c r="F614" s="346">
        <f>F613+B614-C614</f>
        <v>5.5</v>
      </c>
      <c r="G614" s="346"/>
      <c r="H614" s="346"/>
      <c r="I614" s="346" t="s">
        <v>489</v>
      </c>
      <c r="J614" s="346" t="s">
        <v>489</v>
      </c>
      <c r="K614" s="346" t="s">
        <v>489</v>
      </c>
      <c r="L614" s="346"/>
      <c r="M614" s="346"/>
      <c r="N614" s="346"/>
    </row>
    <row r="615" spans="1:15" s="388" customFormat="1">
      <c r="A615" s="393" t="s">
        <v>846</v>
      </c>
      <c r="B615" s="346">
        <v>1.5</v>
      </c>
      <c r="C615" s="346">
        <v>0</v>
      </c>
      <c r="D615" s="346">
        <v>0</v>
      </c>
      <c r="E615" s="346">
        <v>0</v>
      </c>
      <c r="F615" s="346">
        <f>F614+B615-C615</f>
        <v>7</v>
      </c>
      <c r="G615" s="346"/>
      <c r="H615" s="346"/>
      <c r="I615" s="346" t="s">
        <v>489</v>
      </c>
      <c r="J615" s="346" t="s">
        <v>489</v>
      </c>
      <c r="K615" s="346" t="s">
        <v>489</v>
      </c>
      <c r="L615" s="346"/>
      <c r="M615" s="346"/>
      <c r="N615" s="346"/>
      <c r="O615" s="388">
        <v>11</v>
      </c>
    </row>
    <row r="616" spans="1:15">
      <c r="A616" s="393"/>
      <c r="B616" s="346"/>
      <c r="C616" s="346"/>
      <c r="D616" s="499"/>
      <c r="E616" s="499"/>
      <c r="F616" s="346"/>
      <c r="G616" s="346"/>
      <c r="H616" s="346"/>
      <c r="I616" s="346"/>
      <c r="J616" s="346"/>
      <c r="K616" s="346"/>
      <c r="L616" s="346"/>
      <c r="M616" s="346"/>
      <c r="N616" s="346"/>
    </row>
    <row r="617" spans="1:15">
      <c r="A617" s="393"/>
      <c r="B617" s="346"/>
      <c r="C617" s="346"/>
      <c r="D617" s="436"/>
      <c r="E617" s="436"/>
      <c r="F617" s="346"/>
      <c r="G617" s="346"/>
      <c r="H617" s="346"/>
      <c r="I617" s="346"/>
      <c r="J617" s="346"/>
      <c r="K617" s="434"/>
      <c r="L617" s="346"/>
      <c r="M617" s="346"/>
      <c r="N617" s="346"/>
    </row>
    <row r="618" spans="1:15">
      <c r="A618" s="394"/>
      <c r="B618" s="346"/>
      <c r="C618" s="346"/>
      <c r="D618" s="499"/>
      <c r="E618" s="499"/>
      <c r="F618" s="346"/>
      <c r="G618" s="346"/>
      <c r="H618" s="346"/>
      <c r="I618" s="346"/>
      <c r="J618" s="346"/>
      <c r="K618" s="346"/>
      <c r="L618" s="346"/>
      <c r="M618" s="346"/>
      <c r="N618" s="346"/>
    </row>
    <row r="619" spans="1:15">
      <c r="A619" s="394"/>
      <c r="B619" s="346"/>
      <c r="C619" s="346"/>
      <c r="D619" s="499"/>
      <c r="E619" s="499"/>
      <c r="F619" s="346"/>
      <c r="G619" s="346"/>
      <c r="H619" s="346"/>
      <c r="I619" s="346"/>
      <c r="J619" s="346"/>
      <c r="K619" s="346"/>
      <c r="L619" s="346"/>
      <c r="M619" s="346"/>
      <c r="N619" s="346"/>
    </row>
    <row r="620" spans="1:15">
      <c r="A620" s="394"/>
      <c r="B620" s="346"/>
      <c r="C620" s="346"/>
      <c r="D620" s="499"/>
      <c r="E620" s="499"/>
      <c r="F620" s="346"/>
      <c r="G620" s="346"/>
      <c r="H620" s="346"/>
      <c r="I620" s="346"/>
      <c r="J620" s="346"/>
      <c r="K620" s="346"/>
      <c r="L620" s="346"/>
      <c r="M620" s="346"/>
      <c r="N620" s="346"/>
    </row>
    <row r="621" spans="1:15">
      <c r="A621" s="394"/>
      <c r="B621" s="346"/>
      <c r="C621" s="346"/>
      <c r="D621" s="499"/>
      <c r="E621" s="499"/>
      <c r="F621" s="346"/>
      <c r="G621" s="346"/>
      <c r="H621" s="346"/>
      <c r="I621" s="346"/>
      <c r="J621" s="346"/>
      <c r="K621" s="346"/>
      <c r="L621" s="346"/>
      <c r="M621" s="346"/>
      <c r="N621" s="346"/>
    </row>
    <row r="622" spans="1:15">
      <c r="A622" s="394"/>
      <c r="B622" s="346"/>
      <c r="C622" s="346"/>
      <c r="D622" s="499"/>
      <c r="E622" s="436"/>
      <c r="F622" s="346"/>
      <c r="G622" s="346"/>
      <c r="H622" s="346"/>
      <c r="I622" s="346"/>
      <c r="J622" s="346"/>
      <c r="K622" s="346"/>
      <c r="L622" s="346"/>
      <c r="M622" s="346"/>
      <c r="N622" s="346"/>
    </row>
    <row r="623" spans="1:15">
      <c r="A623" s="394"/>
      <c r="B623" s="346"/>
      <c r="C623" s="346"/>
      <c r="D623" s="362"/>
      <c r="E623" s="362"/>
      <c r="F623" s="346"/>
      <c r="G623" s="346"/>
      <c r="H623" s="346"/>
      <c r="I623" s="346"/>
      <c r="J623" s="346"/>
      <c r="K623" s="346"/>
      <c r="L623" s="346"/>
      <c r="M623" s="346"/>
      <c r="N623" s="346"/>
    </row>
    <row r="624" spans="1:15">
      <c r="A624" s="394"/>
      <c r="B624" s="346"/>
      <c r="C624" s="346"/>
      <c r="D624" s="362"/>
      <c r="E624" s="362"/>
      <c r="F624" s="346"/>
      <c r="G624" s="346"/>
      <c r="H624" s="346"/>
      <c r="I624" s="346"/>
      <c r="J624" s="346"/>
      <c r="K624" s="346"/>
      <c r="L624" s="346"/>
      <c r="M624" s="346"/>
      <c r="N624" s="346"/>
    </row>
    <row r="625" spans="1:14">
      <c r="A625" s="394"/>
      <c r="B625" s="346"/>
      <c r="C625" s="346"/>
      <c r="D625" s="362"/>
      <c r="E625" s="362"/>
      <c r="F625" s="346"/>
      <c r="G625" s="346"/>
      <c r="H625" s="346"/>
      <c r="I625" s="346"/>
      <c r="J625" s="346"/>
      <c r="K625" s="346"/>
      <c r="L625" s="346"/>
      <c r="M625" s="346"/>
      <c r="N625" s="346"/>
    </row>
    <row r="626" spans="1:14">
      <c r="A626" s="394"/>
      <c r="B626" s="346"/>
      <c r="C626" s="346"/>
      <c r="D626" s="362"/>
      <c r="E626" s="362"/>
      <c r="F626" s="346"/>
      <c r="G626" s="346"/>
      <c r="H626" s="346"/>
      <c r="I626" s="346"/>
      <c r="J626" s="346"/>
      <c r="K626" s="346"/>
      <c r="L626" s="346"/>
      <c r="M626" s="346"/>
      <c r="N626" s="346"/>
    </row>
    <row r="627" spans="1:14">
      <c r="A627" s="394"/>
      <c r="B627" s="346"/>
      <c r="C627" s="346"/>
      <c r="D627" s="362"/>
      <c r="E627" s="362"/>
      <c r="F627" s="346"/>
      <c r="G627" s="346"/>
      <c r="H627" s="346"/>
      <c r="I627" s="346"/>
      <c r="J627" s="346"/>
      <c r="K627" s="346"/>
      <c r="L627" s="346"/>
      <c r="M627" s="346"/>
      <c r="N627" s="346"/>
    </row>
    <row r="628" spans="1:14">
      <c r="A628" s="392"/>
      <c r="B628" s="346"/>
      <c r="C628" s="346"/>
      <c r="D628" s="346"/>
      <c r="E628" s="346"/>
      <c r="F628" s="346"/>
      <c r="G628" s="346"/>
      <c r="H628" s="346"/>
      <c r="I628" s="346"/>
      <c r="J628" s="346"/>
      <c r="K628" s="346"/>
      <c r="L628" s="346"/>
      <c r="M628" s="346"/>
      <c r="N628" s="346"/>
    </row>
    <row r="629" spans="1:14">
      <c r="A629" s="392"/>
      <c r="B629" s="346"/>
      <c r="C629" s="346"/>
      <c r="D629" s="346"/>
      <c r="E629" s="346"/>
      <c r="F629" s="346"/>
      <c r="G629" s="346"/>
      <c r="H629" s="346"/>
      <c r="I629" s="346"/>
      <c r="J629" s="346"/>
      <c r="K629" s="346"/>
      <c r="L629" s="346"/>
      <c r="M629" s="346"/>
      <c r="N629" s="346"/>
    </row>
    <row r="630" spans="1:14">
      <c r="A630" s="392"/>
      <c r="B630" s="346"/>
      <c r="C630" s="346"/>
      <c r="D630" s="346"/>
      <c r="E630" s="346"/>
      <c r="F630" s="346"/>
      <c r="G630" s="346"/>
      <c r="H630" s="346"/>
      <c r="I630" s="346"/>
      <c r="J630" s="346"/>
      <c r="K630" s="346"/>
      <c r="L630" s="346"/>
      <c r="M630" s="346"/>
      <c r="N630" s="346"/>
    </row>
    <row r="631" spans="1:14">
      <c r="A631" s="392"/>
      <c r="B631" s="346"/>
      <c r="C631" s="346"/>
      <c r="D631" s="346"/>
      <c r="E631" s="346"/>
      <c r="F631" s="346"/>
      <c r="G631" s="346"/>
      <c r="H631" s="346"/>
      <c r="I631" s="346"/>
      <c r="J631" s="346"/>
      <c r="K631" s="346"/>
      <c r="L631" s="346"/>
      <c r="M631" s="346"/>
      <c r="N631" s="346"/>
    </row>
    <row r="632" spans="1:14">
      <c r="A632" s="392"/>
      <c r="B632" s="346"/>
      <c r="C632" s="346"/>
      <c r="D632" s="346"/>
      <c r="E632" s="346"/>
      <c r="F632" s="346"/>
      <c r="G632" s="346"/>
      <c r="H632" s="346"/>
      <c r="I632" s="346"/>
      <c r="J632" s="346"/>
      <c r="K632" s="346"/>
      <c r="L632" s="346"/>
      <c r="M632" s="346"/>
      <c r="N632" s="346"/>
    </row>
    <row r="633" spans="1:14">
      <c r="A633" s="353"/>
      <c r="B633" s="310"/>
      <c r="C633" s="310"/>
      <c r="D633" s="310"/>
      <c r="E633" s="310"/>
      <c r="F633" s="310"/>
      <c r="G633" s="310"/>
      <c r="H633" s="310"/>
      <c r="I633" s="310"/>
      <c r="J633" s="310"/>
      <c r="K633" s="310"/>
      <c r="L633" s="310"/>
      <c r="M633" s="310"/>
      <c r="N633" s="310"/>
    </row>
    <row r="634" spans="1:14">
      <c r="A634" s="353"/>
      <c r="B634" s="310"/>
      <c r="C634" s="310"/>
      <c r="D634" s="310"/>
      <c r="E634" s="310"/>
      <c r="F634" s="310"/>
      <c r="G634" s="310"/>
      <c r="H634" s="310"/>
      <c r="I634" s="310"/>
      <c r="J634" s="310"/>
      <c r="K634" s="310"/>
      <c r="L634" s="310"/>
      <c r="M634" s="310"/>
      <c r="N634" s="310"/>
    </row>
    <row r="635" spans="1:14">
      <c r="A635" s="353"/>
      <c r="B635" s="310"/>
      <c r="C635" s="310"/>
      <c r="D635" s="310"/>
      <c r="E635" s="310"/>
      <c r="F635" s="310"/>
      <c r="G635" s="310"/>
      <c r="H635" s="310"/>
      <c r="I635" s="310"/>
      <c r="J635" s="310"/>
      <c r="K635" s="310"/>
      <c r="L635" s="310"/>
      <c r="M635" s="310"/>
      <c r="N635" s="310"/>
    </row>
    <row r="636" spans="1:14">
      <c r="A636" s="396"/>
      <c r="B636" s="395"/>
      <c r="C636" s="395"/>
      <c r="D636" s="395"/>
      <c r="E636" s="395"/>
      <c r="F636" s="395"/>
      <c r="G636" s="395"/>
      <c r="H636" s="395"/>
      <c r="I636" s="395"/>
      <c r="J636" s="395"/>
      <c r="K636" s="395"/>
      <c r="L636" s="395"/>
      <c r="M636" s="395"/>
      <c r="N636" s="395"/>
    </row>
    <row r="637" spans="1:14">
      <c r="A637" s="396"/>
      <c r="B637" s="395"/>
      <c r="C637" s="395"/>
      <c r="D637" s="395"/>
      <c r="E637" s="395"/>
      <c r="F637" s="395"/>
      <c r="G637" s="395"/>
      <c r="H637" s="395"/>
      <c r="I637" s="395"/>
      <c r="J637" s="395"/>
      <c r="K637" s="395"/>
      <c r="L637" s="395"/>
      <c r="M637" s="395"/>
      <c r="N637" s="395"/>
    </row>
    <row r="638" spans="1:14">
      <c r="A638" s="396"/>
      <c r="B638" s="395"/>
      <c r="C638" s="395"/>
      <c r="D638" s="395"/>
      <c r="E638" s="395"/>
      <c r="F638" s="395"/>
      <c r="G638" s="395"/>
      <c r="H638" s="395"/>
      <c r="I638" s="395"/>
      <c r="J638" s="395"/>
      <c r="K638" s="395"/>
      <c r="L638" s="395"/>
      <c r="M638" s="395"/>
      <c r="N638" s="395"/>
    </row>
    <row r="639" spans="1:14" ht="15.75" thickBot="1">
      <c r="A639" s="397"/>
      <c r="B639" s="398"/>
      <c r="C639" s="398"/>
      <c r="D639" s="398"/>
      <c r="E639" s="398"/>
      <c r="F639" s="398"/>
      <c r="G639" s="1104" t="s">
        <v>38</v>
      </c>
      <c r="H639" s="1104"/>
      <c r="I639" s="1104"/>
      <c r="J639" s="1104"/>
      <c r="K639" s="1104"/>
      <c r="L639" s="1104"/>
      <c r="M639" s="1104"/>
      <c r="N639" s="1104"/>
    </row>
    <row r="654" spans="1:14" ht="15.75" thickBot="1"/>
    <row r="655" spans="1:14">
      <c r="A655" s="1105" t="s">
        <v>448</v>
      </c>
      <c r="B655" s="1106"/>
      <c r="C655" s="1106"/>
      <c r="D655" s="1106"/>
      <c r="E655" s="1106"/>
      <c r="F655" s="1106"/>
      <c r="G655" s="1106"/>
      <c r="H655" s="1106"/>
      <c r="I655" s="1106"/>
      <c r="J655" s="1106"/>
      <c r="K655" s="1106"/>
      <c r="L655" s="1106"/>
      <c r="M655" s="1106"/>
      <c r="N655" s="1106"/>
    </row>
    <row r="656" spans="1:14" ht="15.75" thickBot="1">
      <c r="A656" s="1107"/>
      <c r="B656" s="1108"/>
      <c r="C656" s="1108"/>
      <c r="D656" s="1108"/>
      <c r="E656" s="1108"/>
      <c r="F656" s="1108"/>
      <c r="G656" s="1108"/>
      <c r="H656" s="1108"/>
      <c r="I656" s="1108"/>
      <c r="J656" s="1108"/>
      <c r="K656" s="1108"/>
      <c r="L656" s="1108"/>
      <c r="M656" s="1108"/>
      <c r="N656" s="1108"/>
    </row>
    <row r="657" spans="1:14" ht="15.75" thickBot="1">
      <c r="A657" s="1109" t="s">
        <v>449</v>
      </c>
      <c r="B657" s="1110"/>
      <c r="C657" s="1110"/>
      <c r="D657" s="1110"/>
      <c r="E657" s="1110"/>
      <c r="F657" s="1110"/>
      <c r="G657" s="1110"/>
      <c r="H657" s="1110"/>
      <c r="I657" s="1110"/>
      <c r="J657" s="1110"/>
      <c r="K657" s="1110"/>
      <c r="L657" s="1110"/>
      <c r="M657" s="1110"/>
      <c r="N657" s="1110"/>
    </row>
    <row r="658" spans="1:14">
      <c r="A658" s="351" t="s">
        <v>479</v>
      </c>
      <c r="B658" s="308"/>
      <c r="C658" s="308"/>
      <c r="D658" s="309"/>
      <c r="E658" s="1111" t="s">
        <v>480</v>
      </c>
      <c r="F658" s="1112"/>
      <c r="G658" s="1112"/>
      <c r="H658" s="352"/>
      <c r="I658" s="352"/>
      <c r="J658" s="352"/>
      <c r="K658" s="352"/>
      <c r="L658" s="352"/>
      <c r="M658" s="352"/>
      <c r="N658" s="352"/>
    </row>
    <row r="659" spans="1:14">
      <c r="A659" s="353"/>
      <c r="B659" s="419" t="s">
        <v>382</v>
      </c>
      <c r="C659" s="310"/>
      <c r="D659" s="311"/>
      <c r="E659" s="354"/>
      <c r="F659" s="355"/>
      <c r="G659" s="1113" t="str">
        <f>'04-221Master'!B27</f>
        <v>SUKRUTH YELLAMBOTLA</v>
      </c>
      <c r="H659" s="1113"/>
      <c r="I659" s="1113"/>
      <c r="J659" s="355"/>
      <c r="K659" s="355"/>
      <c r="L659" s="355"/>
      <c r="M659" s="355"/>
      <c r="N659" s="355"/>
    </row>
    <row r="660" spans="1:14" ht="15.75" thickBot="1">
      <c r="A660" s="312"/>
      <c r="B660" s="421" t="s">
        <v>383</v>
      </c>
      <c r="C660" s="313"/>
      <c r="D660" s="314"/>
      <c r="E660" s="354"/>
      <c r="F660" s="355"/>
      <c r="G660" s="355"/>
      <c r="H660" s="355"/>
      <c r="I660" s="355"/>
      <c r="J660" s="355"/>
      <c r="K660" s="355"/>
      <c r="L660" s="355"/>
      <c r="M660" s="355"/>
      <c r="N660" s="355"/>
    </row>
    <row r="661" spans="1:14">
      <c r="A661" s="315" t="s">
        <v>481</v>
      </c>
      <c r="B661" s="308"/>
      <c r="C661" s="308"/>
      <c r="D661" s="309"/>
      <c r="E661" s="315" t="s">
        <v>450</v>
      </c>
      <c r="F661" s="308"/>
      <c r="G661" s="356">
        <f>'04-221Master'!N27</f>
        <v>44509</v>
      </c>
      <c r="H661" s="308"/>
      <c r="I661" s="308"/>
      <c r="J661" s="308"/>
      <c r="K661" s="308"/>
      <c r="L661" s="308"/>
      <c r="M661" s="308"/>
      <c r="N661" s="308"/>
    </row>
    <row r="662" spans="1:14">
      <c r="A662" s="353"/>
      <c r="B662" s="310"/>
      <c r="C662" s="310" t="str">
        <f>'04-221Master'!F27</f>
        <v>SENIOR APPLICATION CONSULTANT</v>
      </c>
      <c r="D662" s="311"/>
      <c r="E662" s="316"/>
      <c r="F662" s="310"/>
      <c r="G662" s="310"/>
      <c r="H662" s="310"/>
      <c r="I662" s="310"/>
      <c r="J662" s="310"/>
      <c r="K662" s="310"/>
      <c r="L662" s="310"/>
      <c r="M662" s="310"/>
      <c r="N662" s="310"/>
    </row>
    <row r="663" spans="1:14">
      <c r="A663" s="353"/>
      <c r="B663" s="310"/>
      <c r="C663" s="310"/>
      <c r="D663" s="311"/>
      <c r="E663" s="357"/>
      <c r="F663" s="310"/>
      <c r="G663" s="310"/>
      <c r="H663" s="310"/>
      <c r="I663" s="310"/>
      <c r="J663" s="310"/>
      <c r="K663" s="310"/>
      <c r="L663" s="310"/>
      <c r="M663" s="310"/>
      <c r="N663" s="310"/>
    </row>
    <row r="664" spans="1:14" ht="15.75" thickBot="1">
      <c r="A664" s="390"/>
      <c r="B664" s="318"/>
      <c r="C664" s="318"/>
      <c r="D664" s="358"/>
      <c r="E664" s="312"/>
      <c r="F664" s="313"/>
      <c r="G664" s="313"/>
      <c r="H664" s="313"/>
      <c r="I664" s="313"/>
      <c r="J664" s="313"/>
      <c r="K664" s="313"/>
      <c r="L664" s="313"/>
      <c r="M664" s="313"/>
      <c r="N664" s="313"/>
    </row>
    <row r="665" spans="1:14">
      <c r="A665" s="1114" t="s">
        <v>5</v>
      </c>
      <c r="B665" s="1116" t="s">
        <v>451</v>
      </c>
      <c r="C665" s="1117"/>
      <c r="D665" s="1116" t="s">
        <v>452</v>
      </c>
      <c r="E665" s="1119"/>
      <c r="F665" s="1122" t="s">
        <v>453</v>
      </c>
      <c r="G665" s="1118" t="s">
        <v>454</v>
      </c>
      <c r="H665" s="1124"/>
      <c r="I665" s="1125" t="s">
        <v>455</v>
      </c>
      <c r="J665" s="1124"/>
      <c r="K665" s="1126"/>
      <c r="L665" s="1125" t="s">
        <v>456</v>
      </c>
      <c r="M665" s="1124"/>
      <c r="N665" s="1124"/>
    </row>
    <row r="666" spans="1:14" ht="15.75" thickBot="1">
      <c r="A666" s="1115"/>
      <c r="B666" s="1118"/>
      <c r="C666" s="1119"/>
      <c r="D666" s="1118"/>
      <c r="E666" s="1119"/>
      <c r="F666" s="1123"/>
      <c r="G666" s="1118"/>
      <c r="H666" s="1124"/>
      <c r="I666" s="1127"/>
      <c r="J666" s="1128"/>
      <c r="K666" s="1129"/>
      <c r="L666" s="1127"/>
      <c r="M666" s="1128"/>
      <c r="N666" s="1128"/>
    </row>
    <row r="667" spans="1:14">
      <c r="A667" s="391">
        <v>1</v>
      </c>
      <c r="B667" s="1120"/>
      <c r="C667" s="1121"/>
      <c r="D667" s="1120"/>
      <c r="E667" s="1121"/>
      <c r="F667" s="322">
        <v>6</v>
      </c>
      <c r="G667" s="1120"/>
      <c r="H667" s="1121"/>
      <c r="I667" s="359">
        <v>9</v>
      </c>
      <c r="J667" s="359"/>
      <c r="K667" s="359"/>
      <c r="L667" s="359">
        <v>9</v>
      </c>
      <c r="M667" s="359"/>
      <c r="N667" s="359"/>
    </row>
    <row r="668" spans="1:14" ht="38.25">
      <c r="A668" s="537"/>
      <c r="B668" s="360" t="s">
        <v>457</v>
      </c>
      <c r="C668" s="360" t="s">
        <v>458</v>
      </c>
      <c r="D668" s="360" t="s">
        <v>459</v>
      </c>
      <c r="E668" s="360" t="s">
        <v>133</v>
      </c>
      <c r="F668" s="360"/>
      <c r="G668" s="360" t="s">
        <v>460</v>
      </c>
      <c r="H668" s="360" t="s">
        <v>461</v>
      </c>
      <c r="I668" s="360" t="s">
        <v>462</v>
      </c>
      <c r="J668" s="360" t="s">
        <v>463</v>
      </c>
      <c r="K668" s="360" t="s">
        <v>464</v>
      </c>
      <c r="L668" s="360" t="s">
        <v>465</v>
      </c>
      <c r="M668" s="360" t="s">
        <v>466</v>
      </c>
      <c r="N668" s="360" t="s">
        <v>467</v>
      </c>
    </row>
    <row r="669" spans="1:14">
      <c r="A669" s="393"/>
      <c r="B669" s="346"/>
      <c r="C669" s="346"/>
      <c r="D669" s="346"/>
      <c r="E669" s="346"/>
      <c r="F669" s="346"/>
      <c r="G669" s="346"/>
      <c r="H669" s="346"/>
      <c r="I669" s="346"/>
      <c r="J669" s="346"/>
      <c r="K669" s="346"/>
      <c r="L669" s="346"/>
      <c r="M669" s="346"/>
      <c r="N669" s="346"/>
    </row>
    <row r="670" spans="1:14">
      <c r="A670" s="428" t="s">
        <v>785</v>
      </c>
      <c r="B670" s="409">
        <v>1.5</v>
      </c>
      <c r="C670" s="603">
        <v>1</v>
      </c>
      <c r="D670" s="602">
        <v>44585</v>
      </c>
      <c r="E670" s="602">
        <v>44585</v>
      </c>
      <c r="F670" s="409">
        <v>2.5</v>
      </c>
      <c r="G670" s="409"/>
      <c r="H670" s="409"/>
      <c r="I670" s="409" t="s">
        <v>489</v>
      </c>
      <c r="J670" s="346" t="s">
        <v>489</v>
      </c>
      <c r="K670" s="346" t="s">
        <v>489</v>
      </c>
      <c r="L670" s="346"/>
      <c r="M670" s="346"/>
      <c r="N670" s="346"/>
    </row>
    <row r="671" spans="1:14" s="388" customFormat="1">
      <c r="A671" s="393" t="s">
        <v>795</v>
      </c>
      <c r="B671" s="346">
        <v>1.5</v>
      </c>
      <c r="C671" s="346">
        <v>1</v>
      </c>
      <c r="D671" s="362">
        <v>44620</v>
      </c>
      <c r="E671" s="362">
        <v>44620</v>
      </c>
      <c r="F671" s="346">
        <f>F670+B671-C671</f>
        <v>3</v>
      </c>
      <c r="G671" s="346"/>
      <c r="H671" s="346"/>
      <c r="I671" s="346" t="s">
        <v>489</v>
      </c>
      <c r="J671" s="346" t="s">
        <v>489</v>
      </c>
      <c r="K671" s="346" t="s">
        <v>489</v>
      </c>
      <c r="L671" s="346"/>
      <c r="M671" s="346"/>
      <c r="N671" s="346"/>
    </row>
    <row r="672" spans="1:14" s="388" customFormat="1">
      <c r="A672" s="393" t="s">
        <v>823</v>
      </c>
      <c r="B672" s="346">
        <v>1.5</v>
      </c>
      <c r="C672" s="346">
        <v>1</v>
      </c>
      <c r="D672" s="362">
        <v>44645</v>
      </c>
      <c r="E672" s="362">
        <v>44645</v>
      </c>
      <c r="F672" s="346">
        <f>F671+B672-C672</f>
        <v>3.5</v>
      </c>
      <c r="G672" s="346"/>
      <c r="H672" s="346"/>
      <c r="I672" s="346" t="s">
        <v>489</v>
      </c>
      <c r="J672" s="346" t="s">
        <v>489</v>
      </c>
      <c r="K672" s="346" t="s">
        <v>489</v>
      </c>
      <c r="L672" s="346"/>
      <c r="M672" s="346"/>
      <c r="N672" s="346"/>
    </row>
    <row r="673" spans="1:15" s="388" customFormat="1">
      <c r="A673" s="393" t="s">
        <v>846</v>
      </c>
      <c r="B673" s="346">
        <v>1.5</v>
      </c>
      <c r="C673" s="346">
        <v>1</v>
      </c>
      <c r="D673" s="362">
        <v>44680</v>
      </c>
      <c r="E673" s="362">
        <v>44680</v>
      </c>
      <c r="F673" s="346">
        <f>F672+B673-C673</f>
        <v>4</v>
      </c>
      <c r="G673" s="346"/>
      <c r="H673" s="346"/>
      <c r="I673" s="346" t="s">
        <v>489</v>
      </c>
      <c r="J673" s="346" t="s">
        <v>489</v>
      </c>
      <c r="K673" s="346" t="s">
        <v>489</v>
      </c>
      <c r="L673" s="346"/>
      <c r="M673" s="346"/>
      <c r="N673" s="346"/>
      <c r="O673" s="388">
        <v>12</v>
      </c>
    </row>
    <row r="674" spans="1:15">
      <c r="A674" s="393"/>
      <c r="B674" s="346"/>
      <c r="C674" s="346"/>
      <c r="D674" s="436"/>
      <c r="E674" s="436"/>
      <c r="F674" s="346"/>
      <c r="G674" s="346"/>
      <c r="H674" s="346"/>
      <c r="I674" s="346"/>
      <c r="J674" s="346"/>
      <c r="K674" s="434"/>
      <c r="L674" s="346"/>
      <c r="M674" s="346"/>
      <c r="N674" s="346"/>
    </row>
    <row r="675" spans="1:15">
      <c r="A675" s="394"/>
      <c r="B675" s="346"/>
      <c r="C675" s="346"/>
      <c r="D675" s="499"/>
      <c r="E675" s="499"/>
      <c r="F675" s="346"/>
      <c r="G675" s="346"/>
      <c r="H675" s="346"/>
      <c r="I675" s="346"/>
      <c r="J675" s="346"/>
      <c r="K675" s="346"/>
      <c r="L675" s="346"/>
      <c r="M675" s="346"/>
      <c r="N675" s="346"/>
    </row>
    <row r="676" spans="1:15">
      <c r="A676" s="394"/>
      <c r="B676" s="346"/>
      <c r="C676" s="346"/>
      <c r="D676" s="499"/>
      <c r="E676" s="499"/>
      <c r="F676" s="346"/>
      <c r="G676" s="346"/>
      <c r="H676" s="346"/>
      <c r="I676" s="346"/>
      <c r="J676" s="346"/>
      <c r="K676" s="346"/>
      <c r="L676" s="346"/>
      <c r="M676" s="346"/>
      <c r="N676" s="346"/>
    </row>
    <row r="677" spans="1:15">
      <c r="A677" s="394"/>
      <c r="B677" s="346"/>
      <c r="C677" s="346"/>
      <c r="D677" s="499"/>
      <c r="E677" s="499"/>
      <c r="F677" s="346"/>
      <c r="G677" s="346"/>
      <c r="H677" s="346"/>
      <c r="I677" s="346"/>
      <c r="J677" s="346"/>
      <c r="K677" s="346"/>
      <c r="L677" s="346"/>
      <c r="M677" s="346"/>
      <c r="N677" s="346"/>
    </row>
    <row r="678" spans="1:15">
      <c r="A678" s="394"/>
      <c r="B678" s="346"/>
      <c r="C678" s="346"/>
      <c r="D678" s="499"/>
      <c r="E678" s="499"/>
      <c r="F678" s="346"/>
      <c r="G678" s="346"/>
      <c r="H678" s="346"/>
      <c r="I678" s="346"/>
      <c r="J678" s="346"/>
      <c r="K678" s="346"/>
      <c r="L678" s="346"/>
      <c r="M678" s="346"/>
      <c r="N678" s="346"/>
    </row>
    <row r="679" spans="1:15">
      <c r="A679" s="394"/>
      <c r="B679" s="346"/>
      <c r="C679" s="346"/>
      <c r="D679" s="499"/>
      <c r="E679" s="436"/>
      <c r="F679" s="346"/>
      <c r="G679" s="346"/>
      <c r="H679" s="346"/>
      <c r="I679" s="346"/>
      <c r="J679" s="346"/>
      <c r="K679" s="346"/>
      <c r="L679" s="346"/>
      <c r="M679" s="346"/>
      <c r="N679" s="346"/>
    </row>
    <row r="680" spans="1:15">
      <c r="A680" s="394"/>
      <c r="B680" s="346"/>
      <c r="C680" s="346"/>
      <c r="D680" s="362"/>
      <c r="E680" s="362"/>
      <c r="F680" s="346"/>
      <c r="G680" s="346"/>
      <c r="H680" s="346"/>
      <c r="I680" s="346"/>
      <c r="J680" s="346"/>
      <c r="K680" s="346"/>
      <c r="L680" s="346"/>
      <c r="M680" s="346"/>
      <c r="N680" s="346"/>
    </row>
    <row r="681" spans="1:15">
      <c r="A681" s="394"/>
      <c r="B681" s="346"/>
      <c r="C681" s="346"/>
      <c r="D681" s="362"/>
      <c r="E681" s="362"/>
      <c r="F681" s="346"/>
      <c r="G681" s="346"/>
      <c r="H681" s="346"/>
      <c r="I681" s="346"/>
      <c r="J681" s="346"/>
      <c r="K681" s="346"/>
      <c r="L681" s="346"/>
      <c r="M681" s="346"/>
      <c r="N681" s="346"/>
    </row>
    <row r="682" spans="1:15">
      <c r="A682" s="394"/>
      <c r="B682" s="346"/>
      <c r="C682" s="346"/>
      <c r="D682" s="362"/>
      <c r="E682" s="362"/>
      <c r="F682" s="346"/>
      <c r="G682" s="346"/>
      <c r="H682" s="346"/>
      <c r="I682" s="346"/>
      <c r="J682" s="346"/>
      <c r="K682" s="346"/>
      <c r="L682" s="346"/>
      <c r="M682" s="346"/>
      <c r="N682" s="346"/>
    </row>
    <row r="683" spans="1:15">
      <c r="A683" s="394"/>
      <c r="B683" s="346"/>
      <c r="C683" s="346"/>
      <c r="D683" s="362"/>
      <c r="E683" s="362"/>
      <c r="F683" s="346"/>
      <c r="G683" s="346"/>
      <c r="H683" s="346"/>
      <c r="I683" s="346"/>
      <c r="J683" s="346"/>
      <c r="K683" s="346"/>
      <c r="L683" s="346"/>
      <c r="M683" s="346"/>
      <c r="N683" s="346"/>
    </row>
    <row r="684" spans="1:15">
      <c r="A684" s="394"/>
      <c r="B684" s="346"/>
      <c r="C684" s="346"/>
      <c r="D684" s="362"/>
      <c r="E684" s="362"/>
      <c r="F684" s="346"/>
      <c r="G684" s="346"/>
      <c r="H684" s="346"/>
      <c r="I684" s="346"/>
      <c r="J684" s="346"/>
      <c r="K684" s="346"/>
      <c r="L684" s="346"/>
      <c r="M684" s="346"/>
      <c r="N684" s="346"/>
    </row>
    <row r="685" spans="1:15">
      <c r="A685" s="392"/>
      <c r="B685" s="346"/>
      <c r="C685" s="346"/>
      <c r="D685" s="346"/>
      <c r="E685" s="346"/>
      <c r="F685" s="346"/>
      <c r="G685" s="346"/>
      <c r="H685" s="346"/>
      <c r="I685" s="346"/>
      <c r="J685" s="346"/>
      <c r="K685" s="346"/>
      <c r="L685" s="346"/>
      <c r="M685" s="346"/>
      <c r="N685" s="346"/>
    </row>
    <row r="686" spans="1:15">
      <c r="A686" s="392"/>
      <c r="B686" s="346"/>
      <c r="C686" s="346"/>
      <c r="D686" s="346"/>
      <c r="E686" s="346"/>
      <c r="F686" s="346"/>
      <c r="G686" s="346"/>
      <c r="H686" s="346"/>
      <c r="I686" s="346"/>
      <c r="J686" s="346"/>
      <c r="K686" s="346"/>
      <c r="L686" s="346"/>
      <c r="M686" s="346"/>
      <c r="N686" s="346"/>
    </row>
    <row r="687" spans="1:15">
      <c r="A687" s="392"/>
      <c r="B687" s="346"/>
      <c r="C687" s="346"/>
      <c r="D687" s="346"/>
      <c r="E687" s="346"/>
      <c r="F687" s="346"/>
      <c r="G687" s="346"/>
      <c r="H687" s="346"/>
      <c r="I687" s="346"/>
      <c r="J687" s="346"/>
      <c r="K687" s="346"/>
      <c r="L687" s="346"/>
      <c r="M687" s="346"/>
      <c r="N687" s="346"/>
    </row>
    <row r="688" spans="1:15">
      <c r="A688" s="392"/>
      <c r="B688" s="346"/>
      <c r="C688" s="346"/>
      <c r="D688" s="346"/>
      <c r="E688" s="346"/>
      <c r="F688" s="346"/>
      <c r="G688" s="346"/>
      <c r="H688" s="346"/>
      <c r="I688" s="346"/>
      <c r="J688" s="346"/>
      <c r="K688" s="346"/>
      <c r="L688" s="346"/>
      <c r="M688" s="346"/>
      <c r="N688" s="346"/>
    </row>
    <row r="689" spans="1:14">
      <c r="A689" s="392"/>
      <c r="B689" s="346"/>
      <c r="C689" s="346"/>
      <c r="D689" s="346"/>
      <c r="E689" s="346"/>
      <c r="F689" s="346"/>
      <c r="G689" s="346"/>
      <c r="H689" s="346"/>
      <c r="I689" s="346"/>
      <c r="J689" s="346"/>
      <c r="K689" s="346"/>
      <c r="L689" s="346"/>
      <c r="M689" s="346"/>
      <c r="N689" s="346"/>
    </row>
    <row r="690" spans="1:14">
      <c r="A690" s="353"/>
      <c r="B690" s="310"/>
      <c r="C690" s="310"/>
      <c r="D690" s="310"/>
      <c r="E690" s="310"/>
      <c r="F690" s="310"/>
      <c r="G690" s="310"/>
      <c r="H690" s="310"/>
      <c r="I690" s="310"/>
      <c r="J690" s="310"/>
      <c r="K690" s="310"/>
      <c r="L690" s="310"/>
      <c r="M690" s="310"/>
      <c r="N690" s="310"/>
    </row>
    <row r="691" spans="1:14">
      <c r="A691" s="353"/>
      <c r="B691" s="310"/>
      <c r="C691" s="310"/>
      <c r="D691" s="310"/>
      <c r="E691" s="310"/>
      <c r="F691" s="310"/>
      <c r="G691" s="310"/>
      <c r="H691" s="310"/>
      <c r="I691" s="310"/>
      <c r="J691" s="310"/>
      <c r="K691" s="310"/>
      <c r="L691" s="310"/>
      <c r="M691" s="310"/>
      <c r="N691" s="310"/>
    </row>
    <row r="692" spans="1:14">
      <c r="A692" s="353"/>
      <c r="B692" s="310"/>
      <c r="C692" s="310"/>
      <c r="D692" s="310"/>
      <c r="E692" s="310"/>
      <c r="F692" s="310"/>
      <c r="G692" s="310"/>
      <c r="H692" s="310"/>
      <c r="I692" s="310"/>
      <c r="J692" s="310"/>
      <c r="K692" s="310"/>
      <c r="L692" s="310"/>
      <c r="M692" s="310"/>
      <c r="N692" s="310"/>
    </row>
    <row r="693" spans="1:14">
      <c r="A693" s="396"/>
      <c r="B693" s="395"/>
      <c r="C693" s="395"/>
      <c r="D693" s="395"/>
      <c r="E693" s="395"/>
      <c r="F693" s="395"/>
      <c r="G693" s="395"/>
      <c r="H693" s="395"/>
      <c r="I693" s="395"/>
      <c r="J693" s="395"/>
      <c r="K693" s="395"/>
      <c r="L693" s="395"/>
      <c r="M693" s="395"/>
      <c r="N693" s="395"/>
    </row>
    <row r="694" spans="1:14">
      <c r="A694" s="396"/>
      <c r="B694" s="395"/>
      <c r="C694" s="395"/>
      <c r="D694" s="395"/>
      <c r="E694" s="395"/>
      <c r="F694" s="395"/>
      <c r="G694" s="395"/>
      <c r="H694" s="395"/>
      <c r="I694" s="395"/>
      <c r="J694" s="395"/>
      <c r="K694" s="395"/>
      <c r="L694" s="395"/>
      <c r="M694" s="395"/>
      <c r="N694" s="395"/>
    </row>
    <row r="695" spans="1:14">
      <c r="A695" s="396"/>
      <c r="B695" s="395"/>
      <c r="C695" s="395"/>
      <c r="D695" s="395"/>
      <c r="E695" s="395"/>
      <c r="F695" s="395"/>
      <c r="G695" s="395"/>
      <c r="H695" s="395"/>
      <c r="I695" s="395"/>
      <c r="J695" s="395"/>
      <c r="K695" s="395"/>
      <c r="L695" s="395"/>
      <c r="M695" s="395"/>
      <c r="N695" s="395"/>
    </row>
    <row r="696" spans="1:14" ht="15.75" thickBot="1">
      <c r="A696" s="397"/>
      <c r="B696" s="398"/>
      <c r="C696" s="398"/>
      <c r="D696" s="398"/>
      <c r="E696" s="398"/>
      <c r="F696" s="398"/>
      <c r="G696" s="1104" t="s">
        <v>38</v>
      </c>
      <c r="H696" s="1104"/>
      <c r="I696" s="1104"/>
      <c r="J696" s="1104"/>
      <c r="K696" s="1104"/>
      <c r="L696" s="1104"/>
      <c r="M696" s="1104"/>
      <c r="N696" s="1104"/>
    </row>
    <row r="697" spans="1:14">
      <c r="A697" s="388"/>
      <c r="B697" s="388"/>
      <c r="C697" s="388"/>
      <c r="D697" s="388"/>
      <c r="E697" s="388"/>
      <c r="F697" s="388"/>
      <c r="G697" s="388"/>
      <c r="H697" s="388"/>
      <c r="I697" s="388"/>
      <c r="J697" s="388"/>
      <c r="K697" s="388"/>
      <c r="L697" s="388"/>
      <c r="M697" s="388"/>
      <c r="N697" s="388"/>
    </row>
    <row r="698" spans="1:14">
      <c r="A698" s="388"/>
      <c r="B698" s="388"/>
      <c r="C698" s="388"/>
      <c r="D698" s="388"/>
      <c r="E698" s="388"/>
      <c r="F698" s="388"/>
      <c r="G698" s="388"/>
      <c r="H698" s="388"/>
      <c r="I698" s="388"/>
      <c r="J698" s="388"/>
      <c r="K698" s="388"/>
      <c r="L698" s="388"/>
      <c r="M698" s="388"/>
      <c r="N698" s="388"/>
    </row>
    <row r="699" spans="1:14">
      <c r="A699" s="388"/>
      <c r="B699" s="388"/>
      <c r="C699" s="388"/>
      <c r="D699" s="388"/>
      <c r="E699" s="388"/>
      <c r="F699" s="388"/>
      <c r="G699" s="388"/>
      <c r="H699" s="388"/>
      <c r="I699" s="388"/>
      <c r="J699" s="388"/>
      <c r="K699" s="388"/>
      <c r="L699" s="388"/>
      <c r="M699" s="388"/>
      <c r="N699" s="388"/>
    </row>
    <row r="700" spans="1:14">
      <c r="A700" s="388"/>
      <c r="B700" s="388"/>
      <c r="C700" s="388"/>
      <c r="D700" s="388"/>
      <c r="E700" s="388"/>
      <c r="F700" s="388"/>
      <c r="G700" s="388"/>
      <c r="H700" s="388"/>
      <c r="I700" s="388"/>
      <c r="J700" s="388"/>
      <c r="K700" s="388"/>
      <c r="L700" s="388"/>
      <c r="M700" s="388"/>
      <c r="N700" s="388"/>
    </row>
    <row r="701" spans="1:14">
      <c r="A701" s="388"/>
      <c r="B701" s="388"/>
      <c r="C701" s="388"/>
      <c r="D701" s="388"/>
      <c r="E701" s="388"/>
      <c r="F701" s="388"/>
      <c r="G701" s="388"/>
      <c r="H701" s="388"/>
      <c r="I701" s="388"/>
      <c r="J701" s="388"/>
      <c r="K701" s="388"/>
      <c r="L701" s="388"/>
      <c r="M701" s="388"/>
      <c r="N701" s="388"/>
    </row>
    <row r="702" spans="1:14">
      <c r="A702" s="388"/>
      <c r="B702" s="388"/>
      <c r="C702" s="388"/>
      <c r="D702" s="388"/>
      <c r="E702" s="388"/>
      <c r="F702" s="388"/>
      <c r="G702" s="388"/>
      <c r="H702" s="388"/>
      <c r="I702" s="388"/>
      <c r="J702" s="388"/>
      <c r="K702" s="388"/>
      <c r="L702" s="388"/>
      <c r="M702" s="388"/>
      <c r="N702" s="388"/>
    </row>
    <row r="703" spans="1:14">
      <c r="A703" s="388"/>
      <c r="B703" s="388"/>
      <c r="C703" s="388"/>
      <c r="D703" s="388"/>
      <c r="E703" s="388"/>
      <c r="F703" s="388"/>
      <c r="G703" s="388"/>
      <c r="H703" s="388"/>
      <c r="I703" s="388"/>
      <c r="J703" s="388"/>
      <c r="K703" s="388"/>
      <c r="L703" s="388"/>
      <c r="M703" s="388"/>
      <c r="N703" s="388"/>
    </row>
    <row r="704" spans="1:14">
      <c r="A704" s="388"/>
      <c r="B704" s="388"/>
      <c r="C704" s="388"/>
      <c r="D704" s="388"/>
      <c r="E704" s="388"/>
      <c r="F704" s="388"/>
      <c r="G704" s="388"/>
      <c r="H704" s="388"/>
      <c r="I704" s="388"/>
      <c r="J704" s="388"/>
      <c r="K704" s="388"/>
      <c r="L704" s="388"/>
      <c r="M704" s="388"/>
      <c r="N704" s="388"/>
    </row>
    <row r="705" spans="1:14">
      <c r="A705" s="388"/>
      <c r="B705" s="388"/>
      <c r="C705" s="388"/>
      <c r="D705" s="388"/>
      <c r="E705" s="388"/>
      <c r="F705" s="388"/>
      <c r="G705" s="388"/>
      <c r="H705" s="388"/>
      <c r="I705" s="388"/>
      <c r="J705" s="388"/>
      <c r="K705" s="388"/>
      <c r="L705" s="388"/>
      <c r="M705" s="388"/>
      <c r="N705" s="388"/>
    </row>
    <row r="706" spans="1:14">
      <c r="A706" s="388"/>
      <c r="B706" s="388"/>
      <c r="C706" s="388"/>
      <c r="D706" s="388"/>
      <c r="E706" s="388"/>
      <c r="F706" s="388"/>
      <c r="G706" s="388"/>
      <c r="H706" s="388"/>
      <c r="I706" s="388"/>
      <c r="J706" s="388"/>
      <c r="K706" s="388"/>
      <c r="L706" s="388"/>
      <c r="M706" s="388"/>
      <c r="N706" s="388"/>
    </row>
    <row r="707" spans="1:14">
      <c r="A707" s="388"/>
      <c r="B707" s="388"/>
      <c r="C707" s="388"/>
      <c r="D707" s="388"/>
      <c r="E707" s="388"/>
      <c r="F707" s="388"/>
      <c r="G707" s="388"/>
      <c r="H707" s="388"/>
      <c r="I707" s="388"/>
      <c r="J707" s="388"/>
      <c r="K707" s="388"/>
      <c r="L707" s="388"/>
      <c r="M707" s="388"/>
      <c r="N707" s="388"/>
    </row>
    <row r="708" spans="1:14">
      <c r="A708" s="388"/>
      <c r="B708" s="388"/>
      <c r="C708" s="388"/>
      <c r="D708" s="388"/>
      <c r="E708" s="388"/>
      <c r="F708" s="388"/>
      <c r="G708" s="388"/>
      <c r="H708" s="388"/>
      <c r="I708" s="388"/>
      <c r="J708" s="388"/>
      <c r="K708" s="388"/>
      <c r="L708" s="388"/>
      <c r="M708" s="388"/>
      <c r="N708" s="388"/>
    </row>
    <row r="709" spans="1:14">
      <c r="A709" s="388"/>
      <c r="B709" s="388"/>
      <c r="C709" s="388"/>
      <c r="D709" s="388"/>
      <c r="E709" s="388"/>
      <c r="F709" s="388"/>
      <c r="G709" s="388"/>
      <c r="H709" s="388"/>
      <c r="I709" s="388"/>
      <c r="J709" s="388"/>
      <c r="K709" s="388"/>
      <c r="L709" s="388"/>
      <c r="M709" s="388"/>
      <c r="N709" s="388"/>
    </row>
    <row r="710" spans="1:14">
      <c r="A710" s="388"/>
      <c r="B710" s="388"/>
      <c r="C710" s="388"/>
      <c r="D710" s="388"/>
      <c r="E710" s="388"/>
      <c r="F710" s="388"/>
      <c r="G710" s="388"/>
      <c r="H710" s="388"/>
      <c r="I710" s="388"/>
      <c r="J710" s="388"/>
      <c r="K710" s="388"/>
      <c r="L710" s="388"/>
      <c r="M710" s="388"/>
      <c r="N710" s="388"/>
    </row>
    <row r="711" spans="1:14">
      <c r="A711" s="388"/>
      <c r="B711" s="388"/>
      <c r="C711" s="388"/>
      <c r="D711" s="388"/>
      <c r="E711" s="388"/>
      <c r="F711" s="388"/>
      <c r="G711" s="388"/>
      <c r="H711" s="388"/>
      <c r="I711" s="388"/>
      <c r="J711" s="388"/>
      <c r="K711" s="388"/>
      <c r="L711" s="388"/>
      <c r="M711" s="388"/>
      <c r="N711" s="388"/>
    </row>
    <row r="712" spans="1:14">
      <c r="A712" s="388"/>
      <c r="B712" s="388"/>
      <c r="C712" s="388"/>
      <c r="D712" s="388"/>
      <c r="E712" s="388"/>
      <c r="F712" s="388"/>
      <c r="G712" s="388"/>
      <c r="H712" s="388"/>
      <c r="I712" s="388"/>
      <c r="J712" s="388"/>
      <c r="K712" s="388"/>
      <c r="L712" s="388"/>
      <c r="M712" s="388"/>
      <c r="N712" s="388"/>
    </row>
    <row r="713" spans="1:14" ht="15.75" thickBot="1">
      <c r="A713" s="388"/>
      <c r="B713" s="388"/>
      <c r="C713" s="388"/>
      <c r="D713" s="388"/>
      <c r="E713" s="388"/>
      <c r="F713" s="388"/>
      <c r="G713" s="388"/>
      <c r="H713" s="388"/>
      <c r="I713" s="388"/>
      <c r="J713" s="388"/>
      <c r="K713" s="388"/>
      <c r="L713" s="388"/>
      <c r="M713" s="388"/>
      <c r="N713" s="388"/>
    </row>
    <row r="714" spans="1:14">
      <c r="A714" s="1105" t="s">
        <v>448</v>
      </c>
      <c r="B714" s="1106"/>
      <c r="C714" s="1106"/>
      <c r="D714" s="1106"/>
      <c r="E714" s="1106"/>
      <c r="F714" s="1106"/>
      <c r="G714" s="1106"/>
      <c r="H714" s="1106"/>
      <c r="I714" s="1106"/>
      <c r="J714" s="1106"/>
      <c r="K714" s="1106"/>
      <c r="L714" s="1106"/>
      <c r="M714" s="1106"/>
      <c r="N714" s="1106"/>
    </row>
    <row r="715" spans="1:14" ht="15.75" thickBot="1">
      <c r="A715" s="1107"/>
      <c r="B715" s="1108"/>
      <c r="C715" s="1108"/>
      <c r="D715" s="1108"/>
      <c r="E715" s="1108"/>
      <c r="F715" s="1108"/>
      <c r="G715" s="1108"/>
      <c r="H715" s="1108"/>
      <c r="I715" s="1108"/>
      <c r="J715" s="1108"/>
      <c r="K715" s="1108"/>
      <c r="L715" s="1108"/>
      <c r="M715" s="1108"/>
      <c r="N715" s="1108"/>
    </row>
    <row r="716" spans="1:14" ht="15.75" thickBot="1">
      <c r="A716" s="1109" t="s">
        <v>449</v>
      </c>
      <c r="B716" s="1110"/>
      <c r="C716" s="1110"/>
      <c r="D716" s="1110"/>
      <c r="E716" s="1110"/>
      <c r="F716" s="1110"/>
      <c r="G716" s="1110"/>
      <c r="H716" s="1110"/>
      <c r="I716" s="1110"/>
      <c r="J716" s="1110"/>
      <c r="K716" s="1110"/>
      <c r="L716" s="1110"/>
      <c r="M716" s="1110"/>
      <c r="N716" s="1110"/>
    </row>
    <row r="717" spans="1:14">
      <c r="A717" s="351" t="s">
        <v>479</v>
      </c>
      <c r="B717" s="308"/>
      <c r="C717" s="308"/>
      <c r="D717" s="309"/>
      <c r="E717" s="1111" t="s">
        <v>480</v>
      </c>
      <c r="F717" s="1112"/>
      <c r="G717" s="1112"/>
      <c r="H717" s="352"/>
      <c r="I717" s="352"/>
      <c r="J717" s="352"/>
      <c r="K717" s="352"/>
      <c r="L717" s="352"/>
      <c r="M717" s="352"/>
      <c r="N717" s="352"/>
    </row>
    <row r="718" spans="1:14">
      <c r="A718" s="353"/>
      <c r="B718" s="419" t="s">
        <v>382</v>
      </c>
      <c r="C718" s="310"/>
      <c r="D718" s="311"/>
      <c r="E718" s="354"/>
      <c r="F718" s="355"/>
      <c r="G718" s="1113" t="str">
        <f>'04-221Master'!B28</f>
        <v>Ajay Singh</v>
      </c>
      <c r="H718" s="1113"/>
      <c r="I718" s="1113"/>
      <c r="J718" s="355"/>
      <c r="K718" s="355"/>
      <c r="L718" s="355"/>
      <c r="M718" s="355"/>
      <c r="N718" s="355"/>
    </row>
    <row r="719" spans="1:14" ht="15.75" thickBot="1">
      <c r="A719" s="312"/>
      <c r="B719" s="421" t="s">
        <v>383</v>
      </c>
      <c r="C719" s="313"/>
      <c r="D719" s="314"/>
      <c r="E719" s="354"/>
      <c r="F719" s="355"/>
      <c r="G719" s="355"/>
      <c r="H719" s="355"/>
      <c r="I719" s="355"/>
      <c r="J719" s="355"/>
      <c r="K719" s="355"/>
      <c r="L719" s="355"/>
      <c r="M719" s="355"/>
      <c r="N719" s="355"/>
    </row>
    <row r="720" spans="1:14">
      <c r="A720" s="315" t="s">
        <v>481</v>
      </c>
      <c r="B720" s="308"/>
      <c r="C720" s="308"/>
      <c r="D720" s="309"/>
      <c r="E720" s="315" t="s">
        <v>450</v>
      </c>
      <c r="F720" s="308"/>
      <c r="G720" s="356">
        <f>'04-221Master'!N28</f>
        <v>44538</v>
      </c>
      <c r="H720" s="308"/>
      <c r="I720" s="308"/>
      <c r="J720" s="308"/>
      <c r="K720" s="308"/>
      <c r="L720" s="308"/>
      <c r="M720" s="308"/>
      <c r="N720" s="308"/>
    </row>
    <row r="721" spans="1:15">
      <c r="A721" s="353"/>
      <c r="B721" s="310"/>
      <c r="C721" s="310">
        <f>'04-221Master'!F961</f>
        <v>0</v>
      </c>
      <c r="D721" s="311"/>
      <c r="E721" s="316"/>
      <c r="F721" s="310"/>
      <c r="G721" s="310"/>
      <c r="H721" s="310"/>
      <c r="I721" s="310"/>
      <c r="J721" s="310"/>
      <c r="K721" s="310"/>
      <c r="L721" s="310"/>
      <c r="M721" s="310"/>
      <c r="N721" s="310"/>
    </row>
    <row r="722" spans="1:15">
      <c r="A722" s="353"/>
      <c r="B722" s="310"/>
      <c r="C722" s="310"/>
      <c r="D722" s="311"/>
      <c r="E722" s="357"/>
      <c r="F722" s="310"/>
      <c r="G722" s="310"/>
      <c r="H722" s="310"/>
      <c r="I722" s="310"/>
      <c r="J722" s="310"/>
      <c r="K722" s="310"/>
      <c r="L722" s="310"/>
      <c r="M722" s="310"/>
      <c r="N722" s="310"/>
    </row>
    <row r="723" spans="1:15" ht="15.75" thickBot="1">
      <c r="A723" s="390"/>
      <c r="B723" s="318"/>
      <c r="C723" s="318"/>
      <c r="D723" s="358"/>
      <c r="E723" s="312"/>
      <c r="F723" s="313"/>
      <c r="G723" s="313"/>
      <c r="H723" s="313"/>
      <c r="I723" s="313"/>
      <c r="J723" s="313"/>
      <c r="K723" s="313"/>
      <c r="L723" s="313"/>
      <c r="M723" s="313"/>
      <c r="N723" s="313"/>
    </row>
    <row r="724" spans="1:15">
      <c r="A724" s="1114" t="s">
        <v>5</v>
      </c>
      <c r="B724" s="1116" t="s">
        <v>451</v>
      </c>
      <c r="C724" s="1117"/>
      <c r="D724" s="1116" t="s">
        <v>452</v>
      </c>
      <c r="E724" s="1119"/>
      <c r="F724" s="1122" t="s">
        <v>453</v>
      </c>
      <c r="G724" s="1118" t="s">
        <v>454</v>
      </c>
      <c r="H724" s="1124"/>
      <c r="I724" s="1125" t="s">
        <v>455</v>
      </c>
      <c r="J724" s="1124"/>
      <c r="K724" s="1126"/>
      <c r="L724" s="1125" t="s">
        <v>456</v>
      </c>
      <c r="M724" s="1124"/>
      <c r="N724" s="1124"/>
    </row>
    <row r="725" spans="1:15" ht="15.75" thickBot="1">
      <c r="A725" s="1115"/>
      <c r="B725" s="1118"/>
      <c r="C725" s="1119"/>
      <c r="D725" s="1118"/>
      <c r="E725" s="1119"/>
      <c r="F725" s="1123"/>
      <c r="G725" s="1118"/>
      <c r="H725" s="1124"/>
      <c r="I725" s="1127"/>
      <c r="J725" s="1128"/>
      <c r="K725" s="1129"/>
      <c r="L725" s="1127"/>
      <c r="M725" s="1128"/>
      <c r="N725" s="1128"/>
    </row>
    <row r="726" spans="1:15">
      <c r="A726" s="391">
        <v>1</v>
      </c>
      <c r="B726" s="1120"/>
      <c r="C726" s="1121"/>
      <c r="D726" s="1120"/>
      <c r="E726" s="1121"/>
      <c r="F726" s="322">
        <v>6</v>
      </c>
      <c r="G726" s="1120"/>
      <c r="H726" s="1121"/>
      <c r="I726" s="359">
        <v>9</v>
      </c>
      <c r="J726" s="359"/>
      <c r="K726" s="359"/>
      <c r="L726" s="359">
        <v>9</v>
      </c>
      <c r="M726" s="359"/>
      <c r="N726" s="359"/>
    </row>
    <row r="727" spans="1:15" ht="38.25">
      <c r="A727" s="537"/>
      <c r="B727" s="360" t="s">
        <v>457</v>
      </c>
      <c r="C727" s="360" t="s">
        <v>458</v>
      </c>
      <c r="D727" s="360" t="s">
        <v>459</v>
      </c>
      <c r="E727" s="360" t="s">
        <v>133</v>
      </c>
      <c r="F727" s="360"/>
      <c r="G727" s="360" t="s">
        <v>460</v>
      </c>
      <c r="H727" s="360" t="s">
        <v>461</v>
      </c>
      <c r="I727" s="360" t="s">
        <v>462</v>
      </c>
      <c r="J727" s="360" t="s">
        <v>463</v>
      </c>
      <c r="K727" s="360" t="s">
        <v>464</v>
      </c>
      <c r="L727" s="360" t="s">
        <v>465</v>
      </c>
      <c r="M727" s="360" t="s">
        <v>466</v>
      </c>
      <c r="N727" s="360" t="s">
        <v>467</v>
      </c>
    </row>
    <row r="728" spans="1:15">
      <c r="A728" s="393"/>
      <c r="B728" s="346"/>
      <c r="C728" s="346"/>
      <c r="D728" s="346"/>
      <c r="E728" s="346"/>
      <c r="F728" s="346"/>
      <c r="G728" s="346"/>
      <c r="H728" s="346"/>
      <c r="I728" s="346"/>
      <c r="J728" s="346"/>
      <c r="K728" s="346"/>
      <c r="L728" s="346"/>
      <c r="M728" s="346"/>
      <c r="N728" s="346"/>
    </row>
    <row r="729" spans="1:15" s="388" customFormat="1">
      <c r="A729" s="428" t="s">
        <v>785</v>
      </c>
      <c r="B729" s="409">
        <v>1.5</v>
      </c>
      <c r="C729" s="409">
        <v>1</v>
      </c>
      <c r="D729" s="602">
        <v>44578</v>
      </c>
      <c r="E729" s="602">
        <v>44578</v>
      </c>
      <c r="F729" s="409">
        <v>2</v>
      </c>
      <c r="G729" s="409"/>
      <c r="H729" s="409"/>
      <c r="I729" s="409" t="s">
        <v>489</v>
      </c>
      <c r="J729" s="409" t="s">
        <v>489</v>
      </c>
      <c r="K729" s="409" t="s">
        <v>489</v>
      </c>
      <c r="L729" s="346"/>
      <c r="M729" s="346"/>
      <c r="N729" s="346"/>
    </row>
    <row r="730" spans="1:15" s="388" customFormat="1">
      <c r="A730" s="393" t="s">
        <v>795</v>
      </c>
      <c r="B730" s="346">
        <v>1.5</v>
      </c>
      <c r="C730" s="346">
        <v>1</v>
      </c>
      <c r="D730" s="436">
        <v>44599</v>
      </c>
      <c r="E730" s="436">
        <v>44599</v>
      </c>
      <c r="F730" s="346">
        <f>F729+B730-C730</f>
        <v>2.5</v>
      </c>
      <c r="G730" s="346"/>
      <c r="H730" s="346"/>
      <c r="I730" s="346" t="s">
        <v>489</v>
      </c>
      <c r="J730" s="346" t="s">
        <v>489</v>
      </c>
      <c r="K730" s="346" t="s">
        <v>489</v>
      </c>
      <c r="L730" s="346"/>
      <c r="M730" s="346"/>
      <c r="N730" s="346"/>
    </row>
    <row r="731" spans="1:15" s="388" customFormat="1">
      <c r="A731" s="393" t="s">
        <v>823</v>
      </c>
      <c r="B731" s="346">
        <v>1.5</v>
      </c>
      <c r="C731" s="346">
        <v>1</v>
      </c>
      <c r="D731" s="436">
        <v>44624</v>
      </c>
      <c r="E731" s="436">
        <v>44624</v>
      </c>
      <c r="F731" s="346">
        <f>F730+B731-C731</f>
        <v>3</v>
      </c>
      <c r="G731" s="346"/>
      <c r="H731" s="346"/>
      <c r="I731" s="346" t="s">
        <v>489</v>
      </c>
      <c r="J731" s="346" t="s">
        <v>489</v>
      </c>
      <c r="K731" s="346" t="s">
        <v>489</v>
      </c>
      <c r="L731" s="346"/>
      <c r="M731" s="346"/>
      <c r="N731" s="346"/>
    </row>
    <row r="732" spans="1:15" s="388" customFormat="1">
      <c r="A732" s="393" t="s">
        <v>846</v>
      </c>
      <c r="B732" s="346">
        <v>1.5</v>
      </c>
      <c r="C732" s="346">
        <v>1</v>
      </c>
      <c r="D732" s="436">
        <v>44665</v>
      </c>
      <c r="E732" s="436">
        <v>44665</v>
      </c>
      <c r="F732" s="346">
        <f>F731+B732-C732</f>
        <v>3.5</v>
      </c>
      <c r="G732" s="346"/>
      <c r="H732" s="346"/>
      <c r="I732" s="346" t="s">
        <v>489</v>
      </c>
      <c r="J732" s="346" t="s">
        <v>489</v>
      </c>
      <c r="K732" s="346" t="s">
        <v>489</v>
      </c>
      <c r="L732" s="346"/>
      <c r="M732" s="346"/>
      <c r="N732" s="346"/>
      <c r="O732" s="388">
        <v>13</v>
      </c>
    </row>
    <row r="733" spans="1:15">
      <c r="A733" s="393"/>
      <c r="B733" s="346"/>
      <c r="C733" s="346"/>
      <c r="D733" s="436"/>
      <c r="E733" s="436"/>
      <c r="F733" s="346"/>
      <c r="G733" s="346"/>
      <c r="H733" s="346"/>
      <c r="I733" s="346"/>
      <c r="J733" s="346"/>
      <c r="K733" s="434"/>
      <c r="L733" s="346"/>
      <c r="M733" s="346"/>
      <c r="N733" s="346"/>
    </row>
    <row r="734" spans="1:15">
      <c r="A734" s="394"/>
      <c r="B734" s="346"/>
      <c r="C734" s="346"/>
      <c r="D734" s="499"/>
      <c r="E734" s="499"/>
      <c r="F734" s="346"/>
      <c r="G734" s="346"/>
      <c r="H734" s="346"/>
      <c r="I734" s="346"/>
      <c r="J734" s="346"/>
      <c r="K734" s="346"/>
      <c r="L734" s="346"/>
      <c r="M734" s="346"/>
      <c r="N734" s="346"/>
    </row>
    <row r="735" spans="1:15">
      <c r="A735" s="394"/>
      <c r="B735" s="346"/>
      <c r="C735" s="346"/>
      <c r="D735" s="499"/>
      <c r="E735" s="499"/>
      <c r="F735" s="346"/>
      <c r="G735" s="346"/>
      <c r="H735" s="346"/>
      <c r="I735" s="346"/>
      <c r="J735" s="346"/>
      <c r="K735" s="346"/>
      <c r="L735" s="346"/>
      <c r="M735" s="346"/>
      <c r="N735" s="346"/>
    </row>
    <row r="736" spans="1:15">
      <c r="A736" s="394"/>
      <c r="B736" s="346"/>
      <c r="C736" s="346"/>
      <c r="D736" s="499"/>
      <c r="E736" s="499"/>
      <c r="F736" s="346"/>
      <c r="G736" s="346"/>
      <c r="H736" s="346"/>
      <c r="I736" s="346"/>
      <c r="J736" s="346"/>
      <c r="K736" s="346"/>
      <c r="L736" s="346"/>
      <c r="M736" s="346"/>
      <c r="N736" s="346"/>
    </row>
    <row r="737" spans="1:14">
      <c r="A737" s="394"/>
      <c r="B737" s="346"/>
      <c r="C737" s="346"/>
      <c r="D737" s="499"/>
      <c r="E737" s="499"/>
      <c r="F737" s="346"/>
      <c r="G737" s="346"/>
      <c r="H737" s="346"/>
      <c r="I737" s="346"/>
      <c r="J737" s="346"/>
      <c r="K737" s="346"/>
      <c r="L737" s="346"/>
      <c r="M737" s="346"/>
      <c r="N737" s="346"/>
    </row>
    <row r="738" spans="1:14">
      <c r="A738" s="394"/>
      <c r="B738" s="346"/>
      <c r="C738" s="346"/>
      <c r="D738" s="499"/>
      <c r="E738" s="436"/>
      <c r="F738" s="346"/>
      <c r="G738" s="346"/>
      <c r="H738" s="346"/>
      <c r="I738" s="346"/>
      <c r="J738" s="346"/>
      <c r="K738" s="346"/>
      <c r="L738" s="346"/>
      <c r="M738" s="346"/>
      <c r="N738" s="346"/>
    </row>
    <row r="739" spans="1:14">
      <c r="A739" s="394"/>
      <c r="B739" s="346"/>
      <c r="C739" s="346"/>
      <c r="D739" s="362"/>
      <c r="E739" s="362"/>
      <c r="F739" s="346"/>
      <c r="G739" s="346"/>
      <c r="H739" s="346"/>
      <c r="I739" s="346"/>
      <c r="J739" s="346"/>
      <c r="K739" s="346"/>
      <c r="L739" s="346"/>
      <c r="M739" s="346"/>
      <c r="N739" s="346"/>
    </row>
    <row r="740" spans="1:14">
      <c r="A740" s="394"/>
      <c r="B740" s="346"/>
      <c r="C740" s="346"/>
      <c r="D740" s="362"/>
      <c r="E740" s="362"/>
      <c r="F740" s="346"/>
      <c r="G740" s="346"/>
      <c r="H740" s="346"/>
      <c r="I740" s="346"/>
      <c r="J740" s="346"/>
      <c r="K740" s="346"/>
      <c r="L740" s="346"/>
      <c r="M740" s="346"/>
      <c r="N740" s="346"/>
    </row>
    <row r="741" spans="1:14">
      <c r="A741" s="394"/>
      <c r="B741" s="346"/>
      <c r="C741" s="346"/>
      <c r="D741" s="362"/>
      <c r="E741" s="362"/>
      <c r="F741" s="346"/>
      <c r="G741" s="346"/>
      <c r="H741" s="346"/>
      <c r="I741" s="346"/>
      <c r="J741" s="346"/>
      <c r="K741" s="346"/>
      <c r="L741" s="346"/>
      <c r="M741" s="346"/>
      <c r="N741" s="346"/>
    </row>
    <row r="742" spans="1:14">
      <c r="A742" s="394"/>
      <c r="B742" s="346"/>
      <c r="C742" s="346"/>
      <c r="D742" s="362"/>
      <c r="E742" s="362"/>
      <c r="F742" s="346"/>
      <c r="G742" s="346"/>
      <c r="H742" s="346"/>
      <c r="I742" s="346"/>
      <c r="J742" s="346"/>
      <c r="K742" s="346"/>
      <c r="L742" s="346"/>
      <c r="M742" s="346"/>
      <c r="N742" s="346"/>
    </row>
    <row r="743" spans="1:14">
      <c r="A743" s="394"/>
      <c r="B743" s="346"/>
      <c r="C743" s="346"/>
      <c r="D743" s="362"/>
      <c r="E743" s="362"/>
      <c r="F743" s="346"/>
      <c r="G743" s="346"/>
      <c r="H743" s="346"/>
      <c r="I743" s="346"/>
      <c r="J743" s="346"/>
      <c r="K743" s="346"/>
      <c r="L743" s="346"/>
      <c r="M743" s="346"/>
      <c r="N743" s="346"/>
    </row>
    <row r="744" spans="1:14">
      <c r="A744" s="392"/>
      <c r="B744" s="346"/>
      <c r="C744" s="346"/>
      <c r="D744" s="346"/>
      <c r="E744" s="346"/>
      <c r="F744" s="346"/>
      <c r="G744" s="346"/>
      <c r="H744" s="346"/>
      <c r="I744" s="346"/>
      <c r="J744" s="346"/>
      <c r="K744" s="346"/>
      <c r="L744" s="346"/>
      <c r="M744" s="346"/>
      <c r="N744" s="346"/>
    </row>
    <row r="745" spans="1:14">
      <c r="A745" s="392"/>
      <c r="B745" s="346"/>
      <c r="C745" s="346"/>
      <c r="D745" s="346"/>
      <c r="E745" s="346"/>
      <c r="F745" s="346"/>
      <c r="G745" s="346"/>
      <c r="H745" s="346"/>
      <c r="I745" s="346"/>
      <c r="J745" s="346"/>
      <c r="K745" s="346"/>
      <c r="L745" s="346"/>
      <c r="M745" s="346"/>
      <c r="N745" s="346"/>
    </row>
    <row r="746" spans="1:14">
      <c r="A746" s="392"/>
      <c r="B746" s="346"/>
      <c r="C746" s="346"/>
      <c r="D746" s="346"/>
      <c r="E746" s="346"/>
      <c r="F746" s="346"/>
      <c r="G746" s="346"/>
      <c r="H746" s="346"/>
      <c r="I746" s="346"/>
      <c r="J746" s="346"/>
      <c r="K746" s="346"/>
      <c r="L746" s="346"/>
      <c r="M746" s="346"/>
      <c r="N746" s="346"/>
    </row>
    <row r="747" spans="1:14">
      <c r="A747" s="392"/>
      <c r="B747" s="346"/>
      <c r="C747" s="346"/>
      <c r="D747" s="346"/>
      <c r="E747" s="346"/>
      <c r="F747" s="346"/>
      <c r="G747" s="346"/>
      <c r="H747" s="346"/>
      <c r="I747" s="346"/>
      <c r="J747" s="346"/>
      <c r="K747" s="346"/>
      <c r="L747" s="346"/>
      <c r="M747" s="346"/>
      <c r="N747" s="346"/>
    </row>
    <row r="748" spans="1:14">
      <c r="A748" s="392"/>
      <c r="B748" s="346"/>
      <c r="C748" s="346"/>
      <c r="D748" s="346"/>
      <c r="E748" s="346"/>
      <c r="F748" s="346"/>
      <c r="G748" s="346"/>
      <c r="H748" s="346"/>
      <c r="I748" s="346"/>
      <c r="J748" s="346"/>
      <c r="K748" s="346"/>
      <c r="L748" s="346"/>
      <c r="M748" s="346"/>
      <c r="N748" s="346"/>
    </row>
    <row r="749" spans="1:14">
      <c r="A749" s="353"/>
      <c r="B749" s="310"/>
      <c r="C749" s="310"/>
      <c r="D749" s="310"/>
      <c r="E749" s="310"/>
      <c r="F749" s="310"/>
      <c r="G749" s="310"/>
      <c r="H749" s="310"/>
      <c r="I749" s="310"/>
      <c r="J749" s="310"/>
      <c r="K749" s="310"/>
      <c r="L749" s="310"/>
      <c r="M749" s="310"/>
      <c r="N749" s="310"/>
    </row>
    <row r="750" spans="1:14">
      <c r="A750" s="353"/>
      <c r="B750" s="310"/>
      <c r="C750" s="310"/>
      <c r="D750" s="310"/>
      <c r="E750" s="310"/>
      <c r="F750" s="310"/>
      <c r="G750" s="310"/>
      <c r="H750" s="310"/>
      <c r="I750" s="310"/>
      <c r="J750" s="310"/>
      <c r="K750" s="310"/>
      <c r="L750" s="310"/>
      <c r="M750" s="310"/>
      <c r="N750" s="310"/>
    </row>
    <row r="751" spans="1:14">
      <c r="A751" s="353"/>
      <c r="B751" s="310"/>
      <c r="C751" s="310"/>
      <c r="D751" s="310"/>
      <c r="E751" s="310"/>
      <c r="F751" s="310"/>
      <c r="G751" s="310"/>
      <c r="H751" s="310"/>
      <c r="I751" s="310"/>
      <c r="J751" s="310"/>
      <c r="K751" s="310"/>
      <c r="L751" s="310"/>
      <c r="M751" s="310"/>
      <c r="N751" s="310"/>
    </row>
    <row r="752" spans="1:14">
      <c r="A752" s="396"/>
      <c r="B752" s="395"/>
      <c r="C752" s="395"/>
      <c r="D752" s="395"/>
      <c r="E752" s="395"/>
      <c r="F752" s="395"/>
      <c r="G752" s="395"/>
      <c r="H752" s="395"/>
      <c r="I752" s="395"/>
      <c r="J752" s="395"/>
      <c r="K752" s="395"/>
      <c r="L752" s="395"/>
      <c r="M752" s="395"/>
      <c r="N752" s="395"/>
    </row>
    <row r="753" spans="1:14">
      <c r="A753" s="396"/>
      <c r="B753" s="395"/>
      <c r="C753" s="395"/>
      <c r="D753" s="395"/>
      <c r="E753" s="395"/>
      <c r="F753" s="395"/>
      <c r="G753" s="395"/>
      <c r="H753" s="395"/>
      <c r="I753" s="395"/>
      <c r="J753" s="395"/>
      <c r="K753" s="395"/>
      <c r="L753" s="395"/>
      <c r="M753" s="395"/>
      <c r="N753" s="395"/>
    </row>
    <row r="754" spans="1:14">
      <c r="A754" s="396"/>
      <c r="B754" s="395"/>
      <c r="C754" s="395"/>
      <c r="D754" s="395"/>
      <c r="E754" s="395"/>
      <c r="F754" s="395"/>
      <c r="G754" s="395"/>
      <c r="H754" s="395"/>
      <c r="I754" s="395"/>
      <c r="J754" s="395"/>
      <c r="K754" s="395"/>
      <c r="L754" s="395"/>
      <c r="M754" s="395"/>
      <c r="N754" s="395"/>
    </row>
    <row r="755" spans="1:14" ht="15.75" thickBot="1">
      <c r="A755" s="397"/>
      <c r="B755" s="398"/>
      <c r="C755" s="398"/>
      <c r="D755" s="398"/>
      <c r="E755" s="398"/>
      <c r="F755" s="398"/>
      <c r="G755" s="1104" t="s">
        <v>38</v>
      </c>
      <c r="H755" s="1104"/>
      <c r="I755" s="1104"/>
      <c r="J755" s="1104"/>
      <c r="K755" s="1104"/>
      <c r="L755" s="1104"/>
      <c r="M755" s="1104"/>
      <c r="N755" s="1104"/>
    </row>
    <row r="756" spans="1:14">
      <c r="A756" s="388"/>
      <c r="B756" s="388"/>
      <c r="C756" s="388"/>
      <c r="D756" s="388"/>
      <c r="E756" s="388"/>
      <c r="F756" s="388"/>
      <c r="G756" s="388"/>
      <c r="H756" s="388"/>
      <c r="I756" s="388"/>
      <c r="J756" s="388"/>
      <c r="K756" s="388"/>
      <c r="L756" s="388"/>
      <c r="M756" s="388"/>
      <c r="N756" s="388"/>
    </row>
    <row r="757" spans="1:14">
      <c r="A757" s="388"/>
      <c r="B757" s="388"/>
      <c r="C757" s="388"/>
      <c r="D757" s="388"/>
      <c r="E757" s="388"/>
      <c r="F757" s="388"/>
      <c r="G757" s="388"/>
      <c r="H757" s="388"/>
      <c r="I757" s="388"/>
      <c r="J757" s="388"/>
      <c r="K757" s="388"/>
      <c r="L757" s="388"/>
      <c r="M757" s="388"/>
      <c r="N757" s="388"/>
    </row>
    <row r="758" spans="1:14">
      <c r="A758" s="388"/>
      <c r="B758" s="388"/>
      <c r="C758" s="388"/>
      <c r="D758" s="388"/>
      <c r="E758" s="388"/>
      <c r="F758" s="388"/>
      <c r="G758" s="388"/>
      <c r="H758" s="388"/>
      <c r="I758" s="388"/>
      <c r="J758" s="388"/>
      <c r="K758" s="388"/>
      <c r="L758" s="388"/>
      <c r="M758" s="388"/>
      <c r="N758" s="388"/>
    </row>
    <row r="759" spans="1:14">
      <c r="A759" s="388"/>
      <c r="B759" s="388"/>
      <c r="C759" s="388"/>
      <c r="D759" s="388"/>
      <c r="E759" s="388"/>
      <c r="F759" s="388"/>
      <c r="G759" s="388"/>
      <c r="H759" s="388"/>
      <c r="I759" s="388"/>
      <c r="J759" s="388"/>
      <c r="K759" s="388"/>
      <c r="L759" s="388"/>
      <c r="M759" s="388"/>
      <c r="N759" s="388"/>
    </row>
    <row r="760" spans="1:14">
      <c r="A760" s="388"/>
      <c r="B760" s="388"/>
      <c r="C760" s="388"/>
      <c r="D760" s="388"/>
      <c r="E760" s="388"/>
      <c r="F760" s="388"/>
      <c r="G760" s="388"/>
      <c r="H760" s="388"/>
      <c r="I760" s="388"/>
      <c r="J760" s="388"/>
      <c r="K760" s="388"/>
      <c r="L760" s="388"/>
      <c r="M760" s="388"/>
      <c r="N760" s="388"/>
    </row>
    <row r="761" spans="1:14">
      <c r="A761" s="388"/>
      <c r="B761" s="388"/>
      <c r="C761" s="388"/>
      <c r="D761" s="388"/>
      <c r="E761" s="388"/>
      <c r="F761" s="388"/>
      <c r="G761" s="388"/>
      <c r="H761" s="388"/>
      <c r="I761" s="388"/>
      <c r="J761" s="388"/>
      <c r="K761" s="388"/>
      <c r="L761" s="388"/>
      <c r="M761" s="388"/>
      <c r="N761" s="388"/>
    </row>
    <row r="762" spans="1:14">
      <c r="A762" s="388"/>
      <c r="B762" s="388"/>
      <c r="C762" s="388"/>
      <c r="D762" s="388"/>
      <c r="E762" s="388"/>
      <c r="F762" s="388"/>
      <c r="G762" s="388"/>
      <c r="H762" s="388"/>
      <c r="I762" s="388"/>
      <c r="J762" s="388"/>
      <c r="K762" s="388"/>
      <c r="L762" s="388"/>
      <c r="M762" s="388"/>
      <c r="N762" s="388"/>
    </row>
    <row r="763" spans="1:14">
      <c r="A763" s="388"/>
      <c r="B763" s="388"/>
      <c r="C763" s="388"/>
      <c r="D763" s="388"/>
      <c r="E763" s="388"/>
      <c r="F763" s="388"/>
      <c r="G763" s="388"/>
      <c r="H763" s="388"/>
      <c r="I763" s="388"/>
      <c r="J763" s="388"/>
      <c r="K763" s="388"/>
      <c r="L763" s="388"/>
      <c r="M763" s="388"/>
      <c r="N763" s="388"/>
    </row>
    <row r="764" spans="1:14">
      <c r="A764" s="388"/>
      <c r="B764" s="388"/>
      <c r="C764" s="388"/>
      <c r="D764" s="388"/>
      <c r="E764" s="388"/>
      <c r="F764" s="388"/>
      <c r="G764" s="388"/>
      <c r="H764" s="388"/>
      <c r="I764" s="388"/>
      <c r="J764" s="388"/>
      <c r="K764" s="388"/>
      <c r="L764" s="388"/>
      <c r="M764" s="388"/>
      <c r="N764" s="388"/>
    </row>
    <row r="765" spans="1:14">
      <c r="A765" s="388"/>
      <c r="B765" s="388"/>
      <c r="C765" s="388"/>
      <c r="D765" s="388"/>
      <c r="E765" s="388"/>
      <c r="F765" s="388"/>
      <c r="G765" s="388"/>
      <c r="H765" s="388"/>
      <c r="I765" s="388"/>
      <c r="J765" s="388"/>
      <c r="K765" s="388"/>
      <c r="L765" s="388"/>
      <c r="M765" s="388"/>
      <c r="N765" s="388"/>
    </row>
    <row r="766" spans="1:14">
      <c r="A766" s="388"/>
      <c r="B766" s="388"/>
      <c r="C766" s="388"/>
      <c r="D766" s="388"/>
      <c r="E766" s="388"/>
      <c r="F766" s="388"/>
      <c r="G766" s="388"/>
      <c r="H766" s="388"/>
      <c r="I766" s="388"/>
      <c r="J766" s="388"/>
      <c r="K766" s="388"/>
      <c r="L766" s="388"/>
      <c r="M766" s="388"/>
      <c r="N766" s="388"/>
    </row>
    <row r="767" spans="1:14">
      <c r="A767" s="388"/>
      <c r="B767" s="388"/>
      <c r="C767" s="388"/>
      <c r="D767" s="388"/>
      <c r="E767" s="388"/>
      <c r="F767" s="388"/>
      <c r="G767" s="388"/>
      <c r="H767" s="388"/>
      <c r="I767" s="388"/>
      <c r="J767" s="388"/>
      <c r="K767" s="388"/>
      <c r="L767" s="388"/>
      <c r="M767" s="388"/>
      <c r="N767" s="388"/>
    </row>
    <row r="768" spans="1:14">
      <c r="A768" s="388"/>
      <c r="B768" s="388"/>
      <c r="C768" s="388"/>
      <c r="D768" s="388"/>
      <c r="E768" s="388"/>
      <c r="F768" s="388"/>
      <c r="G768" s="388"/>
      <c r="H768" s="388"/>
      <c r="I768" s="388"/>
      <c r="J768" s="388"/>
      <c r="K768" s="388"/>
      <c r="L768" s="388"/>
      <c r="M768" s="388"/>
      <c r="N768" s="388"/>
    </row>
    <row r="769" spans="1:14">
      <c r="A769" s="388"/>
      <c r="B769" s="388"/>
      <c r="C769" s="388"/>
      <c r="D769" s="388"/>
      <c r="E769" s="388"/>
      <c r="F769" s="388"/>
      <c r="G769" s="388"/>
      <c r="H769" s="388"/>
      <c r="I769" s="388"/>
      <c r="J769" s="388"/>
      <c r="K769" s="388"/>
      <c r="L769" s="388"/>
      <c r="M769" s="388"/>
      <c r="N769" s="388"/>
    </row>
    <row r="770" spans="1:14">
      <c r="A770" s="388"/>
      <c r="B770" s="388"/>
      <c r="C770" s="388"/>
      <c r="D770" s="388"/>
      <c r="E770" s="388"/>
      <c r="F770" s="388"/>
      <c r="G770" s="388"/>
      <c r="H770" s="388"/>
      <c r="I770" s="388"/>
      <c r="J770" s="388"/>
      <c r="K770" s="388"/>
      <c r="L770" s="388"/>
      <c r="M770" s="388"/>
      <c r="N770" s="388"/>
    </row>
    <row r="771" spans="1:14" ht="15.75" thickBot="1">
      <c r="A771" s="388"/>
      <c r="B771" s="388"/>
      <c r="C771" s="388"/>
      <c r="D771" s="388"/>
      <c r="E771" s="388"/>
      <c r="F771" s="388"/>
      <c r="G771" s="388"/>
      <c r="H771" s="388"/>
      <c r="I771" s="388"/>
      <c r="J771" s="388"/>
      <c r="K771" s="388"/>
      <c r="L771" s="388"/>
      <c r="M771" s="388"/>
      <c r="N771" s="388"/>
    </row>
    <row r="772" spans="1:14">
      <c r="A772" s="1105" t="s">
        <v>448</v>
      </c>
      <c r="B772" s="1106"/>
      <c r="C772" s="1106"/>
      <c r="D772" s="1106"/>
      <c r="E772" s="1106"/>
      <c r="F772" s="1106"/>
      <c r="G772" s="1106"/>
      <c r="H772" s="1106"/>
      <c r="I772" s="1106"/>
      <c r="J772" s="1106"/>
      <c r="K772" s="1106"/>
      <c r="L772" s="1106"/>
      <c r="M772" s="1106"/>
      <c r="N772" s="1106"/>
    </row>
    <row r="773" spans="1:14" ht="15.75" thickBot="1">
      <c r="A773" s="1107"/>
      <c r="B773" s="1108"/>
      <c r="C773" s="1108"/>
      <c r="D773" s="1108"/>
      <c r="E773" s="1108"/>
      <c r="F773" s="1108"/>
      <c r="G773" s="1108"/>
      <c r="H773" s="1108"/>
      <c r="I773" s="1108"/>
      <c r="J773" s="1108"/>
      <c r="K773" s="1108"/>
      <c r="L773" s="1108"/>
      <c r="M773" s="1108"/>
      <c r="N773" s="1108"/>
    </row>
    <row r="774" spans="1:14" ht="15.75" thickBot="1">
      <c r="A774" s="1109" t="s">
        <v>449</v>
      </c>
      <c r="B774" s="1110"/>
      <c r="C774" s="1110"/>
      <c r="D774" s="1110"/>
      <c r="E774" s="1110"/>
      <c r="F774" s="1110"/>
      <c r="G774" s="1110"/>
      <c r="H774" s="1110"/>
      <c r="I774" s="1110"/>
      <c r="J774" s="1110"/>
      <c r="K774" s="1110"/>
      <c r="L774" s="1110"/>
      <c r="M774" s="1110"/>
      <c r="N774" s="1110"/>
    </row>
    <row r="775" spans="1:14">
      <c r="A775" s="351" t="s">
        <v>479</v>
      </c>
      <c r="B775" s="308"/>
      <c r="C775" s="308"/>
      <c r="D775" s="309"/>
      <c r="E775" s="1111" t="s">
        <v>480</v>
      </c>
      <c r="F775" s="1112"/>
      <c r="G775" s="1112"/>
      <c r="H775" s="352"/>
      <c r="I775" s="352"/>
      <c r="J775" s="352"/>
      <c r="K775" s="352"/>
      <c r="L775" s="352"/>
      <c r="M775" s="352"/>
      <c r="N775" s="352"/>
    </row>
    <row r="776" spans="1:14">
      <c r="A776" s="353"/>
      <c r="B776" s="419" t="s">
        <v>382</v>
      </c>
      <c r="C776" s="310"/>
      <c r="D776" s="311"/>
      <c r="E776" s="354"/>
      <c r="F776" s="355"/>
      <c r="G776" s="1113" t="str">
        <f>'04-221Master'!B29</f>
        <v> Rajesh Dhumal</v>
      </c>
      <c r="H776" s="1113"/>
      <c r="I776" s="1113"/>
      <c r="J776" s="355"/>
      <c r="K776" s="355"/>
      <c r="L776" s="355"/>
      <c r="M776" s="355"/>
      <c r="N776" s="355"/>
    </row>
    <row r="777" spans="1:14" ht="15.75" thickBot="1">
      <c r="A777" s="312"/>
      <c r="B777" s="421" t="s">
        <v>383</v>
      </c>
      <c r="C777" s="313"/>
      <c r="D777" s="314"/>
      <c r="E777" s="354"/>
      <c r="F777" s="355"/>
      <c r="G777" s="355"/>
      <c r="H777" s="355"/>
      <c r="I777" s="355"/>
      <c r="J777" s="355"/>
      <c r="K777" s="355"/>
      <c r="L777" s="355"/>
      <c r="M777" s="355"/>
      <c r="N777" s="355"/>
    </row>
    <row r="778" spans="1:14">
      <c r="A778" s="315" t="s">
        <v>481</v>
      </c>
      <c r="B778" s="308"/>
      <c r="C778" s="308"/>
      <c r="D778" s="309"/>
      <c r="E778" s="315" t="s">
        <v>450</v>
      </c>
      <c r="F778" s="308"/>
      <c r="G778" s="356">
        <f>'04-221Master'!N29</f>
        <v>44579</v>
      </c>
      <c r="H778" s="308"/>
      <c r="I778" s="308"/>
      <c r="J778" s="308"/>
      <c r="K778" s="308"/>
      <c r="L778" s="308"/>
      <c r="M778" s="308"/>
      <c r="N778" s="308"/>
    </row>
    <row r="779" spans="1:14">
      <c r="A779" s="353"/>
      <c r="B779" s="310"/>
      <c r="C779" s="310">
        <f>'04-221Master'!F1019</f>
        <v>0</v>
      </c>
      <c r="D779" s="311"/>
      <c r="E779" s="316"/>
      <c r="F779" s="310"/>
      <c r="G779" s="310"/>
      <c r="H779" s="310"/>
      <c r="I779" s="310"/>
      <c r="J779" s="310"/>
      <c r="K779" s="310"/>
      <c r="L779" s="310"/>
      <c r="M779" s="310"/>
      <c r="N779" s="310"/>
    </row>
    <row r="780" spans="1:14">
      <c r="A780" s="353"/>
      <c r="B780" s="310"/>
      <c r="C780" s="310"/>
      <c r="D780" s="311"/>
      <c r="E780" s="357"/>
      <c r="F780" s="310"/>
      <c r="G780" s="310"/>
      <c r="H780" s="310"/>
      <c r="I780" s="310"/>
      <c r="J780" s="310"/>
      <c r="K780" s="310"/>
      <c r="L780" s="310"/>
      <c r="M780" s="310"/>
      <c r="N780" s="310"/>
    </row>
    <row r="781" spans="1:14" ht="15.75" thickBot="1">
      <c r="A781" s="390"/>
      <c r="B781" s="318"/>
      <c r="C781" s="318"/>
      <c r="D781" s="358"/>
      <c r="E781" s="312"/>
      <c r="F781" s="313"/>
      <c r="G781" s="313"/>
      <c r="H781" s="313"/>
      <c r="I781" s="313"/>
      <c r="J781" s="313"/>
      <c r="K781" s="313"/>
      <c r="L781" s="313"/>
      <c r="M781" s="313"/>
      <c r="N781" s="313"/>
    </row>
    <row r="782" spans="1:14">
      <c r="A782" s="1114" t="s">
        <v>5</v>
      </c>
      <c r="B782" s="1116" t="s">
        <v>451</v>
      </c>
      <c r="C782" s="1117"/>
      <c r="D782" s="1116" t="s">
        <v>452</v>
      </c>
      <c r="E782" s="1119"/>
      <c r="F782" s="1122" t="s">
        <v>453</v>
      </c>
      <c r="G782" s="1118" t="s">
        <v>454</v>
      </c>
      <c r="H782" s="1124"/>
      <c r="I782" s="1125" t="s">
        <v>455</v>
      </c>
      <c r="J782" s="1124"/>
      <c r="K782" s="1126"/>
      <c r="L782" s="1125" t="s">
        <v>456</v>
      </c>
      <c r="M782" s="1124"/>
      <c r="N782" s="1124"/>
    </row>
    <row r="783" spans="1:14" ht="15.75" thickBot="1">
      <c r="A783" s="1115"/>
      <c r="B783" s="1118"/>
      <c r="C783" s="1119"/>
      <c r="D783" s="1118"/>
      <c r="E783" s="1119"/>
      <c r="F783" s="1123"/>
      <c r="G783" s="1118"/>
      <c r="H783" s="1124"/>
      <c r="I783" s="1127"/>
      <c r="J783" s="1128"/>
      <c r="K783" s="1129"/>
      <c r="L783" s="1127"/>
      <c r="M783" s="1128"/>
      <c r="N783" s="1128"/>
    </row>
    <row r="784" spans="1:14">
      <c r="A784" s="391">
        <v>1</v>
      </c>
      <c r="B784" s="1120"/>
      <c r="C784" s="1121"/>
      <c r="D784" s="1120"/>
      <c r="E784" s="1121"/>
      <c r="F784" s="322">
        <v>6</v>
      </c>
      <c r="G784" s="1120"/>
      <c r="H784" s="1121"/>
      <c r="I784" s="359">
        <v>9</v>
      </c>
      <c r="J784" s="359"/>
      <c r="K784" s="359"/>
      <c r="L784" s="359">
        <v>9</v>
      </c>
      <c r="M784" s="359"/>
      <c r="N784" s="359"/>
    </row>
    <row r="785" spans="1:15" ht="38.25">
      <c r="A785" s="537"/>
      <c r="B785" s="360" t="s">
        <v>457</v>
      </c>
      <c r="C785" s="360" t="s">
        <v>458</v>
      </c>
      <c r="D785" s="360" t="s">
        <v>459</v>
      </c>
      <c r="E785" s="360" t="s">
        <v>133</v>
      </c>
      <c r="F785" s="360"/>
      <c r="G785" s="360" t="s">
        <v>460</v>
      </c>
      <c r="H785" s="360" t="s">
        <v>461</v>
      </c>
      <c r="I785" s="360" t="s">
        <v>462</v>
      </c>
      <c r="J785" s="360" t="s">
        <v>463</v>
      </c>
      <c r="K785" s="360" t="s">
        <v>464</v>
      </c>
      <c r="L785" s="360" t="s">
        <v>465</v>
      </c>
      <c r="M785" s="360" t="s">
        <v>466</v>
      </c>
      <c r="N785" s="360" t="s">
        <v>467</v>
      </c>
    </row>
    <row r="786" spans="1:15">
      <c r="A786" s="393"/>
      <c r="B786" s="346"/>
      <c r="C786" s="346"/>
      <c r="D786" s="346"/>
      <c r="E786" s="346"/>
      <c r="F786" s="346"/>
      <c r="G786" s="346"/>
      <c r="H786" s="346"/>
      <c r="I786" s="346"/>
      <c r="J786" s="346"/>
      <c r="K786" s="346"/>
      <c r="L786" s="346"/>
      <c r="M786" s="346"/>
      <c r="N786" s="346"/>
    </row>
    <row r="787" spans="1:15">
      <c r="A787" s="361"/>
      <c r="B787" s="346"/>
      <c r="C787" s="346"/>
      <c r="D787" s="436"/>
      <c r="E787" s="436"/>
      <c r="F787" s="346"/>
      <c r="G787" s="346"/>
      <c r="H787" s="346"/>
      <c r="I787" s="346"/>
      <c r="J787" s="346"/>
      <c r="K787" s="346"/>
      <c r="L787" s="346"/>
      <c r="M787" s="346"/>
      <c r="N787" s="346"/>
    </row>
    <row r="788" spans="1:15" s="388" customFormat="1">
      <c r="A788" s="710" t="s">
        <v>784</v>
      </c>
      <c r="B788" s="346">
        <v>0</v>
      </c>
      <c r="C788" s="346"/>
      <c r="D788" s="346"/>
      <c r="E788" s="346"/>
      <c r="F788" s="409">
        <f t="shared" ref="F788" si="0">F787+B788-C788</f>
        <v>0</v>
      </c>
      <c r="G788" s="346"/>
      <c r="H788" s="346"/>
      <c r="I788" s="409" t="s">
        <v>584</v>
      </c>
      <c r="J788" s="409" t="s">
        <v>489</v>
      </c>
      <c r="K788" s="409" t="s">
        <v>489</v>
      </c>
      <c r="L788" s="346"/>
      <c r="M788" s="346"/>
      <c r="N788" s="346" t="s">
        <v>584</v>
      </c>
    </row>
    <row r="789" spans="1:15" s="388" customFormat="1">
      <c r="A789" s="393" t="s">
        <v>795</v>
      </c>
      <c r="B789" s="346">
        <v>1.5</v>
      </c>
      <c r="C789" s="346">
        <v>1</v>
      </c>
      <c r="D789" s="362">
        <v>44603</v>
      </c>
      <c r="E789" s="362">
        <v>44603</v>
      </c>
      <c r="F789" s="346">
        <f>F788+B789-C789</f>
        <v>0.5</v>
      </c>
      <c r="G789" s="346"/>
      <c r="H789" s="346"/>
      <c r="I789" s="346" t="s">
        <v>489</v>
      </c>
      <c r="J789" s="346" t="s">
        <v>489</v>
      </c>
      <c r="K789" s="346" t="s">
        <v>489</v>
      </c>
      <c r="L789" s="346"/>
      <c r="M789" s="346"/>
      <c r="N789" s="346"/>
    </row>
    <row r="790" spans="1:15" s="388" customFormat="1">
      <c r="A790" s="393" t="s">
        <v>823</v>
      </c>
      <c r="B790" s="346">
        <v>1.5</v>
      </c>
      <c r="C790" s="346">
        <v>0</v>
      </c>
      <c r="D790" s="346">
        <v>0</v>
      </c>
      <c r="E790" s="346">
        <v>0</v>
      </c>
      <c r="F790" s="346">
        <f>F789+B790-C790</f>
        <v>2</v>
      </c>
      <c r="G790" s="346"/>
      <c r="H790" s="346"/>
      <c r="I790" s="346" t="s">
        <v>489</v>
      </c>
      <c r="J790" s="346" t="s">
        <v>489</v>
      </c>
      <c r="K790" s="346" t="s">
        <v>489</v>
      </c>
      <c r="L790" s="346"/>
      <c r="M790" s="346"/>
      <c r="N790" s="346"/>
    </row>
    <row r="791" spans="1:15" s="388" customFormat="1">
      <c r="A791" s="393" t="s">
        <v>846</v>
      </c>
      <c r="B791" s="346">
        <v>1.5</v>
      </c>
      <c r="C791" s="346">
        <v>0</v>
      </c>
      <c r="D791" s="346">
        <v>0</v>
      </c>
      <c r="E791" s="346">
        <v>0</v>
      </c>
      <c r="F791" s="346">
        <f>F790+B791-C791</f>
        <v>3.5</v>
      </c>
      <c r="G791" s="346"/>
      <c r="H791" s="346"/>
      <c r="I791" s="346" t="s">
        <v>489</v>
      </c>
      <c r="J791" s="346" t="s">
        <v>489</v>
      </c>
      <c r="K791" s="346" t="s">
        <v>489</v>
      </c>
      <c r="L791" s="346"/>
      <c r="M791" s="346"/>
      <c r="N791" s="346"/>
      <c r="O791" s="388">
        <v>14</v>
      </c>
    </row>
    <row r="792" spans="1:15">
      <c r="A792" s="394"/>
      <c r="B792" s="346"/>
      <c r="C792" s="346"/>
      <c r="D792" s="499"/>
      <c r="E792" s="499"/>
      <c r="F792" s="346"/>
      <c r="G792" s="346"/>
      <c r="H792" s="346"/>
      <c r="I792" s="346"/>
      <c r="J792" s="346"/>
      <c r="K792" s="346"/>
      <c r="L792" s="346"/>
      <c r="M792" s="346"/>
      <c r="N792" s="346"/>
    </row>
    <row r="793" spans="1:15">
      <c r="A793" s="394"/>
      <c r="B793" s="346"/>
      <c r="C793" s="346"/>
      <c r="D793" s="499"/>
      <c r="E793" s="499"/>
      <c r="F793" s="346"/>
      <c r="G793" s="346"/>
      <c r="H793" s="346"/>
      <c r="I793" s="346"/>
      <c r="J793" s="346"/>
      <c r="K793" s="346"/>
      <c r="L793" s="346"/>
      <c r="M793" s="346"/>
      <c r="N793" s="346"/>
    </row>
    <row r="794" spans="1:15">
      <c r="A794" s="394"/>
      <c r="B794" s="346"/>
      <c r="C794" s="346"/>
      <c r="D794" s="499"/>
      <c r="E794" s="499"/>
      <c r="F794" s="346"/>
      <c r="G794" s="346"/>
      <c r="H794" s="346"/>
      <c r="I794" s="346"/>
      <c r="J794" s="346"/>
      <c r="K794" s="346"/>
      <c r="L794" s="346"/>
      <c r="M794" s="346"/>
      <c r="N794" s="346"/>
    </row>
    <row r="795" spans="1:15">
      <c r="A795" s="394"/>
      <c r="B795" s="346"/>
      <c r="C795" s="346"/>
      <c r="D795" s="499"/>
      <c r="E795" s="499"/>
      <c r="F795" s="346"/>
      <c r="G795" s="346"/>
      <c r="H795" s="346"/>
      <c r="I795" s="346"/>
      <c r="J795" s="346"/>
      <c r="K795" s="346"/>
      <c r="L795" s="346"/>
      <c r="M795" s="346"/>
      <c r="N795" s="346"/>
    </row>
    <row r="796" spans="1:15">
      <c r="A796" s="394"/>
      <c r="B796" s="346"/>
      <c r="C796" s="346"/>
      <c r="D796" s="499"/>
      <c r="E796" s="436"/>
      <c r="F796" s="346"/>
      <c r="G796" s="346"/>
      <c r="H796" s="346"/>
      <c r="I796" s="346"/>
      <c r="J796" s="346"/>
      <c r="K796" s="346"/>
      <c r="L796" s="346"/>
      <c r="M796" s="346"/>
      <c r="N796" s="346"/>
    </row>
    <row r="797" spans="1:15">
      <c r="A797" s="394"/>
      <c r="B797" s="346"/>
      <c r="C797" s="346"/>
      <c r="D797" s="362"/>
      <c r="E797" s="362"/>
      <c r="F797" s="346"/>
      <c r="G797" s="346"/>
      <c r="H797" s="346"/>
      <c r="I797" s="346"/>
      <c r="J797" s="346"/>
      <c r="K797" s="346"/>
      <c r="L797" s="346"/>
      <c r="M797" s="346"/>
      <c r="N797" s="346"/>
    </row>
    <row r="798" spans="1:15">
      <c r="A798" s="394"/>
      <c r="B798" s="346"/>
      <c r="C798" s="346"/>
      <c r="D798" s="362"/>
      <c r="E798" s="362"/>
      <c r="F798" s="346"/>
      <c r="G798" s="346"/>
      <c r="H798" s="346"/>
      <c r="I798" s="346"/>
      <c r="J798" s="346"/>
      <c r="K798" s="346"/>
      <c r="L798" s="346"/>
      <c r="M798" s="346"/>
      <c r="N798" s="346"/>
    </row>
    <row r="799" spans="1:15">
      <c r="A799" s="394"/>
      <c r="B799" s="346"/>
      <c r="C799" s="346"/>
      <c r="D799" s="362"/>
      <c r="E799" s="362"/>
      <c r="F799" s="346"/>
      <c r="G799" s="346"/>
      <c r="H799" s="346"/>
      <c r="I799" s="346"/>
      <c r="J799" s="346"/>
      <c r="K799" s="346"/>
      <c r="L799" s="346"/>
      <c r="M799" s="346"/>
      <c r="N799" s="346"/>
    </row>
    <row r="800" spans="1:15">
      <c r="A800" s="394"/>
      <c r="B800" s="346"/>
      <c r="C800" s="346"/>
      <c r="D800" s="362"/>
      <c r="E800" s="362"/>
      <c r="F800" s="346"/>
      <c r="G800" s="346"/>
      <c r="H800" s="346"/>
      <c r="I800" s="346"/>
      <c r="J800" s="346"/>
      <c r="K800" s="346"/>
      <c r="L800" s="346"/>
      <c r="M800" s="346"/>
      <c r="N800" s="346"/>
    </row>
    <row r="801" spans="1:14">
      <c r="A801" s="394"/>
      <c r="B801" s="346"/>
      <c r="C801" s="346"/>
      <c r="D801" s="362"/>
      <c r="E801" s="362"/>
      <c r="F801" s="346"/>
      <c r="G801" s="346"/>
      <c r="H801" s="346"/>
      <c r="I801" s="346"/>
      <c r="J801" s="346"/>
      <c r="K801" s="346"/>
      <c r="L801" s="346"/>
      <c r="M801" s="346"/>
      <c r="N801" s="346"/>
    </row>
    <row r="802" spans="1:14">
      <c r="A802" s="392"/>
      <c r="B802" s="346"/>
      <c r="C802" s="346"/>
      <c r="D802" s="346"/>
      <c r="E802" s="346"/>
      <c r="F802" s="346"/>
      <c r="G802" s="346"/>
      <c r="H802" s="346"/>
      <c r="I802" s="346"/>
      <c r="J802" s="346"/>
      <c r="K802" s="346"/>
      <c r="L802" s="346"/>
      <c r="M802" s="346"/>
      <c r="N802" s="346"/>
    </row>
    <row r="803" spans="1:14">
      <c r="A803" s="392"/>
      <c r="B803" s="346"/>
      <c r="C803" s="346"/>
      <c r="D803" s="346"/>
      <c r="E803" s="346"/>
      <c r="F803" s="346"/>
      <c r="G803" s="346"/>
      <c r="H803" s="346"/>
      <c r="I803" s="346"/>
      <c r="J803" s="346"/>
      <c r="K803" s="346"/>
      <c r="L803" s="346"/>
      <c r="M803" s="346"/>
      <c r="N803" s="346"/>
    </row>
    <row r="804" spans="1:14">
      <c r="A804" s="392"/>
      <c r="B804" s="346"/>
      <c r="C804" s="346"/>
      <c r="D804" s="346"/>
      <c r="E804" s="346"/>
      <c r="F804" s="346"/>
      <c r="G804" s="346"/>
      <c r="H804" s="346"/>
      <c r="I804" s="346"/>
      <c r="J804" s="346"/>
      <c r="K804" s="346"/>
      <c r="L804" s="346"/>
      <c r="M804" s="346"/>
      <c r="N804" s="346"/>
    </row>
    <row r="805" spans="1:14">
      <c r="A805" s="392"/>
      <c r="B805" s="346"/>
      <c r="C805" s="346"/>
      <c r="D805" s="346"/>
      <c r="E805" s="346"/>
      <c r="F805" s="346"/>
      <c r="G805" s="346"/>
      <c r="H805" s="346"/>
      <c r="I805" s="346"/>
      <c r="J805" s="346"/>
      <c r="K805" s="346"/>
      <c r="L805" s="346"/>
      <c r="M805" s="346"/>
      <c r="N805" s="346"/>
    </row>
    <row r="806" spans="1:14">
      <c r="A806" s="392"/>
      <c r="B806" s="346"/>
      <c r="C806" s="346"/>
      <c r="D806" s="346"/>
      <c r="E806" s="346"/>
      <c r="F806" s="346"/>
      <c r="G806" s="346"/>
      <c r="H806" s="346"/>
      <c r="I806" s="346"/>
      <c r="J806" s="346"/>
      <c r="K806" s="346"/>
      <c r="L806" s="346"/>
      <c r="M806" s="346"/>
      <c r="N806" s="346"/>
    </row>
    <row r="807" spans="1:14">
      <c r="A807" s="353"/>
      <c r="B807" s="310"/>
      <c r="C807" s="310"/>
      <c r="D807" s="310"/>
      <c r="E807" s="310"/>
      <c r="F807" s="310"/>
      <c r="G807" s="310"/>
      <c r="H807" s="310"/>
      <c r="I807" s="310"/>
      <c r="J807" s="310"/>
      <c r="K807" s="310"/>
      <c r="L807" s="310"/>
      <c r="M807" s="310"/>
      <c r="N807" s="310"/>
    </row>
    <row r="808" spans="1:14">
      <c r="A808" s="353"/>
      <c r="B808" s="310"/>
      <c r="C808" s="310"/>
      <c r="D808" s="310"/>
      <c r="E808" s="310"/>
      <c r="F808" s="310"/>
      <c r="G808" s="310"/>
      <c r="H808" s="310"/>
      <c r="I808" s="310"/>
      <c r="J808" s="310"/>
      <c r="K808" s="310"/>
      <c r="L808" s="310"/>
      <c r="M808" s="310"/>
      <c r="N808" s="310"/>
    </row>
    <row r="809" spans="1:14">
      <c r="A809" s="353"/>
      <c r="B809" s="310"/>
      <c r="C809" s="310"/>
      <c r="D809" s="310"/>
      <c r="E809" s="310"/>
      <c r="F809" s="310"/>
      <c r="G809" s="310"/>
      <c r="H809" s="310"/>
      <c r="I809" s="310"/>
      <c r="J809" s="310"/>
      <c r="K809" s="310"/>
      <c r="L809" s="310"/>
      <c r="M809" s="310"/>
      <c r="N809" s="310"/>
    </row>
    <row r="810" spans="1:14">
      <c r="A810" s="396"/>
      <c r="B810" s="395"/>
      <c r="C810" s="395"/>
      <c r="D810" s="395"/>
      <c r="E810" s="395"/>
      <c r="F810" s="395"/>
      <c r="G810" s="395"/>
      <c r="H810" s="395"/>
      <c r="I810" s="395"/>
      <c r="J810" s="395"/>
      <c r="K810" s="395"/>
      <c r="L810" s="395"/>
      <c r="M810" s="395"/>
      <c r="N810" s="395"/>
    </row>
    <row r="811" spans="1:14">
      <c r="A811" s="396"/>
      <c r="B811" s="395"/>
      <c r="C811" s="395"/>
      <c r="D811" s="395"/>
      <c r="E811" s="395"/>
      <c r="F811" s="395"/>
      <c r="G811" s="395"/>
      <c r="H811" s="395"/>
      <c r="I811" s="395"/>
      <c r="J811" s="395"/>
      <c r="K811" s="395"/>
      <c r="L811" s="395"/>
      <c r="M811" s="395"/>
      <c r="N811" s="395"/>
    </row>
    <row r="812" spans="1:14">
      <c r="A812" s="396"/>
      <c r="B812" s="395"/>
      <c r="C812" s="395"/>
      <c r="D812" s="395"/>
      <c r="E812" s="395"/>
      <c r="F812" s="395"/>
      <c r="G812" s="395"/>
      <c r="H812" s="395"/>
      <c r="I812" s="395"/>
      <c r="J812" s="395"/>
      <c r="K812" s="395"/>
      <c r="L812" s="395"/>
      <c r="M812" s="395"/>
      <c r="N812" s="395"/>
    </row>
    <row r="813" spans="1:14" ht="15.75" thickBot="1">
      <c r="A813" s="397"/>
      <c r="B813" s="398"/>
      <c r="C813" s="398"/>
      <c r="D813" s="398"/>
      <c r="E813" s="398"/>
      <c r="F813" s="398"/>
      <c r="G813" s="1104" t="s">
        <v>38</v>
      </c>
      <c r="H813" s="1104"/>
      <c r="I813" s="1104"/>
      <c r="J813" s="1104"/>
      <c r="K813" s="1104"/>
      <c r="L813" s="1104"/>
      <c r="M813" s="1104"/>
      <c r="N813" s="1104"/>
    </row>
    <row r="814" spans="1:14">
      <c r="A814" s="388"/>
      <c r="B814" s="388"/>
      <c r="C814" s="388"/>
      <c r="D814" s="388"/>
      <c r="E814" s="388"/>
      <c r="F814" s="388"/>
      <c r="G814" s="388"/>
      <c r="H814" s="388"/>
      <c r="I814" s="388"/>
      <c r="J814" s="388"/>
      <c r="K814" s="388"/>
      <c r="L814" s="388"/>
      <c r="M814" s="388"/>
      <c r="N814" s="388"/>
    </row>
    <row r="815" spans="1:14">
      <c r="A815" s="388"/>
      <c r="B815" s="388"/>
      <c r="C815" s="388"/>
      <c r="D815" s="388"/>
      <c r="E815" s="388"/>
      <c r="F815" s="388"/>
      <c r="G815" s="388"/>
      <c r="H815" s="388"/>
      <c r="I815" s="388"/>
      <c r="J815" s="388"/>
      <c r="K815" s="388"/>
      <c r="L815" s="388"/>
      <c r="M815" s="388"/>
      <c r="N815" s="388"/>
    </row>
    <row r="816" spans="1:14">
      <c r="A816" s="388"/>
      <c r="B816" s="388"/>
      <c r="C816" s="388"/>
      <c r="D816" s="388"/>
      <c r="E816" s="388"/>
      <c r="F816" s="388"/>
      <c r="G816" s="388"/>
      <c r="H816" s="388"/>
      <c r="I816" s="388"/>
      <c r="J816" s="388"/>
      <c r="K816" s="388"/>
      <c r="L816" s="388"/>
      <c r="M816" s="388"/>
      <c r="N816" s="388"/>
    </row>
    <row r="817" spans="1:14">
      <c r="A817" s="388"/>
      <c r="B817" s="388"/>
      <c r="C817" s="388"/>
      <c r="D817" s="388"/>
      <c r="E817" s="388"/>
      <c r="F817" s="388"/>
      <c r="G817" s="388"/>
      <c r="H817" s="388"/>
      <c r="I817" s="388"/>
      <c r="J817" s="388"/>
      <c r="K817" s="388"/>
      <c r="L817" s="388"/>
      <c r="M817" s="388"/>
      <c r="N817" s="388"/>
    </row>
    <row r="818" spans="1:14">
      <c r="A818" s="388"/>
      <c r="B818" s="388"/>
      <c r="C818" s="388"/>
      <c r="D818" s="388"/>
      <c r="E818" s="388"/>
      <c r="F818" s="388"/>
      <c r="G818" s="388"/>
      <c r="H818" s="388"/>
      <c r="I818" s="388"/>
      <c r="J818" s="388"/>
      <c r="K818" s="388"/>
      <c r="L818" s="388"/>
      <c r="M818" s="388"/>
      <c r="N818" s="388"/>
    </row>
    <row r="819" spans="1:14">
      <c r="A819" s="388"/>
      <c r="B819" s="388"/>
      <c r="C819" s="388"/>
      <c r="D819" s="388"/>
      <c r="E819" s="388"/>
      <c r="F819" s="388"/>
      <c r="G819" s="388"/>
      <c r="H819" s="388"/>
      <c r="I819" s="388"/>
      <c r="J819" s="388"/>
      <c r="K819" s="388"/>
      <c r="L819" s="388"/>
      <c r="M819" s="388"/>
      <c r="N819" s="388"/>
    </row>
    <row r="820" spans="1:14">
      <c r="A820" s="388"/>
      <c r="B820" s="388"/>
      <c r="C820" s="388"/>
      <c r="D820" s="388"/>
      <c r="E820" s="388"/>
      <c r="F820" s="388"/>
      <c r="G820" s="388"/>
      <c r="H820" s="388"/>
      <c r="I820" s="388"/>
      <c r="J820" s="388"/>
      <c r="K820" s="388"/>
      <c r="L820" s="388"/>
      <c r="M820" s="388"/>
      <c r="N820" s="388"/>
    </row>
    <row r="821" spans="1:14">
      <c r="A821" s="388"/>
      <c r="B821" s="388"/>
      <c r="C821" s="388"/>
      <c r="D821" s="388"/>
      <c r="E821" s="388"/>
      <c r="F821" s="388"/>
      <c r="G821" s="388"/>
      <c r="H821" s="388"/>
      <c r="I821" s="388"/>
      <c r="J821" s="388"/>
      <c r="K821" s="388"/>
      <c r="L821" s="388"/>
      <c r="M821" s="388"/>
      <c r="N821" s="388"/>
    </row>
    <row r="822" spans="1:14">
      <c r="A822" s="388"/>
      <c r="B822" s="388"/>
      <c r="C822" s="388"/>
      <c r="D822" s="388"/>
      <c r="E822" s="388"/>
      <c r="F822" s="388"/>
      <c r="G822" s="388"/>
      <c r="H822" s="388"/>
      <c r="I822" s="388"/>
      <c r="J822" s="388"/>
      <c r="K822" s="388"/>
      <c r="L822" s="388"/>
      <c r="M822" s="388"/>
      <c r="N822" s="388"/>
    </row>
    <row r="823" spans="1:14">
      <c r="A823" s="388"/>
      <c r="B823" s="388"/>
      <c r="C823" s="388"/>
      <c r="D823" s="388"/>
      <c r="E823" s="388"/>
      <c r="F823" s="388"/>
      <c r="G823" s="388"/>
      <c r="H823" s="388"/>
      <c r="I823" s="388"/>
      <c r="J823" s="388"/>
      <c r="K823" s="388"/>
      <c r="L823" s="388"/>
      <c r="M823" s="388"/>
      <c r="N823" s="388"/>
    </row>
    <row r="824" spans="1:14">
      <c r="A824" s="388"/>
      <c r="B824" s="388"/>
      <c r="C824" s="388"/>
      <c r="D824" s="388"/>
      <c r="E824" s="388"/>
      <c r="F824" s="388"/>
      <c r="G824" s="388"/>
      <c r="H824" s="388"/>
      <c r="I824" s="388"/>
      <c r="J824" s="388"/>
      <c r="K824" s="388"/>
      <c r="L824" s="388"/>
      <c r="M824" s="388"/>
      <c r="N824" s="388"/>
    </row>
    <row r="825" spans="1:14">
      <c r="A825" s="388"/>
      <c r="B825" s="388"/>
      <c r="C825" s="388"/>
      <c r="D825" s="388"/>
      <c r="E825" s="388"/>
      <c r="F825" s="388"/>
      <c r="G825" s="388"/>
      <c r="H825" s="388"/>
      <c r="I825" s="388"/>
      <c r="J825" s="388"/>
      <c r="K825" s="388"/>
      <c r="L825" s="388"/>
      <c r="M825" s="388"/>
      <c r="N825" s="388"/>
    </row>
    <row r="826" spans="1:14">
      <c r="A826" s="388"/>
      <c r="B826" s="388"/>
      <c r="C826" s="388"/>
      <c r="D826" s="388"/>
      <c r="E826" s="388"/>
      <c r="F826" s="388"/>
      <c r="G826" s="388"/>
      <c r="H826" s="388"/>
      <c r="I826" s="388"/>
      <c r="J826" s="388"/>
      <c r="K826" s="388"/>
      <c r="L826" s="388"/>
      <c r="M826" s="388"/>
      <c r="N826" s="388"/>
    </row>
    <row r="827" spans="1:14">
      <c r="A827" s="388"/>
      <c r="B827" s="388"/>
      <c r="C827" s="388"/>
      <c r="D827" s="388"/>
      <c r="E827" s="388"/>
      <c r="F827" s="388"/>
      <c r="G827" s="388"/>
      <c r="H827" s="388"/>
      <c r="I827" s="388"/>
      <c r="J827" s="388"/>
      <c r="K827" s="388"/>
      <c r="L827" s="388"/>
      <c r="M827" s="388"/>
      <c r="N827" s="388"/>
    </row>
    <row r="828" spans="1:14">
      <c r="A828" s="388"/>
      <c r="B828" s="388"/>
      <c r="C828" s="388"/>
      <c r="D828" s="388"/>
      <c r="E828" s="388"/>
      <c r="F828" s="388"/>
      <c r="G828" s="388"/>
      <c r="H828" s="388"/>
      <c r="I828" s="388"/>
      <c r="J828" s="388"/>
      <c r="K828" s="388"/>
      <c r="L828" s="388"/>
      <c r="M828" s="388"/>
      <c r="N828" s="388"/>
    </row>
    <row r="829" spans="1:14" ht="15.75" thickBot="1">
      <c r="A829" s="388"/>
      <c r="B829" s="388"/>
      <c r="C829" s="388"/>
      <c r="D829" s="388"/>
      <c r="E829" s="388"/>
      <c r="F829" s="388"/>
      <c r="G829" s="388"/>
      <c r="H829" s="388"/>
      <c r="I829" s="388"/>
      <c r="J829" s="388"/>
      <c r="K829" s="388"/>
      <c r="L829" s="388"/>
      <c r="M829" s="388"/>
      <c r="N829" s="388"/>
    </row>
    <row r="830" spans="1:14">
      <c r="A830" s="1105" t="s">
        <v>448</v>
      </c>
      <c r="B830" s="1106"/>
      <c r="C830" s="1106"/>
      <c r="D830" s="1106"/>
      <c r="E830" s="1106"/>
      <c r="F830" s="1106"/>
      <c r="G830" s="1106"/>
      <c r="H830" s="1106"/>
      <c r="I830" s="1106"/>
      <c r="J830" s="1106"/>
      <c r="K830" s="1106"/>
      <c r="L830" s="1106"/>
      <c r="M830" s="1106"/>
      <c r="N830" s="1106"/>
    </row>
    <row r="831" spans="1:14" ht="15.75" thickBot="1">
      <c r="A831" s="1107"/>
      <c r="B831" s="1108"/>
      <c r="C831" s="1108"/>
      <c r="D831" s="1108"/>
      <c r="E831" s="1108"/>
      <c r="F831" s="1108"/>
      <c r="G831" s="1108"/>
      <c r="H831" s="1108"/>
      <c r="I831" s="1108"/>
      <c r="J831" s="1108"/>
      <c r="K831" s="1108"/>
      <c r="L831" s="1108"/>
      <c r="M831" s="1108"/>
      <c r="N831" s="1108"/>
    </row>
    <row r="832" spans="1:14" ht="15.75" thickBot="1">
      <c r="A832" s="1109" t="s">
        <v>449</v>
      </c>
      <c r="B832" s="1110"/>
      <c r="C832" s="1110"/>
      <c r="D832" s="1110"/>
      <c r="E832" s="1110"/>
      <c r="F832" s="1110"/>
      <c r="G832" s="1110"/>
      <c r="H832" s="1110"/>
      <c r="I832" s="1110"/>
      <c r="J832" s="1110"/>
      <c r="K832" s="1110"/>
      <c r="L832" s="1110"/>
      <c r="M832" s="1110"/>
      <c r="N832" s="1110"/>
    </row>
    <row r="833" spans="1:15">
      <c r="A833" s="351" t="s">
        <v>479</v>
      </c>
      <c r="B833" s="308"/>
      <c r="C833" s="308"/>
      <c r="D833" s="309"/>
      <c r="E833" s="1111" t="s">
        <v>480</v>
      </c>
      <c r="F833" s="1112"/>
      <c r="G833" s="1112"/>
      <c r="H833" s="352"/>
      <c r="I833" s="352"/>
      <c r="J833" s="352"/>
      <c r="K833" s="352"/>
      <c r="L833" s="352"/>
      <c r="M833" s="352"/>
      <c r="N833" s="352"/>
    </row>
    <row r="834" spans="1:15">
      <c r="A834" s="353"/>
      <c r="B834" s="419" t="s">
        <v>382</v>
      </c>
      <c r="C834" s="310"/>
      <c r="D834" s="311"/>
      <c r="E834" s="354"/>
      <c r="F834" s="355"/>
      <c r="G834" s="1113" t="str">
        <f>'04-221Master'!B30</f>
        <v>Ajay Pal Singh</v>
      </c>
      <c r="H834" s="1113"/>
      <c r="I834" s="1113"/>
      <c r="J834" s="355"/>
      <c r="K834" s="355"/>
      <c r="L834" s="355"/>
      <c r="M834" s="355"/>
      <c r="N834" s="355"/>
    </row>
    <row r="835" spans="1:15" ht="15.75" thickBot="1">
      <c r="A835" s="312"/>
      <c r="B835" s="421" t="s">
        <v>383</v>
      </c>
      <c r="C835" s="313"/>
      <c r="D835" s="314"/>
      <c r="E835" s="354"/>
      <c r="F835" s="355"/>
      <c r="G835" s="355"/>
      <c r="H835" s="355"/>
      <c r="I835" s="355"/>
      <c r="J835" s="355"/>
      <c r="K835" s="355"/>
      <c r="L835" s="355"/>
      <c r="M835" s="355"/>
      <c r="N835" s="355"/>
    </row>
    <row r="836" spans="1:15">
      <c r="A836" s="315" t="s">
        <v>481</v>
      </c>
      <c r="B836" s="308"/>
      <c r="C836" s="308"/>
      <c r="D836" s="309"/>
      <c r="E836" s="315" t="s">
        <v>450</v>
      </c>
      <c r="F836" s="308"/>
      <c r="G836" s="356">
        <f>'04-221Master'!N30</f>
        <v>44601</v>
      </c>
      <c r="H836" s="308"/>
      <c r="I836" s="308"/>
      <c r="J836" s="308"/>
      <c r="K836" s="308"/>
      <c r="L836" s="308"/>
      <c r="M836" s="308"/>
      <c r="N836" s="308"/>
    </row>
    <row r="837" spans="1:15">
      <c r="A837" s="353"/>
      <c r="B837" s="310"/>
      <c r="C837" s="310">
        <f>'04-221Master'!F1077</f>
        <v>0</v>
      </c>
      <c r="D837" s="311"/>
      <c r="E837" s="316"/>
      <c r="F837" s="310"/>
      <c r="G837" s="310"/>
      <c r="H837" s="310"/>
      <c r="I837" s="310"/>
      <c r="J837" s="310"/>
      <c r="K837" s="310"/>
      <c r="L837" s="310"/>
      <c r="M837" s="310"/>
      <c r="N837" s="310"/>
    </row>
    <row r="838" spans="1:15">
      <c r="A838" s="353"/>
      <c r="B838" s="310"/>
      <c r="C838" s="310"/>
      <c r="D838" s="311"/>
      <c r="E838" s="357"/>
      <c r="F838" s="310"/>
      <c r="G838" s="310"/>
      <c r="H838" s="310"/>
      <c r="I838" s="310"/>
      <c r="J838" s="310"/>
      <c r="K838" s="310"/>
      <c r="L838" s="310"/>
      <c r="M838" s="310"/>
      <c r="N838" s="310"/>
    </row>
    <row r="839" spans="1:15" ht="15.75" thickBot="1">
      <c r="A839" s="390"/>
      <c r="B839" s="318"/>
      <c r="C839" s="318"/>
      <c r="D839" s="358"/>
      <c r="E839" s="312"/>
      <c r="F839" s="313"/>
      <c r="G839" s="313"/>
      <c r="H839" s="313"/>
      <c r="I839" s="313"/>
      <c r="J839" s="313"/>
      <c r="K839" s="313"/>
      <c r="L839" s="313"/>
      <c r="M839" s="313"/>
      <c r="N839" s="313"/>
    </row>
    <row r="840" spans="1:15">
      <c r="A840" s="1114" t="s">
        <v>5</v>
      </c>
      <c r="B840" s="1116" t="s">
        <v>451</v>
      </c>
      <c r="C840" s="1117"/>
      <c r="D840" s="1116" t="s">
        <v>452</v>
      </c>
      <c r="E840" s="1119"/>
      <c r="F840" s="1122" t="s">
        <v>453</v>
      </c>
      <c r="G840" s="1118" t="s">
        <v>454</v>
      </c>
      <c r="H840" s="1124"/>
      <c r="I840" s="1125" t="s">
        <v>455</v>
      </c>
      <c r="J840" s="1124"/>
      <c r="K840" s="1126"/>
      <c r="L840" s="1125" t="s">
        <v>456</v>
      </c>
      <c r="M840" s="1124"/>
      <c r="N840" s="1124"/>
    </row>
    <row r="841" spans="1:15" ht="15.75" thickBot="1">
      <c r="A841" s="1115"/>
      <c r="B841" s="1118"/>
      <c r="C841" s="1119"/>
      <c r="D841" s="1118"/>
      <c r="E841" s="1119"/>
      <c r="F841" s="1123"/>
      <c r="G841" s="1118"/>
      <c r="H841" s="1124"/>
      <c r="I841" s="1127"/>
      <c r="J841" s="1128"/>
      <c r="K841" s="1129"/>
      <c r="L841" s="1127"/>
      <c r="M841" s="1128"/>
      <c r="N841" s="1128"/>
    </row>
    <row r="842" spans="1:15">
      <c r="A842" s="391">
        <v>1</v>
      </c>
      <c r="B842" s="1120"/>
      <c r="C842" s="1121"/>
      <c r="D842" s="1120"/>
      <c r="E842" s="1121"/>
      <c r="F842" s="322">
        <v>6</v>
      </c>
      <c r="G842" s="1120"/>
      <c r="H842" s="1121"/>
      <c r="I842" s="359">
        <v>9</v>
      </c>
      <c r="J842" s="359"/>
      <c r="K842" s="359"/>
      <c r="L842" s="359">
        <v>9</v>
      </c>
      <c r="M842" s="359"/>
      <c r="N842" s="359"/>
    </row>
    <row r="843" spans="1:15" ht="38.25">
      <c r="A843" s="537"/>
      <c r="B843" s="360" t="s">
        <v>457</v>
      </c>
      <c r="C843" s="360" t="s">
        <v>458</v>
      </c>
      <c r="D843" s="360" t="s">
        <v>459</v>
      </c>
      <c r="E843" s="360" t="s">
        <v>133</v>
      </c>
      <c r="F843" s="360"/>
      <c r="G843" s="360" t="s">
        <v>460</v>
      </c>
      <c r="H843" s="360" t="s">
        <v>461</v>
      </c>
      <c r="I843" s="360" t="s">
        <v>462</v>
      </c>
      <c r="J843" s="360" t="s">
        <v>463</v>
      </c>
      <c r="K843" s="360" t="s">
        <v>464</v>
      </c>
      <c r="L843" s="360" t="s">
        <v>465</v>
      </c>
      <c r="M843" s="360" t="s">
        <v>466</v>
      </c>
      <c r="N843" s="360" t="s">
        <v>467</v>
      </c>
    </row>
    <row r="844" spans="1:15">
      <c r="A844" s="393"/>
      <c r="B844" s="346"/>
      <c r="C844" s="346"/>
      <c r="D844" s="346"/>
      <c r="E844" s="346"/>
      <c r="F844" s="346"/>
      <c r="G844" s="346"/>
      <c r="H844" s="346"/>
      <c r="I844" s="346"/>
      <c r="J844" s="346"/>
      <c r="K844" s="346"/>
      <c r="L844" s="346"/>
      <c r="M844" s="346"/>
      <c r="N844" s="346"/>
    </row>
    <row r="845" spans="1:15" s="388" customFormat="1">
      <c r="A845" s="393" t="s">
        <v>795</v>
      </c>
      <c r="B845" s="346">
        <v>1.5</v>
      </c>
      <c r="C845" s="346">
        <v>1</v>
      </c>
      <c r="D845" s="362">
        <v>44606</v>
      </c>
      <c r="E845" s="362">
        <v>44606</v>
      </c>
      <c r="F845" s="346">
        <f>F844+B845-C845</f>
        <v>0.5</v>
      </c>
      <c r="G845" s="346"/>
      <c r="H845" s="346"/>
      <c r="I845" s="346" t="s">
        <v>489</v>
      </c>
      <c r="J845" s="346" t="s">
        <v>489</v>
      </c>
      <c r="K845" s="346" t="s">
        <v>489</v>
      </c>
      <c r="L845" s="346"/>
      <c r="M845" s="346"/>
      <c r="N845" s="346"/>
    </row>
    <row r="846" spans="1:15" s="388" customFormat="1">
      <c r="A846" s="393" t="s">
        <v>823</v>
      </c>
      <c r="B846" s="346">
        <v>1.5</v>
      </c>
      <c r="C846" s="346">
        <v>0</v>
      </c>
      <c r="D846" s="346">
        <v>0</v>
      </c>
      <c r="E846" s="346">
        <v>0</v>
      </c>
      <c r="F846" s="346">
        <f>F845+B846-C846</f>
        <v>2</v>
      </c>
      <c r="G846" s="346"/>
      <c r="H846" s="346"/>
      <c r="I846" s="346" t="s">
        <v>489</v>
      </c>
      <c r="J846" s="346" t="s">
        <v>489</v>
      </c>
      <c r="K846" s="346" t="s">
        <v>489</v>
      </c>
      <c r="L846" s="346"/>
      <c r="M846" s="346"/>
      <c r="N846" s="346"/>
    </row>
    <row r="847" spans="1:15" s="388" customFormat="1">
      <c r="A847" s="393" t="s">
        <v>846</v>
      </c>
      <c r="B847" s="346">
        <v>1.5</v>
      </c>
      <c r="C847" s="346">
        <v>1</v>
      </c>
      <c r="D847" s="362">
        <v>44669</v>
      </c>
      <c r="E847" s="362">
        <v>44669</v>
      </c>
      <c r="F847" s="346">
        <f>F846+B847-C847</f>
        <v>2.5</v>
      </c>
      <c r="G847" s="346"/>
      <c r="H847" s="346"/>
      <c r="I847" s="346" t="s">
        <v>489</v>
      </c>
      <c r="J847" s="346" t="s">
        <v>489</v>
      </c>
      <c r="K847" s="346" t="s">
        <v>489</v>
      </c>
      <c r="L847" s="346"/>
      <c r="M847" s="346"/>
      <c r="N847" s="346"/>
      <c r="O847" s="388">
        <v>15</v>
      </c>
    </row>
    <row r="848" spans="1:15">
      <c r="A848" s="393"/>
      <c r="B848" s="346"/>
      <c r="C848" s="346"/>
      <c r="D848" s="499"/>
      <c r="E848" s="499"/>
      <c r="F848" s="346"/>
      <c r="G848" s="346"/>
      <c r="H848" s="346"/>
      <c r="I848" s="346"/>
      <c r="J848" s="346"/>
      <c r="K848" s="346"/>
      <c r="L848" s="346"/>
      <c r="M848" s="346"/>
      <c r="N848" s="346"/>
    </row>
    <row r="849" spans="1:14">
      <c r="A849" s="393"/>
      <c r="B849" s="346"/>
      <c r="C849" s="346"/>
      <c r="D849" s="436"/>
      <c r="E849" s="436"/>
      <c r="F849" s="346"/>
      <c r="G849" s="346"/>
      <c r="H849" s="346"/>
      <c r="I849" s="346"/>
      <c r="J849" s="346"/>
      <c r="K849" s="434"/>
      <c r="L849" s="346"/>
      <c r="M849" s="346"/>
      <c r="N849" s="346"/>
    </row>
    <row r="850" spans="1:14">
      <c r="A850" s="394"/>
      <c r="B850" s="346"/>
      <c r="C850" s="346"/>
      <c r="D850" s="499"/>
      <c r="E850" s="499"/>
      <c r="F850" s="346"/>
      <c r="G850" s="346"/>
      <c r="H850" s="346"/>
      <c r="I850" s="346"/>
      <c r="J850" s="346"/>
      <c r="K850" s="346"/>
      <c r="L850" s="346"/>
      <c r="M850" s="346"/>
      <c r="N850" s="346"/>
    </row>
    <row r="851" spans="1:14">
      <c r="A851" s="394"/>
      <c r="B851" s="346"/>
      <c r="C851" s="346"/>
      <c r="D851" s="499"/>
      <c r="E851" s="499"/>
      <c r="F851" s="346"/>
      <c r="G851" s="346"/>
      <c r="H851" s="346"/>
      <c r="I851" s="346"/>
      <c r="J851" s="346"/>
      <c r="K851" s="346"/>
      <c r="L851" s="346"/>
      <c r="M851" s="346"/>
      <c r="N851" s="346"/>
    </row>
    <row r="852" spans="1:14">
      <c r="A852" s="394"/>
      <c r="B852" s="346"/>
      <c r="C852" s="346"/>
      <c r="D852" s="499"/>
      <c r="E852" s="499"/>
      <c r="F852" s="346"/>
      <c r="G852" s="346"/>
      <c r="H852" s="346"/>
      <c r="I852" s="346"/>
      <c r="J852" s="346"/>
      <c r="K852" s="346"/>
      <c r="L852" s="346"/>
      <c r="M852" s="346"/>
      <c r="N852" s="346"/>
    </row>
    <row r="853" spans="1:14">
      <c r="A853" s="394"/>
      <c r="B853" s="346"/>
      <c r="C853" s="346"/>
      <c r="D853" s="499"/>
      <c r="E853" s="499"/>
      <c r="F853" s="346"/>
      <c r="G853" s="346"/>
      <c r="H853" s="346"/>
      <c r="I853" s="346"/>
      <c r="J853" s="346"/>
      <c r="K853" s="346"/>
      <c r="L853" s="346"/>
      <c r="M853" s="346"/>
      <c r="N853" s="346"/>
    </row>
    <row r="854" spans="1:14">
      <c r="A854" s="394"/>
      <c r="B854" s="346"/>
      <c r="C854" s="346"/>
      <c r="D854" s="499"/>
      <c r="E854" s="436"/>
      <c r="F854" s="346"/>
      <c r="G854" s="346"/>
      <c r="H854" s="346"/>
      <c r="I854" s="346"/>
      <c r="J854" s="346"/>
      <c r="K854" s="346"/>
      <c r="L854" s="346"/>
      <c r="M854" s="346"/>
      <c r="N854" s="346"/>
    </row>
    <row r="855" spans="1:14">
      <c r="A855" s="394"/>
      <c r="B855" s="346"/>
      <c r="C855" s="346"/>
      <c r="D855" s="362"/>
      <c r="E855" s="362"/>
      <c r="F855" s="346"/>
      <c r="G855" s="346"/>
      <c r="H855" s="346"/>
      <c r="I855" s="346"/>
      <c r="J855" s="346"/>
      <c r="K855" s="346"/>
      <c r="L855" s="346"/>
      <c r="M855" s="346"/>
      <c r="N855" s="346"/>
    </row>
    <row r="856" spans="1:14">
      <c r="A856" s="394"/>
      <c r="B856" s="346"/>
      <c r="C856" s="346"/>
      <c r="D856" s="362"/>
      <c r="E856" s="362"/>
      <c r="F856" s="346"/>
      <c r="G856" s="346"/>
      <c r="H856" s="346"/>
      <c r="I856" s="346"/>
      <c r="J856" s="346"/>
      <c r="K856" s="346"/>
      <c r="L856" s="346"/>
      <c r="M856" s="346"/>
      <c r="N856" s="346"/>
    </row>
    <row r="857" spans="1:14">
      <c r="A857" s="394"/>
      <c r="B857" s="346"/>
      <c r="C857" s="346"/>
      <c r="D857" s="362"/>
      <c r="E857" s="362"/>
      <c r="F857" s="346"/>
      <c r="G857" s="346"/>
      <c r="H857" s="346"/>
      <c r="I857" s="346"/>
      <c r="J857" s="346"/>
      <c r="K857" s="346"/>
      <c r="L857" s="346"/>
      <c r="M857" s="346"/>
      <c r="N857" s="346"/>
    </row>
    <row r="858" spans="1:14">
      <c r="A858" s="394"/>
      <c r="B858" s="346"/>
      <c r="C858" s="346"/>
      <c r="D858" s="362"/>
      <c r="E858" s="362"/>
      <c r="F858" s="346"/>
      <c r="G858" s="346"/>
      <c r="H858" s="346"/>
      <c r="I858" s="346"/>
      <c r="J858" s="346"/>
      <c r="K858" s="346"/>
      <c r="L858" s="346"/>
      <c r="M858" s="346"/>
      <c r="N858" s="346"/>
    </row>
    <row r="859" spans="1:14">
      <c r="A859" s="394"/>
      <c r="B859" s="346"/>
      <c r="C859" s="346"/>
      <c r="D859" s="362"/>
      <c r="E859" s="362"/>
      <c r="F859" s="346"/>
      <c r="G859" s="346"/>
      <c r="H859" s="346"/>
      <c r="I859" s="346"/>
      <c r="J859" s="346"/>
      <c r="K859" s="346"/>
      <c r="L859" s="346"/>
      <c r="M859" s="346"/>
      <c r="N859" s="346"/>
    </row>
    <row r="860" spans="1:14">
      <c r="A860" s="392"/>
      <c r="B860" s="346"/>
      <c r="C860" s="346"/>
      <c r="D860" s="346"/>
      <c r="E860" s="346"/>
      <c r="F860" s="346"/>
      <c r="G860" s="346"/>
      <c r="H860" s="346"/>
      <c r="I860" s="346"/>
      <c r="J860" s="346"/>
      <c r="K860" s="346"/>
      <c r="L860" s="346"/>
      <c r="M860" s="346"/>
      <c r="N860" s="346"/>
    </row>
    <row r="861" spans="1:14">
      <c r="A861" s="392"/>
      <c r="B861" s="346"/>
      <c r="C861" s="346"/>
      <c r="D861" s="346"/>
      <c r="E861" s="346"/>
      <c r="F861" s="346"/>
      <c r="G861" s="346"/>
      <c r="H861" s="346"/>
      <c r="I861" s="346"/>
      <c r="J861" s="346"/>
      <c r="K861" s="346"/>
      <c r="L861" s="346"/>
      <c r="M861" s="346"/>
      <c r="N861" s="346"/>
    </row>
    <row r="862" spans="1:14">
      <c r="A862" s="392"/>
      <c r="B862" s="346"/>
      <c r="C862" s="346"/>
      <c r="D862" s="346"/>
      <c r="E862" s="346"/>
      <c r="F862" s="346"/>
      <c r="G862" s="346"/>
      <c r="H862" s="346"/>
      <c r="I862" s="346"/>
      <c r="J862" s="346"/>
      <c r="K862" s="346"/>
      <c r="L862" s="346"/>
      <c r="M862" s="346"/>
      <c r="N862" s="346"/>
    </row>
    <row r="863" spans="1:14">
      <c r="A863" s="392"/>
      <c r="B863" s="346"/>
      <c r="C863" s="346"/>
      <c r="D863" s="346"/>
      <c r="E863" s="346"/>
      <c r="F863" s="346"/>
      <c r="G863" s="346"/>
      <c r="H863" s="346"/>
      <c r="I863" s="346"/>
      <c r="J863" s="346"/>
      <c r="K863" s="346"/>
      <c r="L863" s="346"/>
      <c r="M863" s="346"/>
      <c r="N863" s="346"/>
    </row>
    <row r="864" spans="1:14">
      <c r="A864" s="392"/>
      <c r="B864" s="346"/>
      <c r="C864" s="346"/>
      <c r="D864" s="346"/>
      <c r="E864" s="346"/>
      <c r="F864" s="346"/>
      <c r="G864" s="346"/>
      <c r="H864" s="346"/>
      <c r="I864" s="346"/>
      <c r="J864" s="346"/>
      <c r="K864" s="346"/>
      <c r="L864" s="346"/>
      <c r="M864" s="346"/>
      <c r="N864" s="346"/>
    </row>
    <row r="865" spans="1:14">
      <c r="A865" s="353"/>
      <c r="B865" s="310"/>
      <c r="C865" s="310"/>
      <c r="D865" s="310"/>
      <c r="E865" s="310"/>
      <c r="F865" s="310"/>
      <c r="G865" s="310"/>
      <c r="H865" s="310"/>
      <c r="I865" s="310"/>
      <c r="J865" s="310"/>
      <c r="K865" s="310"/>
      <c r="L865" s="310"/>
      <c r="M865" s="310"/>
      <c r="N865" s="310"/>
    </row>
    <row r="866" spans="1:14">
      <c r="A866" s="353"/>
      <c r="B866" s="310"/>
      <c r="C866" s="310"/>
      <c r="D866" s="310"/>
      <c r="E866" s="310"/>
      <c r="F866" s="310"/>
      <c r="G866" s="310"/>
      <c r="H866" s="310"/>
      <c r="I866" s="310"/>
      <c r="J866" s="310"/>
      <c r="K866" s="310"/>
      <c r="L866" s="310"/>
      <c r="M866" s="310"/>
      <c r="N866" s="310"/>
    </row>
    <row r="867" spans="1:14">
      <c r="A867" s="353"/>
      <c r="B867" s="310"/>
      <c r="C867" s="310"/>
      <c r="D867" s="310"/>
      <c r="E867" s="310"/>
      <c r="F867" s="310"/>
      <c r="G867" s="310"/>
      <c r="H867" s="310"/>
      <c r="I867" s="310"/>
      <c r="J867" s="310"/>
      <c r="K867" s="310"/>
      <c r="L867" s="310"/>
      <c r="M867" s="310"/>
      <c r="N867" s="310"/>
    </row>
    <row r="868" spans="1:14">
      <c r="A868" s="396"/>
      <c r="B868" s="395"/>
      <c r="C868" s="395"/>
      <c r="D868" s="395"/>
      <c r="E868" s="395"/>
      <c r="F868" s="395"/>
      <c r="G868" s="395"/>
      <c r="H868" s="395"/>
      <c r="I868" s="395"/>
      <c r="J868" s="395"/>
      <c r="K868" s="395"/>
      <c r="L868" s="395"/>
      <c r="M868" s="395"/>
      <c r="N868" s="395"/>
    </row>
    <row r="869" spans="1:14">
      <c r="A869" s="396"/>
      <c r="B869" s="395"/>
      <c r="C869" s="395"/>
      <c r="D869" s="395"/>
      <c r="E869" s="395"/>
      <c r="F869" s="395"/>
      <c r="G869" s="395"/>
      <c r="H869" s="395"/>
      <c r="I869" s="395"/>
      <c r="J869" s="395"/>
      <c r="K869" s="395"/>
      <c r="L869" s="395"/>
      <c r="M869" s="395"/>
      <c r="N869" s="395"/>
    </row>
    <row r="870" spans="1:14">
      <c r="A870" s="396"/>
      <c r="B870" s="395"/>
      <c r="C870" s="395"/>
      <c r="D870" s="395"/>
      <c r="E870" s="395"/>
      <c r="F870" s="395"/>
      <c r="G870" s="395"/>
      <c r="H870" s="395"/>
      <c r="I870" s="395"/>
      <c r="J870" s="395"/>
      <c r="K870" s="395"/>
      <c r="L870" s="395"/>
      <c r="M870" s="395"/>
      <c r="N870" s="395"/>
    </row>
    <row r="871" spans="1:14" ht="15.75" thickBot="1">
      <c r="A871" s="397"/>
      <c r="B871" s="398"/>
      <c r="C871" s="398"/>
      <c r="D871" s="398"/>
      <c r="E871" s="398"/>
      <c r="F871" s="398"/>
      <c r="G871" s="1104" t="s">
        <v>38</v>
      </c>
      <c r="H871" s="1104"/>
      <c r="I871" s="1104"/>
      <c r="J871" s="1104"/>
      <c r="K871" s="1104"/>
      <c r="L871" s="1104"/>
      <c r="M871" s="1104"/>
      <c r="N871" s="1104"/>
    </row>
    <row r="873" spans="1:14">
      <c r="A873" s="388"/>
      <c r="B873" s="388"/>
      <c r="C873" s="388"/>
      <c r="D873" s="388"/>
      <c r="E873" s="388"/>
      <c r="F873" s="388"/>
      <c r="G873" s="388"/>
      <c r="H873" s="388"/>
      <c r="I873" s="388"/>
      <c r="J873" s="388"/>
      <c r="K873" s="388"/>
      <c r="L873" s="388"/>
      <c r="M873" s="388"/>
      <c r="N873" s="388"/>
    </row>
    <row r="874" spans="1:14">
      <c r="A874" s="388"/>
      <c r="B874" s="388"/>
      <c r="C874" s="388"/>
      <c r="D874" s="388"/>
      <c r="E874" s="388"/>
      <c r="F874" s="388"/>
      <c r="G874" s="388"/>
      <c r="H874" s="388"/>
      <c r="I874" s="388"/>
      <c r="J874" s="388"/>
      <c r="K874" s="388"/>
      <c r="L874" s="388"/>
      <c r="M874" s="388"/>
      <c r="N874" s="388"/>
    </row>
    <row r="875" spans="1:14">
      <c r="A875" s="388"/>
      <c r="B875" s="388"/>
      <c r="C875" s="388"/>
      <c r="D875" s="388"/>
      <c r="E875" s="388"/>
      <c r="F875" s="388"/>
      <c r="G875" s="388"/>
      <c r="H875" s="388"/>
      <c r="I875" s="388"/>
      <c r="J875" s="388"/>
      <c r="K875" s="388"/>
      <c r="L875" s="388"/>
      <c r="M875" s="388"/>
      <c r="N875" s="388"/>
    </row>
    <row r="876" spans="1:14">
      <c r="A876" s="388"/>
      <c r="B876" s="388"/>
      <c r="C876" s="388"/>
      <c r="D876" s="388"/>
      <c r="E876" s="388"/>
      <c r="F876" s="388"/>
      <c r="G876" s="388"/>
      <c r="H876" s="388"/>
      <c r="I876" s="388"/>
      <c r="J876" s="388"/>
      <c r="K876" s="388"/>
      <c r="L876" s="388"/>
      <c r="M876" s="388"/>
      <c r="N876" s="388"/>
    </row>
    <row r="877" spans="1:14">
      <c r="A877" s="388"/>
      <c r="B877" s="388"/>
      <c r="C877" s="388"/>
      <c r="D877" s="388"/>
      <c r="E877" s="388"/>
      <c r="F877" s="388"/>
      <c r="G877" s="388"/>
      <c r="H877" s="388"/>
      <c r="I877" s="388"/>
      <c r="J877" s="388"/>
      <c r="K877" s="388"/>
      <c r="L877" s="388"/>
      <c r="M877" s="388"/>
      <c r="N877" s="388"/>
    </row>
    <row r="878" spans="1:14">
      <c r="A878" s="388"/>
      <c r="B878" s="388"/>
      <c r="C878" s="388"/>
      <c r="D878" s="388"/>
      <c r="E878" s="388"/>
      <c r="F878" s="388"/>
      <c r="G878" s="388"/>
      <c r="H878" s="388"/>
      <c r="I878" s="388"/>
      <c r="J878" s="388"/>
      <c r="K878" s="388"/>
      <c r="L878" s="388"/>
      <c r="M878" s="388"/>
      <c r="N878" s="388"/>
    </row>
    <row r="879" spans="1:14">
      <c r="A879" s="388"/>
      <c r="B879" s="388"/>
      <c r="C879" s="388"/>
      <c r="D879" s="388"/>
      <c r="E879" s="388"/>
      <c r="F879" s="388"/>
      <c r="G879" s="388"/>
      <c r="H879" s="388"/>
      <c r="I879" s="388"/>
      <c r="J879" s="388"/>
      <c r="K879" s="388"/>
      <c r="L879" s="388"/>
      <c r="M879" s="388"/>
      <c r="N879" s="388"/>
    </row>
    <row r="880" spans="1:14">
      <c r="A880" s="388"/>
      <c r="B880" s="388"/>
      <c r="C880" s="388"/>
      <c r="D880" s="388"/>
      <c r="E880" s="388"/>
      <c r="F880" s="388"/>
      <c r="G880" s="388"/>
      <c r="H880" s="388"/>
      <c r="I880" s="388"/>
      <c r="J880" s="388"/>
      <c r="K880" s="388"/>
      <c r="L880" s="388"/>
      <c r="M880" s="388"/>
      <c r="N880" s="388"/>
    </row>
    <row r="881" spans="1:14">
      <c r="A881" s="388"/>
      <c r="B881" s="388"/>
      <c r="C881" s="388"/>
      <c r="D881" s="388"/>
      <c r="E881" s="388"/>
      <c r="F881" s="388"/>
      <c r="G881" s="388"/>
      <c r="H881" s="388"/>
      <c r="I881" s="388"/>
      <c r="J881" s="388"/>
      <c r="K881" s="388"/>
      <c r="L881" s="388"/>
      <c r="M881" s="388"/>
      <c r="N881" s="388"/>
    </row>
    <row r="882" spans="1:14">
      <c r="A882" s="388"/>
      <c r="B882" s="388"/>
      <c r="C882" s="388"/>
      <c r="D882" s="388"/>
      <c r="E882" s="388"/>
      <c r="F882" s="388"/>
      <c r="G882" s="388"/>
      <c r="H882" s="388"/>
      <c r="I882" s="388"/>
      <c r="J882" s="388"/>
      <c r="K882" s="388"/>
      <c r="L882" s="388"/>
      <c r="M882" s="388"/>
      <c r="N882" s="388"/>
    </row>
    <row r="883" spans="1:14">
      <c r="A883" s="388"/>
      <c r="B883" s="388"/>
      <c r="C883" s="388"/>
      <c r="D883" s="388"/>
      <c r="E883" s="388"/>
      <c r="F883" s="388"/>
      <c r="G883" s="388"/>
      <c r="H883" s="388"/>
      <c r="I883" s="388"/>
      <c r="J883" s="388"/>
      <c r="K883" s="388"/>
      <c r="L883" s="388"/>
      <c r="M883" s="388"/>
      <c r="N883" s="388"/>
    </row>
    <row r="884" spans="1:14">
      <c r="A884" s="388"/>
      <c r="B884" s="388"/>
      <c r="C884" s="388"/>
      <c r="D884" s="388"/>
      <c r="E884" s="388"/>
      <c r="F884" s="388"/>
      <c r="G884" s="388"/>
      <c r="H884" s="388"/>
      <c r="I884" s="388"/>
      <c r="J884" s="388"/>
      <c r="K884" s="388"/>
      <c r="L884" s="388"/>
      <c r="M884" s="388"/>
      <c r="N884" s="388"/>
    </row>
    <row r="885" spans="1:14">
      <c r="A885" s="388"/>
      <c r="B885" s="388"/>
      <c r="C885" s="388"/>
      <c r="D885" s="388"/>
      <c r="E885" s="388"/>
      <c r="F885" s="388"/>
      <c r="G885" s="388"/>
      <c r="H885" s="388"/>
      <c r="I885" s="388"/>
      <c r="J885" s="388"/>
      <c r="K885" s="388"/>
      <c r="L885" s="388"/>
      <c r="M885" s="388"/>
      <c r="N885" s="388"/>
    </row>
    <row r="886" spans="1:14">
      <c r="A886" s="388"/>
      <c r="B886" s="388"/>
      <c r="C886" s="388"/>
      <c r="D886" s="388"/>
      <c r="E886" s="388"/>
      <c r="F886" s="388"/>
      <c r="G886" s="388"/>
      <c r="H886" s="388"/>
      <c r="I886" s="388"/>
      <c r="J886" s="388"/>
      <c r="K886" s="388"/>
      <c r="L886" s="388"/>
      <c r="M886" s="388"/>
      <c r="N886" s="388"/>
    </row>
    <row r="887" spans="1:14">
      <c r="A887" s="388"/>
      <c r="B887" s="388"/>
      <c r="C887" s="388"/>
      <c r="D887" s="388"/>
      <c r="E887" s="388"/>
      <c r="F887" s="388"/>
      <c r="G887" s="388"/>
      <c r="H887" s="388"/>
      <c r="I887" s="388"/>
      <c r="J887" s="388"/>
      <c r="K887" s="388"/>
      <c r="L887" s="388"/>
      <c r="M887" s="388"/>
      <c r="N887" s="388"/>
    </row>
    <row r="888" spans="1:14">
      <c r="A888" s="388"/>
      <c r="B888" s="388"/>
      <c r="C888" s="388"/>
      <c r="D888" s="388"/>
      <c r="E888" s="388"/>
      <c r="F888" s="388"/>
      <c r="G888" s="388"/>
      <c r="H888" s="388"/>
      <c r="I888" s="388"/>
      <c r="J888" s="388"/>
      <c r="K888" s="388"/>
      <c r="L888" s="388"/>
      <c r="M888" s="388"/>
      <c r="N888" s="388"/>
    </row>
    <row r="889" spans="1:14" ht="15.75" thickBot="1">
      <c r="A889" s="388"/>
      <c r="B889" s="388"/>
      <c r="C889" s="388"/>
      <c r="D889" s="388"/>
      <c r="E889" s="388"/>
      <c r="F889" s="388"/>
      <c r="G889" s="388"/>
      <c r="H889" s="388"/>
      <c r="I889" s="388"/>
      <c r="J889" s="388"/>
      <c r="K889" s="388"/>
      <c r="L889" s="388"/>
      <c r="M889" s="388"/>
      <c r="N889" s="388"/>
    </row>
    <row r="890" spans="1:14">
      <c r="A890" s="1105" t="s">
        <v>448</v>
      </c>
      <c r="B890" s="1106"/>
      <c r="C890" s="1106"/>
      <c r="D890" s="1106"/>
      <c r="E890" s="1106"/>
      <c r="F890" s="1106"/>
      <c r="G890" s="1106"/>
      <c r="H890" s="1106"/>
      <c r="I890" s="1106"/>
      <c r="J890" s="1106"/>
      <c r="K890" s="1106"/>
      <c r="L890" s="1106"/>
      <c r="M890" s="1106"/>
      <c r="N890" s="1106"/>
    </row>
    <row r="891" spans="1:14" ht="15.75" thickBot="1">
      <c r="A891" s="1107"/>
      <c r="B891" s="1108"/>
      <c r="C891" s="1108"/>
      <c r="D891" s="1108"/>
      <c r="E891" s="1108"/>
      <c r="F891" s="1108"/>
      <c r="G891" s="1108"/>
      <c r="H891" s="1108"/>
      <c r="I891" s="1108"/>
      <c r="J891" s="1108"/>
      <c r="K891" s="1108"/>
      <c r="L891" s="1108"/>
      <c r="M891" s="1108"/>
      <c r="N891" s="1108"/>
    </row>
    <row r="892" spans="1:14" ht="15.75" thickBot="1">
      <c r="A892" s="1109" t="s">
        <v>449</v>
      </c>
      <c r="B892" s="1110"/>
      <c r="C892" s="1110"/>
      <c r="D892" s="1110"/>
      <c r="E892" s="1110"/>
      <c r="F892" s="1110"/>
      <c r="G892" s="1110"/>
      <c r="H892" s="1110"/>
      <c r="I892" s="1110"/>
      <c r="J892" s="1110"/>
      <c r="K892" s="1110"/>
      <c r="L892" s="1110"/>
      <c r="M892" s="1110"/>
      <c r="N892" s="1110"/>
    </row>
    <row r="893" spans="1:14">
      <c r="A893" s="351" t="s">
        <v>479</v>
      </c>
      <c r="B893" s="308"/>
      <c r="C893" s="308"/>
      <c r="D893" s="309"/>
      <c r="E893" s="1111" t="s">
        <v>480</v>
      </c>
      <c r="F893" s="1112"/>
      <c r="G893" s="1112"/>
      <c r="H893" s="352"/>
      <c r="I893" s="352"/>
      <c r="J893" s="352"/>
      <c r="K893" s="352"/>
      <c r="L893" s="352"/>
      <c r="M893" s="352"/>
      <c r="N893" s="352"/>
    </row>
    <row r="894" spans="1:14">
      <c r="A894" s="353"/>
      <c r="B894" s="419" t="s">
        <v>382</v>
      </c>
      <c r="C894" s="310"/>
      <c r="D894" s="311"/>
      <c r="E894" s="354"/>
      <c r="F894" s="355"/>
      <c r="G894" s="1113" t="str">
        <f>'04-221Master'!B31</f>
        <v>PAVANKUMAR</v>
      </c>
      <c r="H894" s="1113"/>
      <c r="I894" s="1113"/>
      <c r="J894" s="355"/>
      <c r="K894" s="355"/>
      <c r="L894" s="355"/>
      <c r="M894" s="355"/>
      <c r="N894" s="355"/>
    </row>
    <row r="895" spans="1:14" ht="15.75" thickBot="1">
      <c r="A895" s="312"/>
      <c r="B895" s="421" t="s">
        <v>383</v>
      </c>
      <c r="C895" s="313"/>
      <c r="D895" s="314"/>
      <c r="E895" s="354"/>
      <c r="F895" s="355"/>
      <c r="G895" s="355"/>
      <c r="H895" s="355"/>
      <c r="I895" s="355"/>
      <c r="J895" s="355"/>
      <c r="K895" s="355"/>
      <c r="L895" s="355"/>
      <c r="M895" s="355"/>
      <c r="N895" s="355"/>
    </row>
    <row r="896" spans="1:14">
      <c r="A896" s="315" t="s">
        <v>481</v>
      </c>
      <c r="B896" s="308"/>
      <c r="C896" s="308"/>
      <c r="D896" s="309"/>
      <c r="E896" s="315" t="s">
        <v>450</v>
      </c>
      <c r="F896" s="308"/>
      <c r="G896" s="356">
        <f>'04-221Master'!N31</f>
        <v>44602</v>
      </c>
      <c r="H896" s="308"/>
      <c r="I896" s="308"/>
      <c r="J896" s="308"/>
      <c r="K896" s="308"/>
      <c r="L896" s="308"/>
      <c r="M896" s="308"/>
      <c r="N896" s="308"/>
    </row>
    <row r="897" spans="1:15">
      <c r="A897" s="353"/>
      <c r="B897" s="310"/>
      <c r="C897" s="310">
        <f>'04-221Master'!F1078</f>
        <v>0</v>
      </c>
      <c r="D897" s="311"/>
      <c r="E897" s="316"/>
      <c r="F897" s="310"/>
      <c r="G897" s="310"/>
      <c r="H897" s="310"/>
      <c r="I897" s="310"/>
      <c r="J897" s="310"/>
      <c r="K897" s="310"/>
      <c r="L897" s="310"/>
      <c r="M897" s="310"/>
      <c r="N897" s="310"/>
    </row>
    <row r="898" spans="1:15">
      <c r="A898" s="353"/>
      <c r="B898" s="310"/>
      <c r="C898" s="310"/>
      <c r="D898" s="311"/>
      <c r="E898" s="357"/>
      <c r="F898" s="310"/>
      <c r="G898" s="310"/>
      <c r="H898" s="310"/>
      <c r="I898" s="310"/>
      <c r="J898" s="310"/>
      <c r="K898" s="310"/>
      <c r="L898" s="310"/>
      <c r="M898" s="310"/>
      <c r="N898" s="310"/>
    </row>
    <row r="899" spans="1:15" ht="15.75" thickBot="1">
      <c r="A899" s="390"/>
      <c r="B899" s="318"/>
      <c r="C899" s="318"/>
      <c r="D899" s="358"/>
      <c r="E899" s="312"/>
      <c r="F899" s="313"/>
      <c r="G899" s="313"/>
      <c r="H899" s="313"/>
      <c r="I899" s="313"/>
      <c r="J899" s="313"/>
      <c r="K899" s="313"/>
      <c r="L899" s="313"/>
      <c r="M899" s="313"/>
      <c r="N899" s="313"/>
    </row>
    <row r="900" spans="1:15">
      <c r="A900" s="1114" t="s">
        <v>5</v>
      </c>
      <c r="B900" s="1116" t="s">
        <v>451</v>
      </c>
      <c r="C900" s="1117"/>
      <c r="D900" s="1116" t="s">
        <v>452</v>
      </c>
      <c r="E900" s="1119"/>
      <c r="F900" s="1122" t="s">
        <v>453</v>
      </c>
      <c r="G900" s="1118" t="s">
        <v>454</v>
      </c>
      <c r="H900" s="1124"/>
      <c r="I900" s="1125" t="s">
        <v>455</v>
      </c>
      <c r="J900" s="1124"/>
      <c r="K900" s="1126"/>
      <c r="L900" s="1125" t="s">
        <v>456</v>
      </c>
      <c r="M900" s="1124"/>
      <c r="N900" s="1124"/>
    </row>
    <row r="901" spans="1:15" ht="15.75" thickBot="1">
      <c r="A901" s="1115"/>
      <c r="B901" s="1118"/>
      <c r="C901" s="1119"/>
      <c r="D901" s="1118"/>
      <c r="E901" s="1119"/>
      <c r="F901" s="1123"/>
      <c r="G901" s="1118"/>
      <c r="H901" s="1124"/>
      <c r="I901" s="1127"/>
      <c r="J901" s="1128"/>
      <c r="K901" s="1129"/>
      <c r="L901" s="1127"/>
      <c r="M901" s="1128"/>
      <c r="N901" s="1128"/>
    </row>
    <row r="902" spans="1:15">
      <c r="A902" s="391">
        <v>1</v>
      </c>
      <c r="B902" s="1120"/>
      <c r="C902" s="1121"/>
      <c r="D902" s="1120"/>
      <c r="E902" s="1121"/>
      <c r="F902" s="322">
        <v>6</v>
      </c>
      <c r="G902" s="1120"/>
      <c r="H902" s="1121"/>
      <c r="I902" s="359">
        <v>9</v>
      </c>
      <c r="J902" s="359"/>
      <c r="K902" s="359"/>
      <c r="L902" s="359">
        <v>9</v>
      </c>
      <c r="M902" s="359"/>
      <c r="N902" s="359"/>
    </row>
    <row r="903" spans="1:15" ht="38.25">
      <c r="A903" s="537"/>
      <c r="B903" s="360" t="s">
        <v>457</v>
      </c>
      <c r="C903" s="360" t="s">
        <v>458</v>
      </c>
      <c r="D903" s="360" t="s">
        <v>459</v>
      </c>
      <c r="E903" s="360" t="s">
        <v>133</v>
      </c>
      <c r="F903" s="360"/>
      <c r="G903" s="360" t="s">
        <v>460</v>
      </c>
      <c r="H903" s="360" t="s">
        <v>461</v>
      </c>
      <c r="I903" s="360" t="s">
        <v>462</v>
      </c>
      <c r="J903" s="360" t="s">
        <v>463</v>
      </c>
      <c r="K903" s="360" t="s">
        <v>464</v>
      </c>
      <c r="L903" s="360" t="s">
        <v>465</v>
      </c>
      <c r="M903" s="360" t="s">
        <v>466</v>
      </c>
      <c r="N903" s="360" t="s">
        <v>467</v>
      </c>
    </row>
    <row r="904" spans="1:15">
      <c r="A904" s="393"/>
      <c r="B904" s="346"/>
      <c r="C904" s="346"/>
      <c r="D904" s="346"/>
      <c r="E904" s="346"/>
      <c r="F904" s="346"/>
      <c r="G904" s="346"/>
      <c r="H904" s="346"/>
      <c r="I904" s="346"/>
      <c r="J904" s="346"/>
      <c r="K904" s="346"/>
      <c r="L904" s="346"/>
      <c r="M904" s="346"/>
      <c r="N904" s="346"/>
    </row>
    <row r="905" spans="1:15" s="388" customFormat="1">
      <c r="A905" s="393" t="s">
        <v>795</v>
      </c>
      <c r="B905" s="346">
        <v>1.5</v>
      </c>
      <c r="C905" s="346">
        <v>0</v>
      </c>
      <c r="D905" s="346">
        <v>0</v>
      </c>
      <c r="E905" s="346">
        <v>0</v>
      </c>
      <c r="F905" s="346">
        <v>0</v>
      </c>
      <c r="G905" s="346"/>
      <c r="H905" s="346"/>
      <c r="I905" s="346" t="s">
        <v>584</v>
      </c>
      <c r="J905" s="346" t="s">
        <v>489</v>
      </c>
      <c r="K905" s="346" t="s">
        <v>489</v>
      </c>
      <c r="L905" s="346"/>
      <c r="M905" s="840"/>
      <c r="N905" s="840"/>
    </row>
    <row r="906" spans="1:15" s="388" customFormat="1">
      <c r="A906" s="393" t="s">
        <v>823</v>
      </c>
      <c r="B906" s="346">
        <v>1.5</v>
      </c>
      <c r="C906" s="346">
        <v>1</v>
      </c>
      <c r="D906" s="362">
        <v>44631</v>
      </c>
      <c r="E906" s="362">
        <v>44631</v>
      </c>
      <c r="F906" s="346">
        <f>F905+B906-C906</f>
        <v>0.5</v>
      </c>
      <c r="G906" s="346"/>
      <c r="H906" s="346"/>
      <c r="I906" s="346" t="s">
        <v>489</v>
      </c>
      <c r="J906" s="346" t="s">
        <v>489</v>
      </c>
      <c r="K906" s="346" t="s">
        <v>489</v>
      </c>
      <c r="L906" s="346"/>
      <c r="M906" s="346"/>
      <c r="N906" s="346"/>
    </row>
    <row r="907" spans="1:15" s="388" customFormat="1">
      <c r="A907" s="393" t="s">
        <v>846</v>
      </c>
      <c r="B907" s="346">
        <v>1.5</v>
      </c>
      <c r="C907" s="346">
        <v>0</v>
      </c>
      <c r="D907" s="346">
        <v>0</v>
      </c>
      <c r="E907" s="346">
        <v>0</v>
      </c>
      <c r="F907" s="346">
        <f>F906+B907-C907</f>
        <v>2</v>
      </c>
      <c r="G907" s="346"/>
      <c r="H907" s="346"/>
      <c r="I907" s="346" t="s">
        <v>489</v>
      </c>
      <c r="J907" s="346" t="s">
        <v>489</v>
      </c>
      <c r="K907" s="346" t="s">
        <v>489</v>
      </c>
      <c r="L907" s="346"/>
      <c r="M907" s="346"/>
      <c r="N907" s="346"/>
      <c r="O907" s="388">
        <v>16</v>
      </c>
    </row>
    <row r="908" spans="1:15">
      <c r="A908" s="393"/>
      <c r="B908" s="346"/>
      <c r="C908" s="346"/>
      <c r="D908" s="499"/>
      <c r="E908" s="499"/>
      <c r="F908" s="346"/>
      <c r="G908" s="346"/>
      <c r="H908" s="346"/>
      <c r="I908" s="346"/>
      <c r="J908" s="346"/>
      <c r="K908" s="346"/>
      <c r="L908" s="346"/>
      <c r="M908" s="346"/>
      <c r="N908" s="346"/>
    </row>
    <row r="909" spans="1:15">
      <c r="A909" s="393"/>
      <c r="B909" s="346"/>
      <c r="C909" s="346"/>
      <c r="D909" s="436"/>
      <c r="E909" s="436"/>
      <c r="F909" s="346"/>
      <c r="G909" s="346"/>
      <c r="H909" s="346"/>
      <c r="I909" s="346"/>
      <c r="J909" s="346"/>
      <c r="K909" s="434"/>
      <c r="L909" s="346"/>
      <c r="M909" s="346"/>
      <c r="N909" s="346"/>
    </row>
    <row r="910" spans="1:15">
      <c r="A910" s="394"/>
      <c r="B910" s="346"/>
      <c r="C910" s="346"/>
      <c r="D910" s="499"/>
      <c r="E910" s="499"/>
      <c r="F910" s="346"/>
      <c r="G910" s="346"/>
      <c r="H910" s="346"/>
      <c r="I910" s="346"/>
      <c r="J910" s="346"/>
      <c r="K910" s="346"/>
      <c r="L910" s="346"/>
      <c r="M910" s="346"/>
      <c r="N910" s="346"/>
    </row>
    <row r="911" spans="1:15">
      <c r="A911" s="394"/>
      <c r="B911" s="346"/>
      <c r="C911" s="346"/>
      <c r="D911" s="499"/>
      <c r="E911" s="499"/>
      <c r="F911" s="346"/>
      <c r="G911" s="346"/>
      <c r="H911" s="346"/>
      <c r="I911" s="346"/>
      <c r="J911" s="346"/>
      <c r="K911" s="346"/>
      <c r="L911" s="346"/>
      <c r="M911" s="346"/>
      <c r="N911" s="346"/>
    </row>
    <row r="912" spans="1:15">
      <c r="A912" s="394"/>
      <c r="B912" s="346"/>
      <c r="C912" s="346"/>
      <c r="D912" s="499"/>
      <c r="E912" s="499"/>
      <c r="F912" s="346"/>
      <c r="G912" s="346"/>
      <c r="H912" s="346"/>
      <c r="I912" s="346"/>
      <c r="J912" s="346"/>
      <c r="K912" s="346"/>
      <c r="L912" s="346"/>
      <c r="M912" s="346"/>
      <c r="N912" s="346"/>
    </row>
    <row r="913" spans="1:14">
      <c r="A913" s="394"/>
      <c r="B913" s="346"/>
      <c r="C913" s="346"/>
      <c r="D913" s="499"/>
      <c r="E913" s="499"/>
      <c r="F913" s="346"/>
      <c r="G913" s="346"/>
      <c r="H913" s="346"/>
      <c r="I913" s="346"/>
      <c r="J913" s="346"/>
      <c r="K913" s="346"/>
      <c r="L913" s="346"/>
      <c r="M913" s="346"/>
      <c r="N913" s="346"/>
    </row>
    <row r="914" spans="1:14">
      <c r="A914" s="394"/>
      <c r="B914" s="346"/>
      <c r="C914" s="346"/>
      <c r="D914" s="499"/>
      <c r="E914" s="436"/>
      <c r="F914" s="346"/>
      <c r="G914" s="346"/>
      <c r="H914" s="346"/>
      <c r="I914" s="346"/>
      <c r="J914" s="346"/>
      <c r="K914" s="346"/>
      <c r="L914" s="346"/>
      <c r="M914" s="346"/>
      <c r="N914" s="346"/>
    </row>
    <row r="915" spans="1:14">
      <c r="A915" s="394"/>
      <c r="B915" s="346"/>
      <c r="C915" s="346"/>
      <c r="D915" s="362"/>
      <c r="E915" s="362"/>
      <c r="F915" s="346"/>
      <c r="G915" s="346"/>
      <c r="H915" s="346"/>
      <c r="I915" s="346"/>
      <c r="J915" s="346"/>
      <c r="K915" s="346"/>
      <c r="L915" s="346"/>
      <c r="M915" s="346"/>
      <c r="N915" s="346"/>
    </row>
    <row r="916" spans="1:14">
      <c r="A916" s="394"/>
      <c r="B916" s="346"/>
      <c r="C916" s="346"/>
      <c r="D916" s="362"/>
      <c r="E916" s="362"/>
      <c r="F916" s="346"/>
      <c r="G916" s="346"/>
      <c r="H916" s="346"/>
      <c r="I916" s="346"/>
      <c r="J916" s="346"/>
      <c r="K916" s="346"/>
      <c r="L916" s="346"/>
      <c r="M916" s="346"/>
      <c r="N916" s="346"/>
    </row>
    <row r="917" spans="1:14">
      <c r="A917" s="394"/>
      <c r="B917" s="346"/>
      <c r="C917" s="346"/>
      <c r="D917" s="362"/>
      <c r="E917" s="362"/>
      <c r="F917" s="346"/>
      <c r="G917" s="346"/>
      <c r="H917" s="346"/>
      <c r="I917" s="346"/>
      <c r="J917" s="346"/>
      <c r="K917" s="346"/>
      <c r="L917" s="346"/>
      <c r="M917" s="346"/>
      <c r="N917" s="346"/>
    </row>
    <row r="918" spans="1:14">
      <c r="A918" s="394"/>
      <c r="B918" s="346"/>
      <c r="C918" s="346"/>
      <c r="D918" s="362"/>
      <c r="E918" s="362"/>
      <c r="F918" s="346"/>
      <c r="G918" s="346"/>
      <c r="H918" s="346"/>
      <c r="I918" s="346"/>
      <c r="J918" s="346"/>
      <c r="K918" s="346"/>
      <c r="L918" s="346"/>
      <c r="M918" s="346"/>
      <c r="N918" s="346"/>
    </row>
    <row r="919" spans="1:14">
      <c r="A919" s="394"/>
      <c r="B919" s="346"/>
      <c r="C919" s="346"/>
      <c r="D919" s="362"/>
      <c r="E919" s="362"/>
      <c r="F919" s="346"/>
      <c r="G919" s="346"/>
      <c r="H919" s="346"/>
      <c r="I919" s="346"/>
      <c r="J919" s="346"/>
      <c r="K919" s="346"/>
      <c r="L919" s="346"/>
      <c r="M919" s="346"/>
      <c r="N919" s="346"/>
    </row>
    <row r="920" spans="1:14">
      <c r="A920" s="392"/>
      <c r="B920" s="346"/>
      <c r="C920" s="346"/>
      <c r="D920" s="346"/>
      <c r="E920" s="346"/>
      <c r="F920" s="346"/>
      <c r="G920" s="346"/>
      <c r="H920" s="346"/>
      <c r="I920" s="346"/>
      <c r="J920" s="346"/>
      <c r="K920" s="346"/>
      <c r="L920" s="346"/>
      <c r="M920" s="346"/>
      <c r="N920" s="346"/>
    </row>
    <row r="921" spans="1:14">
      <c r="A921" s="392"/>
      <c r="B921" s="346"/>
      <c r="C921" s="346"/>
      <c r="D921" s="346"/>
      <c r="E921" s="346"/>
      <c r="F921" s="346"/>
      <c r="G921" s="346"/>
      <c r="H921" s="346"/>
      <c r="I921" s="346"/>
      <c r="J921" s="346"/>
      <c r="K921" s="346"/>
      <c r="L921" s="346"/>
      <c r="M921" s="346"/>
      <c r="N921" s="346"/>
    </row>
    <row r="922" spans="1:14">
      <c r="A922" s="392"/>
      <c r="B922" s="346"/>
      <c r="C922" s="346"/>
      <c r="D922" s="346"/>
      <c r="E922" s="346"/>
      <c r="F922" s="346"/>
      <c r="G922" s="346"/>
      <c r="H922" s="346"/>
      <c r="I922" s="346"/>
      <c r="J922" s="346"/>
      <c r="K922" s="346"/>
      <c r="L922" s="346"/>
      <c r="M922" s="346"/>
      <c r="N922" s="346"/>
    </row>
    <row r="923" spans="1:14">
      <c r="A923" s="392"/>
      <c r="B923" s="346"/>
      <c r="C923" s="346"/>
      <c r="D923" s="346"/>
      <c r="E923" s="346"/>
      <c r="F923" s="346"/>
      <c r="G923" s="346"/>
      <c r="H923" s="346"/>
      <c r="I923" s="346"/>
      <c r="J923" s="346"/>
      <c r="K923" s="346"/>
      <c r="L923" s="346"/>
      <c r="M923" s="346"/>
      <c r="N923" s="346"/>
    </row>
    <row r="924" spans="1:14">
      <c r="A924" s="392"/>
      <c r="B924" s="346"/>
      <c r="C924" s="346"/>
      <c r="D924" s="346"/>
      <c r="E924" s="346"/>
      <c r="F924" s="346"/>
      <c r="G924" s="346"/>
      <c r="H924" s="346"/>
      <c r="I924" s="346"/>
      <c r="J924" s="346"/>
      <c r="K924" s="346"/>
      <c r="L924" s="346"/>
      <c r="M924" s="346"/>
      <c r="N924" s="346"/>
    </row>
    <row r="925" spans="1:14">
      <c r="A925" s="353"/>
      <c r="B925" s="310"/>
      <c r="C925" s="310"/>
      <c r="D925" s="310"/>
      <c r="E925" s="310"/>
      <c r="F925" s="310"/>
      <c r="G925" s="310"/>
      <c r="H925" s="310"/>
      <c r="I925" s="310"/>
      <c r="J925" s="310"/>
      <c r="K925" s="310"/>
      <c r="L925" s="310"/>
      <c r="M925" s="310"/>
      <c r="N925" s="310"/>
    </row>
    <row r="926" spans="1:14">
      <c r="A926" s="353"/>
      <c r="B926" s="310"/>
      <c r="C926" s="310"/>
      <c r="D926" s="310"/>
      <c r="E926" s="310"/>
      <c r="F926" s="310"/>
      <c r="G926" s="310"/>
      <c r="H926" s="310"/>
      <c r="I926" s="310"/>
      <c r="J926" s="310"/>
      <c r="K926" s="310"/>
      <c r="L926" s="310"/>
      <c r="M926" s="310"/>
      <c r="N926" s="310"/>
    </row>
    <row r="927" spans="1:14">
      <c r="A927" s="353"/>
      <c r="B927" s="310"/>
      <c r="C927" s="310"/>
      <c r="D927" s="310"/>
      <c r="E927" s="310"/>
      <c r="F927" s="310"/>
      <c r="G927" s="310"/>
      <c r="H927" s="310"/>
      <c r="I927" s="310"/>
      <c r="J927" s="310"/>
      <c r="K927" s="310"/>
      <c r="L927" s="310"/>
      <c r="M927" s="310"/>
      <c r="N927" s="310"/>
    </row>
    <row r="928" spans="1:14">
      <c r="A928" s="396"/>
      <c r="B928" s="395"/>
      <c r="C928" s="395"/>
      <c r="D928" s="395"/>
      <c r="E928" s="395"/>
      <c r="F928" s="395"/>
      <c r="G928" s="395"/>
      <c r="H928" s="395"/>
      <c r="I928" s="395"/>
      <c r="J928" s="395"/>
      <c r="K928" s="395"/>
      <c r="L928" s="395"/>
      <c r="M928" s="395"/>
      <c r="N928" s="395"/>
    </row>
    <row r="929" spans="1:14">
      <c r="A929" s="396"/>
      <c r="B929" s="395"/>
      <c r="C929" s="395"/>
      <c r="D929" s="395"/>
      <c r="E929" s="395"/>
      <c r="F929" s="395"/>
      <c r="G929" s="395"/>
      <c r="H929" s="395"/>
      <c r="I929" s="395"/>
      <c r="J929" s="395"/>
      <c r="K929" s="395"/>
      <c r="L929" s="395"/>
      <c r="M929" s="395"/>
      <c r="N929" s="395"/>
    </row>
    <row r="930" spans="1:14">
      <c r="A930" s="396"/>
      <c r="B930" s="395"/>
      <c r="C930" s="395"/>
      <c r="D930" s="395"/>
      <c r="E930" s="395"/>
      <c r="F930" s="395"/>
      <c r="G930" s="395"/>
      <c r="H930" s="395"/>
      <c r="I930" s="395"/>
      <c r="J930" s="395"/>
      <c r="K930" s="395"/>
      <c r="L930" s="395"/>
      <c r="M930" s="395"/>
      <c r="N930" s="395"/>
    </row>
    <row r="931" spans="1:14" ht="15.75" thickBot="1">
      <c r="A931" s="397"/>
      <c r="B931" s="398"/>
      <c r="C931" s="398"/>
      <c r="D931" s="398"/>
      <c r="E931" s="398"/>
      <c r="F931" s="398"/>
      <c r="G931" s="1104" t="s">
        <v>38</v>
      </c>
      <c r="H931" s="1104"/>
      <c r="I931" s="1104"/>
      <c r="J931" s="1104"/>
      <c r="K931" s="1104"/>
      <c r="L931" s="1104"/>
      <c r="M931" s="1104"/>
      <c r="N931" s="1104"/>
    </row>
    <row r="932" spans="1:14" s="9" customFormat="1"/>
    <row r="933" spans="1:14" s="9" customFormat="1"/>
    <row r="934" spans="1:14" s="9" customFormat="1"/>
    <row r="935" spans="1:14" s="9" customFormat="1"/>
    <row r="936" spans="1:14" s="9" customFormat="1"/>
    <row r="937" spans="1:14" s="9" customFormat="1"/>
    <row r="938" spans="1:14" s="9" customFormat="1"/>
    <row r="939" spans="1:14" s="9" customFormat="1"/>
    <row r="940" spans="1:14" s="9" customFormat="1"/>
    <row r="941" spans="1:14" s="9" customFormat="1"/>
    <row r="942" spans="1:14" s="9" customFormat="1"/>
    <row r="943" spans="1:14" s="9" customFormat="1"/>
    <row r="944" spans="1:14">
      <c r="A944" s="388"/>
      <c r="B944" s="388"/>
      <c r="C944" s="388"/>
      <c r="D944" s="388"/>
      <c r="E944" s="388"/>
      <c r="F944" s="388"/>
      <c r="G944" s="388"/>
      <c r="H944" s="388"/>
      <c r="I944" s="388"/>
      <c r="J944" s="388"/>
      <c r="K944" s="388"/>
      <c r="L944" s="388"/>
      <c r="M944" s="388"/>
      <c r="N944" s="388"/>
    </row>
    <row r="945" spans="1:14">
      <c r="A945" s="388"/>
      <c r="B945" s="388"/>
      <c r="C945" s="388"/>
      <c r="D945" s="388"/>
      <c r="E945" s="388"/>
      <c r="F945" s="388"/>
      <c r="G945" s="388"/>
      <c r="H945" s="388"/>
      <c r="I945" s="388"/>
      <c r="J945" s="388"/>
      <c r="K945" s="388"/>
      <c r="L945" s="388"/>
      <c r="M945" s="388"/>
      <c r="N945" s="388"/>
    </row>
    <row r="946" spans="1:14">
      <c r="A946" s="388"/>
      <c r="B946" s="388"/>
      <c r="C946" s="388"/>
      <c r="D946" s="388"/>
      <c r="E946" s="388"/>
      <c r="F946" s="388"/>
      <c r="G946" s="388"/>
      <c r="H946" s="388"/>
      <c r="I946" s="388"/>
      <c r="J946" s="388"/>
      <c r="K946" s="388"/>
      <c r="L946" s="388"/>
      <c r="M946" s="388"/>
      <c r="N946" s="388"/>
    </row>
    <row r="947" spans="1:14" ht="15.75" thickBot="1">
      <c r="A947" s="388"/>
      <c r="B947" s="388"/>
      <c r="C947" s="388"/>
      <c r="D947" s="388"/>
      <c r="E947" s="388"/>
      <c r="F947" s="388"/>
      <c r="G947" s="388"/>
      <c r="H947" s="388"/>
      <c r="I947" s="388"/>
      <c r="J947" s="388"/>
      <c r="K947" s="388"/>
      <c r="L947" s="388"/>
      <c r="M947" s="388"/>
      <c r="N947" s="388"/>
    </row>
    <row r="948" spans="1:14">
      <c r="A948" s="1105" t="s">
        <v>448</v>
      </c>
      <c r="B948" s="1106"/>
      <c r="C948" s="1106"/>
      <c r="D948" s="1106"/>
      <c r="E948" s="1106"/>
      <c r="F948" s="1106"/>
      <c r="G948" s="1106"/>
      <c r="H948" s="1106"/>
      <c r="I948" s="1106"/>
      <c r="J948" s="1106"/>
      <c r="K948" s="1106"/>
      <c r="L948" s="1106"/>
      <c r="M948" s="1106"/>
      <c r="N948" s="1106"/>
    </row>
    <row r="949" spans="1:14" ht="15.75" thickBot="1">
      <c r="A949" s="1107"/>
      <c r="B949" s="1108"/>
      <c r="C949" s="1108"/>
      <c r="D949" s="1108"/>
      <c r="E949" s="1108"/>
      <c r="F949" s="1108"/>
      <c r="G949" s="1108"/>
      <c r="H949" s="1108"/>
      <c r="I949" s="1108"/>
      <c r="J949" s="1108"/>
      <c r="K949" s="1108"/>
      <c r="L949" s="1108"/>
      <c r="M949" s="1108"/>
      <c r="N949" s="1108"/>
    </row>
    <row r="950" spans="1:14" ht="15.75" thickBot="1">
      <c r="A950" s="1109" t="s">
        <v>449</v>
      </c>
      <c r="B950" s="1110"/>
      <c r="C950" s="1110"/>
      <c r="D950" s="1110"/>
      <c r="E950" s="1110"/>
      <c r="F950" s="1110"/>
      <c r="G950" s="1110"/>
      <c r="H950" s="1110"/>
      <c r="I950" s="1110"/>
      <c r="J950" s="1110"/>
      <c r="K950" s="1110"/>
      <c r="L950" s="1110"/>
      <c r="M950" s="1110"/>
      <c r="N950" s="1110"/>
    </row>
    <row r="951" spans="1:14">
      <c r="A951" s="351" t="s">
        <v>479</v>
      </c>
      <c r="B951" s="308"/>
      <c r="C951" s="308"/>
      <c r="D951" s="309"/>
      <c r="E951" s="1111" t="s">
        <v>480</v>
      </c>
      <c r="F951" s="1112"/>
      <c r="G951" s="1112"/>
      <c r="H951" s="352"/>
      <c r="I951" s="352"/>
      <c r="J951" s="352"/>
      <c r="K951" s="352"/>
      <c r="L951" s="352"/>
      <c r="M951" s="352"/>
      <c r="N951" s="352"/>
    </row>
    <row r="952" spans="1:14">
      <c r="A952" s="353"/>
      <c r="B952" s="419" t="s">
        <v>382</v>
      </c>
      <c r="C952" s="310"/>
      <c r="D952" s="311"/>
      <c r="E952" s="354"/>
      <c r="F952" s="355"/>
      <c r="G952" s="1113" t="str">
        <f>'04-221Master'!B32</f>
        <v>Rahul Suryawanshi</v>
      </c>
      <c r="H952" s="1113"/>
      <c r="I952" s="1113"/>
      <c r="J952" s="355"/>
      <c r="K952" s="355"/>
      <c r="L952" s="355"/>
      <c r="M952" s="355"/>
      <c r="N952" s="355"/>
    </row>
    <row r="953" spans="1:14" ht="15.75" thickBot="1">
      <c r="A953" s="312"/>
      <c r="B953" s="421" t="s">
        <v>383</v>
      </c>
      <c r="C953" s="313"/>
      <c r="D953" s="314"/>
      <c r="E953" s="354"/>
      <c r="F953" s="355"/>
      <c r="G953" s="355"/>
      <c r="H953" s="355"/>
      <c r="I953" s="355"/>
      <c r="J953" s="355"/>
      <c r="K953" s="355"/>
      <c r="L953" s="355"/>
      <c r="M953" s="355"/>
      <c r="N953" s="355"/>
    </row>
    <row r="954" spans="1:14">
      <c r="A954" s="315" t="s">
        <v>481</v>
      </c>
      <c r="B954" s="308"/>
      <c r="C954" s="308"/>
      <c r="D954" s="309"/>
      <c r="E954" s="315" t="s">
        <v>450</v>
      </c>
      <c r="F954" s="308"/>
      <c r="G954" s="356">
        <f>'04-221Master'!N32</f>
        <v>44624</v>
      </c>
      <c r="H954" s="308"/>
      <c r="I954" s="308"/>
      <c r="J954" s="308"/>
      <c r="K954" s="308"/>
      <c r="L954" s="308"/>
      <c r="M954" s="308"/>
      <c r="N954" s="308"/>
    </row>
    <row r="955" spans="1:14">
      <c r="A955" s="353"/>
      <c r="B955" s="310"/>
      <c r="C955" s="310">
        <f>'04-221Master'!F1195</f>
        <v>0</v>
      </c>
      <c r="D955" s="311"/>
      <c r="E955" s="316"/>
      <c r="F955" s="310"/>
      <c r="G955" s="310"/>
      <c r="H955" s="310"/>
      <c r="I955" s="310"/>
      <c r="J955" s="310"/>
      <c r="K955" s="310"/>
      <c r="L955" s="310"/>
      <c r="M955" s="310"/>
      <c r="N955" s="310"/>
    </row>
    <row r="956" spans="1:14">
      <c r="A956" s="353"/>
      <c r="B956" s="310"/>
      <c r="C956" s="310"/>
      <c r="D956" s="311"/>
      <c r="E956" s="357"/>
      <c r="F956" s="310"/>
      <c r="G956" s="310"/>
      <c r="H956" s="310"/>
      <c r="I956" s="310"/>
      <c r="J956" s="310"/>
      <c r="K956" s="310"/>
      <c r="L956" s="310"/>
      <c r="M956" s="310"/>
      <c r="N956" s="310"/>
    </row>
    <row r="957" spans="1:14" ht="15.75" thickBot="1">
      <c r="A957" s="390"/>
      <c r="B957" s="318"/>
      <c r="C957" s="318"/>
      <c r="D957" s="358"/>
      <c r="E957" s="312"/>
      <c r="F957" s="313"/>
      <c r="G957" s="313"/>
      <c r="H957" s="313"/>
      <c r="I957" s="313"/>
      <c r="J957" s="313"/>
      <c r="K957" s="313"/>
      <c r="L957" s="313"/>
      <c r="M957" s="313"/>
      <c r="N957" s="313"/>
    </row>
    <row r="958" spans="1:14">
      <c r="A958" s="1114" t="s">
        <v>5</v>
      </c>
      <c r="B958" s="1116" t="s">
        <v>451</v>
      </c>
      <c r="C958" s="1117"/>
      <c r="D958" s="1116" t="s">
        <v>452</v>
      </c>
      <c r="E958" s="1119"/>
      <c r="F958" s="1122" t="s">
        <v>453</v>
      </c>
      <c r="G958" s="1118" t="s">
        <v>454</v>
      </c>
      <c r="H958" s="1124"/>
      <c r="I958" s="1125" t="s">
        <v>455</v>
      </c>
      <c r="J958" s="1124"/>
      <c r="K958" s="1126"/>
      <c r="L958" s="1125" t="s">
        <v>456</v>
      </c>
      <c r="M958" s="1124"/>
      <c r="N958" s="1124"/>
    </row>
    <row r="959" spans="1:14" ht="15.75" thickBot="1">
      <c r="A959" s="1115"/>
      <c r="B959" s="1118"/>
      <c r="C959" s="1119"/>
      <c r="D959" s="1118"/>
      <c r="E959" s="1119"/>
      <c r="F959" s="1123"/>
      <c r="G959" s="1118"/>
      <c r="H959" s="1124"/>
      <c r="I959" s="1127"/>
      <c r="J959" s="1128"/>
      <c r="K959" s="1129"/>
      <c r="L959" s="1127"/>
      <c r="M959" s="1128"/>
      <c r="N959" s="1128"/>
    </row>
    <row r="960" spans="1:14">
      <c r="A960" s="391">
        <v>1</v>
      </c>
      <c r="B960" s="1120"/>
      <c r="C960" s="1121"/>
      <c r="D960" s="1120"/>
      <c r="E960" s="1121"/>
      <c r="F960" s="322">
        <v>6</v>
      </c>
      <c r="G960" s="1120"/>
      <c r="H960" s="1121"/>
      <c r="I960" s="359">
        <v>9</v>
      </c>
      <c r="J960" s="359"/>
      <c r="K960" s="359"/>
      <c r="L960" s="359">
        <v>9</v>
      </c>
      <c r="M960" s="359"/>
      <c r="N960" s="359"/>
    </row>
    <row r="961" spans="1:15" ht="38.25">
      <c r="A961" s="537"/>
      <c r="B961" s="360" t="s">
        <v>457</v>
      </c>
      <c r="C961" s="360" t="s">
        <v>458</v>
      </c>
      <c r="D961" s="360" t="s">
        <v>459</v>
      </c>
      <c r="E961" s="360" t="s">
        <v>133</v>
      </c>
      <c r="F961" s="360"/>
      <c r="G961" s="360" t="s">
        <v>460</v>
      </c>
      <c r="H961" s="360" t="s">
        <v>461</v>
      </c>
      <c r="I961" s="360" t="s">
        <v>462</v>
      </c>
      <c r="J961" s="360" t="s">
        <v>463</v>
      </c>
      <c r="K961" s="360" t="s">
        <v>464</v>
      </c>
      <c r="L961" s="360" t="s">
        <v>465</v>
      </c>
      <c r="M961" s="360" t="s">
        <v>466</v>
      </c>
      <c r="N961" s="360" t="s">
        <v>467</v>
      </c>
    </row>
    <row r="962" spans="1:15">
      <c r="A962" s="393"/>
      <c r="B962" s="346"/>
      <c r="C962" s="346"/>
      <c r="D962" s="346"/>
      <c r="E962" s="346"/>
      <c r="F962" s="346"/>
      <c r="G962" s="346"/>
      <c r="H962" s="346"/>
      <c r="I962" s="346"/>
      <c r="J962" s="346"/>
      <c r="K962" s="346"/>
      <c r="L962" s="346"/>
      <c r="M962" s="346"/>
      <c r="N962" s="346"/>
    </row>
    <row r="963" spans="1:15" s="388" customFormat="1">
      <c r="A963" s="393" t="s">
        <v>823</v>
      </c>
      <c r="B963" s="346">
        <v>1.5</v>
      </c>
      <c r="C963" s="346">
        <v>0</v>
      </c>
      <c r="D963" s="346">
        <v>0</v>
      </c>
      <c r="E963" s="346">
        <v>0</v>
      </c>
      <c r="F963" s="346">
        <f>F962+B963-C963</f>
        <v>1.5</v>
      </c>
      <c r="G963" s="346"/>
      <c r="H963" s="346"/>
      <c r="I963" s="346" t="s">
        <v>489</v>
      </c>
      <c r="J963" s="346" t="s">
        <v>489</v>
      </c>
      <c r="K963" s="346" t="s">
        <v>489</v>
      </c>
      <c r="L963" s="346"/>
      <c r="M963" s="346"/>
      <c r="N963" s="346"/>
    </row>
    <row r="964" spans="1:15" s="388" customFormat="1">
      <c r="A964" s="393" t="s">
        <v>846</v>
      </c>
      <c r="B964" s="346">
        <v>1.5</v>
      </c>
      <c r="C964" s="346">
        <v>1</v>
      </c>
      <c r="D964" s="362">
        <v>44659</v>
      </c>
      <c r="E964" s="362">
        <v>44659</v>
      </c>
      <c r="F964" s="346">
        <f>F963+B964-C964</f>
        <v>2</v>
      </c>
      <c r="G964" s="346"/>
      <c r="H964" s="346"/>
      <c r="I964" s="346" t="s">
        <v>489</v>
      </c>
      <c r="J964" s="346" t="s">
        <v>489</v>
      </c>
      <c r="K964" s="346" t="s">
        <v>489</v>
      </c>
      <c r="L964" s="346"/>
      <c r="M964" s="346"/>
      <c r="N964" s="346"/>
      <c r="O964" s="388">
        <v>17</v>
      </c>
    </row>
    <row r="965" spans="1:15">
      <c r="A965" s="321"/>
      <c r="B965" s="321"/>
      <c r="C965" s="321"/>
      <c r="D965" s="321"/>
      <c r="E965" s="321"/>
      <c r="F965" s="321"/>
      <c r="G965" s="321"/>
      <c r="H965" s="321"/>
      <c r="I965" s="321"/>
      <c r="J965" s="321"/>
      <c r="K965" s="321"/>
      <c r="L965" s="321"/>
      <c r="M965" s="321"/>
      <c r="N965" s="321"/>
    </row>
    <row r="966" spans="1:15">
      <c r="A966" s="393"/>
      <c r="B966" s="346"/>
      <c r="C966" s="346"/>
      <c r="D966" s="499"/>
      <c r="E966" s="499"/>
      <c r="F966" s="346"/>
      <c r="G966" s="346"/>
      <c r="H966" s="346"/>
      <c r="I966" s="346"/>
      <c r="J966" s="346"/>
      <c r="K966" s="346"/>
      <c r="L966" s="346"/>
      <c r="M966" s="346"/>
      <c r="N966" s="346"/>
    </row>
    <row r="967" spans="1:15">
      <c r="A967" s="393"/>
      <c r="B967" s="346"/>
      <c r="C967" s="346"/>
      <c r="D967" s="436"/>
      <c r="E967" s="436"/>
      <c r="F967" s="346"/>
      <c r="G967" s="346"/>
      <c r="H967" s="346"/>
      <c r="I967" s="346"/>
      <c r="J967" s="346"/>
      <c r="K967" s="434"/>
      <c r="L967" s="346"/>
      <c r="M967" s="346"/>
      <c r="N967" s="346"/>
    </row>
    <row r="968" spans="1:15">
      <c r="A968" s="394"/>
      <c r="B968" s="346"/>
      <c r="C968" s="346"/>
      <c r="D968" s="499"/>
      <c r="E968" s="499"/>
      <c r="F968" s="346"/>
      <c r="G968" s="346"/>
      <c r="H968" s="346"/>
      <c r="I968" s="346"/>
      <c r="J968" s="346"/>
      <c r="K968" s="346"/>
      <c r="L968" s="346"/>
      <c r="M968" s="346"/>
      <c r="N968" s="346"/>
    </row>
    <row r="969" spans="1:15">
      <c r="A969" s="394"/>
      <c r="B969" s="346"/>
      <c r="C969" s="346"/>
      <c r="D969" s="499"/>
      <c r="E969" s="499"/>
      <c r="F969" s="346"/>
      <c r="G969" s="346"/>
      <c r="H969" s="346"/>
      <c r="I969" s="346"/>
      <c r="J969" s="346"/>
      <c r="K969" s="346"/>
      <c r="L969" s="346"/>
      <c r="M969" s="346"/>
      <c r="N969" s="346"/>
    </row>
    <row r="970" spans="1:15">
      <c r="A970" s="394"/>
      <c r="B970" s="346"/>
      <c r="C970" s="346"/>
      <c r="D970" s="499"/>
      <c r="E970" s="499"/>
      <c r="F970" s="346"/>
      <c r="G970" s="346"/>
      <c r="H970" s="346"/>
      <c r="I970" s="346"/>
      <c r="J970" s="346"/>
      <c r="K970" s="346"/>
      <c r="L970" s="346"/>
      <c r="M970" s="346"/>
      <c r="N970" s="346"/>
    </row>
    <row r="971" spans="1:15">
      <c r="A971" s="394"/>
      <c r="B971" s="346"/>
      <c r="C971" s="346"/>
      <c r="D971" s="499"/>
      <c r="E971" s="499"/>
      <c r="F971" s="346"/>
      <c r="G971" s="346"/>
      <c r="H971" s="346"/>
      <c r="I971" s="346"/>
      <c r="J971" s="346"/>
      <c r="K971" s="346"/>
      <c r="L971" s="346"/>
      <c r="M971" s="346"/>
      <c r="N971" s="346"/>
    </row>
    <row r="972" spans="1:15">
      <c r="A972" s="394"/>
      <c r="B972" s="346"/>
      <c r="C972" s="346"/>
      <c r="D972" s="499"/>
      <c r="E972" s="436"/>
      <c r="F972" s="346"/>
      <c r="G972" s="346"/>
      <c r="H972" s="346"/>
      <c r="I972" s="346"/>
      <c r="J972" s="346"/>
      <c r="K972" s="346"/>
      <c r="L972" s="346"/>
      <c r="M972" s="346"/>
      <c r="N972" s="346"/>
    </row>
    <row r="973" spans="1:15">
      <c r="A973" s="394"/>
      <c r="B973" s="346"/>
      <c r="C973" s="346"/>
      <c r="D973" s="362"/>
      <c r="E973" s="362"/>
      <c r="F973" s="346"/>
      <c r="G973" s="346"/>
      <c r="H973" s="346"/>
      <c r="I973" s="346"/>
      <c r="J973" s="346"/>
      <c r="K973" s="346"/>
      <c r="L973" s="346"/>
      <c r="M973" s="346"/>
      <c r="N973" s="346"/>
    </row>
    <row r="974" spans="1:15">
      <c r="A974" s="394"/>
      <c r="B974" s="346"/>
      <c r="C974" s="346"/>
      <c r="D974" s="362"/>
      <c r="E974" s="362"/>
      <c r="F974" s="346"/>
      <c r="G974" s="346"/>
      <c r="H974" s="346"/>
      <c r="I974" s="346"/>
      <c r="J974" s="346"/>
      <c r="K974" s="346"/>
      <c r="L974" s="346"/>
      <c r="M974" s="346"/>
      <c r="N974" s="346"/>
    </row>
    <row r="975" spans="1:15">
      <c r="A975" s="394"/>
      <c r="B975" s="346"/>
      <c r="C975" s="346"/>
      <c r="D975" s="362"/>
      <c r="E975" s="362"/>
      <c r="F975" s="346"/>
      <c r="G975" s="346"/>
      <c r="H975" s="346"/>
      <c r="I975" s="346"/>
      <c r="J975" s="346"/>
      <c r="K975" s="346"/>
      <c r="L975" s="346"/>
      <c r="M975" s="346"/>
      <c r="N975" s="346"/>
    </row>
    <row r="976" spans="1:15">
      <c r="A976" s="394"/>
      <c r="B976" s="346"/>
      <c r="C976" s="346"/>
      <c r="D976" s="362"/>
      <c r="E976" s="362"/>
      <c r="F976" s="346"/>
      <c r="G976" s="346"/>
      <c r="H976" s="346"/>
      <c r="I976" s="346"/>
      <c r="J976" s="346"/>
      <c r="K976" s="346"/>
      <c r="L976" s="346"/>
      <c r="M976" s="346"/>
      <c r="N976" s="346"/>
    </row>
    <row r="977" spans="1:14">
      <c r="A977" s="394"/>
      <c r="B977" s="346"/>
      <c r="C977" s="346"/>
      <c r="D977" s="362"/>
      <c r="E977" s="362"/>
      <c r="F977" s="346"/>
      <c r="G977" s="346"/>
      <c r="H977" s="346"/>
      <c r="I977" s="346"/>
      <c r="J977" s="346"/>
      <c r="K977" s="346"/>
      <c r="L977" s="346"/>
      <c r="M977" s="346"/>
      <c r="N977" s="346"/>
    </row>
    <row r="978" spans="1:14">
      <c r="A978" s="392"/>
      <c r="B978" s="346"/>
      <c r="C978" s="346"/>
      <c r="D978" s="346"/>
      <c r="E978" s="346"/>
      <c r="F978" s="346"/>
      <c r="G978" s="346"/>
      <c r="H978" s="346"/>
      <c r="I978" s="346"/>
      <c r="J978" s="346"/>
      <c r="K978" s="346"/>
      <c r="L978" s="346"/>
      <c r="M978" s="346"/>
      <c r="N978" s="346"/>
    </row>
    <row r="979" spans="1:14">
      <c r="A979" s="392"/>
      <c r="B979" s="346"/>
      <c r="C979" s="346"/>
      <c r="D979" s="346"/>
      <c r="E979" s="346"/>
      <c r="F979" s="346"/>
      <c r="G979" s="346"/>
      <c r="H979" s="346"/>
      <c r="I979" s="346"/>
      <c r="J979" s="346"/>
      <c r="K979" s="346"/>
      <c r="L979" s="346"/>
      <c r="M979" s="346"/>
      <c r="N979" s="346"/>
    </row>
    <row r="980" spans="1:14">
      <c r="A980" s="392"/>
      <c r="B980" s="346"/>
      <c r="C980" s="346"/>
      <c r="D980" s="346"/>
      <c r="E980" s="346"/>
      <c r="F980" s="346"/>
      <c r="G980" s="346"/>
      <c r="H980" s="346"/>
      <c r="I980" s="346"/>
      <c r="J980" s="346"/>
      <c r="K980" s="346"/>
      <c r="L980" s="346"/>
      <c r="M980" s="346"/>
      <c r="N980" s="346"/>
    </row>
    <row r="981" spans="1:14">
      <c r="A981" s="392"/>
      <c r="B981" s="346"/>
      <c r="C981" s="346"/>
      <c r="D981" s="346"/>
      <c r="E981" s="346"/>
      <c r="F981" s="346"/>
      <c r="G981" s="346"/>
      <c r="H981" s="346"/>
      <c r="I981" s="346"/>
      <c r="J981" s="346"/>
      <c r="K981" s="346"/>
      <c r="L981" s="346"/>
      <c r="M981" s="346"/>
      <c r="N981" s="346"/>
    </row>
    <row r="982" spans="1:14">
      <c r="A982" s="392"/>
      <c r="B982" s="346"/>
      <c r="C982" s="346"/>
      <c r="D982" s="346"/>
      <c r="E982" s="346"/>
      <c r="F982" s="346"/>
      <c r="G982" s="346"/>
      <c r="H982" s="346"/>
      <c r="I982" s="346"/>
      <c r="J982" s="346"/>
      <c r="K982" s="346"/>
      <c r="L982" s="346"/>
      <c r="M982" s="346"/>
      <c r="N982" s="346"/>
    </row>
    <row r="983" spans="1:14">
      <c r="A983" s="353"/>
      <c r="B983" s="310"/>
      <c r="C983" s="310"/>
      <c r="D983" s="310"/>
      <c r="E983" s="310"/>
      <c r="F983" s="310"/>
      <c r="G983" s="310"/>
      <c r="H983" s="310"/>
      <c r="I983" s="310"/>
      <c r="J983" s="310"/>
      <c r="K983" s="310"/>
      <c r="L983" s="310"/>
      <c r="M983" s="310"/>
      <c r="N983" s="310"/>
    </row>
    <row r="984" spans="1:14">
      <c r="A984" s="353"/>
      <c r="B984" s="310"/>
      <c r="C984" s="310"/>
      <c r="D984" s="310"/>
      <c r="E984" s="310"/>
      <c r="F984" s="310"/>
      <c r="G984" s="310"/>
      <c r="H984" s="310"/>
      <c r="I984" s="310"/>
      <c r="J984" s="310"/>
      <c r="K984" s="310"/>
      <c r="L984" s="310"/>
      <c r="M984" s="310"/>
      <c r="N984" s="310"/>
    </row>
    <row r="985" spans="1:14">
      <c r="A985" s="353"/>
      <c r="B985" s="310"/>
      <c r="C985" s="310"/>
      <c r="D985" s="310"/>
      <c r="E985" s="310"/>
      <c r="F985" s="310"/>
      <c r="G985" s="310"/>
      <c r="H985" s="310"/>
      <c r="I985" s="310"/>
      <c r="J985" s="310"/>
      <c r="K985" s="310"/>
      <c r="L985" s="310"/>
      <c r="M985" s="310"/>
      <c r="N985" s="310"/>
    </row>
    <row r="986" spans="1:14">
      <c r="A986" s="396"/>
      <c r="B986" s="395"/>
      <c r="C986" s="395"/>
      <c r="D986" s="395"/>
      <c r="E986" s="395"/>
      <c r="F986" s="395"/>
      <c r="G986" s="395"/>
      <c r="H986" s="395"/>
      <c r="I986" s="395"/>
      <c r="J986" s="395"/>
      <c r="K986" s="395"/>
      <c r="L986" s="395"/>
      <c r="M986" s="395"/>
      <c r="N986" s="395"/>
    </row>
    <row r="987" spans="1:14">
      <c r="A987" s="396"/>
      <c r="B987" s="395"/>
      <c r="C987" s="395"/>
      <c r="D987" s="395"/>
      <c r="E987" s="395"/>
      <c r="F987" s="395"/>
      <c r="G987" s="395"/>
      <c r="H987" s="395"/>
      <c r="I987" s="395"/>
      <c r="J987" s="395"/>
      <c r="K987" s="395"/>
      <c r="L987" s="395"/>
      <c r="M987" s="395"/>
      <c r="N987" s="395"/>
    </row>
    <row r="988" spans="1:14">
      <c r="A988" s="396"/>
      <c r="B988" s="395"/>
      <c r="C988" s="395"/>
      <c r="D988" s="395"/>
      <c r="E988" s="395"/>
      <c r="F988" s="395"/>
      <c r="G988" s="395"/>
      <c r="H988" s="395"/>
      <c r="I988" s="395"/>
      <c r="J988" s="395"/>
      <c r="K988" s="395"/>
      <c r="L988" s="395"/>
      <c r="M988" s="395"/>
      <c r="N988" s="395"/>
    </row>
    <row r="989" spans="1:14" ht="15.75" thickBot="1">
      <c r="A989" s="397"/>
      <c r="B989" s="398"/>
      <c r="C989" s="398"/>
      <c r="D989" s="398"/>
      <c r="E989" s="398"/>
      <c r="F989" s="398"/>
      <c r="G989" s="1104" t="s">
        <v>38</v>
      </c>
      <c r="H989" s="1104"/>
      <c r="I989" s="1104"/>
      <c r="J989" s="1104"/>
      <c r="K989" s="1104"/>
      <c r="L989" s="1104"/>
      <c r="M989" s="1104"/>
      <c r="N989" s="1104"/>
    </row>
    <row r="990" spans="1:14">
      <c r="A990" s="388"/>
      <c r="B990" s="388"/>
      <c r="C990" s="388"/>
      <c r="D990" s="388"/>
      <c r="E990" s="388"/>
      <c r="F990" s="388"/>
      <c r="G990" s="388"/>
      <c r="H990" s="388"/>
      <c r="I990" s="388"/>
      <c r="J990" s="388"/>
      <c r="K990" s="388"/>
      <c r="L990" s="388"/>
      <c r="M990" s="388"/>
      <c r="N990" s="388"/>
    </row>
    <row r="991" spans="1:14">
      <c r="A991" s="388"/>
      <c r="B991" s="388"/>
      <c r="C991" s="388"/>
      <c r="D991" s="388"/>
      <c r="E991" s="388"/>
      <c r="F991" s="388"/>
      <c r="G991" s="388"/>
      <c r="H991" s="388"/>
      <c r="I991" s="388"/>
      <c r="J991" s="388"/>
      <c r="K991" s="388"/>
      <c r="L991" s="388"/>
      <c r="M991" s="388"/>
      <c r="N991" s="388"/>
    </row>
    <row r="992" spans="1:14">
      <c r="A992" s="388"/>
      <c r="B992" s="388"/>
      <c r="C992" s="388"/>
      <c r="D992" s="388"/>
      <c r="E992" s="388"/>
      <c r="F992" s="388"/>
      <c r="G992" s="388"/>
      <c r="H992" s="388"/>
      <c r="I992" s="388"/>
      <c r="J992" s="388"/>
      <c r="K992" s="388"/>
      <c r="L992" s="388"/>
      <c r="M992" s="388"/>
      <c r="N992" s="388"/>
    </row>
    <row r="993" spans="1:14">
      <c r="A993" s="388"/>
      <c r="B993" s="388"/>
      <c r="C993" s="388"/>
      <c r="D993" s="388"/>
      <c r="E993" s="388"/>
      <c r="F993" s="388"/>
      <c r="G993" s="388"/>
      <c r="H993" s="388"/>
      <c r="I993" s="388"/>
      <c r="J993" s="388"/>
      <c r="K993" s="388"/>
      <c r="L993" s="388"/>
      <c r="M993" s="388"/>
      <c r="N993" s="388"/>
    </row>
    <row r="994" spans="1:14">
      <c r="A994" s="388"/>
      <c r="B994" s="388"/>
      <c r="C994" s="388"/>
      <c r="D994" s="388"/>
      <c r="E994" s="388"/>
      <c r="F994" s="388"/>
      <c r="G994" s="388"/>
      <c r="H994" s="388"/>
      <c r="I994" s="388"/>
      <c r="J994" s="388"/>
      <c r="K994" s="388"/>
      <c r="L994" s="388"/>
      <c r="M994" s="388"/>
      <c r="N994" s="388"/>
    </row>
    <row r="995" spans="1:14">
      <c r="A995" s="388"/>
      <c r="B995" s="388"/>
      <c r="C995" s="388"/>
      <c r="D995" s="388"/>
      <c r="E995" s="388"/>
      <c r="F995" s="388"/>
      <c r="G995" s="388"/>
      <c r="H995" s="388"/>
      <c r="I995" s="388"/>
      <c r="J995" s="388"/>
      <c r="K995" s="388"/>
      <c r="L995" s="388"/>
      <c r="M995" s="388"/>
      <c r="N995" s="388"/>
    </row>
    <row r="996" spans="1:14">
      <c r="A996" s="388"/>
      <c r="B996" s="388"/>
      <c r="C996" s="388"/>
      <c r="D996" s="388"/>
      <c r="E996" s="388"/>
      <c r="F996" s="388"/>
      <c r="G996" s="388"/>
      <c r="H996" s="388"/>
      <c r="I996" s="388"/>
      <c r="J996" s="388"/>
      <c r="K996" s="388"/>
      <c r="L996" s="388"/>
      <c r="M996" s="388"/>
      <c r="N996" s="388"/>
    </row>
    <row r="997" spans="1:14">
      <c r="A997" s="388"/>
      <c r="B997" s="388"/>
      <c r="C997" s="388"/>
      <c r="D997" s="388"/>
      <c r="E997" s="388"/>
      <c r="F997" s="388"/>
      <c r="G997" s="388"/>
      <c r="H997" s="388"/>
      <c r="I997" s="388"/>
      <c r="J997" s="388"/>
      <c r="K997" s="388"/>
      <c r="L997" s="388"/>
      <c r="M997" s="388"/>
      <c r="N997" s="388"/>
    </row>
    <row r="998" spans="1:14">
      <c r="A998" s="388"/>
      <c r="B998" s="388"/>
      <c r="C998" s="388"/>
      <c r="D998" s="388"/>
      <c r="E998" s="388"/>
      <c r="F998" s="388"/>
      <c r="G998" s="388"/>
      <c r="H998" s="388"/>
      <c r="I998" s="388"/>
      <c r="J998" s="388"/>
      <c r="K998" s="388"/>
      <c r="L998" s="388"/>
      <c r="M998" s="388"/>
      <c r="N998" s="388"/>
    </row>
    <row r="999" spans="1:14">
      <c r="A999" s="388"/>
      <c r="B999" s="388"/>
      <c r="C999" s="388"/>
      <c r="D999" s="388"/>
      <c r="E999" s="388"/>
      <c r="F999" s="388"/>
      <c r="G999" s="388"/>
      <c r="H999" s="388"/>
      <c r="I999" s="388"/>
      <c r="J999" s="388"/>
      <c r="K999" s="388"/>
      <c r="L999" s="388"/>
      <c r="M999" s="388"/>
      <c r="N999" s="388"/>
    </row>
    <row r="1000" spans="1:14">
      <c r="A1000" s="388"/>
      <c r="B1000" s="388"/>
      <c r="C1000" s="388"/>
      <c r="D1000" s="388"/>
      <c r="E1000" s="388"/>
      <c r="F1000" s="388"/>
      <c r="G1000" s="388"/>
      <c r="H1000" s="388"/>
      <c r="I1000" s="388"/>
      <c r="J1000" s="388"/>
      <c r="K1000" s="388"/>
      <c r="L1000" s="388"/>
      <c r="M1000" s="388"/>
      <c r="N1000" s="388"/>
    </row>
    <row r="1001" spans="1:14">
      <c r="A1001" s="388"/>
      <c r="B1001" s="388"/>
      <c r="C1001" s="388"/>
      <c r="D1001" s="388"/>
      <c r="E1001" s="388"/>
      <c r="F1001" s="388"/>
      <c r="G1001" s="388"/>
      <c r="H1001" s="388"/>
      <c r="I1001" s="388"/>
      <c r="J1001" s="388"/>
      <c r="K1001" s="388"/>
      <c r="L1001" s="388"/>
      <c r="M1001" s="388"/>
      <c r="N1001" s="388"/>
    </row>
    <row r="1002" spans="1:14">
      <c r="A1002" s="388"/>
      <c r="B1002" s="388"/>
      <c r="C1002" s="388"/>
      <c r="D1002" s="388"/>
      <c r="E1002" s="388"/>
      <c r="F1002" s="388"/>
      <c r="G1002" s="388"/>
      <c r="H1002" s="388"/>
      <c r="I1002" s="388"/>
      <c r="J1002" s="388"/>
      <c r="K1002" s="388"/>
      <c r="L1002" s="388"/>
      <c r="M1002" s="388"/>
      <c r="N1002" s="388"/>
    </row>
    <row r="1003" spans="1:14">
      <c r="A1003" s="388"/>
      <c r="B1003" s="388"/>
      <c r="C1003" s="388"/>
      <c r="D1003" s="388"/>
      <c r="E1003" s="388"/>
      <c r="F1003" s="388"/>
      <c r="G1003" s="388"/>
      <c r="H1003" s="388"/>
      <c r="I1003" s="388"/>
      <c r="J1003" s="388"/>
      <c r="K1003" s="388"/>
      <c r="L1003" s="388"/>
      <c r="M1003" s="388"/>
      <c r="N1003" s="388"/>
    </row>
    <row r="1004" spans="1:14">
      <c r="A1004" s="388"/>
      <c r="B1004" s="388"/>
      <c r="C1004" s="388"/>
      <c r="D1004" s="388"/>
      <c r="E1004" s="388"/>
      <c r="F1004" s="388"/>
      <c r="G1004" s="388"/>
      <c r="H1004" s="388"/>
      <c r="I1004" s="388"/>
      <c r="J1004" s="388"/>
      <c r="K1004" s="388"/>
      <c r="L1004" s="388"/>
      <c r="M1004" s="388"/>
      <c r="N1004" s="388"/>
    </row>
    <row r="1005" spans="1:14" ht="15.75" thickBot="1">
      <c r="A1005" s="388"/>
      <c r="B1005" s="388"/>
      <c r="C1005" s="388"/>
      <c r="D1005" s="388"/>
      <c r="E1005" s="388"/>
      <c r="F1005" s="388"/>
      <c r="G1005" s="388"/>
      <c r="H1005" s="388"/>
      <c r="I1005" s="388"/>
      <c r="J1005" s="388"/>
      <c r="K1005" s="388"/>
      <c r="L1005" s="388"/>
      <c r="M1005" s="388"/>
      <c r="N1005" s="388"/>
    </row>
    <row r="1006" spans="1:14">
      <c r="A1006" s="1105" t="s">
        <v>448</v>
      </c>
      <c r="B1006" s="1106"/>
      <c r="C1006" s="1106"/>
      <c r="D1006" s="1106"/>
      <c r="E1006" s="1106"/>
      <c r="F1006" s="1106"/>
      <c r="G1006" s="1106"/>
      <c r="H1006" s="1106"/>
      <c r="I1006" s="1106"/>
      <c r="J1006" s="1106"/>
      <c r="K1006" s="1106"/>
      <c r="L1006" s="1106"/>
      <c r="M1006" s="1106"/>
      <c r="N1006" s="1106"/>
    </row>
    <row r="1007" spans="1:14" ht="15.75" thickBot="1">
      <c r="A1007" s="1107"/>
      <c r="B1007" s="1108"/>
      <c r="C1007" s="1108"/>
      <c r="D1007" s="1108"/>
      <c r="E1007" s="1108"/>
      <c r="F1007" s="1108"/>
      <c r="G1007" s="1108"/>
      <c r="H1007" s="1108"/>
      <c r="I1007" s="1108"/>
      <c r="J1007" s="1108"/>
      <c r="K1007" s="1108"/>
      <c r="L1007" s="1108"/>
      <c r="M1007" s="1108"/>
      <c r="N1007" s="1108"/>
    </row>
    <row r="1008" spans="1:14" ht="15.75" thickBot="1">
      <c r="A1008" s="1109" t="s">
        <v>449</v>
      </c>
      <c r="B1008" s="1110"/>
      <c r="C1008" s="1110"/>
      <c r="D1008" s="1110"/>
      <c r="E1008" s="1110"/>
      <c r="F1008" s="1110"/>
      <c r="G1008" s="1110"/>
      <c r="H1008" s="1110"/>
      <c r="I1008" s="1110"/>
      <c r="J1008" s="1110"/>
      <c r="K1008" s="1110"/>
      <c r="L1008" s="1110"/>
      <c r="M1008" s="1110"/>
      <c r="N1008" s="1110"/>
    </row>
    <row r="1009" spans="1:15">
      <c r="A1009" s="351" t="s">
        <v>479</v>
      </c>
      <c r="B1009" s="308"/>
      <c r="C1009" s="308"/>
      <c r="D1009" s="309"/>
      <c r="E1009" s="1111" t="s">
        <v>480</v>
      </c>
      <c r="F1009" s="1112"/>
      <c r="G1009" s="1112"/>
      <c r="H1009" s="352"/>
      <c r="I1009" s="352"/>
      <c r="J1009" s="352"/>
      <c r="K1009" s="352"/>
      <c r="L1009" s="352"/>
      <c r="M1009" s="352"/>
      <c r="N1009" s="352"/>
    </row>
    <row r="1010" spans="1:15">
      <c r="A1010" s="353"/>
      <c r="B1010" s="419" t="s">
        <v>382</v>
      </c>
      <c r="C1010" s="310"/>
      <c r="D1010" s="311"/>
      <c r="E1010" s="354"/>
      <c r="F1010" s="355"/>
      <c r="G1010" s="1113" t="str">
        <f>'04-221Master'!B33</f>
        <v xml:space="preserve">Shantanu Patankar </v>
      </c>
      <c r="H1010" s="1113"/>
      <c r="I1010" s="1113"/>
      <c r="J1010" s="355"/>
      <c r="K1010" s="355"/>
      <c r="L1010" s="355"/>
      <c r="M1010" s="355"/>
      <c r="N1010" s="355"/>
    </row>
    <row r="1011" spans="1:15" ht="15.75" thickBot="1">
      <c r="A1011" s="312"/>
      <c r="B1011" s="421" t="s">
        <v>383</v>
      </c>
      <c r="C1011" s="313"/>
      <c r="D1011" s="314"/>
      <c r="E1011" s="354"/>
      <c r="F1011" s="355"/>
      <c r="G1011" s="355"/>
      <c r="H1011" s="355"/>
      <c r="I1011" s="355"/>
      <c r="J1011" s="355"/>
      <c r="K1011" s="355"/>
      <c r="L1011" s="355"/>
      <c r="M1011" s="355"/>
      <c r="N1011" s="355"/>
    </row>
    <row r="1012" spans="1:15">
      <c r="A1012" s="315" t="s">
        <v>481</v>
      </c>
      <c r="B1012" s="308"/>
      <c r="C1012" s="308"/>
      <c r="D1012" s="309"/>
      <c r="E1012" s="315" t="s">
        <v>450</v>
      </c>
      <c r="F1012" s="308"/>
      <c r="G1012" s="356">
        <f>'04-221Master'!N33</f>
        <v>44629</v>
      </c>
      <c r="H1012" s="308"/>
      <c r="I1012" s="308"/>
      <c r="J1012" s="308"/>
      <c r="K1012" s="308"/>
      <c r="L1012" s="308"/>
      <c r="M1012" s="308"/>
      <c r="N1012" s="308"/>
    </row>
    <row r="1013" spans="1:15">
      <c r="A1013" s="353"/>
      <c r="B1013" s="310"/>
      <c r="C1013" s="310">
        <f>'04-221Master'!F1253</f>
        <v>0</v>
      </c>
      <c r="D1013" s="311"/>
      <c r="E1013" s="316"/>
      <c r="F1013" s="310"/>
      <c r="G1013" s="310"/>
      <c r="H1013" s="310"/>
      <c r="I1013" s="310"/>
      <c r="J1013" s="310"/>
      <c r="K1013" s="310"/>
      <c r="L1013" s="310"/>
      <c r="M1013" s="310"/>
      <c r="N1013" s="310"/>
    </row>
    <row r="1014" spans="1:15">
      <c r="A1014" s="353"/>
      <c r="B1014" s="310"/>
      <c r="C1014" s="310"/>
      <c r="D1014" s="311"/>
      <c r="E1014" s="357"/>
      <c r="F1014" s="310"/>
      <c r="G1014" s="310"/>
      <c r="H1014" s="310"/>
      <c r="I1014" s="310"/>
      <c r="J1014" s="310"/>
      <c r="K1014" s="310"/>
      <c r="L1014" s="310"/>
      <c r="M1014" s="310"/>
      <c r="N1014" s="310"/>
    </row>
    <row r="1015" spans="1:15" ht="15.75" thickBot="1">
      <c r="A1015" s="390"/>
      <c r="B1015" s="318"/>
      <c r="C1015" s="318"/>
      <c r="D1015" s="358"/>
      <c r="E1015" s="312"/>
      <c r="F1015" s="313"/>
      <c r="G1015" s="313"/>
      <c r="H1015" s="313"/>
      <c r="I1015" s="313"/>
      <c r="J1015" s="313"/>
      <c r="K1015" s="313"/>
      <c r="L1015" s="313"/>
      <c r="M1015" s="313"/>
      <c r="N1015" s="313"/>
    </row>
    <row r="1016" spans="1:15">
      <c r="A1016" s="1114" t="s">
        <v>5</v>
      </c>
      <c r="B1016" s="1116" t="s">
        <v>451</v>
      </c>
      <c r="C1016" s="1117"/>
      <c r="D1016" s="1116" t="s">
        <v>452</v>
      </c>
      <c r="E1016" s="1119"/>
      <c r="F1016" s="1122" t="s">
        <v>453</v>
      </c>
      <c r="G1016" s="1118" t="s">
        <v>454</v>
      </c>
      <c r="H1016" s="1124"/>
      <c r="I1016" s="1125" t="s">
        <v>455</v>
      </c>
      <c r="J1016" s="1124"/>
      <c r="K1016" s="1126"/>
      <c r="L1016" s="1125" t="s">
        <v>456</v>
      </c>
      <c r="M1016" s="1124"/>
      <c r="N1016" s="1124"/>
    </row>
    <row r="1017" spans="1:15" ht="15.75" thickBot="1">
      <c r="A1017" s="1115"/>
      <c r="B1017" s="1118"/>
      <c r="C1017" s="1119"/>
      <c r="D1017" s="1118"/>
      <c r="E1017" s="1119"/>
      <c r="F1017" s="1123"/>
      <c r="G1017" s="1118"/>
      <c r="H1017" s="1124"/>
      <c r="I1017" s="1127"/>
      <c r="J1017" s="1128"/>
      <c r="K1017" s="1129"/>
      <c r="L1017" s="1127"/>
      <c r="M1017" s="1128"/>
      <c r="N1017" s="1128"/>
    </row>
    <row r="1018" spans="1:15">
      <c r="A1018" s="391">
        <v>1</v>
      </c>
      <c r="B1018" s="1120"/>
      <c r="C1018" s="1121"/>
      <c r="D1018" s="1120"/>
      <c r="E1018" s="1121"/>
      <c r="F1018" s="322">
        <v>6</v>
      </c>
      <c r="G1018" s="1120"/>
      <c r="H1018" s="1121"/>
      <c r="I1018" s="359">
        <v>9</v>
      </c>
      <c r="J1018" s="359"/>
      <c r="K1018" s="359"/>
      <c r="L1018" s="359">
        <v>9</v>
      </c>
      <c r="M1018" s="359"/>
      <c r="N1018" s="359"/>
    </row>
    <row r="1019" spans="1:15" ht="38.25">
      <c r="A1019" s="537"/>
      <c r="B1019" s="360" t="s">
        <v>457</v>
      </c>
      <c r="C1019" s="360" t="s">
        <v>458</v>
      </c>
      <c r="D1019" s="360" t="s">
        <v>459</v>
      </c>
      <c r="E1019" s="360" t="s">
        <v>133</v>
      </c>
      <c r="F1019" s="360"/>
      <c r="G1019" s="360" t="s">
        <v>460</v>
      </c>
      <c r="H1019" s="360" t="s">
        <v>461</v>
      </c>
      <c r="I1019" s="360" t="s">
        <v>462</v>
      </c>
      <c r="J1019" s="360" t="s">
        <v>463</v>
      </c>
      <c r="K1019" s="360" t="s">
        <v>464</v>
      </c>
      <c r="L1019" s="360" t="s">
        <v>465</v>
      </c>
      <c r="M1019" s="360" t="s">
        <v>466</v>
      </c>
      <c r="N1019" s="360" t="s">
        <v>467</v>
      </c>
    </row>
    <row r="1020" spans="1:15" s="388" customFormat="1">
      <c r="A1020" s="393" t="s">
        <v>823</v>
      </c>
      <c r="B1020" s="346">
        <v>1.5</v>
      </c>
      <c r="C1020" s="346">
        <v>0</v>
      </c>
      <c r="D1020" s="346">
        <v>0</v>
      </c>
      <c r="E1020" s="346">
        <v>0</v>
      </c>
      <c r="F1020" s="346">
        <f>F1019+B1020-C1020</f>
        <v>1.5</v>
      </c>
      <c r="G1020" s="346"/>
      <c r="H1020" s="346"/>
      <c r="I1020" s="346" t="s">
        <v>489</v>
      </c>
      <c r="J1020" s="346" t="s">
        <v>489</v>
      </c>
      <c r="K1020" s="346" t="s">
        <v>489</v>
      </c>
      <c r="L1020" s="346"/>
      <c r="M1020" s="346"/>
      <c r="N1020" s="346"/>
    </row>
    <row r="1021" spans="1:15" s="388" customFormat="1">
      <c r="A1021" s="393" t="s">
        <v>846</v>
      </c>
      <c r="B1021" s="346">
        <v>1.5</v>
      </c>
      <c r="C1021" s="346">
        <v>0</v>
      </c>
      <c r="D1021" s="346">
        <v>0</v>
      </c>
      <c r="E1021" s="346">
        <v>0</v>
      </c>
      <c r="F1021" s="346">
        <f>F1020+B1021-C1021</f>
        <v>3</v>
      </c>
      <c r="G1021" s="346"/>
      <c r="H1021" s="346"/>
      <c r="I1021" s="346" t="s">
        <v>489</v>
      </c>
      <c r="J1021" s="346" t="s">
        <v>489</v>
      </c>
      <c r="K1021" s="346" t="s">
        <v>489</v>
      </c>
      <c r="L1021" s="346"/>
      <c r="M1021" s="346"/>
      <c r="N1021" s="346"/>
      <c r="O1021" s="388">
        <v>18</v>
      </c>
    </row>
    <row r="1022" spans="1:15">
      <c r="A1022" s="710"/>
      <c r="B1022" s="346"/>
      <c r="C1022" s="346"/>
      <c r="D1022" s="346"/>
      <c r="E1022" s="346"/>
      <c r="F1022" s="409"/>
      <c r="G1022" s="346"/>
      <c r="H1022" s="346"/>
      <c r="I1022" s="409"/>
      <c r="J1022" s="409"/>
      <c r="K1022" s="409"/>
      <c r="L1022" s="346"/>
      <c r="M1022" s="346"/>
      <c r="N1022" s="346"/>
    </row>
    <row r="1023" spans="1:15">
      <c r="A1023" s="321"/>
      <c r="B1023" s="321"/>
      <c r="C1023" s="321"/>
      <c r="D1023" s="321"/>
      <c r="E1023" s="321"/>
      <c r="F1023" s="321"/>
      <c r="G1023" s="321"/>
      <c r="H1023" s="321"/>
      <c r="I1023" s="321"/>
      <c r="J1023" s="321"/>
      <c r="K1023" s="321"/>
      <c r="L1023" s="321"/>
      <c r="M1023" s="321"/>
      <c r="N1023" s="321"/>
    </row>
    <row r="1024" spans="1:15">
      <c r="A1024" s="393"/>
      <c r="B1024" s="346"/>
      <c r="C1024" s="346"/>
      <c r="D1024" s="499"/>
      <c r="E1024" s="499"/>
      <c r="F1024" s="346"/>
      <c r="G1024" s="346"/>
      <c r="H1024" s="346"/>
      <c r="I1024" s="346"/>
      <c r="J1024" s="346"/>
      <c r="K1024" s="346"/>
      <c r="L1024" s="346"/>
      <c r="M1024" s="346"/>
      <c r="N1024" s="346"/>
    </row>
    <row r="1025" spans="1:14">
      <c r="A1025" s="393"/>
      <c r="B1025" s="346"/>
      <c r="C1025" s="346"/>
      <c r="D1025" s="436"/>
      <c r="E1025" s="436"/>
      <c r="F1025" s="346"/>
      <c r="G1025" s="346"/>
      <c r="H1025" s="346"/>
      <c r="I1025" s="346"/>
      <c r="J1025" s="346"/>
      <c r="K1025" s="434"/>
      <c r="L1025" s="346"/>
      <c r="M1025" s="346"/>
      <c r="N1025" s="346"/>
    </row>
    <row r="1026" spans="1:14">
      <c r="A1026" s="394"/>
      <c r="B1026" s="346"/>
      <c r="C1026" s="346"/>
      <c r="D1026" s="499"/>
      <c r="E1026" s="499"/>
      <c r="F1026" s="346"/>
      <c r="G1026" s="346"/>
      <c r="H1026" s="346"/>
      <c r="I1026" s="346"/>
      <c r="J1026" s="346"/>
      <c r="K1026" s="346"/>
      <c r="L1026" s="346"/>
      <c r="M1026" s="346"/>
      <c r="N1026" s="346"/>
    </row>
    <row r="1027" spans="1:14">
      <c r="A1027" s="394"/>
      <c r="B1027" s="346"/>
      <c r="C1027" s="346"/>
      <c r="D1027" s="499"/>
      <c r="E1027" s="499"/>
      <c r="F1027" s="346"/>
      <c r="G1027" s="346"/>
      <c r="H1027" s="346"/>
      <c r="I1027" s="346"/>
      <c r="J1027" s="346"/>
      <c r="K1027" s="346"/>
      <c r="L1027" s="346"/>
      <c r="M1027" s="346"/>
      <c r="N1027" s="346"/>
    </row>
    <row r="1028" spans="1:14">
      <c r="A1028" s="394"/>
      <c r="B1028" s="346"/>
      <c r="C1028" s="346"/>
      <c r="D1028" s="499"/>
      <c r="E1028" s="499"/>
      <c r="F1028" s="346"/>
      <c r="G1028" s="346"/>
      <c r="H1028" s="346"/>
      <c r="I1028" s="346"/>
      <c r="J1028" s="346"/>
      <c r="K1028" s="346"/>
      <c r="L1028" s="346"/>
      <c r="M1028" s="346"/>
      <c r="N1028" s="346"/>
    </row>
    <row r="1029" spans="1:14">
      <c r="A1029" s="394"/>
      <c r="B1029" s="346"/>
      <c r="C1029" s="346"/>
      <c r="D1029" s="499"/>
      <c r="E1029" s="499"/>
      <c r="F1029" s="346"/>
      <c r="G1029" s="346"/>
      <c r="H1029" s="346"/>
      <c r="I1029" s="346"/>
      <c r="J1029" s="346"/>
      <c r="K1029" s="346"/>
      <c r="L1029" s="346"/>
      <c r="M1029" s="346"/>
      <c r="N1029" s="346"/>
    </row>
    <row r="1030" spans="1:14">
      <c r="A1030" s="394"/>
      <c r="B1030" s="346"/>
      <c r="C1030" s="346"/>
      <c r="D1030" s="499"/>
      <c r="E1030" s="436"/>
      <c r="F1030" s="346"/>
      <c r="G1030" s="346"/>
      <c r="H1030" s="346"/>
      <c r="I1030" s="346"/>
      <c r="J1030" s="346"/>
      <c r="K1030" s="346"/>
      <c r="L1030" s="346"/>
      <c r="M1030" s="346"/>
      <c r="N1030" s="346"/>
    </row>
    <row r="1031" spans="1:14">
      <c r="A1031" s="394"/>
      <c r="B1031" s="346"/>
      <c r="C1031" s="346"/>
      <c r="D1031" s="362"/>
      <c r="E1031" s="362"/>
      <c r="F1031" s="346"/>
      <c r="G1031" s="346"/>
      <c r="H1031" s="346"/>
      <c r="I1031" s="346"/>
      <c r="J1031" s="346"/>
      <c r="K1031" s="346"/>
      <c r="L1031" s="346"/>
      <c r="M1031" s="346"/>
      <c r="N1031" s="346"/>
    </row>
    <row r="1032" spans="1:14">
      <c r="A1032" s="394"/>
      <c r="B1032" s="346"/>
      <c r="C1032" s="346"/>
      <c r="D1032" s="362"/>
      <c r="E1032" s="362"/>
      <c r="F1032" s="346"/>
      <c r="G1032" s="346"/>
      <c r="H1032" s="346"/>
      <c r="I1032" s="346"/>
      <c r="J1032" s="346"/>
      <c r="K1032" s="346"/>
      <c r="L1032" s="346"/>
      <c r="M1032" s="346"/>
      <c r="N1032" s="346"/>
    </row>
    <row r="1033" spans="1:14">
      <c r="A1033" s="394"/>
      <c r="B1033" s="346"/>
      <c r="C1033" s="346"/>
      <c r="D1033" s="362"/>
      <c r="E1033" s="362"/>
      <c r="F1033" s="346"/>
      <c r="G1033" s="346"/>
      <c r="H1033" s="346"/>
      <c r="I1033" s="346"/>
      <c r="J1033" s="346"/>
      <c r="K1033" s="346"/>
      <c r="L1033" s="346"/>
      <c r="M1033" s="346"/>
      <c r="N1033" s="346"/>
    </row>
    <row r="1034" spans="1:14">
      <c r="A1034" s="394"/>
      <c r="B1034" s="346"/>
      <c r="C1034" s="346"/>
      <c r="D1034" s="362"/>
      <c r="E1034" s="362"/>
      <c r="F1034" s="346"/>
      <c r="G1034" s="346"/>
      <c r="H1034" s="346"/>
      <c r="I1034" s="346"/>
      <c r="J1034" s="346"/>
      <c r="K1034" s="346"/>
      <c r="L1034" s="346"/>
      <c r="M1034" s="346"/>
      <c r="N1034" s="346"/>
    </row>
    <row r="1035" spans="1:14">
      <c r="A1035" s="394"/>
      <c r="B1035" s="346"/>
      <c r="C1035" s="346"/>
      <c r="D1035" s="362"/>
      <c r="E1035" s="362"/>
      <c r="F1035" s="346"/>
      <c r="G1035" s="346"/>
      <c r="H1035" s="346"/>
      <c r="I1035" s="346"/>
      <c r="J1035" s="346"/>
      <c r="K1035" s="346"/>
      <c r="L1035" s="346"/>
      <c r="M1035" s="346"/>
      <c r="N1035" s="346"/>
    </row>
    <row r="1036" spans="1:14">
      <c r="A1036" s="392"/>
      <c r="B1036" s="346"/>
      <c r="C1036" s="346"/>
      <c r="D1036" s="346"/>
      <c r="E1036" s="346"/>
      <c r="F1036" s="346"/>
      <c r="G1036" s="346"/>
      <c r="H1036" s="346"/>
      <c r="I1036" s="346"/>
      <c r="J1036" s="346"/>
      <c r="K1036" s="346"/>
      <c r="L1036" s="346"/>
      <c r="M1036" s="346"/>
      <c r="N1036" s="346"/>
    </row>
    <row r="1037" spans="1:14">
      <c r="A1037" s="392"/>
      <c r="B1037" s="346"/>
      <c r="C1037" s="346"/>
      <c r="D1037" s="346"/>
      <c r="E1037" s="346"/>
      <c r="F1037" s="346"/>
      <c r="G1037" s="346"/>
      <c r="H1037" s="346"/>
      <c r="I1037" s="346"/>
      <c r="J1037" s="346"/>
      <c r="K1037" s="346"/>
      <c r="L1037" s="346"/>
      <c r="M1037" s="346"/>
      <c r="N1037" s="346"/>
    </row>
    <row r="1038" spans="1:14">
      <c r="A1038" s="392"/>
      <c r="B1038" s="346"/>
      <c r="C1038" s="346"/>
      <c r="D1038" s="346"/>
      <c r="E1038" s="346"/>
      <c r="F1038" s="346"/>
      <c r="G1038" s="346"/>
      <c r="H1038" s="346"/>
      <c r="I1038" s="346"/>
      <c r="J1038" s="346"/>
      <c r="K1038" s="346"/>
      <c r="L1038" s="346"/>
      <c r="M1038" s="346"/>
      <c r="N1038" s="346"/>
    </row>
    <row r="1039" spans="1:14">
      <c r="A1039" s="392"/>
      <c r="B1039" s="346"/>
      <c r="C1039" s="346"/>
      <c r="D1039" s="346"/>
      <c r="E1039" s="346"/>
      <c r="F1039" s="346"/>
      <c r="G1039" s="346"/>
      <c r="H1039" s="346"/>
      <c r="I1039" s="346"/>
      <c r="J1039" s="346"/>
      <c r="K1039" s="346"/>
      <c r="L1039" s="346"/>
      <c r="M1039" s="346"/>
      <c r="N1039" s="346"/>
    </row>
    <row r="1040" spans="1:14">
      <c r="A1040" s="392"/>
      <c r="B1040" s="346"/>
      <c r="C1040" s="346"/>
      <c r="D1040" s="346"/>
      <c r="E1040" s="346"/>
      <c r="F1040" s="346"/>
      <c r="G1040" s="346"/>
      <c r="H1040" s="346"/>
      <c r="I1040" s="346"/>
      <c r="J1040" s="346"/>
      <c r="K1040" s="346"/>
      <c r="L1040" s="346"/>
      <c r="M1040" s="346"/>
      <c r="N1040" s="346"/>
    </row>
    <row r="1041" spans="1:14">
      <c r="A1041" s="353"/>
      <c r="B1041" s="310"/>
      <c r="C1041" s="310"/>
      <c r="D1041" s="310"/>
      <c r="E1041" s="310"/>
      <c r="F1041" s="310"/>
      <c r="G1041" s="310"/>
      <c r="H1041" s="310"/>
      <c r="I1041" s="310"/>
      <c r="J1041" s="310"/>
      <c r="K1041" s="310"/>
      <c r="L1041" s="310"/>
      <c r="M1041" s="310"/>
      <c r="N1041" s="310"/>
    </row>
    <row r="1042" spans="1:14">
      <c r="A1042" s="353"/>
      <c r="B1042" s="310"/>
      <c r="C1042" s="310"/>
      <c r="D1042" s="310"/>
      <c r="E1042" s="310"/>
      <c r="F1042" s="310"/>
      <c r="G1042" s="310"/>
      <c r="H1042" s="310"/>
      <c r="I1042" s="310"/>
      <c r="J1042" s="310"/>
      <c r="K1042" s="310"/>
      <c r="L1042" s="310"/>
      <c r="M1042" s="310"/>
      <c r="N1042" s="310"/>
    </row>
    <row r="1043" spans="1:14">
      <c r="A1043" s="353"/>
      <c r="B1043" s="310"/>
      <c r="C1043" s="310"/>
      <c r="D1043" s="310"/>
      <c r="E1043" s="310"/>
      <c r="F1043" s="310"/>
      <c r="G1043" s="310"/>
      <c r="H1043" s="310"/>
      <c r="I1043" s="310"/>
      <c r="J1043" s="310"/>
      <c r="K1043" s="310"/>
      <c r="L1043" s="310"/>
      <c r="M1043" s="310"/>
      <c r="N1043" s="310"/>
    </row>
    <row r="1044" spans="1:14">
      <c r="A1044" s="396"/>
      <c r="B1044" s="395"/>
      <c r="C1044" s="395"/>
      <c r="D1044" s="395"/>
      <c r="E1044" s="395"/>
      <c r="F1044" s="395"/>
      <c r="G1044" s="395"/>
      <c r="H1044" s="395"/>
      <c r="I1044" s="395"/>
      <c r="J1044" s="395"/>
      <c r="K1044" s="395"/>
      <c r="L1044" s="395"/>
      <c r="M1044" s="395"/>
      <c r="N1044" s="395"/>
    </row>
    <row r="1045" spans="1:14">
      <c r="A1045" s="396"/>
      <c r="B1045" s="395"/>
      <c r="C1045" s="395"/>
      <c r="D1045" s="395"/>
      <c r="E1045" s="395"/>
      <c r="F1045" s="395"/>
      <c r="G1045" s="395"/>
      <c r="H1045" s="395"/>
      <c r="I1045" s="395"/>
      <c r="J1045" s="395"/>
      <c r="K1045" s="395"/>
      <c r="L1045" s="395"/>
      <c r="M1045" s="395"/>
      <c r="N1045" s="395"/>
    </row>
    <row r="1046" spans="1:14">
      <c r="A1046" s="396"/>
      <c r="B1046" s="395"/>
      <c r="C1046" s="395"/>
      <c r="D1046" s="395"/>
      <c r="E1046" s="395"/>
      <c r="F1046" s="395"/>
      <c r="G1046" s="395"/>
      <c r="H1046" s="395"/>
      <c r="I1046" s="395"/>
      <c r="J1046" s="395"/>
      <c r="K1046" s="395"/>
      <c r="L1046" s="395"/>
      <c r="M1046" s="395"/>
      <c r="N1046" s="395"/>
    </row>
    <row r="1047" spans="1:14" ht="15.75" thickBot="1">
      <c r="A1047" s="397"/>
      <c r="B1047" s="398"/>
      <c r="C1047" s="398"/>
      <c r="D1047" s="398"/>
      <c r="E1047" s="398"/>
      <c r="F1047" s="398"/>
      <c r="G1047" s="1104" t="s">
        <v>38</v>
      </c>
      <c r="H1047" s="1104"/>
      <c r="I1047" s="1104"/>
      <c r="J1047" s="1104"/>
      <c r="K1047" s="1104"/>
      <c r="L1047" s="1104"/>
      <c r="M1047" s="1104"/>
      <c r="N1047" s="1104"/>
    </row>
    <row r="1048" spans="1:14">
      <c r="A1048" s="388"/>
      <c r="B1048" s="388"/>
      <c r="C1048" s="388"/>
      <c r="D1048" s="388"/>
      <c r="E1048" s="388"/>
      <c r="F1048" s="388"/>
      <c r="G1048" s="388"/>
      <c r="H1048" s="388"/>
      <c r="I1048" s="388"/>
      <c r="J1048" s="388"/>
      <c r="K1048" s="388"/>
      <c r="L1048" s="388"/>
      <c r="M1048" s="388"/>
      <c r="N1048" s="388"/>
    </row>
    <row r="1049" spans="1:14">
      <c r="A1049" s="388"/>
      <c r="B1049" s="388"/>
      <c r="C1049" s="388"/>
      <c r="D1049" s="388"/>
      <c r="E1049" s="388"/>
      <c r="F1049" s="388"/>
      <c r="G1049" s="388"/>
      <c r="H1049" s="388"/>
      <c r="I1049" s="388"/>
      <c r="J1049" s="388"/>
      <c r="K1049" s="388"/>
      <c r="L1049" s="388"/>
      <c r="M1049" s="388"/>
      <c r="N1049" s="388"/>
    </row>
    <row r="1050" spans="1:14">
      <c r="A1050" s="388"/>
      <c r="B1050" s="388"/>
      <c r="C1050" s="388"/>
      <c r="D1050" s="388"/>
      <c r="E1050" s="388"/>
      <c r="F1050" s="388"/>
      <c r="G1050" s="388"/>
      <c r="H1050" s="388"/>
      <c r="I1050" s="388"/>
      <c r="J1050" s="388"/>
      <c r="K1050" s="388"/>
      <c r="L1050" s="388"/>
      <c r="M1050" s="388"/>
      <c r="N1050" s="388"/>
    </row>
    <row r="1051" spans="1:14">
      <c r="A1051" s="388"/>
      <c r="B1051" s="388"/>
      <c r="C1051" s="388"/>
      <c r="D1051" s="388"/>
      <c r="E1051" s="388"/>
      <c r="F1051" s="388"/>
      <c r="G1051" s="388"/>
      <c r="H1051" s="388"/>
      <c r="I1051" s="388"/>
      <c r="J1051" s="388"/>
      <c r="K1051" s="388"/>
      <c r="L1051" s="388"/>
      <c r="M1051" s="388"/>
      <c r="N1051" s="388"/>
    </row>
    <row r="1052" spans="1:14">
      <c r="A1052" s="388"/>
      <c r="B1052" s="388"/>
      <c r="C1052" s="388"/>
      <c r="D1052" s="388"/>
      <c r="E1052" s="388"/>
      <c r="F1052" s="388"/>
      <c r="G1052" s="388"/>
      <c r="H1052" s="388"/>
      <c r="I1052" s="388"/>
      <c r="J1052" s="388"/>
      <c r="K1052" s="388"/>
      <c r="L1052" s="388"/>
      <c r="M1052" s="388"/>
      <c r="N1052" s="388"/>
    </row>
    <row r="1053" spans="1:14">
      <c r="A1053" s="388"/>
      <c r="B1053" s="388"/>
      <c r="C1053" s="388"/>
      <c r="D1053" s="388"/>
      <c r="E1053" s="388"/>
      <c r="F1053" s="388"/>
      <c r="G1053" s="388"/>
      <c r="H1053" s="388"/>
      <c r="I1053" s="388"/>
      <c r="J1053" s="388"/>
      <c r="K1053" s="388"/>
      <c r="L1053" s="388"/>
      <c r="M1053" s="388"/>
      <c r="N1053" s="388"/>
    </row>
    <row r="1054" spans="1:14">
      <c r="A1054" s="388"/>
      <c r="B1054" s="388"/>
      <c r="C1054" s="388"/>
      <c r="D1054" s="388"/>
      <c r="E1054" s="388"/>
      <c r="F1054" s="388"/>
      <c r="G1054" s="388"/>
      <c r="H1054" s="388"/>
      <c r="I1054" s="388"/>
      <c r="J1054" s="388"/>
      <c r="K1054" s="388"/>
      <c r="L1054" s="388"/>
      <c r="M1054" s="388"/>
      <c r="N1054" s="388"/>
    </row>
    <row r="1055" spans="1:14">
      <c r="A1055" s="388"/>
      <c r="B1055" s="388"/>
      <c r="C1055" s="388"/>
      <c r="D1055" s="388"/>
      <c r="E1055" s="388"/>
      <c r="F1055" s="388"/>
      <c r="G1055" s="388"/>
      <c r="H1055" s="388"/>
      <c r="I1055" s="388"/>
      <c r="J1055" s="388"/>
      <c r="K1055" s="388"/>
      <c r="L1055" s="388"/>
      <c r="M1055" s="388"/>
      <c r="N1055" s="388"/>
    </row>
    <row r="1056" spans="1:14">
      <c r="A1056" s="388"/>
      <c r="B1056" s="388"/>
      <c r="C1056" s="388"/>
      <c r="D1056" s="388"/>
      <c r="E1056" s="388"/>
      <c r="F1056" s="388"/>
      <c r="G1056" s="388"/>
      <c r="H1056" s="388"/>
      <c r="I1056" s="388"/>
      <c r="J1056" s="388"/>
      <c r="K1056" s="388"/>
      <c r="L1056" s="388"/>
      <c r="M1056" s="388"/>
      <c r="N1056" s="388"/>
    </row>
    <row r="1057" spans="1:14">
      <c r="A1057" s="388"/>
      <c r="B1057" s="388"/>
      <c r="C1057" s="388"/>
      <c r="D1057" s="388"/>
      <c r="E1057" s="388"/>
      <c r="F1057" s="388"/>
      <c r="G1057" s="388"/>
      <c r="H1057" s="388"/>
      <c r="I1057" s="388"/>
      <c r="J1057" s="388"/>
      <c r="K1057" s="388"/>
      <c r="L1057" s="388"/>
      <c r="M1057" s="388"/>
      <c r="N1057" s="388"/>
    </row>
    <row r="1058" spans="1:14">
      <c r="A1058" s="388"/>
      <c r="B1058" s="388"/>
      <c r="C1058" s="388"/>
      <c r="D1058" s="388"/>
      <c r="E1058" s="388"/>
      <c r="F1058" s="388"/>
      <c r="G1058" s="388"/>
      <c r="H1058" s="388"/>
      <c r="I1058" s="388"/>
      <c r="J1058" s="388"/>
      <c r="K1058" s="388"/>
      <c r="L1058" s="388"/>
      <c r="M1058" s="388"/>
      <c r="N1058" s="388"/>
    </row>
    <row r="1059" spans="1:14">
      <c r="A1059" s="388"/>
      <c r="B1059" s="388"/>
      <c r="C1059" s="388"/>
      <c r="D1059" s="388"/>
      <c r="E1059" s="388"/>
      <c r="F1059" s="388"/>
      <c r="G1059" s="388"/>
      <c r="H1059" s="388"/>
      <c r="I1059" s="388"/>
      <c r="J1059" s="388"/>
      <c r="K1059" s="388"/>
      <c r="L1059" s="388"/>
      <c r="M1059" s="388"/>
      <c r="N1059" s="388"/>
    </row>
    <row r="1060" spans="1:14">
      <c r="A1060" s="388"/>
      <c r="B1060" s="388"/>
      <c r="C1060" s="388"/>
      <c r="D1060" s="388"/>
      <c r="E1060" s="388"/>
      <c r="F1060" s="388"/>
      <c r="G1060" s="388"/>
      <c r="H1060" s="388"/>
      <c r="I1060" s="388"/>
      <c r="J1060" s="388"/>
      <c r="K1060" s="388"/>
      <c r="L1060" s="388"/>
      <c r="M1060" s="388"/>
      <c r="N1060" s="388"/>
    </row>
    <row r="1061" spans="1:14">
      <c r="A1061" s="388"/>
      <c r="B1061" s="388"/>
      <c r="C1061" s="388"/>
      <c r="D1061" s="388"/>
      <c r="E1061" s="388"/>
      <c r="F1061" s="388"/>
      <c r="G1061" s="388"/>
      <c r="H1061" s="388"/>
      <c r="I1061" s="388"/>
      <c r="J1061" s="388"/>
      <c r="K1061" s="388"/>
      <c r="L1061" s="388"/>
      <c r="M1061" s="388"/>
      <c r="N1061" s="388"/>
    </row>
    <row r="1062" spans="1:14">
      <c r="A1062" s="388"/>
      <c r="B1062" s="388"/>
      <c r="C1062" s="388"/>
      <c r="D1062" s="388"/>
      <c r="E1062" s="388"/>
      <c r="F1062" s="388"/>
      <c r="G1062" s="388"/>
      <c r="H1062" s="388"/>
      <c r="I1062" s="388"/>
      <c r="J1062" s="388"/>
      <c r="K1062" s="388"/>
      <c r="L1062" s="388"/>
      <c r="M1062" s="388"/>
      <c r="N1062" s="388"/>
    </row>
    <row r="1063" spans="1:14">
      <c r="A1063" s="388"/>
      <c r="B1063" s="388"/>
      <c r="C1063" s="388"/>
      <c r="D1063" s="388"/>
      <c r="E1063" s="388"/>
      <c r="F1063" s="388"/>
      <c r="G1063" s="388"/>
      <c r="H1063" s="388"/>
      <c r="I1063" s="388"/>
      <c r="J1063" s="388"/>
      <c r="K1063" s="388"/>
      <c r="L1063" s="388"/>
      <c r="M1063" s="388"/>
      <c r="N1063" s="388"/>
    </row>
    <row r="1064" spans="1:14">
      <c r="A1064" s="388"/>
      <c r="B1064" s="388"/>
      <c r="C1064" s="388"/>
      <c r="D1064" s="388"/>
      <c r="E1064" s="388"/>
      <c r="F1064" s="388"/>
      <c r="G1064" s="388"/>
      <c r="H1064" s="388"/>
      <c r="I1064" s="388"/>
      <c r="J1064" s="388"/>
      <c r="K1064" s="388"/>
      <c r="L1064" s="388"/>
      <c r="M1064" s="388"/>
      <c r="N1064" s="388"/>
    </row>
    <row r="1065" spans="1:14" ht="15.75" thickBot="1">
      <c r="A1065" s="388"/>
      <c r="B1065" s="388"/>
      <c r="C1065" s="388"/>
      <c r="D1065" s="388"/>
      <c r="E1065" s="388"/>
      <c r="F1065" s="388"/>
      <c r="G1065" s="388"/>
      <c r="H1065" s="388"/>
      <c r="I1065" s="388"/>
      <c r="J1065" s="388"/>
      <c r="K1065" s="388"/>
      <c r="L1065" s="388"/>
      <c r="M1065" s="388"/>
      <c r="N1065" s="388"/>
    </row>
    <row r="1066" spans="1:14">
      <c r="A1066" s="1105" t="s">
        <v>448</v>
      </c>
      <c r="B1066" s="1106"/>
      <c r="C1066" s="1106"/>
      <c r="D1066" s="1106"/>
      <c r="E1066" s="1106"/>
      <c r="F1066" s="1106"/>
      <c r="G1066" s="1106"/>
      <c r="H1066" s="1106"/>
      <c r="I1066" s="1106"/>
      <c r="J1066" s="1106"/>
      <c r="K1066" s="1106"/>
      <c r="L1066" s="1106"/>
      <c r="M1066" s="1106"/>
      <c r="N1066" s="1106"/>
    </row>
    <row r="1067" spans="1:14" ht="15.75" thickBot="1">
      <c r="A1067" s="1107"/>
      <c r="B1067" s="1108"/>
      <c r="C1067" s="1108"/>
      <c r="D1067" s="1108"/>
      <c r="E1067" s="1108"/>
      <c r="F1067" s="1108"/>
      <c r="G1067" s="1108"/>
      <c r="H1067" s="1108"/>
      <c r="I1067" s="1108"/>
      <c r="J1067" s="1108"/>
      <c r="K1067" s="1108"/>
      <c r="L1067" s="1108"/>
      <c r="M1067" s="1108"/>
      <c r="N1067" s="1108"/>
    </row>
    <row r="1068" spans="1:14" ht="15.75" thickBot="1">
      <c r="A1068" s="1109" t="s">
        <v>449</v>
      </c>
      <c r="B1068" s="1110"/>
      <c r="C1068" s="1110"/>
      <c r="D1068" s="1110"/>
      <c r="E1068" s="1110"/>
      <c r="F1068" s="1110"/>
      <c r="G1068" s="1110"/>
      <c r="H1068" s="1110"/>
      <c r="I1068" s="1110"/>
      <c r="J1068" s="1110"/>
      <c r="K1068" s="1110"/>
      <c r="L1068" s="1110"/>
      <c r="M1068" s="1110"/>
      <c r="N1068" s="1110"/>
    </row>
    <row r="1069" spans="1:14">
      <c r="A1069" s="351" t="s">
        <v>479</v>
      </c>
      <c r="B1069" s="308"/>
      <c r="C1069" s="308"/>
      <c r="D1069" s="309"/>
      <c r="E1069" s="1111" t="s">
        <v>480</v>
      </c>
      <c r="F1069" s="1112"/>
      <c r="G1069" s="1112"/>
      <c r="H1069" s="352"/>
      <c r="I1069" s="352"/>
      <c r="J1069" s="352"/>
      <c r="K1069" s="352"/>
      <c r="L1069" s="352"/>
      <c r="M1069" s="352"/>
      <c r="N1069" s="352"/>
    </row>
    <row r="1070" spans="1:14">
      <c r="A1070" s="353"/>
      <c r="B1070" s="419" t="s">
        <v>382</v>
      </c>
      <c r="C1070" s="310"/>
      <c r="D1070" s="311"/>
      <c r="E1070" s="354"/>
      <c r="F1070" s="355"/>
      <c r="G1070" s="1113" t="str">
        <f>'04-221Master'!B34</f>
        <v>Varalakshmi Vijay</v>
      </c>
      <c r="H1070" s="1113"/>
      <c r="I1070" s="1113"/>
      <c r="J1070" s="355"/>
      <c r="K1070" s="355"/>
      <c r="L1070" s="355"/>
      <c r="M1070" s="355"/>
      <c r="N1070" s="355"/>
    </row>
    <row r="1071" spans="1:14" ht="15.75" thickBot="1">
      <c r="A1071" s="312"/>
      <c r="B1071" s="421" t="s">
        <v>383</v>
      </c>
      <c r="C1071" s="313"/>
      <c r="D1071" s="314"/>
      <c r="E1071" s="354"/>
      <c r="F1071" s="355"/>
      <c r="G1071" s="355"/>
      <c r="H1071" s="355"/>
      <c r="I1071" s="355"/>
      <c r="J1071" s="355"/>
      <c r="K1071" s="355"/>
      <c r="L1071" s="355"/>
      <c r="M1071" s="355"/>
      <c r="N1071" s="355"/>
    </row>
    <row r="1072" spans="1:14">
      <c r="A1072" s="315" t="s">
        <v>481</v>
      </c>
      <c r="B1072" s="308"/>
      <c r="C1072" s="308"/>
      <c r="D1072" s="309"/>
      <c r="E1072" s="315" t="s">
        <v>450</v>
      </c>
      <c r="F1072" s="308"/>
      <c r="G1072" s="356">
        <f>'04-221Master'!N34</f>
        <v>44641</v>
      </c>
      <c r="H1072" s="308"/>
      <c r="I1072" s="308"/>
      <c r="J1072" s="308"/>
      <c r="K1072" s="308"/>
      <c r="L1072" s="308"/>
      <c r="M1072" s="308"/>
      <c r="N1072" s="308"/>
    </row>
    <row r="1073" spans="1:15">
      <c r="A1073" s="353"/>
      <c r="B1073" s="310"/>
      <c r="C1073" s="310">
        <f>'04-221Master'!F1254</f>
        <v>0</v>
      </c>
      <c r="D1073" s="311"/>
      <c r="E1073" s="316"/>
      <c r="F1073" s="310"/>
      <c r="G1073" s="310"/>
      <c r="H1073" s="310"/>
      <c r="I1073" s="310"/>
      <c r="J1073" s="310"/>
      <c r="K1073" s="310"/>
      <c r="L1073" s="310"/>
      <c r="M1073" s="310"/>
      <c r="N1073" s="310"/>
    </row>
    <row r="1074" spans="1:15">
      <c r="A1074" s="353"/>
      <c r="B1074" s="310"/>
      <c r="C1074" s="310"/>
      <c r="D1074" s="311"/>
      <c r="E1074" s="357"/>
      <c r="F1074" s="310"/>
      <c r="G1074" s="310"/>
      <c r="H1074" s="310"/>
      <c r="I1074" s="310"/>
      <c r="J1074" s="310"/>
      <c r="K1074" s="310"/>
      <c r="L1074" s="310"/>
      <c r="M1074" s="310"/>
      <c r="N1074" s="310"/>
    </row>
    <row r="1075" spans="1:15" ht="15.75" thickBot="1">
      <c r="A1075" s="390"/>
      <c r="B1075" s="318"/>
      <c r="C1075" s="318"/>
      <c r="D1075" s="358"/>
      <c r="E1075" s="312"/>
      <c r="F1075" s="313"/>
      <c r="G1075" s="313"/>
      <c r="H1075" s="313"/>
      <c r="I1075" s="313"/>
      <c r="J1075" s="313"/>
      <c r="K1075" s="313"/>
      <c r="L1075" s="313"/>
      <c r="M1075" s="313"/>
      <c r="N1075" s="313"/>
    </row>
    <row r="1076" spans="1:15">
      <c r="A1076" s="1114" t="s">
        <v>5</v>
      </c>
      <c r="B1076" s="1116" t="s">
        <v>451</v>
      </c>
      <c r="C1076" s="1117"/>
      <c r="D1076" s="1116" t="s">
        <v>452</v>
      </c>
      <c r="E1076" s="1119"/>
      <c r="F1076" s="1122" t="s">
        <v>453</v>
      </c>
      <c r="G1076" s="1118" t="s">
        <v>454</v>
      </c>
      <c r="H1076" s="1124"/>
      <c r="I1076" s="1125" t="s">
        <v>455</v>
      </c>
      <c r="J1076" s="1124"/>
      <c r="K1076" s="1126"/>
      <c r="L1076" s="1125" t="s">
        <v>456</v>
      </c>
      <c r="M1076" s="1124"/>
      <c r="N1076" s="1124"/>
    </row>
    <row r="1077" spans="1:15" ht="15.75" thickBot="1">
      <c r="A1077" s="1115"/>
      <c r="B1077" s="1118"/>
      <c r="C1077" s="1119"/>
      <c r="D1077" s="1118"/>
      <c r="E1077" s="1119"/>
      <c r="F1077" s="1123"/>
      <c r="G1077" s="1118"/>
      <c r="H1077" s="1124"/>
      <c r="I1077" s="1127"/>
      <c r="J1077" s="1128"/>
      <c r="K1077" s="1129"/>
      <c r="L1077" s="1127"/>
      <c r="M1077" s="1128"/>
      <c r="N1077" s="1128"/>
    </row>
    <row r="1078" spans="1:15">
      <c r="A1078" s="391">
        <v>1</v>
      </c>
      <c r="B1078" s="1120"/>
      <c r="C1078" s="1121"/>
      <c r="D1078" s="1120"/>
      <c r="E1078" s="1121"/>
      <c r="F1078" s="322">
        <v>6</v>
      </c>
      <c r="G1078" s="1120"/>
      <c r="H1078" s="1121"/>
      <c r="I1078" s="359">
        <v>9</v>
      </c>
      <c r="J1078" s="359"/>
      <c r="K1078" s="359"/>
      <c r="L1078" s="359">
        <v>9</v>
      </c>
      <c r="M1078" s="359"/>
      <c r="N1078" s="359"/>
    </row>
    <row r="1079" spans="1:15" ht="38.25">
      <c r="A1079" s="537"/>
      <c r="B1079" s="360" t="s">
        <v>457</v>
      </c>
      <c r="C1079" s="360" t="s">
        <v>458</v>
      </c>
      <c r="D1079" s="360" t="s">
        <v>459</v>
      </c>
      <c r="E1079" s="360" t="s">
        <v>133</v>
      </c>
      <c r="F1079" s="360"/>
      <c r="G1079" s="360" t="s">
        <v>460</v>
      </c>
      <c r="H1079" s="360" t="s">
        <v>461</v>
      </c>
      <c r="I1079" s="360" t="s">
        <v>462</v>
      </c>
      <c r="J1079" s="360" t="s">
        <v>463</v>
      </c>
      <c r="K1079" s="360" t="s">
        <v>464</v>
      </c>
      <c r="L1079" s="360" t="s">
        <v>465</v>
      </c>
      <c r="M1079" s="360" t="s">
        <v>466</v>
      </c>
      <c r="N1079" s="360" t="s">
        <v>467</v>
      </c>
    </row>
    <row r="1080" spans="1:15">
      <c r="A1080" s="393"/>
      <c r="B1080" s="346"/>
      <c r="C1080" s="346"/>
      <c r="D1080" s="346"/>
      <c r="E1080" s="346"/>
      <c r="F1080" s="346"/>
      <c r="G1080" s="346"/>
      <c r="H1080" s="346"/>
      <c r="I1080" s="346"/>
      <c r="J1080" s="346"/>
      <c r="K1080" s="346"/>
      <c r="L1080" s="346"/>
      <c r="M1080" s="346"/>
      <c r="N1080" s="346"/>
    </row>
    <row r="1081" spans="1:15">
      <c r="A1081" s="393"/>
      <c r="B1081" s="346"/>
      <c r="C1081" s="346"/>
      <c r="D1081" s="346"/>
      <c r="E1081" s="346"/>
      <c r="F1081" s="346"/>
      <c r="G1081" s="346"/>
      <c r="H1081" s="346"/>
      <c r="I1081" s="346"/>
      <c r="J1081" s="346"/>
      <c r="K1081" s="346"/>
      <c r="L1081" s="346"/>
      <c r="M1081" s="840"/>
      <c r="N1081" s="840"/>
    </row>
    <row r="1082" spans="1:15">
      <c r="A1082" s="393" t="s">
        <v>823</v>
      </c>
      <c r="B1082" s="346">
        <v>0</v>
      </c>
      <c r="C1082" s="346">
        <v>0</v>
      </c>
      <c r="D1082" s="346">
        <v>0</v>
      </c>
      <c r="E1082" s="346">
        <v>0</v>
      </c>
      <c r="F1082" s="346">
        <f>F1081+B1082-C1082</f>
        <v>0</v>
      </c>
      <c r="G1082" s="346"/>
      <c r="H1082" s="346"/>
      <c r="I1082" s="346" t="s">
        <v>489</v>
      </c>
      <c r="J1082" s="346" t="s">
        <v>489</v>
      </c>
      <c r="K1082" s="346" t="s">
        <v>489</v>
      </c>
      <c r="L1082" s="346"/>
      <c r="M1082" s="346" t="s">
        <v>584</v>
      </c>
      <c r="N1082" s="346"/>
    </row>
    <row r="1083" spans="1:15" s="388" customFormat="1">
      <c r="A1083" s="393" t="s">
        <v>846</v>
      </c>
      <c r="B1083" s="346">
        <v>1.5</v>
      </c>
      <c r="C1083" s="346">
        <v>0</v>
      </c>
      <c r="D1083" s="346">
        <v>0</v>
      </c>
      <c r="E1083" s="346">
        <v>0</v>
      </c>
      <c r="F1083" s="346">
        <f>F1082+B1083-C1083</f>
        <v>1.5</v>
      </c>
      <c r="G1083" s="346"/>
      <c r="H1083" s="346"/>
      <c r="I1083" s="346" t="s">
        <v>489</v>
      </c>
      <c r="J1083" s="346" t="s">
        <v>489</v>
      </c>
      <c r="K1083" s="346" t="s">
        <v>489</v>
      </c>
      <c r="L1083" s="346"/>
      <c r="M1083" s="346"/>
      <c r="N1083" s="346"/>
      <c r="O1083" s="388">
        <v>19</v>
      </c>
    </row>
    <row r="1084" spans="1:15">
      <c r="A1084" s="393"/>
      <c r="B1084" s="346"/>
      <c r="C1084" s="346"/>
      <c r="D1084" s="499"/>
      <c r="E1084" s="499"/>
      <c r="F1084" s="346"/>
      <c r="G1084" s="346"/>
      <c r="H1084" s="346"/>
      <c r="I1084" s="346"/>
      <c r="J1084" s="346"/>
      <c r="K1084" s="346"/>
      <c r="L1084" s="346"/>
      <c r="M1084" s="346"/>
      <c r="N1084" s="346"/>
    </row>
    <row r="1085" spans="1:15">
      <c r="A1085" s="393"/>
      <c r="B1085" s="346"/>
      <c r="C1085" s="346"/>
      <c r="D1085" s="436"/>
      <c r="E1085" s="436"/>
      <c r="F1085" s="346"/>
      <c r="G1085" s="346"/>
      <c r="H1085" s="346"/>
      <c r="I1085" s="346"/>
      <c r="J1085" s="346"/>
      <c r="K1085" s="434"/>
      <c r="L1085" s="346"/>
      <c r="M1085" s="346"/>
      <c r="N1085" s="346"/>
    </row>
    <row r="1086" spans="1:15">
      <c r="A1086" s="394"/>
      <c r="B1086" s="346"/>
      <c r="C1086" s="346"/>
      <c r="D1086" s="499"/>
      <c r="E1086" s="499"/>
      <c r="F1086" s="346"/>
      <c r="G1086" s="346"/>
      <c r="H1086" s="346"/>
      <c r="I1086" s="346"/>
      <c r="J1086" s="346"/>
      <c r="K1086" s="346"/>
      <c r="L1086" s="346"/>
      <c r="M1086" s="346"/>
      <c r="N1086" s="346"/>
    </row>
    <row r="1087" spans="1:15">
      <c r="A1087" s="394"/>
      <c r="B1087" s="346"/>
      <c r="C1087" s="346"/>
      <c r="D1087" s="499"/>
      <c r="E1087" s="499"/>
      <c r="F1087" s="346"/>
      <c r="G1087" s="346"/>
      <c r="H1087" s="346"/>
      <c r="I1087" s="346"/>
      <c r="J1087" s="346"/>
      <c r="K1087" s="346"/>
      <c r="L1087" s="346"/>
      <c r="M1087" s="346"/>
      <c r="N1087" s="346"/>
    </row>
    <row r="1088" spans="1:15">
      <c r="A1088" s="394"/>
      <c r="B1088" s="346"/>
      <c r="C1088" s="346"/>
      <c r="D1088" s="499"/>
      <c r="E1088" s="499"/>
      <c r="F1088" s="346"/>
      <c r="G1088" s="346"/>
      <c r="H1088" s="346"/>
      <c r="I1088" s="346"/>
      <c r="J1088" s="346"/>
      <c r="K1088" s="346"/>
      <c r="L1088" s="346"/>
      <c r="M1088" s="346"/>
      <c r="N1088" s="346"/>
    </row>
    <row r="1089" spans="1:14">
      <c r="A1089" s="394"/>
      <c r="B1089" s="346"/>
      <c r="C1089" s="346"/>
      <c r="D1089" s="499"/>
      <c r="E1089" s="499"/>
      <c r="F1089" s="346"/>
      <c r="G1089" s="346"/>
      <c r="H1089" s="346"/>
      <c r="I1089" s="346"/>
      <c r="J1089" s="346"/>
      <c r="K1089" s="346"/>
      <c r="L1089" s="346"/>
      <c r="M1089" s="346"/>
      <c r="N1089" s="346"/>
    </row>
    <row r="1090" spans="1:14">
      <c r="A1090" s="394"/>
      <c r="B1090" s="346"/>
      <c r="C1090" s="346"/>
      <c r="D1090" s="499"/>
      <c r="E1090" s="436"/>
      <c r="F1090" s="346"/>
      <c r="G1090" s="346"/>
      <c r="H1090" s="346"/>
      <c r="I1090" s="346"/>
      <c r="J1090" s="346"/>
      <c r="K1090" s="346"/>
      <c r="L1090" s="346"/>
      <c r="M1090" s="346"/>
      <c r="N1090" s="346"/>
    </row>
    <row r="1091" spans="1:14">
      <c r="A1091" s="394"/>
      <c r="B1091" s="346"/>
      <c r="C1091" s="346"/>
      <c r="D1091" s="362"/>
      <c r="E1091" s="362"/>
      <c r="F1091" s="346"/>
      <c r="G1091" s="346"/>
      <c r="H1091" s="346"/>
      <c r="I1091" s="346"/>
      <c r="J1091" s="346"/>
      <c r="K1091" s="346"/>
      <c r="L1091" s="346"/>
      <c r="M1091" s="346"/>
      <c r="N1091" s="346"/>
    </row>
    <row r="1092" spans="1:14">
      <c r="A1092" s="394"/>
      <c r="B1092" s="346"/>
      <c r="C1092" s="346"/>
      <c r="D1092" s="362"/>
      <c r="E1092" s="362"/>
      <c r="F1092" s="346"/>
      <c r="G1092" s="346"/>
      <c r="H1092" s="346"/>
      <c r="I1092" s="346"/>
      <c r="J1092" s="346"/>
      <c r="K1092" s="346"/>
      <c r="L1092" s="346"/>
      <c r="M1092" s="346"/>
      <c r="N1092" s="346"/>
    </row>
    <row r="1093" spans="1:14">
      <c r="A1093" s="394"/>
      <c r="B1093" s="346"/>
      <c r="C1093" s="346"/>
      <c r="D1093" s="362"/>
      <c r="E1093" s="362"/>
      <c r="F1093" s="346"/>
      <c r="G1093" s="346"/>
      <c r="H1093" s="346"/>
      <c r="I1093" s="346"/>
      <c r="J1093" s="346"/>
      <c r="K1093" s="346"/>
      <c r="L1093" s="346"/>
      <c r="M1093" s="346"/>
      <c r="N1093" s="346"/>
    </row>
    <row r="1094" spans="1:14">
      <c r="A1094" s="394"/>
      <c r="B1094" s="346"/>
      <c r="C1094" s="346"/>
      <c r="D1094" s="362"/>
      <c r="E1094" s="362"/>
      <c r="F1094" s="346"/>
      <c r="G1094" s="346"/>
      <c r="H1094" s="346"/>
      <c r="I1094" s="346"/>
      <c r="J1094" s="346"/>
      <c r="K1094" s="346"/>
      <c r="L1094" s="346"/>
      <c r="M1094" s="346"/>
      <c r="N1094" s="346"/>
    </row>
    <row r="1095" spans="1:14">
      <c r="A1095" s="394"/>
      <c r="B1095" s="346"/>
      <c r="C1095" s="346"/>
      <c r="D1095" s="362"/>
      <c r="E1095" s="362"/>
      <c r="F1095" s="346"/>
      <c r="G1095" s="346"/>
      <c r="H1095" s="346"/>
      <c r="I1095" s="346"/>
      <c r="J1095" s="346"/>
      <c r="K1095" s="346"/>
      <c r="L1095" s="346"/>
      <c r="M1095" s="346"/>
      <c r="N1095" s="346"/>
    </row>
    <row r="1096" spans="1:14">
      <c r="A1096" s="392"/>
      <c r="B1096" s="346"/>
      <c r="C1096" s="346"/>
      <c r="D1096" s="346"/>
      <c r="E1096" s="346"/>
      <c r="F1096" s="346"/>
      <c r="G1096" s="346"/>
      <c r="H1096" s="346"/>
      <c r="I1096" s="346"/>
      <c r="J1096" s="346"/>
      <c r="K1096" s="346"/>
      <c r="L1096" s="346"/>
      <c r="M1096" s="346"/>
      <c r="N1096" s="346"/>
    </row>
    <row r="1097" spans="1:14">
      <c r="A1097" s="392"/>
      <c r="B1097" s="346"/>
      <c r="C1097" s="346"/>
      <c r="D1097" s="346"/>
      <c r="E1097" s="346"/>
      <c r="F1097" s="346"/>
      <c r="G1097" s="346"/>
      <c r="H1097" s="346"/>
      <c r="I1097" s="346"/>
      <c r="J1097" s="346"/>
      <c r="K1097" s="346"/>
      <c r="L1097" s="346"/>
      <c r="M1097" s="346"/>
      <c r="N1097" s="346"/>
    </row>
    <row r="1098" spans="1:14">
      <c r="A1098" s="392"/>
      <c r="B1098" s="346"/>
      <c r="C1098" s="346"/>
      <c r="D1098" s="346"/>
      <c r="E1098" s="346"/>
      <c r="F1098" s="346"/>
      <c r="G1098" s="346"/>
      <c r="H1098" s="346"/>
      <c r="I1098" s="346"/>
      <c r="J1098" s="346"/>
      <c r="K1098" s="346"/>
      <c r="L1098" s="346"/>
      <c r="M1098" s="346"/>
      <c r="N1098" s="346"/>
    </row>
    <row r="1099" spans="1:14">
      <c r="A1099" s="392"/>
      <c r="B1099" s="346"/>
      <c r="C1099" s="346"/>
      <c r="D1099" s="346"/>
      <c r="E1099" s="346"/>
      <c r="F1099" s="346"/>
      <c r="G1099" s="346"/>
      <c r="H1099" s="346"/>
      <c r="I1099" s="346"/>
      <c r="J1099" s="346"/>
      <c r="K1099" s="346"/>
      <c r="L1099" s="346"/>
      <c r="M1099" s="346"/>
      <c r="N1099" s="346"/>
    </row>
    <row r="1100" spans="1:14">
      <c r="A1100" s="392"/>
      <c r="B1100" s="346"/>
      <c r="C1100" s="346"/>
      <c r="D1100" s="346"/>
      <c r="E1100" s="346"/>
      <c r="F1100" s="346"/>
      <c r="G1100" s="346"/>
      <c r="H1100" s="346"/>
      <c r="I1100" s="346"/>
      <c r="J1100" s="346"/>
      <c r="K1100" s="346"/>
      <c r="L1100" s="346"/>
      <c r="M1100" s="346"/>
      <c r="N1100" s="346"/>
    </row>
    <row r="1101" spans="1:14">
      <c r="A1101" s="353"/>
      <c r="B1101" s="310"/>
      <c r="C1101" s="310"/>
      <c r="D1101" s="310"/>
      <c r="E1101" s="310"/>
      <c r="F1101" s="310"/>
      <c r="G1101" s="310"/>
      <c r="H1101" s="310"/>
      <c r="I1101" s="310"/>
      <c r="J1101" s="310"/>
      <c r="K1101" s="310"/>
      <c r="L1101" s="310"/>
      <c r="M1101" s="310"/>
      <c r="N1101" s="310"/>
    </row>
    <row r="1102" spans="1:14">
      <c r="A1102" s="353"/>
      <c r="B1102" s="310"/>
      <c r="C1102" s="310"/>
      <c r="D1102" s="310"/>
      <c r="E1102" s="310"/>
      <c r="F1102" s="310"/>
      <c r="G1102" s="310"/>
      <c r="H1102" s="310"/>
      <c r="I1102" s="310"/>
      <c r="J1102" s="310"/>
      <c r="K1102" s="310"/>
      <c r="L1102" s="310"/>
      <c r="M1102" s="310"/>
      <c r="N1102" s="310"/>
    </row>
    <row r="1103" spans="1:14">
      <c r="A1103" s="353"/>
      <c r="B1103" s="310"/>
      <c r="C1103" s="310"/>
      <c r="D1103" s="310"/>
      <c r="E1103" s="310"/>
      <c r="F1103" s="310"/>
      <c r="G1103" s="310"/>
      <c r="H1103" s="310"/>
      <c r="I1103" s="310"/>
      <c r="J1103" s="310"/>
      <c r="K1103" s="310"/>
      <c r="L1103" s="310"/>
      <c r="M1103" s="310"/>
      <c r="N1103" s="310"/>
    </row>
    <row r="1104" spans="1:14">
      <c r="A1104" s="396"/>
      <c r="B1104" s="395"/>
      <c r="C1104" s="395"/>
      <c r="D1104" s="395"/>
      <c r="E1104" s="395"/>
      <c r="F1104" s="395"/>
      <c r="G1104" s="395"/>
      <c r="H1104" s="395"/>
      <c r="I1104" s="395"/>
      <c r="J1104" s="395"/>
      <c r="K1104" s="395"/>
      <c r="L1104" s="395"/>
      <c r="M1104" s="395"/>
      <c r="N1104" s="395"/>
    </row>
    <row r="1105" spans="1:14">
      <c r="A1105" s="396"/>
      <c r="B1105" s="395"/>
      <c r="C1105" s="395"/>
      <c r="D1105" s="395"/>
      <c r="E1105" s="395"/>
      <c r="F1105" s="395"/>
      <c r="G1105" s="395"/>
      <c r="H1105" s="395"/>
      <c r="I1105" s="395"/>
      <c r="J1105" s="395"/>
      <c r="K1105" s="395"/>
      <c r="L1105" s="395"/>
      <c r="M1105" s="395"/>
      <c r="N1105" s="395"/>
    </row>
    <row r="1106" spans="1:14">
      <c r="A1106" s="396"/>
      <c r="B1106" s="395"/>
      <c r="C1106" s="395"/>
      <c r="D1106" s="395"/>
      <c r="E1106" s="395"/>
      <c r="F1106" s="395"/>
      <c r="G1106" s="395"/>
      <c r="H1106" s="395"/>
      <c r="I1106" s="395"/>
      <c r="J1106" s="395"/>
      <c r="K1106" s="395"/>
      <c r="L1106" s="395"/>
      <c r="M1106" s="395"/>
      <c r="N1106" s="395"/>
    </row>
    <row r="1107" spans="1:14" ht="15.75" thickBot="1">
      <c r="A1107" s="397"/>
      <c r="B1107" s="398"/>
      <c r="C1107" s="398"/>
      <c r="D1107" s="398"/>
      <c r="E1107" s="398"/>
      <c r="F1107" s="398"/>
      <c r="G1107" s="1104" t="s">
        <v>38</v>
      </c>
      <c r="H1107" s="1104"/>
      <c r="I1107" s="1104"/>
      <c r="J1107" s="1104"/>
      <c r="K1107" s="1104"/>
      <c r="L1107" s="1104"/>
      <c r="M1107" s="1104"/>
      <c r="N1107" s="1104"/>
    </row>
    <row r="1108" spans="1:14">
      <c r="A1108" s="388"/>
      <c r="B1108" s="388"/>
      <c r="C1108" s="388"/>
      <c r="D1108" s="388"/>
      <c r="E1108" s="388"/>
      <c r="F1108" s="388"/>
      <c r="G1108" s="388"/>
      <c r="H1108" s="388"/>
      <c r="I1108" s="388"/>
      <c r="J1108" s="388"/>
      <c r="K1108" s="388"/>
      <c r="L1108" s="388"/>
      <c r="M1108" s="388"/>
      <c r="N1108" s="388"/>
    </row>
    <row r="1109" spans="1:14">
      <c r="A1109" s="388"/>
      <c r="B1109" s="388"/>
      <c r="C1109" s="388"/>
      <c r="D1109" s="388"/>
      <c r="E1109" s="388"/>
      <c r="F1109" s="388"/>
      <c r="G1109" s="388"/>
      <c r="H1109" s="388"/>
      <c r="I1109" s="388"/>
      <c r="J1109" s="388"/>
      <c r="K1109" s="388"/>
      <c r="L1109" s="388"/>
      <c r="M1109" s="388"/>
      <c r="N1109" s="388"/>
    </row>
    <row r="1110" spans="1:14">
      <c r="A1110" s="388"/>
      <c r="B1110" s="388"/>
      <c r="C1110" s="388"/>
      <c r="D1110" s="388"/>
      <c r="E1110" s="388"/>
      <c r="F1110" s="388"/>
      <c r="G1110" s="388"/>
      <c r="H1110" s="388"/>
      <c r="I1110" s="388"/>
      <c r="J1110" s="388"/>
      <c r="K1110" s="388"/>
      <c r="L1110" s="388"/>
      <c r="M1110" s="388"/>
      <c r="N1110" s="388"/>
    </row>
    <row r="1111" spans="1:14">
      <c r="A1111" s="388"/>
      <c r="B1111" s="388"/>
      <c r="C1111" s="388"/>
      <c r="D1111" s="388"/>
      <c r="E1111" s="388"/>
      <c r="F1111" s="388"/>
      <c r="G1111" s="388"/>
      <c r="H1111" s="388"/>
      <c r="I1111" s="388"/>
      <c r="J1111" s="388"/>
      <c r="K1111" s="388"/>
      <c r="L1111" s="388"/>
      <c r="M1111" s="388"/>
      <c r="N1111" s="388"/>
    </row>
    <row r="1112" spans="1:14">
      <c r="A1112" s="388"/>
      <c r="B1112" s="388"/>
      <c r="C1112" s="388"/>
      <c r="D1112" s="388"/>
      <c r="E1112" s="388"/>
      <c r="F1112" s="388"/>
      <c r="G1112" s="388"/>
      <c r="H1112" s="388"/>
      <c r="I1112" s="388"/>
      <c r="J1112" s="388"/>
      <c r="K1112" s="388"/>
      <c r="L1112" s="388"/>
      <c r="M1112" s="388"/>
      <c r="N1112" s="388"/>
    </row>
    <row r="1113" spans="1:14">
      <c r="A1113" s="388"/>
      <c r="B1113" s="388"/>
      <c r="C1113" s="388"/>
      <c r="D1113" s="388"/>
      <c r="E1113" s="388"/>
      <c r="F1113" s="388"/>
      <c r="G1113" s="388"/>
      <c r="H1113" s="388"/>
      <c r="I1113" s="388"/>
      <c r="J1113" s="388"/>
      <c r="K1113" s="388"/>
      <c r="L1113" s="388"/>
      <c r="M1113" s="388"/>
      <c r="N1113" s="388"/>
    </row>
    <row r="1114" spans="1:14" s="852" customFormat="1"/>
    <row r="1115" spans="1:14" s="852" customFormat="1"/>
    <row r="1116" spans="1:14" s="852" customFormat="1"/>
    <row r="1117" spans="1:14" s="852" customFormat="1"/>
    <row r="1118" spans="1:14" s="852" customFormat="1"/>
    <row r="1119" spans="1:14" s="852" customFormat="1"/>
    <row r="1120" spans="1:14">
      <c r="A1120" s="388"/>
      <c r="B1120" s="388"/>
      <c r="C1120" s="388"/>
      <c r="D1120" s="388"/>
      <c r="E1120" s="388"/>
      <c r="F1120" s="388"/>
      <c r="G1120" s="388"/>
      <c r="H1120" s="388"/>
      <c r="I1120" s="388"/>
      <c r="J1120" s="388"/>
      <c r="K1120" s="388"/>
      <c r="L1120" s="388"/>
      <c r="M1120" s="388"/>
      <c r="N1120" s="388"/>
    </row>
    <row r="1121" spans="1:14">
      <c r="A1121" s="388"/>
      <c r="B1121" s="388"/>
      <c r="C1121" s="388"/>
      <c r="D1121" s="388"/>
      <c r="E1121" s="388"/>
      <c r="F1121" s="388"/>
      <c r="G1121" s="388"/>
      <c r="H1121" s="388"/>
      <c r="I1121" s="388"/>
      <c r="J1121" s="388"/>
      <c r="K1121" s="388"/>
      <c r="L1121" s="388"/>
      <c r="M1121" s="388"/>
      <c r="N1121" s="388"/>
    </row>
    <row r="1122" spans="1:14">
      <c r="A1122" s="388"/>
      <c r="B1122" s="388"/>
      <c r="C1122" s="388"/>
      <c r="D1122" s="388"/>
      <c r="E1122" s="388"/>
      <c r="F1122" s="388"/>
      <c r="G1122" s="388"/>
      <c r="H1122" s="388"/>
      <c r="I1122" s="388"/>
      <c r="J1122" s="388"/>
      <c r="K1122" s="388"/>
      <c r="L1122" s="388"/>
      <c r="M1122" s="388"/>
      <c r="N1122" s="388"/>
    </row>
    <row r="1123" spans="1:14" ht="15.75" thickBot="1">
      <c r="A1123" s="388"/>
      <c r="B1123" s="388"/>
      <c r="C1123" s="388"/>
      <c r="D1123" s="388"/>
      <c r="E1123" s="388"/>
      <c r="F1123" s="388"/>
      <c r="G1123" s="388"/>
      <c r="H1123" s="388"/>
      <c r="I1123" s="388"/>
      <c r="J1123" s="388"/>
      <c r="K1123" s="388"/>
      <c r="L1123" s="388"/>
      <c r="M1123" s="388"/>
      <c r="N1123" s="388"/>
    </row>
    <row r="1124" spans="1:14">
      <c r="A1124" s="1105" t="s">
        <v>448</v>
      </c>
      <c r="B1124" s="1106"/>
      <c r="C1124" s="1106"/>
      <c r="D1124" s="1106"/>
      <c r="E1124" s="1106"/>
      <c r="F1124" s="1106"/>
      <c r="G1124" s="1106"/>
      <c r="H1124" s="1106"/>
      <c r="I1124" s="1106"/>
      <c r="J1124" s="1106"/>
      <c r="K1124" s="1106"/>
      <c r="L1124" s="1106"/>
      <c r="M1124" s="1106"/>
      <c r="N1124" s="1106"/>
    </row>
    <row r="1125" spans="1:14" ht="15.75" thickBot="1">
      <c r="A1125" s="1107"/>
      <c r="B1125" s="1108"/>
      <c r="C1125" s="1108"/>
      <c r="D1125" s="1108"/>
      <c r="E1125" s="1108"/>
      <c r="F1125" s="1108"/>
      <c r="G1125" s="1108"/>
      <c r="H1125" s="1108"/>
      <c r="I1125" s="1108"/>
      <c r="J1125" s="1108"/>
      <c r="K1125" s="1108"/>
      <c r="L1125" s="1108"/>
      <c r="M1125" s="1108"/>
      <c r="N1125" s="1108"/>
    </row>
    <row r="1126" spans="1:14" ht="15.75" thickBot="1">
      <c r="A1126" s="1109" t="s">
        <v>449</v>
      </c>
      <c r="B1126" s="1110"/>
      <c r="C1126" s="1110"/>
      <c r="D1126" s="1110"/>
      <c r="E1126" s="1110"/>
      <c r="F1126" s="1110"/>
      <c r="G1126" s="1110"/>
      <c r="H1126" s="1110"/>
      <c r="I1126" s="1110"/>
      <c r="J1126" s="1110"/>
      <c r="K1126" s="1110"/>
      <c r="L1126" s="1110"/>
      <c r="M1126" s="1110"/>
      <c r="N1126" s="1110"/>
    </row>
    <row r="1127" spans="1:14">
      <c r="A1127" s="351" t="s">
        <v>479</v>
      </c>
      <c r="B1127" s="308"/>
      <c r="C1127" s="308"/>
      <c r="D1127" s="309"/>
      <c r="E1127" s="1111" t="s">
        <v>480</v>
      </c>
      <c r="F1127" s="1112"/>
      <c r="G1127" s="1112"/>
      <c r="H1127" s="352"/>
      <c r="I1127" s="352"/>
      <c r="J1127" s="352"/>
      <c r="K1127" s="352"/>
      <c r="L1127" s="352"/>
      <c r="M1127" s="352"/>
      <c r="N1127" s="352"/>
    </row>
    <row r="1128" spans="1:14">
      <c r="A1128" s="353"/>
      <c r="B1128" s="419" t="s">
        <v>382</v>
      </c>
      <c r="C1128" s="310"/>
      <c r="D1128" s="311"/>
      <c r="E1128" s="354"/>
      <c r="F1128" s="355"/>
      <c r="G1128" s="1113" t="str">
        <f>'04-221Master'!B35</f>
        <v xml:space="preserve">OMPRAKASH PURI </v>
      </c>
      <c r="H1128" s="1113"/>
      <c r="I1128" s="1113"/>
      <c r="J1128" s="355"/>
      <c r="K1128" s="355"/>
      <c r="L1128" s="355"/>
      <c r="M1128" s="355"/>
      <c r="N1128" s="355"/>
    </row>
    <row r="1129" spans="1:14" ht="15.75" thickBot="1">
      <c r="A1129" s="312"/>
      <c r="B1129" s="421" t="s">
        <v>383</v>
      </c>
      <c r="C1129" s="313"/>
      <c r="D1129" s="314"/>
      <c r="E1129" s="354"/>
      <c r="F1129" s="355"/>
      <c r="G1129" s="355"/>
      <c r="H1129" s="355"/>
      <c r="I1129" s="355"/>
      <c r="J1129" s="355"/>
      <c r="K1129" s="355"/>
      <c r="L1129" s="355"/>
      <c r="M1129" s="355"/>
      <c r="N1129" s="355"/>
    </row>
    <row r="1130" spans="1:14">
      <c r="A1130" s="315" t="s">
        <v>481</v>
      </c>
      <c r="B1130" s="308"/>
      <c r="C1130" s="308"/>
      <c r="D1130" s="309"/>
      <c r="E1130" s="315" t="s">
        <v>450</v>
      </c>
      <c r="F1130" s="308"/>
      <c r="G1130" s="356">
        <f>'04-221Master'!N35</f>
        <v>44652</v>
      </c>
      <c r="H1130" s="308"/>
      <c r="I1130" s="308"/>
      <c r="J1130" s="308"/>
      <c r="K1130" s="308"/>
      <c r="L1130" s="308"/>
      <c r="M1130" s="308"/>
      <c r="N1130" s="308"/>
    </row>
    <row r="1131" spans="1:14">
      <c r="A1131" s="353"/>
      <c r="B1131" s="310"/>
      <c r="C1131" s="310">
        <f>'04-221Master'!F1371</f>
        <v>0</v>
      </c>
      <c r="D1131" s="311"/>
      <c r="E1131" s="316"/>
      <c r="F1131" s="310"/>
      <c r="G1131" s="310"/>
      <c r="H1131" s="310"/>
      <c r="I1131" s="310"/>
      <c r="J1131" s="310"/>
      <c r="K1131" s="310"/>
      <c r="L1131" s="310"/>
      <c r="M1131" s="310"/>
      <c r="N1131" s="310"/>
    </row>
    <row r="1132" spans="1:14">
      <c r="A1132" s="353"/>
      <c r="B1132" s="310"/>
      <c r="C1132" s="310"/>
      <c r="D1132" s="311"/>
      <c r="E1132" s="357"/>
      <c r="F1132" s="310"/>
      <c r="G1132" s="310"/>
      <c r="H1132" s="310"/>
      <c r="I1132" s="310"/>
      <c r="J1132" s="310"/>
      <c r="K1132" s="310"/>
      <c r="L1132" s="310"/>
      <c r="M1132" s="310"/>
      <c r="N1132" s="310"/>
    </row>
    <row r="1133" spans="1:14" ht="15.75" thickBot="1">
      <c r="A1133" s="390"/>
      <c r="B1133" s="318"/>
      <c r="C1133" s="318"/>
      <c r="D1133" s="358"/>
      <c r="E1133" s="312"/>
      <c r="F1133" s="313"/>
      <c r="G1133" s="313"/>
      <c r="H1133" s="313"/>
      <c r="I1133" s="313"/>
      <c r="J1133" s="313"/>
      <c r="K1133" s="313"/>
      <c r="L1133" s="313"/>
      <c r="M1133" s="313"/>
      <c r="N1133" s="313"/>
    </row>
    <row r="1134" spans="1:14">
      <c r="A1134" s="1114" t="s">
        <v>5</v>
      </c>
      <c r="B1134" s="1116" t="s">
        <v>451</v>
      </c>
      <c r="C1134" s="1117"/>
      <c r="D1134" s="1116" t="s">
        <v>452</v>
      </c>
      <c r="E1134" s="1119"/>
      <c r="F1134" s="1122" t="s">
        <v>453</v>
      </c>
      <c r="G1134" s="1118" t="s">
        <v>454</v>
      </c>
      <c r="H1134" s="1124"/>
      <c r="I1134" s="1125" t="s">
        <v>455</v>
      </c>
      <c r="J1134" s="1124"/>
      <c r="K1134" s="1126"/>
      <c r="L1134" s="1125" t="s">
        <v>456</v>
      </c>
      <c r="M1134" s="1124"/>
      <c r="N1134" s="1124"/>
    </row>
    <row r="1135" spans="1:14" ht="15.75" thickBot="1">
      <c r="A1135" s="1115"/>
      <c r="B1135" s="1118"/>
      <c r="C1135" s="1119"/>
      <c r="D1135" s="1118"/>
      <c r="E1135" s="1119"/>
      <c r="F1135" s="1123"/>
      <c r="G1135" s="1118"/>
      <c r="H1135" s="1124"/>
      <c r="I1135" s="1127"/>
      <c r="J1135" s="1128"/>
      <c r="K1135" s="1129"/>
      <c r="L1135" s="1127"/>
      <c r="M1135" s="1128"/>
      <c r="N1135" s="1128"/>
    </row>
    <row r="1136" spans="1:14">
      <c r="A1136" s="391">
        <v>1</v>
      </c>
      <c r="B1136" s="1120"/>
      <c r="C1136" s="1121"/>
      <c r="D1136" s="1120"/>
      <c r="E1136" s="1121"/>
      <c r="F1136" s="322">
        <v>6</v>
      </c>
      <c r="G1136" s="1120"/>
      <c r="H1136" s="1121"/>
      <c r="I1136" s="359">
        <v>9</v>
      </c>
      <c r="J1136" s="359"/>
      <c r="K1136" s="359"/>
      <c r="L1136" s="359">
        <v>9</v>
      </c>
      <c r="M1136" s="359"/>
      <c r="N1136" s="359"/>
    </row>
    <row r="1137" spans="1:15" ht="38.25">
      <c r="A1137" s="537"/>
      <c r="B1137" s="360" t="s">
        <v>457</v>
      </c>
      <c r="C1137" s="360" t="s">
        <v>458</v>
      </c>
      <c r="D1137" s="360" t="s">
        <v>459</v>
      </c>
      <c r="E1137" s="360" t="s">
        <v>133</v>
      </c>
      <c r="F1137" s="360"/>
      <c r="G1137" s="360" t="s">
        <v>460</v>
      </c>
      <c r="H1137" s="360" t="s">
        <v>461</v>
      </c>
      <c r="I1137" s="360" t="s">
        <v>462</v>
      </c>
      <c r="J1137" s="360" t="s">
        <v>463</v>
      </c>
      <c r="K1137" s="360" t="s">
        <v>464</v>
      </c>
      <c r="L1137" s="360" t="s">
        <v>465</v>
      </c>
      <c r="M1137" s="360" t="s">
        <v>466</v>
      </c>
      <c r="N1137" s="360" t="s">
        <v>467</v>
      </c>
    </row>
    <row r="1138" spans="1:15">
      <c r="A1138" s="393"/>
      <c r="B1138" s="346"/>
      <c r="C1138" s="346"/>
      <c r="D1138" s="346"/>
      <c r="E1138" s="346"/>
      <c r="F1138" s="346"/>
      <c r="G1138" s="346"/>
      <c r="H1138" s="346"/>
      <c r="I1138" s="346"/>
      <c r="J1138" s="346"/>
      <c r="K1138" s="346"/>
      <c r="L1138" s="346"/>
      <c r="M1138" s="346"/>
      <c r="N1138" s="346"/>
    </row>
    <row r="1139" spans="1:15" s="388" customFormat="1">
      <c r="A1139" s="393" t="s">
        <v>846</v>
      </c>
      <c r="B1139" s="346">
        <v>1.5</v>
      </c>
      <c r="C1139" s="346">
        <v>0</v>
      </c>
      <c r="D1139" s="346">
        <v>0</v>
      </c>
      <c r="E1139" s="346">
        <v>0</v>
      </c>
      <c r="F1139" s="346">
        <f>F1138+B1139-C1139</f>
        <v>1.5</v>
      </c>
      <c r="G1139" s="346"/>
      <c r="H1139" s="346"/>
      <c r="I1139" s="346" t="s">
        <v>489</v>
      </c>
      <c r="J1139" s="346" t="s">
        <v>489</v>
      </c>
      <c r="K1139" s="346" t="s">
        <v>489</v>
      </c>
      <c r="L1139" s="346"/>
      <c r="M1139" s="346"/>
      <c r="N1139" s="346"/>
      <c r="O1139" s="388">
        <v>20</v>
      </c>
    </row>
    <row r="1140" spans="1:15">
      <c r="A1140" s="710"/>
      <c r="B1140" s="346"/>
      <c r="C1140" s="346"/>
      <c r="D1140" s="346"/>
      <c r="E1140" s="346"/>
      <c r="F1140" s="409"/>
      <c r="G1140" s="346"/>
      <c r="H1140" s="346"/>
      <c r="I1140" s="409"/>
      <c r="J1140" s="409"/>
      <c r="K1140" s="409"/>
      <c r="L1140" s="346"/>
      <c r="M1140" s="346"/>
      <c r="N1140" s="346"/>
    </row>
    <row r="1141" spans="1:15">
      <c r="A1141" s="321"/>
      <c r="B1141" s="321"/>
      <c r="C1141" s="321"/>
      <c r="D1141" s="321"/>
      <c r="E1141" s="321"/>
      <c r="F1141" s="321"/>
      <c r="G1141" s="321"/>
      <c r="H1141" s="321"/>
      <c r="I1141" s="321"/>
      <c r="J1141" s="321"/>
      <c r="K1141" s="321"/>
      <c r="L1141" s="321"/>
      <c r="M1141" s="321"/>
      <c r="N1141" s="321"/>
    </row>
    <row r="1142" spans="1:15">
      <c r="A1142" s="393"/>
      <c r="B1142" s="346"/>
      <c r="C1142" s="346"/>
      <c r="D1142" s="499"/>
      <c r="E1142" s="499"/>
      <c r="F1142" s="346"/>
      <c r="G1142" s="346"/>
      <c r="H1142" s="346"/>
      <c r="I1142" s="346"/>
      <c r="J1142" s="346"/>
      <c r="K1142" s="346"/>
      <c r="L1142" s="346"/>
      <c r="M1142" s="346"/>
      <c r="N1142" s="346"/>
    </row>
    <row r="1143" spans="1:15">
      <c r="A1143" s="393"/>
      <c r="B1143" s="346"/>
      <c r="C1143" s="346"/>
      <c r="D1143" s="436"/>
      <c r="E1143" s="436"/>
      <c r="F1143" s="346"/>
      <c r="G1143" s="346"/>
      <c r="H1143" s="346"/>
      <c r="I1143" s="346"/>
      <c r="J1143" s="346"/>
      <c r="K1143" s="434"/>
      <c r="L1143" s="346"/>
      <c r="M1143" s="346"/>
      <c r="N1143" s="346"/>
    </row>
    <row r="1144" spans="1:15">
      <c r="A1144" s="394"/>
      <c r="B1144" s="346"/>
      <c r="C1144" s="346"/>
      <c r="D1144" s="499"/>
      <c r="E1144" s="499"/>
      <c r="F1144" s="346"/>
      <c r="G1144" s="346"/>
      <c r="H1144" s="346"/>
      <c r="I1144" s="346"/>
      <c r="J1144" s="346"/>
      <c r="K1144" s="346"/>
      <c r="L1144" s="346"/>
      <c r="M1144" s="346"/>
      <c r="N1144" s="346"/>
    </row>
    <row r="1145" spans="1:15">
      <c r="A1145" s="394"/>
      <c r="B1145" s="346"/>
      <c r="C1145" s="346"/>
      <c r="D1145" s="499"/>
      <c r="E1145" s="499"/>
      <c r="F1145" s="346"/>
      <c r="G1145" s="346"/>
      <c r="H1145" s="346"/>
      <c r="I1145" s="346"/>
      <c r="J1145" s="346"/>
      <c r="K1145" s="346"/>
      <c r="L1145" s="346"/>
      <c r="M1145" s="346"/>
      <c r="N1145" s="346"/>
    </row>
    <row r="1146" spans="1:15">
      <c r="A1146" s="394"/>
      <c r="B1146" s="346"/>
      <c r="C1146" s="346"/>
      <c r="D1146" s="499"/>
      <c r="E1146" s="499"/>
      <c r="F1146" s="346"/>
      <c r="G1146" s="346"/>
      <c r="H1146" s="346"/>
      <c r="I1146" s="346"/>
      <c r="J1146" s="346"/>
      <c r="K1146" s="346"/>
      <c r="L1146" s="346"/>
      <c r="M1146" s="346"/>
      <c r="N1146" s="346"/>
    </row>
    <row r="1147" spans="1:15">
      <c r="A1147" s="394"/>
      <c r="B1147" s="346"/>
      <c r="C1147" s="346"/>
      <c r="D1147" s="499"/>
      <c r="E1147" s="499"/>
      <c r="F1147" s="346"/>
      <c r="G1147" s="346"/>
      <c r="H1147" s="346"/>
      <c r="I1147" s="346"/>
      <c r="J1147" s="346"/>
      <c r="K1147" s="346"/>
      <c r="L1147" s="346"/>
      <c r="M1147" s="346"/>
      <c r="N1147" s="346"/>
    </row>
    <row r="1148" spans="1:15">
      <c r="A1148" s="394"/>
      <c r="B1148" s="346"/>
      <c r="C1148" s="346"/>
      <c r="D1148" s="499"/>
      <c r="E1148" s="436"/>
      <c r="F1148" s="346"/>
      <c r="G1148" s="346"/>
      <c r="H1148" s="346"/>
      <c r="I1148" s="346"/>
      <c r="J1148" s="346"/>
      <c r="K1148" s="346"/>
      <c r="L1148" s="346"/>
      <c r="M1148" s="346"/>
      <c r="N1148" s="346"/>
    </row>
    <row r="1149" spans="1:15">
      <c r="A1149" s="394"/>
      <c r="B1149" s="346"/>
      <c r="C1149" s="346"/>
      <c r="D1149" s="362"/>
      <c r="E1149" s="362"/>
      <c r="F1149" s="346"/>
      <c r="G1149" s="346"/>
      <c r="H1149" s="346"/>
      <c r="I1149" s="346"/>
      <c r="J1149" s="346"/>
      <c r="K1149" s="346"/>
      <c r="L1149" s="346"/>
      <c r="M1149" s="346"/>
      <c r="N1149" s="346"/>
    </row>
    <row r="1150" spans="1:15">
      <c r="A1150" s="394"/>
      <c r="B1150" s="346"/>
      <c r="C1150" s="346"/>
      <c r="D1150" s="362"/>
      <c r="E1150" s="362"/>
      <c r="F1150" s="346"/>
      <c r="G1150" s="346"/>
      <c r="H1150" s="346"/>
      <c r="I1150" s="346"/>
      <c r="J1150" s="346"/>
      <c r="K1150" s="346"/>
      <c r="L1150" s="346"/>
      <c r="M1150" s="346"/>
      <c r="N1150" s="346"/>
    </row>
    <row r="1151" spans="1:15">
      <c r="A1151" s="394"/>
      <c r="B1151" s="346"/>
      <c r="C1151" s="346"/>
      <c r="D1151" s="362"/>
      <c r="E1151" s="362"/>
      <c r="F1151" s="346"/>
      <c r="G1151" s="346"/>
      <c r="H1151" s="346"/>
      <c r="I1151" s="346"/>
      <c r="J1151" s="346"/>
      <c r="K1151" s="346"/>
      <c r="L1151" s="346"/>
      <c r="M1151" s="346"/>
      <c r="N1151" s="346"/>
    </row>
    <row r="1152" spans="1:15">
      <c r="A1152" s="394"/>
      <c r="B1152" s="346"/>
      <c r="C1152" s="346"/>
      <c r="D1152" s="362"/>
      <c r="E1152" s="362"/>
      <c r="F1152" s="346"/>
      <c r="G1152" s="346"/>
      <c r="H1152" s="346"/>
      <c r="I1152" s="346"/>
      <c r="J1152" s="346"/>
      <c r="K1152" s="346"/>
      <c r="L1152" s="346"/>
      <c r="M1152" s="346"/>
      <c r="N1152" s="346"/>
    </row>
    <row r="1153" spans="1:14">
      <c r="A1153" s="394"/>
      <c r="B1153" s="346"/>
      <c r="C1153" s="346"/>
      <c r="D1153" s="362"/>
      <c r="E1153" s="362"/>
      <c r="F1153" s="346"/>
      <c r="G1153" s="346"/>
      <c r="H1153" s="346"/>
      <c r="I1153" s="346"/>
      <c r="J1153" s="346"/>
      <c r="K1153" s="346"/>
      <c r="L1153" s="346"/>
      <c r="M1153" s="346"/>
      <c r="N1153" s="346"/>
    </row>
    <row r="1154" spans="1:14">
      <c r="A1154" s="392"/>
      <c r="B1154" s="346"/>
      <c r="C1154" s="346"/>
      <c r="D1154" s="346"/>
      <c r="E1154" s="346"/>
      <c r="F1154" s="346"/>
      <c r="G1154" s="346"/>
      <c r="H1154" s="346"/>
      <c r="I1154" s="346"/>
      <c r="J1154" s="346"/>
      <c r="K1154" s="346"/>
      <c r="L1154" s="346"/>
      <c r="M1154" s="346"/>
      <c r="N1154" s="346"/>
    </row>
    <row r="1155" spans="1:14">
      <c r="A1155" s="392"/>
      <c r="B1155" s="346"/>
      <c r="C1155" s="346"/>
      <c r="D1155" s="346"/>
      <c r="E1155" s="346"/>
      <c r="F1155" s="346"/>
      <c r="G1155" s="346"/>
      <c r="H1155" s="346"/>
      <c r="I1155" s="346"/>
      <c r="J1155" s="346"/>
      <c r="K1155" s="346"/>
      <c r="L1155" s="346"/>
      <c r="M1155" s="346"/>
      <c r="N1155" s="346"/>
    </row>
    <row r="1156" spans="1:14">
      <c r="A1156" s="392"/>
      <c r="B1156" s="346"/>
      <c r="C1156" s="346"/>
      <c r="D1156" s="346"/>
      <c r="E1156" s="346"/>
      <c r="F1156" s="346"/>
      <c r="G1156" s="346"/>
      <c r="H1156" s="346"/>
      <c r="I1156" s="346"/>
      <c r="J1156" s="346"/>
      <c r="K1156" s="346"/>
      <c r="L1156" s="346"/>
      <c r="M1156" s="346"/>
      <c r="N1156" s="346"/>
    </row>
    <row r="1157" spans="1:14">
      <c r="A1157" s="392"/>
      <c r="B1157" s="346"/>
      <c r="C1157" s="346"/>
      <c r="D1157" s="346"/>
      <c r="E1157" s="346"/>
      <c r="F1157" s="346"/>
      <c r="G1157" s="346"/>
      <c r="H1157" s="346"/>
      <c r="I1157" s="346"/>
      <c r="J1157" s="346"/>
      <c r="K1157" s="346"/>
      <c r="L1157" s="346"/>
      <c r="M1157" s="346"/>
      <c r="N1157" s="346"/>
    </row>
    <row r="1158" spans="1:14">
      <c r="A1158" s="392"/>
      <c r="B1158" s="346"/>
      <c r="C1158" s="346"/>
      <c r="D1158" s="346"/>
      <c r="E1158" s="346"/>
      <c r="F1158" s="346"/>
      <c r="G1158" s="346"/>
      <c r="H1158" s="346"/>
      <c r="I1158" s="346"/>
      <c r="J1158" s="346"/>
      <c r="K1158" s="346"/>
      <c r="L1158" s="346"/>
      <c r="M1158" s="346"/>
      <c r="N1158" s="346"/>
    </row>
    <row r="1159" spans="1:14">
      <c r="A1159" s="353"/>
      <c r="B1159" s="310"/>
      <c r="C1159" s="310"/>
      <c r="D1159" s="310"/>
      <c r="E1159" s="310"/>
      <c r="F1159" s="310"/>
      <c r="G1159" s="310"/>
      <c r="H1159" s="310"/>
      <c r="I1159" s="310"/>
      <c r="J1159" s="310"/>
      <c r="K1159" s="310"/>
      <c r="L1159" s="310"/>
      <c r="M1159" s="310"/>
      <c r="N1159" s="310"/>
    </row>
    <row r="1160" spans="1:14">
      <c r="A1160" s="353"/>
      <c r="B1160" s="310"/>
      <c r="C1160" s="310"/>
      <c r="D1160" s="310"/>
      <c r="E1160" s="310"/>
      <c r="F1160" s="310"/>
      <c r="G1160" s="310"/>
      <c r="H1160" s="310"/>
      <c r="I1160" s="310"/>
      <c r="J1160" s="310"/>
      <c r="K1160" s="310"/>
      <c r="L1160" s="310"/>
      <c r="M1160" s="310"/>
      <c r="N1160" s="310"/>
    </row>
    <row r="1161" spans="1:14">
      <c r="A1161" s="353"/>
      <c r="B1161" s="310"/>
      <c r="C1161" s="310"/>
      <c r="D1161" s="310"/>
      <c r="E1161" s="310"/>
      <c r="F1161" s="310"/>
      <c r="G1161" s="310"/>
      <c r="H1161" s="310"/>
      <c r="I1161" s="310"/>
      <c r="J1161" s="310"/>
      <c r="K1161" s="310"/>
      <c r="L1161" s="310"/>
      <c r="M1161" s="310"/>
      <c r="N1161" s="310"/>
    </row>
    <row r="1162" spans="1:14">
      <c r="A1162" s="396"/>
      <c r="B1162" s="395"/>
      <c r="C1162" s="395"/>
      <c r="D1162" s="395"/>
      <c r="E1162" s="395"/>
      <c r="F1162" s="395"/>
      <c r="G1162" s="395"/>
      <c r="H1162" s="395"/>
      <c r="I1162" s="395"/>
      <c r="J1162" s="395"/>
      <c r="K1162" s="395"/>
      <c r="L1162" s="395"/>
      <c r="M1162" s="395"/>
      <c r="N1162" s="395"/>
    </row>
    <row r="1163" spans="1:14">
      <c r="A1163" s="396"/>
      <c r="B1163" s="395"/>
      <c r="C1163" s="395"/>
      <c r="D1163" s="395"/>
      <c r="E1163" s="395"/>
      <c r="F1163" s="395"/>
      <c r="G1163" s="395"/>
      <c r="H1163" s="395"/>
      <c r="I1163" s="395"/>
      <c r="J1163" s="395"/>
      <c r="K1163" s="395"/>
      <c r="L1163" s="395"/>
      <c r="M1163" s="395"/>
      <c r="N1163" s="395"/>
    </row>
    <row r="1164" spans="1:14">
      <c r="A1164" s="396"/>
      <c r="B1164" s="395"/>
      <c r="C1164" s="395"/>
      <c r="D1164" s="395"/>
      <c r="E1164" s="395"/>
      <c r="F1164" s="395"/>
      <c r="G1164" s="395"/>
      <c r="H1164" s="395"/>
      <c r="I1164" s="395"/>
      <c r="J1164" s="395"/>
      <c r="K1164" s="395"/>
      <c r="L1164" s="395"/>
      <c r="M1164" s="395"/>
      <c r="N1164" s="395"/>
    </row>
    <row r="1165" spans="1:14" ht="15.75" thickBot="1">
      <c r="A1165" s="397"/>
      <c r="B1165" s="398"/>
      <c r="C1165" s="398"/>
      <c r="D1165" s="398"/>
      <c r="E1165" s="398"/>
      <c r="F1165" s="398"/>
      <c r="G1165" s="1104" t="s">
        <v>38</v>
      </c>
      <c r="H1165" s="1104"/>
      <c r="I1165" s="1104"/>
      <c r="J1165" s="1104"/>
      <c r="K1165" s="1104"/>
      <c r="L1165" s="1104"/>
      <c r="M1165" s="1104"/>
      <c r="N1165" s="1104"/>
    </row>
    <row r="1166" spans="1:14">
      <c r="A1166" s="388"/>
      <c r="B1166" s="388"/>
      <c r="C1166" s="388"/>
      <c r="D1166" s="388"/>
      <c r="E1166" s="388"/>
      <c r="F1166" s="388"/>
      <c r="G1166" s="388"/>
      <c r="H1166" s="388"/>
      <c r="I1166" s="388"/>
      <c r="J1166" s="388"/>
      <c r="K1166" s="388"/>
      <c r="L1166" s="388"/>
      <c r="M1166" s="388"/>
      <c r="N1166" s="388"/>
    </row>
    <row r="1167" spans="1:14">
      <c r="A1167" s="388"/>
      <c r="B1167" s="388"/>
      <c r="C1167" s="388"/>
      <c r="D1167" s="388"/>
      <c r="E1167" s="388"/>
      <c r="F1167" s="388"/>
      <c r="G1167" s="388"/>
      <c r="H1167" s="388"/>
      <c r="I1167" s="388"/>
      <c r="J1167" s="388"/>
      <c r="K1167" s="388"/>
      <c r="L1167" s="388"/>
      <c r="M1167" s="388"/>
      <c r="N1167" s="388"/>
    </row>
    <row r="1168" spans="1:14">
      <c r="A1168" s="388"/>
      <c r="B1168" s="388"/>
      <c r="C1168" s="388"/>
      <c r="D1168" s="388"/>
      <c r="E1168" s="388"/>
      <c r="F1168" s="388"/>
      <c r="G1168" s="388"/>
      <c r="H1168" s="388"/>
      <c r="I1168" s="388"/>
      <c r="J1168" s="388"/>
      <c r="K1168" s="388"/>
      <c r="L1168" s="388"/>
      <c r="M1168" s="388"/>
      <c r="N1168" s="388"/>
    </row>
    <row r="1169" spans="1:14">
      <c r="A1169" s="388"/>
      <c r="B1169" s="388"/>
      <c r="C1169" s="388"/>
      <c r="D1169" s="388"/>
      <c r="E1169" s="388"/>
      <c r="F1169" s="388"/>
      <c r="G1169" s="388"/>
      <c r="H1169" s="388"/>
      <c r="I1169" s="388"/>
      <c r="J1169" s="388"/>
      <c r="K1169" s="388"/>
      <c r="L1169" s="388"/>
      <c r="M1169" s="388"/>
      <c r="N1169" s="388"/>
    </row>
    <row r="1170" spans="1:14">
      <c r="A1170" s="388"/>
      <c r="B1170" s="388"/>
      <c r="C1170" s="388"/>
      <c r="D1170" s="388"/>
      <c r="E1170" s="388"/>
      <c r="F1170" s="388"/>
      <c r="G1170" s="388"/>
      <c r="H1170" s="388"/>
      <c r="I1170" s="388"/>
      <c r="J1170" s="388"/>
      <c r="K1170" s="388"/>
      <c r="L1170" s="388"/>
      <c r="M1170" s="388"/>
      <c r="N1170" s="388"/>
    </row>
    <row r="1171" spans="1:14">
      <c r="A1171" s="388"/>
      <c r="B1171" s="388"/>
      <c r="C1171" s="388"/>
      <c r="D1171" s="388"/>
      <c r="E1171" s="388"/>
      <c r="F1171" s="388"/>
      <c r="G1171" s="388"/>
      <c r="H1171" s="388"/>
      <c r="I1171" s="388"/>
      <c r="J1171" s="388"/>
      <c r="K1171" s="388"/>
      <c r="L1171" s="388"/>
      <c r="M1171" s="388"/>
      <c r="N1171" s="388"/>
    </row>
    <row r="1172" spans="1:14">
      <c r="A1172" s="388"/>
      <c r="B1172" s="388"/>
      <c r="C1172" s="388"/>
      <c r="D1172" s="388"/>
      <c r="E1172" s="388"/>
      <c r="F1172" s="388"/>
      <c r="G1172" s="388"/>
      <c r="H1172" s="388"/>
      <c r="I1172" s="388"/>
      <c r="J1172" s="388"/>
      <c r="K1172" s="388"/>
      <c r="L1172" s="388"/>
      <c r="M1172" s="388"/>
      <c r="N1172" s="388"/>
    </row>
    <row r="1173" spans="1:14">
      <c r="A1173" s="388"/>
      <c r="B1173" s="388"/>
      <c r="C1173" s="388"/>
      <c r="D1173" s="388"/>
      <c r="E1173" s="388"/>
      <c r="F1173" s="388"/>
      <c r="G1173" s="388"/>
      <c r="H1173" s="388"/>
      <c r="I1173" s="388"/>
      <c r="J1173" s="388"/>
      <c r="K1173" s="388"/>
      <c r="L1173" s="388"/>
      <c r="M1173" s="388"/>
      <c r="N1173" s="388"/>
    </row>
    <row r="1174" spans="1:14">
      <c r="A1174" s="388"/>
      <c r="B1174" s="388"/>
      <c r="C1174" s="388"/>
      <c r="D1174" s="388"/>
      <c r="E1174" s="388"/>
      <c r="F1174" s="388"/>
      <c r="G1174" s="388"/>
      <c r="H1174" s="388"/>
      <c r="I1174" s="388"/>
      <c r="J1174" s="388"/>
      <c r="K1174" s="388"/>
      <c r="L1174" s="388"/>
      <c r="M1174" s="388"/>
      <c r="N1174" s="388"/>
    </row>
    <row r="1175" spans="1:14">
      <c r="A1175" s="388"/>
      <c r="B1175" s="388"/>
      <c r="C1175" s="388"/>
      <c r="D1175" s="388"/>
      <c r="E1175" s="388"/>
      <c r="F1175" s="388"/>
      <c r="G1175" s="388"/>
      <c r="H1175" s="388"/>
      <c r="I1175" s="388"/>
      <c r="J1175" s="388"/>
      <c r="K1175" s="388"/>
      <c r="L1175" s="388"/>
      <c r="M1175" s="388"/>
      <c r="N1175" s="388"/>
    </row>
    <row r="1176" spans="1:14">
      <c r="A1176" s="388"/>
      <c r="B1176" s="388"/>
      <c r="C1176" s="388"/>
      <c r="D1176" s="388"/>
      <c r="E1176" s="388"/>
      <c r="F1176" s="388"/>
      <c r="G1176" s="388"/>
      <c r="H1176" s="388"/>
      <c r="I1176" s="388"/>
      <c r="J1176" s="388"/>
      <c r="K1176" s="388"/>
      <c r="L1176" s="388"/>
      <c r="M1176" s="388"/>
      <c r="N1176" s="388"/>
    </row>
    <row r="1177" spans="1:14">
      <c r="A1177" s="388"/>
      <c r="B1177" s="388"/>
      <c r="C1177" s="388"/>
      <c r="D1177" s="388"/>
      <c r="E1177" s="388"/>
      <c r="F1177" s="388"/>
      <c r="G1177" s="388"/>
      <c r="H1177" s="388"/>
      <c r="I1177" s="388"/>
      <c r="J1177" s="388"/>
      <c r="K1177" s="388"/>
      <c r="L1177" s="388"/>
      <c r="M1177" s="388"/>
      <c r="N1177" s="388"/>
    </row>
    <row r="1178" spans="1:14">
      <c r="A1178" s="388"/>
      <c r="B1178" s="388"/>
      <c r="C1178" s="388"/>
      <c r="D1178" s="388"/>
      <c r="E1178" s="388"/>
      <c r="F1178" s="388"/>
      <c r="G1178" s="388"/>
      <c r="H1178" s="388"/>
      <c r="I1178" s="388"/>
      <c r="J1178" s="388"/>
      <c r="K1178" s="388"/>
      <c r="L1178" s="388"/>
      <c r="M1178" s="388"/>
      <c r="N1178" s="388"/>
    </row>
    <row r="1179" spans="1:14">
      <c r="A1179" s="388"/>
      <c r="B1179" s="388"/>
      <c r="C1179" s="388"/>
      <c r="D1179" s="388"/>
      <c r="E1179" s="388"/>
      <c r="F1179" s="388"/>
      <c r="G1179" s="388"/>
      <c r="H1179" s="388"/>
      <c r="I1179" s="388"/>
      <c r="J1179" s="388"/>
      <c r="K1179" s="388"/>
      <c r="L1179" s="388"/>
      <c r="M1179" s="388"/>
      <c r="N1179" s="388"/>
    </row>
    <row r="1180" spans="1:14">
      <c r="A1180" s="388"/>
      <c r="B1180" s="388"/>
      <c r="C1180" s="388"/>
      <c r="D1180" s="388"/>
      <c r="E1180" s="388"/>
      <c r="F1180" s="388"/>
      <c r="G1180" s="388"/>
      <c r="H1180" s="388"/>
      <c r="I1180" s="388"/>
      <c r="J1180" s="388"/>
      <c r="K1180" s="388"/>
      <c r="L1180" s="388"/>
      <c r="M1180" s="388"/>
      <c r="N1180" s="388"/>
    </row>
    <row r="1181" spans="1:14" ht="15.75" thickBot="1">
      <c r="A1181" s="388"/>
      <c r="B1181" s="388"/>
      <c r="C1181" s="388"/>
      <c r="D1181" s="388"/>
      <c r="E1181" s="388"/>
      <c r="F1181" s="388"/>
      <c r="G1181" s="388"/>
      <c r="H1181" s="388"/>
      <c r="I1181" s="388"/>
      <c r="J1181" s="388"/>
      <c r="K1181" s="388"/>
      <c r="L1181" s="388"/>
      <c r="M1181" s="388"/>
      <c r="N1181" s="388"/>
    </row>
    <row r="1182" spans="1:14">
      <c r="A1182" s="1105" t="s">
        <v>448</v>
      </c>
      <c r="B1182" s="1106"/>
      <c r="C1182" s="1106"/>
      <c r="D1182" s="1106"/>
      <c r="E1182" s="1106"/>
      <c r="F1182" s="1106"/>
      <c r="G1182" s="1106"/>
      <c r="H1182" s="1106"/>
      <c r="I1182" s="1106"/>
      <c r="J1182" s="1106"/>
      <c r="K1182" s="1106"/>
      <c r="L1182" s="1106"/>
      <c r="M1182" s="1106"/>
      <c r="N1182" s="1106"/>
    </row>
    <row r="1183" spans="1:14" ht="15.75" thickBot="1">
      <c r="A1183" s="1107"/>
      <c r="B1183" s="1108"/>
      <c r="C1183" s="1108"/>
      <c r="D1183" s="1108"/>
      <c r="E1183" s="1108"/>
      <c r="F1183" s="1108"/>
      <c r="G1183" s="1108"/>
      <c r="H1183" s="1108"/>
      <c r="I1183" s="1108"/>
      <c r="J1183" s="1108"/>
      <c r="K1183" s="1108"/>
      <c r="L1183" s="1108"/>
      <c r="M1183" s="1108"/>
      <c r="N1183" s="1108"/>
    </row>
    <row r="1184" spans="1:14" ht="15.75" thickBot="1">
      <c r="A1184" s="1109" t="s">
        <v>449</v>
      </c>
      <c r="B1184" s="1110"/>
      <c r="C1184" s="1110"/>
      <c r="D1184" s="1110"/>
      <c r="E1184" s="1110"/>
      <c r="F1184" s="1110"/>
      <c r="G1184" s="1110"/>
      <c r="H1184" s="1110"/>
      <c r="I1184" s="1110"/>
      <c r="J1184" s="1110"/>
      <c r="K1184" s="1110"/>
      <c r="L1184" s="1110"/>
      <c r="M1184" s="1110"/>
      <c r="N1184" s="1110"/>
    </row>
    <row r="1185" spans="1:15">
      <c r="A1185" s="351" t="s">
        <v>479</v>
      </c>
      <c r="B1185" s="308"/>
      <c r="C1185" s="308"/>
      <c r="D1185" s="309"/>
      <c r="E1185" s="1111" t="s">
        <v>480</v>
      </c>
      <c r="F1185" s="1112"/>
      <c r="G1185" s="1112"/>
      <c r="H1185" s="352"/>
      <c r="I1185" s="352"/>
      <c r="J1185" s="352"/>
      <c r="K1185" s="352"/>
      <c r="L1185" s="352"/>
      <c r="M1185" s="352"/>
      <c r="N1185" s="352"/>
    </row>
    <row r="1186" spans="1:15">
      <c r="A1186" s="353"/>
      <c r="B1186" s="419" t="s">
        <v>382</v>
      </c>
      <c r="C1186" s="310"/>
      <c r="D1186" s="311"/>
      <c r="E1186" s="354"/>
      <c r="F1186" s="355"/>
      <c r="G1186" s="1113" t="str">
        <f>'04-221Master'!B36</f>
        <v xml:space="preserve">DiptiRanjan Dikhit </v>
      </c>
      <c r="H1186" s="1113"/>
      <c r="I1186" s="1113"/>
      <c r="J1186" s="355"/>
      <c r="K1186" s="355"/>
      <c r="L1186" s="355"/>
      <c r="M1186" s="355"/>
      <c r="N1186" s="355"/>
    </row>
    <row r="1187" spans="1:15" ht="15.75" thickBot="1">
      <c r="A1187" s="312"/>
      <c r="B1187" s="421" t="s">
        <v>383</v>
      </c>
      <c r="C1187" s="313"/>
      <c r="D1187" s="314"/>
      <c r="E1187" s="354"/>
      <c r="F1187" s="355"/>
      <c r="G1187" s="355"/>
      <c r="H1187" s="355"/>
      <c r="I1187" s="355"/>
      <c r="J1187" s="355"/>
      <c r="K1187" s="355"/>
      <c r="L1187" s="355"/>
      <c r="M1187" s="355"/>
      <c r="N1187" s="355"/>
    </row>
    <row r="1188" spans="1:15">
      <c r="A1188" s="315" t="s">
        <v>481</v>
      </c>
      <c r="B1188" s="308"/>
      <c r="C1188" s="308"/>
      <c r="D1188" s="309"/>
      <c r="E1188" s="315" t="s">
        <v>450</v>
      </c>
      <c r="F1188" s="308"/>
      <c r="G1188" s="356">
        <f>'04-221Master'!N36</f>
        <v>44655</v>
      </c>
      <c r="H1188" s="308"/>
      <c r="I1188" s="308"/>
      <c r="J1188" s="308"/>
      <c r="K1188" s="308"/>
      <c r="L1188" s="308"/>
      <c r="M1188" s="308"/>
      <c r="N1188" s="308"/>
    </row>
    <row r="1189" spans="1:15">
      <c r="A1189" s="353"/>
      <c r="B1189" s="310"/>
      <c r="C1189" s="310">
        <f>'04-221Master'!F1429</f>
        <v>0</v>
      </c>
      <c r="D1189" s="311"/>
      <c r="E1189" s="316"/>
      <c r="F1189" s="310"/>
      <c r="G1189" s="310"/>
      <c r="H1189" s="310"/>
      <c r="I1189" s="310"/>
      <c r="J1189" s="310"/>
      <c r="K1189" s="310"/>
      <c r="L1189" s="310"/>
      <c r="M1189" s="310"/>
      <c r="N1189" s="310"/>
    </row>
    <row r="1190" spans="1:15">
      <c r="A1190" s="353"/>
      <c r="B1190" s="310"/>
      <c r="C1190" s="310"/>
      <c r="D1190" s="311"/>
      <c r="E1190" s="357"/>
      <c r="F1190" s="310"/>
      <c r="G1190" s="310"/>
      <c r="H1190" s="310"/>
      <c r="I1190" s="310"/>
      <c r="J1190" s="310"/>
      <c r="K1190" s="310"/>
      <c r="L1190" s="310"/>
      <c r="M1190" s="310"/>
      <c r="N1190" s="310"/>
    </row>
    <row r="1191" spans="1:15" ht="15.75" thickBot="1">
      <c r="A1191" s="390"/>
      <c r="B1191" s="318"/>
      <c r="C1191" s="318"/>
      <c r="D1191" s="358"/>
      <c r="E1191" s="312"/>
      <c r="F1191" s="313"/>
      <c r="G1191" s="313"/>
      <c r="H1191" s="313"/>
      <c r="I1191" s="313"/>
      <c r="J1191" s="313"/>
      <c r="K1191" s="313"/>
      <c r="L1191" s="313"/>
      <c r="M1191" s="313"/>
      <c r="N1191" s="313"/>
    </row>
    <row r="1192" spans="1:15">
      <c r="A1192" s="1114" t="s">
        <v>5</v>
      </c>
      <c r="B1192" s="1116" t="s">
        <v>451</v>
      </c>
      <c r="C1192" s="1117"/>
      <c r="D1192" s="1116" t="s">
        <v>452</v>
      </c>
      <c r="E1192" s="1119"/>
      <c r="F1192" s="1122" t="s">
        <v>453</v>
      </c>
      <c r="G1192" s="1118" t="s">
        <v>454</v>
      </c>
      <c r="H1192" s="1124"/>
      <c r="I1192" s="1125" t="s">
        <v>455</v>
      </c>
      <c r="J1192" s="1124"/>
      <c r="K1192" s="1126"/>
      <c r="L1192" s="1125" t="s">
        <v>456</v>
      </c>
      <c r="M1192" s="1124"/>
      <c r="N1192" s="1124"/>
    </row>
    <row r="1193" spans="1:15" ht="15.75" thickBot="1">
      <c r="A1193" s="1115"/>
      <c r="B1193" s="1118"/>
      <c r="C1193" s="1119"/>
      <c r="D1193" s="1118"/>
      <c r="E1193" s="1119"/>
      <c r="F1193" s="1123"/>
      <c r="G1193" s="1118"/>
      <c r="H1193" s="1124"/>
      <c r="I1193" s="1127"/>
      <c r="J1193" s="1128"/>
      <c r="K1193" s="1129"/>
      <c r="L1193" s="1127"/>
      <c r="M1193" s="1128"/>
      <c r="N1193" s="1128"/>
    </row>
    <row r="1194" spans="1:15">
      <c r="A1194" s="391">
        <v>1</v>
      </c>
      <c r="B1194" s="1120"/>
      <c r="C1194" s="1121"/>
      <c r="D1194" s="1120"/>
      <c r="E1194" s="1121"/>
      <c r="F1194" s="322">
        <v>6</v>
      </c>
      <c r="G1194" s="1120"/>
      <c r="H1194" s="1121"/>
      <c r="I1194" s="359">
        <v>9</v>
      </c>
      <c r="J1194" s="359"/>
      <c r="K1194" s="359"/>
      <c r="L1194" s="359">
        <v>9</v>
      </c>
      <c r="M1194" s="359"/>
      <c r="N1194" s="359"/>
    </row>
    <row r="1195" spans="1:15" ht="38.25">
      <c r="A1195" s="537"/>
      <c r="B1195" s="360" t="s">
        <v>457</v>
      </c>
      <c r="C1195" s="360" t="s">
        <v>458</v>
      </c>
      <c r="D1195" s="360" t="s">
        <v>459</v>
      </c>
      <c r="E1195" s="360" t="s">
        <v>133</v>
      </c>
      <c r="F1195" s="360"/>
      <c r="G1195" s="360" t="s">
        <v>460</v>
      </c>
      <c r="H1195" s="360" t="s">
        <v>461</v>
      </c>
      <c r="I1195" s="360" t="s">
        <v>462</v>
      </c>
      <c r="J1195" s="360" t="s">
        <v>463</v>
      </c>
      <c r="K1195" s="360" t="s">
        <v>464</v>
      </c>
      <c r="L1195" s="360" t="s">
        <v>465</v>
      </c>
      <c r="M1195" s="360" t="s">
        <v>466</v>
      </c>
      <c r="N1195" s="360" t="s">
        <v>467</v>
      </c>
    </row>
    <row r="1196" spans="1:15">
      <c r="A1196" s="393"/>
      <c r="B1196" s="346"/>
      <c r="C1196" s="346"/>
      <c r="D1196" s="346"/>
      <c r="E1196" s="346"/>
      <c r="F1196" s="346"/>
      <c r="G1196" s="346"/>
      <c r="H1196" s="346"/>
      <c r="I1196" s="346"/>
      <c r="J1196" s="346"/>
      <c r="K1196" s="346"/>
      <c r="L1196" s="346"/>
      <c r="M1196" s="346"/>
      <c r="N1196" s="346"/>
    </row>
    <row r="1197" spans="1:15" s="388" customFormat="1">
      <c r="A1197" s="393" t="s">
        <v>846</v>
      </c>
      <c r="B1197" s="346">
        <v>1.5</v>
      </c>
      <c r="C1197" s="346">
        <v>0</v>
      </c>
      <c r="D1197" s="346">
        <v>0</v>
      </c>
      <c r="E1197" s="346">
        <v>0</v>
      </c>
      <c r="F1197" s="346">
        <f>F1196+B1197-C1197</f>
        <v>1.5</v>
      </c>
      <c r="G1197" s="346"/>
      <c r="H1197" s="346"/>
      <c r="I1197" s="346" t="s">
        <v>489</v>
      </c>
      <c r="J1197" s="346" t="s">
        <v>489</v>
      </c>
      <c r="K1197" s="346" t="s">
        <v>489</v>
      </c>
      <c r="L1197" s="346"/>
      <c r="M1197" s="346"/>
      <c r="N1197" s="346"/>
      <c r="O1197" s="388">
        <v>21</v>
      </c>
    </row>
    <row r="1198" spans="1:15">
      <c r="A1198" s="710"/>
      <c r="B1198" s="346"/>
      <c r="C1198" s="346"/>
      <c r="D1198" s="346"/>
      <c r="E1198" s="346"/>
      <c r="F1198" s="409"/>
      <c r="G1198" s="346"/>
      <c r="H1198" s="346"/>
      <c r="I1198" s="409"/>
      <c r="J1198" s="409"/>
      <c r="K1198" s="409"/>
      <c r="L1198" s="346"/>
      <c r="M1198" s="346"/>
      <c r="N1198" s="346"/>
    </row>
    <row r="1199" spans="1:15">
      <c r="A1199" s="321"/>
      <c r="B1199" s="321"/>
      <c r="C1199" s="321"/>
      <c r="D1199" s="321"/>
      <c r="E1199" s="321"/>
      <c r="F1199" s="321"/>
      <c r="G1199" s="321"/>
      <c r="H1199" s="321"/>
      <c r="I1199" s="321"/>
      <c r="J1199" s="321"/>
      <c r="K1199" s="321"/>
      <c r="L1199" s="321"/>
      <c r="M1199" s="321"/>
      <c r="N1199" s="321"/>
    </row>
    <row r="1200" spans="1:15">
      <c r="A1200" s="393"/>
      <c r="B1200" s="346"/>
      <c r="C1200" s="346"/>
      <c r="D1200" s="499"/>
      <c r="E1200" s="499"/>
      <c r="F1200" s="346"/>
      <c r="G1200" s="346"/>
      <c r="H1200" s="346"/>
      <c r="I1200" s="346"/>
      <c r="J1200" s="346"/>
      <c r="K1200" s="346"/>
      <c r="L1200" s="346"/>
      <c r="M1200" s="346"/>
      <c r="N1200" s="346"/>
    </row>
    <row r="1201" spans="1:14">
      <c r="A1201" s="393"/>
      <c r="B1201" s="346"/>
      <c r="C1201" s="346"/>
      <c r="D1201" s="436"/>
      <c r="E1201" s="436"/>
      <c r="F1201" s="346"/>
      <c r="G1201" s="346"/>
      <c r="H1201" s="346"/>
      <c r="I1201" s="346"/>
      <c r="J1201" s="346"/>
      <c r="K1201" s="434"/>
      <c r="L1201" s="346"/>
      <c r="M1201" s="346"/>
      <c r="N1201" s="346"/>
    </row>
    <row r="1202" spans="1:14">
      <c r="A1202" s="394"/>
      <c r="B1202" s="346"/>
      <c r="C1202" s="346"/>
      <c r="D1202" s="499"/>
      <c r="E1202" s="499"/>
      <c r="F1202" s="346"/>
      <c r="G1202" s="346"/>
      <c r="H1202" s="346"/>
      <c r="I1202" s="346"/>
      <c r="J1202" s="346"/>
      <c r="K1202" s="346"/>
      <c r="L1202" s="346"/>
      <c r="M1202" s="346"/>
      <c r="N1202" s="346"/>
    </row>
    <row r="1203" spans="1:14">
      <c r="A1203" s="394"/>
      <c r="B1203" s="346"/>
      <c r="C1203" s="346"/>
      <c r="D1203" s="499"/>
      <c r="E1203" s="499"/>
      <c r="F1203" s="346"/>
      <c r="G1203" s="346"/>
      <c r="H1203" s="346"/>
      <c r="I1203" s="346"/>
      <c r="J1203" s="346"/>
      <c r="K1203" s="346"/>
      <c r="L1203" s="346"/>
      <c r="M1203" s="346"/>
      <c r="N1203" s="346"/>
    </row>
    <row r="1204" spans="1:14">
      <c r="A1204" s="394"/>
      <c r="B1204" s="346"/>
      <c r="C1204" s="346"/>
      <c r="D1204" s="499"/>
      <c r="E1204" s="499"/>
      <c r="F1204" s="346"/>
      <c r="G1204" s="346"/>
      <c r="H1204" s="346"/>
      <c r="I1204" s="346"/>
      <c r="J1204" s="346"/>
      <c r="K1204" s="346"/>
      <c r="L1204" s="346"/>
      <c r="M1204" s="346"/>
      <c r="N1204" s="346"/>
    </row>
    <row r="1205" spans="1:14">
      <c r="A1205" s="394"/>
      <c r="B1205" s="346"/>
      <c r="C1205" s="346"/>
      <c r="D1205" s="499"/>
      <c r="E1205" s="499"/>
      <c r="F1205" s="346"/>
      <c r="G1205" s="346"/>
      <c r="H1205" s="346"/>
      <c r="I1205" s="346"/>
      <c r="J1205" s="346"/>
      <c r="K1205" s="346"/>
      <c r="L1205" s="346"/>
      <c r="M1205" s="346"/>
      <c r="N1205" s="346"/>
    </row>
    <row r="1206" spans="1:14">
      <c r="A1206" s="394"/>
      <c r="B1206" s="346"/>
      <c r="C1206" s="346"/>
      <c r="D1206" s="499"/>
      <c r="E1206" s="436"/>
      <c r="F1206" s="346"/>
      <c r="G1206" s="346"/>
      <c r="H1206" s="346"/>
      <c r="I1206" s="346"/>
      <c r="J1206" s="346"/>
      <c r="K1206" s="346"/>
      <c r="L1206" s="346"/>
      <c r="M1206" s="346"/>
      <c r="N1206" s="346"/>
    </row>
    <row r="1207" spans="1:14">
      <c r="A1207" s="394"/>
      <c r="B1207" s="346"/>
      <c r="C1207" s="346"/>
      <c r="D1207" s="362"/>
      <c r="E1207" s="362"/>
      <c r="F1207" s="346"/>
      <c r="G1207" s="346"/>
      <c r="H1207" s="346"/>
      <c r="I1207" s="346"/>
      <c r="J1207" s="346"/>
      <c r="K1207" s="346"/>
      <c r="L1207" s="346"/>
      <c r="M1207" s="346"/>
      <c r="N1207" s="346"/>
    </row>
    <row r="1208" spans="1:14">
      <c r="A1208" s="394"/>
      <c r="B1208" s="346"/>
      <c r="C1208" s="346"/>
      <c r="D1208" s="362"/>
      <c r="E1208" s="362"/>
      <c r="F1208" s="346"/>
      <c r="G1208" s="346"/>
      <c r="H1208" s="346"/>
      <c r="I1208" s="346"/>
      <c r="J1208" s="346"/>
      <c r="K1208" s="346"/>
      <c r="L1208" s="346"/>
      <c r="M1208" s="346"/>
      <c r="N1208" s="346"/>
    </row>
    <row r="1209" spans="1:14">
      <c r="A1209" s="394"/>
      <c r="B1209" s="346"/>
      <c r="C1209" s="346"/>
      <c r="D1209" s="362"/>
      <c r="E1209" s="362"/>
      <c r="F1209" s="346"/>
      <c r="G1209" s="346"/>
      <c r="H1209" s="346"/>
      <c r="I1209" s="346"/>
      <c r="J1209" s="346"/>
      <c r="K1209" s="346"/>
      <c r="L1209" s="346"/>
      <c r="M1209" s="346"/>
      <c r="N1209" s="346"/>
    </row>
    <row r="1210" spans="1:14">
      <c r="A1210" s="394"/>
      <c r="B1210" s="346"/>
      <c r="C1210" s="346"/>
      <c r="D1210" s="362"/>
      <c r="E1210" s="362"/>
      <c r="F1210" s="346"/>
      <c r="G1210" s="346"/>
      <c r="H1210" s="346"/>
      <c r="I1210" s="346"/>
      <c r="J1210" s="346"/>
      <c r="K1210" s="346"/>
      <c r="L1210" s="346"/>
      <c r="M1210" s="346"/>
      <c r="N1210" s="346"/>
    </row>
    <row r="1211" spans="1:14">
      <c r="A1211" s="394"/>
      <c r="B1211" s="346"/>
      <c r="C1211" s="346"/>
      <c r="D1211" s="362"/>
      <c r="E1211" s="362"/>
      <c r="F1211" s="346"/>
      <c r="G1211" s="346"/>
      <c r="H1211" s="346"/>
      <c r="I1211" s="346"/>
      <c r="J1211" s="346"/>
      <c r="K1211" s="346"/>
      <c r="L1211" s="346"/>
      <c r="M1211" s="346"/>
      <c r="N1211" s="346"/>
    </row>
    <row r="1212" spans="1:14">
      <c r="A1212" s="392"/>
      <c r="B1212" s="346"/>
      <c r="C1212" s="346"/>
      <c r="D1212" s="346"/>
      <c r="E1212" s="346"/>
      <c r="F1212" s="346"/>
      <c r="G1212" s="346"/>
      <c r="H1212" s="346"/>
      <c r="I1212" s="346"/>
      <c r="J1212" s="346"/>
      <c r="K1212" s="346"/>
      <c r="L1212" s="346"/>
      <c r="M1212" s="346"/>
      <c r="N1212" s="346"/>
    </row>
    <row r="1213" spans="1:14">
      <c r="A1213" s="392"/>
      <c r="B1213" s="346"/>
      <c r="C1213" s="346"/>
      <c r="D1213" s="346"/>
      <c r="E1213" s="346"/>
      <c r="F1213" s="346"/>
      <c r="G1213" s="346"/>
      <c r="H1213" s="346"/>
      <c r="I1213" s="346"/>
      <c r="J1213" s="346"/>
      <c r="K1213" s="346"/>
      <c r="L1213" s="346"/>
      <c r="M1213" s="346"/>
      <c r="N1213" s="346"/>
    </row>
    <row r="1214" spans="1:14">
      <c r="A1214" s="392"/>
      <c r="B1214" s="346"/>
      <c r="C1214" s="346"/>
      <c r="D1214" s="346"/>
      <c r="E1214" s="346"/>
      <c r="F1214" s="346"/>
      <c r="G1214" s="346"/>
      <c r="H1214" s="346"/>
      <c r="I1214" s="346"/>
      <c r="J1214" s="346"/>
      <c r="K1214" s="346"/>
      <c r="L1214" s="346"/>
      <c r="M1214" s="346"/>
      <c r="N1214" s="346"/>
    </row>
    <row r="1215" spans="1:14">
      <c r="A1215" s="392"/>
      <c r="B1215" s="346"/>
      <c r="C1215" s="346"/>
      <c r="D1215" s="346"/>
      <c r="E1215" s="346"/>
      <c r="F1215" s="346"/>
      <c r="G1215" s="346"/>
      <c r="H1215" s="346"/>
      <c r="I1215" s="346"/>
      <c r="J1215" s="346"/>
      <c r="K1215" s="346"/>
      <c r="L1215" s="346"/>
      <c r="M1215" s="346"/>
      <c r="N1215" s="346"/>
    </row>
    <row r="1216" spans="1:14">
      <c r="A1216" s="392"/>
      <c r="B1216" s="346"/>
      <c r="C1216" s="346"/>
      <c r="D1216" s="346"/>
      <c r="E1216" s="346"/>
      <c r="F1216" s="346"/>
      <c r="G1216" s="346"/>
      <c r="H1216" s="346"/>
      <c r="I1216" s="346"/>
      <c r="J1216" s="346"/>
      <c r="K1216" s="346"/>
      <c r="L1216" s="346"/>
      <c r="M1216" s="346"/>
      <c r="N1216" s="346"/>
    </row>
    <row r="1217" spans="1:14">
      <c r="A1217" s="353"/>
      <c r="B1217" s="310"/>
      <c r="C1217" s="310"/>
      <c r="D1217" s="310"/>
      <c r="E1217" s="310"/>
      <c r="F1217" s="310"/>
      <c r="G1217" s="310"/>
      <c r="H1217" s="310"/>
      <c r="I1217" s="310"/>
      <c r="J1217" s="310"/>
      <c r="K1217" s="310"/>
      <c r="L1217" s="310"/>
      <c r="M1217" s="310"/>
      <c r="N1217" s="310"/>
    </row>
    <row r="1218" spans="1:14">
      <c r="A1218" s="353"/>
      <c r="B1218" s="310"/>
      <c r="C1218" s="310"/>
      <c r="D1218" s="310"/>
      <c r="E1218" s="310"/>
      <c r="F1218" s="310"/>
      <c r="G1218" s="310"/>
      <c r="H1218" s="310"/>
      <c r="I1218" s="310"/>
      <c r="J1218" s="310"/>
      <c r="K1218" s="310"/>
      <c r="L1218" s="310"/>
      <c r="M1218" s="310"/>
      <c r="N1218" s="310"/>
    </row>
    <row r="1219" spans="1:14">
      <c r="A1219" s="353"/>
      <c r="B1219" s="310"/>
      <c r="C1219" s="310"/>
      <c r="D1219" s="310"/>
      <c r="E1219" s="310"/>
      <c r="F1219" s="310"/>
      <c r="G1219" s="310"/>
      <c r="H1219" s="310"/>
      <c r="I1219" s="310"/>
      <c r="J1219" s="310"/>
      <c r="K1219" s="310"/>
      <c r="L1219" s="310"/>
      <c r="M1219" s="310"/>
      <c r="N1219" s="310"/>
    </row>
    <row r="1220" spans="1:14">
      <c r="A1220" s="396"/>
      <c r="B1220" s="395"/>
      <c r="C1220" s="395"/>
      <c r="D1220" s="395"/>
      <c r="E1220" s="395"/>
      <c r="F1220" s="395"/>
      <c r="G1220" s="395"/>
      <c r="H1220" s="395"/>
      <c r="I1220" s="395"/>
      <c r="J1220" s="395"/>
      <c r="K1220" s="395"/>
      <c r="L1220" s="395"/>
      <c r="M1220" s="395"/>
      <c r="N1220" s="395"/>
    </row>
    <row r="1221" spans="1:14">
      <c r="A1221" s="396"/>
      <c r="B1221" s="395"/>
      <c r="C1221" s="395"/>
      <c r="D1221" s="395"/>
      <c r="E1221" s="395"/>
      <c r="F1221" s="395"/>
      <c r="G1221" s="395"/>
      <c r="H1221" s="395"/>
      <c r="I1221" s="395"/>
      <c r="J1221" s="395"/>
      <c r="K1221" s="395"/>
      <c r="L1221" s="395"/>
      <c r="M1221" s="395"/>
      <c r="N1221" s="395"/>
    </row>
    <row r="1222" spans="1:14">
      <c r="A1222" s="396"/>
      <c r="B1222" s="395"/>
      <c r="C1222" s="395"/>
      <c r="D1222" s="395"/>
      <c r="E1222" s="395"/>
      <c r="F1222" s="395"/>
      <c r="G1222" s="395"/>
      <c r="H1222" s="395"/>
      <c r="I1222" s="395"/>
      <c r="J1222" s="395"/>
      <c r="K1222" s="395"/>
      <c r="L1222" s="395"/>
      <c r="M1222" s="395"/>
      <c r="N1222" s="395"/>
    </row>
    <row r="1223" spans="1:14" ht="15.75" thickBot="1">
      <c r="A1223" s="397"/>
      <c r="B1223" s="398"/>
      <c r="C1223" s="398"/>
      <c r="D1223" s="398"/>
      <c r="E1223" s="398"/>
      <c r="F1223" s="398"/>
      <c r="G1223" s="1104" t="s">
        <v>38</v>
      </c>
      <c r="H1223" s="1104"/>
      <c r="I1223" s="1104"/>
      <c r="J1223" s="1104"/>
      <c r="K1223" s="1104"/>
      <c r="L1223" s="1104"/>
      <c r="M1223" s="1104"/>
      <c r="N1223" s="1104"/>
    </row>
  </sheetData>
  <protectedRanges>
    <protectedRange password="CA4D" sqref="A306:N307 A316:N318 A1124:N1125 A1134:N1136 A1:N2 A11:N13 A1182:N1183 A1192:N1194 A598:N599 A608:N610 A245:N246 A255:N257 A62:N63 A72:N74 A655:N656 A665:N667 A539:N540 A549:N551 A184:N185 A194:N196 A714:N715 A724:N726 A123:N124 A133:N135 A772:N773 A782:N784 A890:N891 A900:N902 A364:N365 A374:N376 A423:N424 A433:N435 A480:N481 A490:N492 A830:N831 A840:N842 A948:N949 A958:N960 A1006:N1007 A1016:N1018 A1066:N1067 A1076:N1078" name="Range1_3"/>
    <protectedRange password="CA4D" sqref="A308:N308 A1126:N1126 A3:N3 A1184:N1184 A600:N600 A247:N247 A64:N64 A657:N657 A541:N541 A186:N186 A716:N716 A125:N125 A774:N774 A892:N892 A366:N366 A425:N425 A482:N482 A832:N832 A950:N950 A1008:N1008 A1068:N1068" name="Range1_6_1"/>
    <protectedRange password="CA4D" sqref="N312:N315 A309:D315 N1130:N1133 A1127:D1133 N7:N10 A4:D10 N1188:N1191 N604:N607 A601:D607 N251:N254 A248:D254 N68:N71 A65:D71 A1185:D1191 N661:N664 A658:D664 N545:N548 A542:D548 N190:N193 A187:D193 N720:N723 A717:D723 N129:N132 A126:D132 N778:N781 A775:D781 N896:N899 A893:D899 N370:N373 A367:D373 N429:N432 A426:D432 N486:N489 A483:D489 N836:N839 A833:D839 N954:N957 A951:D957 N1012:N1015 A1009:D1015 N1072:N1075 A1069:D1075" name="Range1_1_1"/>
    <protectedRange password="CA4D" sqref="E309:N311 E1127:N1129 E4:N6 E1185:N1187 E601:N603 E248:N250 E65:N67 E658:N660 E542:N544 E187:N189 E717:N719 E126:N128 E775:N777 E893:N895 E367:N369 E426:N428 E483:N485 E833:N835 E951:N953 E1009:N1011 E1069:N1071" name="Range1_2_2"/>
    <protectedRange password="CA4D" sqref="E312:M315 E1130:M1133 E7:M10 E1188:M1191 E604:M607 E251:M254 E68:M71 E661:M664 E545:M548 E190:M193 E720:M723 E129:M132 E778:M781 E896:M899 E370:M373 E429:M432 E486:M489 E836:M839 E954:M957 E1012:M1015 E1072:M1075" name="Range1_2_1_1"/>
  </protectedRanges>
  <mergeCells count="252">
    <mergeCell ref="G1223:N1223"/>
    <mergeCell ref="G1165:N1165"/>
    <mergeCell ref="A1182:N1183"/>
    <mergeCell ref="A1184:N1184"/>
    <mergeCell ref="E1185:G1185"/>
    <mergeCell ref="G1186:I1186"/>
    <mergeCell ref="A1192:A1193"/>
    <mergeCell ref="B1192:C1194"/>
    <mergeCell ref="D1192:E1194"/>
    <mergeCell ref="F1192:F1193"/>
    <mergeCell ref="G1192:H1194"/>
    <mergeCell ref="I1192:K1193"/>
    <mergeCell ref="L1192:N1193"/>
    <mergeCell ref="G1107:N1107"/>
    <mergeCell ref="A1124:N1125"/>
    <mergeCell ref="A1126:N1126"/>
    <mergeCell ref="E1127:G1127"/>
    <mergeCell ref="G1128:I1128"/>
    <mergeCell ref="A1134:A1135"/>
    <mergeCell ref="B1134:C1136"/>
    <mergeCell ref="D1134:E1136"/>
    <mergeCell ref="F1134:F1135"/>
    <mergeCell ref="G1134:H1136"/>
    <mergeCell ref="I1134:K1135"/>
    <mergeCell ref="L1134:N1135"/>
    <mergeCell ref="A1066:N1067"/>
    <mergeCell ref="A1068:N1068"/>
    <mergeCell ref="E1069:G1069"/>
    <mergeCell ref="G1070:I1070"/>
    <mergeCell ref="A1076:A1077"/>
    <mergeCell ref="B1076:C1078"/>
    <mergeCell ref="D1076:E1078"/>
    <mergeCell ref="F1076:F1077"/>
    <mergeCell ref="G1076:H1078"/>
    <mergeCell ref="I1076:K1077"/>
    <mergeCell ref="L1076:N1077"/>
    <mergeCell ref="G931:N931"/>
    <mergeCell ref="G1047:N1047"/>
    <mergeCell ref="G989:N989"/>
    <mergeCell ref="A1006:N1007"/>
    <mergeCell ref="A1008:N1008"/>
    <mergeCell ref="E1009:G1009"/>
    <mergeCell ref="G1010:I1010"/>
    <mergeCell ref="A1016:A1017"/>
    <mergeCell ref="B1016:C1018"/>
    <mergeCell ref="D1016:E1018"/>
    <mergeCell ref="F1016:F1017"/>
    <mergeCell ref="G1016:H1018"/>
    <mergeCell ref="I1016:K1017"/>
    <mergeCell ref="L1016:N1017"/>
    <mergeCell ref="A948:N949"/>
    <mergeCell ref="A950:N950"/>
    <mergeCell ref="E951:G951"/>
    <mergeCell ref="G952:I952"/>
    <mergeCell ref="A958:A959"/>
    <mergeCell ref="B958:C960"/>
    <mergeCell ref="D958:E960"/>
    <mergeCell ref="F958:F959"/>
    <mergeCell ref="G958:H960"/>
    <mergeCell ref="I958:K959"/>
    <mergeCell ref="L958:N959"/>
    <mergeCell ref="G347:N347"/>
    <mergeCell ref="A306:N307"/>
    <mergeCell ref="A308:N308"/>
    <mergeCell ref="E309:G309"/>
    <mergeCell ref="G310:I310"/>
    <mergeCell ref="A316:A317"/>
    <mergeCell ref="B316:C318"/>
    <mergeCell ref="D316:E318"/>
    <mergeCell ref="F316:F317"/>
    <mergeCell ref="G316:H318"/>
    <mergeCell ref="I316:K317"/>
    <mergeCell ref="L316:N317"/>
    <mergeCell ref="A364:N365"/>
    <mergeCell ref="A366:N366"/>
    <mergeCell ref="E367:G367"/>
    <mergeCell ref="G368:I368"/>
    <mergeCell ref="A374:A375"/>
    <mergeCell ref="B374:C376"/>
    <mergeCell ref="D374:E376"/>
    <mergeCell ref="F374:F375"/>
    <mergeCell ref="G374:H376"/>
    <mergeCell ref="I374:K375"/>
    <mergeCell ref="L374:N375"/>
    <mergeCell ref="G286:N286"/>
    <mergeCell ref="G225:N225"/>
    <mergeCell ref="A245:N246"/>
    <mergeCell ref="A247:N247"/>
    <mergeCell ref="E248:G248"/>
    <mergeCell ref="G249:I249"/>
    <mergeCell ref="A255:A256"/>
    <mergeCell ref="B255:C257"/>
    <mergeCell ref="D255:E257"/>
    <mergeCell ref="F255:F256"/>
    <mergeCell ref="G255:H257"/>
    <mergeCell ref="I255:K256"/>
    <mergeCell ref="L255:N256"/>
    <mergeCell ref="G164:N164"/>
    <mergeCell ref="A184:N185"/>
    <mergeCell ref="A186:N186"/>
    <mergeCell ref="E187:G187"/>
    <mergeCell ref="G188:I188"/>
    <mergeCell ref="A194:A195"/>
    <mergeCell ref="B194:C196"/>
    <mergeCell ref="D194:E196"/>
    <mergeCell ref="F194:F195"/>
    <mergeCell ref="G194:H196"/>
    <mergeCell ref="I194:K195"/>
    <mergeCell ref="L194:N195"/>
    <mergeCell ref="A123:N124"/>
    <mergeCell ref="A125:N125"/>
    <mergeCell ref="E126:G126"/>
    <mergeCell ref="G127:I127"/>
    <mergeCell ref="A133:A134"/>
    <mergeCell ref="B133:C135"/>
    <mergeCell ref="D133:E135"/>
    <mergeCell ref="F133:F134"/>
    <mergeCell ref="G133:H135"/>
    <mergeCell ref="I133:K134"/>
    <mergeCell ref="L133:N134"/>
    <mergeCell ref="G105:N105"/>
    <mergeCell ref="A64:N64"/>
    <mergeCell ref="E65:G65"/>
    <mergeCell ref="G66:I66"/>
    <mergeCell ref="A72:A73"/>
    <mergeCell ref="B72:C74"/>
    <mergeCell ref="D72:E74"/>
    <mergeCell ref="F72:F73"/>
    <mergeCell ref="G72:H74"/>
    <mergeCell ref="I72:K73"/>
    <mergeCell ref="L72:N73"/>
    <mergeCell ref="A62:N63"/>
    <mergeCell ref="G44:N44"/>
    <mergeCell ref="A1:N2"/>
    <mergeCell ref="A3:N3"/>
    <mergeCell ref="E4:G4"/>
    <mergeCell ref="G5:I5"/>
    <mergeCell ref="A11:A12"/>
    <mergeCell ref="B11:C13"/>
    <mergeCell ref="D11:E13"/>
    <mergeCell ref="F11:F12"/>
    <mergeCell ref="G11:H13"/>
    <mergeCell ref="I11:K12"/>
    <mergeCell ref="L11:N12"/>
    <mergeCell ref="G405:N405"/>
    <mergeCell ref="A423:N424"/>
    <mergeCell ref="A425:N425"/>
    <mergeCell ref="E426:G426"/>
    <mergeCell ref="G427:I427"/>
    <mergeCell ref="A433:A434"/>
    <mergeCell ref="B433:C435"/>
    <mergeCell ref="D433:E435"/>
    <mergeCell ref="F433:F434"/>
    <mergeCell ref="G433:H435"/>
    <mergeCell ref="I433:K434"/>
    <mergeCell ref="L433:N434"/>
    <mergeCell ref="G464:N464"/>
    <mergeCell ref="A480:N481"/>
    <mergeCell ref="A482:N482"/>
    <mergeCell ref="E483:G483"/>
    <mergeCell ref="G484:I484"/>
    <mergeCell ref="A490:A491"/>
    <mergeCell ref="B490:C492"/>
    <mergeCell ref="D490:E492"/>
    <mergeCell ref="F490:F491"/>
    <mergeCell ref="G490:H492"/>
    <mergeCell ref="I490:K491"/>
    <mergeCell ref="L490:N491"/>
    <mergeCell ref="G521:N521"/>
    <mergeCell ref="A539:N540"/>
    <mergeCell ref="A541:N541"/>
    <mergeCell ref="E542:G542"/>
    <mergeCell ref="G543:I543"/>
    <mergeCell ref="A549:A550"/>
    <mergeCell ref="B549:C551"/>
    <mergeCell ref="D549:E551"/>
    <mergeCell ref="F549:F550"/>
    <mergeCell ref="G549:H551"/>
    <mergeCell ref="I549:K550"/>
    <mergeCell ref="L549:N550"/>
    <mergeCell ref="G639:N639"/>
    <mergeCell ref="G580:N580"/>
    <mergeCell ref="A598:N599"/>
    <mergeCell ref="A600:N600"/>
    <mergeCell ref="E601:G601"/>
    <mergeCell ref="G602:I602"/>
    <mergeCell ref="A608:A609"/>
    <mergeCell ref="B608:C610"/>
    <mergeCell ref="D608:E610"/>
    <mergeCell ref="F608:F609"/>
    <mergeCell ref="G608:H610"/>
    <mergeCell ref="I608:K609"/>
    <mergeCell ref="L608:N609"/>
    <mergeCell ref="A655:N656"/>
    <mergeCell ref="A657:N657"/>
    <mergeCell ref="E658:G658"/>
    <mergeCell ref="G659:I659"/>
    <mergeCell ref="A665:A666"/>
    <mergeCell ref="B665:C667"/>
    <mergeCell ref="D665:E667"/>
    <mergeCell ref="F665:F666"/>
    <mergeCell ref="G665:H667"/>
    <mergeCell ref="I665:K666"/>
    <mergeCell ref="L665:N666"/>
    <mergeCell ref="G696:N696"/>
    <mergeCell ref="A714:N715"/>
    <mergeCell ref="A716:N716"/>
    <mergeCell ref="E717:G717"/>
    <mergeCell ref="G718:I718"/>
    <mergeCell ref="A724:A725"/>
    <mergeCell ref="B724:C726"/>
    <mergeCell ref="D724:E726"/>
    <mergeCell ref="F724:F725"/>
    <mergeCell ref="G724:H726"/>
    <mergeCell ref="I724:K725"/>
    <mergeCell ref="L724:N725"/>
    <mergeCell ref="G755:N755"/>
    <mergeCell ref="A772:N773"/>
    <mergeCell ref="A774:N774"/>
    <mergeCell ref="E775:G775"/>
    <mergeCell ref="G776:I776"/>
    <mergeCell ref="A782:A783"/>
    <mergeCell ref="B782:C784"/>
    <mergeCell ref="D782:E784"/>
    <mergeCell ref="F782:F783"/>
    <mergeCell ref="G782:H784"/>
    <mergeCell ref="I782:K783"/>
    <mergeCell ref="L782:N783"/>
    <mergeCell ref="G813:N813"/>
    <mergeCell ref="A890:N891"/>
    <mergeCell ref="A892:N892"/>
    <mergeCell ref="E893:G893"/>
    <mergeCell ref="G894:I894"/>
    <mergeCell ref="A900:A901"/>
    <mergeCell ref="B900:C902"/>
    <mergeCell ref="D900:E902"/>
    <mergeCell ref="F900:F901"/>
    <mergeCell ref="G900:H902"/>
    <mergeCell ref="I900:K901"/>
    <mergeCell ref="L900:N901"/>
    <mergeCell ref="A830:N831"/>
    <mergeCell ref="A832:N832"/>
    <mergeCell ref="E833:G833"/>
    <mergeCell ref="G834:I834"/>
    <mergeCell ref="A840:A841"/>
    <mergeCell ref="B840:C842"/>
    <mergeCell ref="D840:E842"/>
    <mergeCell ref="F840:F841"/>
    <mergeCell ref="G840:H842"/>
    <mergeCell ref="I840:K841"/>
    <mergeCell ref="L840:N841"/>
    <mergeCell ref="G871:N871"/>
  </mergeCells>
  <pageMargins left="0.55000000000000004" right="0.46" top="0.75" bottom="0.75" header="0.3" footer="0.3"/>
  <pageSetup scale="55"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C41"/>
  <sheetViews>
    <sheetView topLeftCell="U4" workbookViewId="0">
      <selection activeCell="AB25" sqref="AB25"/>
    </sheetView>
  </sheetViews>
  <sheetFormatPr defaultRowHeight="15"/>
  <cols>
    <col min="1" max="1" width="4" customWidth="1"/>
    <col min="2" max="2" width="6.42578125" customWidth="1"/>
    <col min="3" max="3" width="7" customWidth="1"/>
    <col min="4" max="4" width="34.7109375" customWidth="1"/>
    <col min="5" max="5" width="12.42578125" customWidth="1"/>
    <col min="6" max="6" width="10.42578125" customWidth="1"/>
    <col min="7" max="7" width="11.28515625" customWidth="1"/>
    <col min="8" max="8" width="10.42578125" customWidth="1"/>
    <col min="9" max="9" width="9.85546875" customWidth="1"/>
    <col min="10" max="10" width="9.7109375" customWidth="1"/>
    <col min="11" max="11" width="6.7109375" customWidth="1"/>
    <col min="12" max="12" width="14.42578125" customWidth="1"/>
    <col min="13" max="13" width="6.42578125" customWidth="1"/>
    <col min="14" max="14" width="12.140625" customWidth="1"/>
    <col min="15" max="15" width="11.5703125" customWidth="1"/>
    <col min="16" max="17" width="9.140625" customWidth="1"/>
    <col min="18" max="18" width="10.28515625" customWidth="1"/>
    <col min="19" max="19" width="6.140625" customWidth="1"/>
    <col min="20" max="20" width="10.42578125" customWidth="1"/>
    <col min="21" max="21" width="15.5703125" customWidth="1"/>
    <col min="22" max="23" width="7.140625" customWidth="1"/>
    <col min="24" max="24" width="6.7109375" customWidth="1"/>
    <col min="25" max="25" width="7.7109375" customWidth="1"/>
    <col min="28" max="28" width="18.7109375" bestFit="1" customWidth="1"/>
  </cols>
  <sheetData>
    <row r="1" spans="1:28" ht="15.75" thickBot="1">
      <c r="D1" s="266"/>
      <c r="L1" s="307"/>
      <c r="N1" s="307"/>
    </row>
    <row r="2" spans="1:28" ht="31.5" customHeight="1">
      <c r="A2" s="1140" t="s">
        <v>385</v>
      </c>
      <c r="B2" s="1141"/>
      <c r="C2" s="1141"/>
      <c r="D2" s="1141"/>
      <c r="E2" s="1141"/>
      <c r="F2" s="1141"/>
      <c r="G2" s="1141"/>
      <c r="H2" s="1141"/>
      <c r="I2" s="1141"/>
      <c r="J2" s="1141"/>
      <c r="K2" s="1141"/>
      <c r="L2" s="1141"/>
      <c r="M2" s="1141"/>
      <c r="N2" s="1141"/>
      <c r="O2" s="1141"/>
      <c r="P2" s="1141"/>
      <c r="Q2" s="1141"/>
      <c r="R2" s="1141"/>
      <c r="S2" s="1141"/>
      <c r="T2" s="1141"/>
      <c r="U2" s="1141"/>
      <c r="V2" s="1141"/>
      <c r="W2" s="1141"/>
      <c r="X2" s="1141"/>
      <c r="Y2" s="1141"/>
      <c r="Z2" s="1141"/>
      <c r="AA2" s="1141"/>
      <c r="AB2" s="1142"/>
    </row>
    <row r="3" spans="1:28">
      <c r="A3" s="1130" t="s">
        <v>386</v>
      </c>
      <c r="B3" s="1131"/>
      <c r="C3" s="1131"/>
      <c r="D3" s="1131"/>
      <c r="E3" s="1131"/>
      <c r="F3" s="1131"/>
      <c r="G3" s="1131"/>
      <c r="H3" s="1131"/>
      <c r="I3" s="1131"/>
      <c r="J3" s="1131"/>
      <c r="K3" s="1131"/>
      <c r="L3" s="1131"/>
      <c r="M3" s="1131"/>
      <c r="N3" s="1131"/>
      <c r="O3" s="1131"/>
      <c r="P3" s="1131"/>
      <c r="Q3" s="1131"/>
      <c r="R3" s="1131"/>
      <c r="S3" s="1131"/>
      <c r="T3" s="1131"/>
      <c r="U3" s="1131"/>
      <c r="V3" s="1131"/>
      <c r="W3" s="1131"/>
      <c r="X3" s="1131"/>
      <c r="Y3" s="1131"/>
      <c r="Z3" s="1131"/>
      <c r="AA3" s="1131"/>
      <c r="AB3" s="1132"/>
    </row>
    <row r="4" spans="1:28">
      <c r="A4" s="1133" t="s">
        <v>847</v>
      </c>
      <c r="B4" s="1134"/>
      <c r="C4" s="1134"/>
      <c r="D4" s="1134"/>
      <c r="E4" s="1134"/>
      <c r="F4" s="1134"/>
      <c r="G4" s="1134"/>
      <c r="H4" s="1134"/>
      <c r="I4" s="1134"/>
      <c r="J4" s="1134"/>
      <c r="K4" s="1134"/>
      <c r="L4" s="1134"/>
      <c r="M4" s="1134"/>
      <c r="N4" s="1134"/>
      <c r="O4" s="1134"/>
      <c r="P4" s="1134"/>
      <c r="Q4" s="1134"/>
      <c r="R4" s="1134"/>
      <c r="S4" s="1134"/>
      <c r="T4" s="1134"/>
      <c r="U4" s="1134"/>
      <c r="V4" s="1134"/>
      <c r="W4" s="1134"/>
      <c r="X4" s="1134"/>
      <c r="Y4" s="1134"/>
      <c r="Z4" s="1134"/>
      <c r="AA4" s="1134"/>
      <c r="AB4" s="1135"/>
    </row>
    <row r="5" spans="1:28">
      <c r="A5" s="1136" t="s">
        <v>387</v>
      </c>
      <c r="B5" s="1137"/>
      <c r="C5" s="1137"/>
      <c r="D5" s="1137"/>
      <c r="E5" s="1137"/>
      <c r="F5" s="1137"/>
      <c r="G5" s="1137"/>
      <c r="H5" s="1137"/>
      <c r="I5" s="1137"/>
      <c r="J5" s="1137"/>
      <c r="K5" s="1137"/>
      <c r="L5" s="1137"/>
      <c r="M5" s="1137"/>
      <c r="N5" s="1137"/>
      <c r="O5" s="1137"/>
      <c r="P5" s="1137"/>
      <c r="Q5" s="1137"/>
      <c r="R5" s="1137"/>
      <c r="S5" s="1137"/>
      <c r="T5" s="1137"/>
      <c r="U5" s="1137"/>
      <c r="V5" s="1137"/>
      <c r="W5" s="1137"/>
      <c r="X5" s="1137"/>
      <c r="Y5" s="1137"/>
      <c r="Z5" s="1137"/>
      <c r="AA5" s="1137"/>
      <c r="AB5" s="1138"/>
    </row>
    <row r="6" spans="1:28" ht="33.75">
      <c r="A6" s="327"/>
      <c r="B6" s="328"/>
      <c r="C6" s="328"/>
      <c r="D6" s="328"/>
      <c r="E6" s="328"/>
      <c r="F6" s="328"/>
      <c r="G6" s="328"/>
      <c r="H6" s="328"/>
      <c r="I6" s="328"/>
      <c r="J6" s="328"/>
      <c r="K6" s="328"/>
      <c r="L6" s="328"/>
      <c r="M6" s="328"/>
      <c r="N6" s="328"/>
      <c r="O6" s="329" t="s">
        <v>379</v>
      </c>
      <c r="P6" s="328"/>
      <c r="Q6" s="328"/>
      <c r="R6" s="328"/>
      <c r="S6" s="328"/>
      <c r="T6" s="328"/>
      <c r="U6" s="327"/>
      <c r="V6" s="329" t="s">
        <v>424</v>
      </c>
      <c r="W6" s="328"/>
      <c r="X6" s="328"/>
      <c r="Y6" s="328"/>
      <c r="Z6" s="327"/>
      <c r="AA6" s="327"/>
      <c r="AB6" s="328"/>
    </row>
    <row r="7" spans="1:28" ht="48.6" customHeight="1">
      <c r="A7" s="327" t="s">
        <v>355</v>
      </c>
      <c r="B7" s="327" t="s">
        <v>391</v>
      </c>
      <c r="C7" s="327" t="s">
        <v>425</v>
      </c>
      <c r="D7" s="330" t="s">
        <v>426</v>
      </c>
      <c r="E7" s="331" t="s">
        <v>427</v>
      </c>
      <c r="F7" s="331" t="s">
        <v>428</v>
      </c>
      <c r="G7" s="331" t="s">
        <v>429</v>
      </c>
      <c r="H7" s="331" t="s">
        <v>430</v>
      </c>
      <c r="I7" s="331" t="s">
        <v>431</v>
      </c>
      <c r="J7" s="331" t="s">
        <v>432</v>
      </c>
      <c r="K7" s="331" t="s">
        <v>433</v>
      </c>
      <c r="L7" s="331" t="s">
        <v>434</v>
      </c>
      <c r="M7" s="331" t="s">
        <v>435</v>
      </c>
      <c r="N7" s="331" t="s">
        <v>436</v>
      </c>
      <c r="O7" s="331" t="s">
        <v>437</v>
      </c>
      <c r="P7" s="331" t="s">
        <v>478</v>
      </c>
      <c r="Q7" s="331" t="s">
        <v>438</v>
      </c>
      <c r="R7" s="331" t="s">
        <v>32</v>
      </c>
      <c r="S7" s="331" t="s">
        <v>439</v>
      </c>
      <c r="T7" s="331" t="s">
        <v>440</v>
      </c>
      <c r="U7" s="331" t="s">
        <v>441</v>
      </c>
      <c r="V7" s="331" t="s">
        <v>442</v>
      </c>
      <c r="W7" s="331" t="s">
        <v>443</v>
      </c>
      <c r="X7" s="331" t="s">
        <v>444</v>
      </c>
      <c r="Y7" s="331" t="s">
        <v>445</v>
      </c>
      <c r="Z7" s="331" t="s">
        <v>446</v>
      </c>
      <c r="AA7" s="331" t="s">
        <v>447</v>
      </c>
      <c r="AB7" s="331" t="s">
        <v>155</v>
      </c>
    </row>
    <row r="8" spans="1:28" ht="30.6" customHeight="1">
      <c r="A8" s="347">
        <v>1</v>
      </c>
      <c r="B8" s="332"/>
      <c r="C8" s="325"/>
      <c r="D8" s="569" t="str">
        <f>'04-221Master'!B16</f>
        <v>Venegella Kanaka durga</v>
      </c>
      <c r="E8" s="679">
        <f>'04-221Master'!Z16</f>
        <v>45385.8</v>
      </c>
      <c r="F8" s="333">
        <f>'04-221Master'!AD16</f>
        <v>18154.320000000003</v>
      </c>
      <c r="G8" s="320">
        <f>'04-221Master'!AE16</f>
        <v>2083</v>
      </c>
      <c r="H8" s="334">
        <f>'04-221Master'!AI16</f>
        <v>1554.6089999999999</v>
      </c>
      <c r="I8" s="334">
        <f>'04-221Master'!AG16</f>
        <v>8049.8799999999901</v>
      </c>
      <c r="J8" s="334">
        <f>'04-221Master'!AF16</f>
        <v>2083</v>
      </c>
      <c r="K8" s="335"/>
      <c r="L8" s="333">
        <f>'04-221Master'!AH16</f>
        <v>75756</v>
      </c>
      <c r="M8" s="336">
        <v>0</v>
      </c>
      <c r="N8" s="333">
        <f>'04-221Master'!AM16</f>
        <v>83275.815979999985</v>
      </c>
      <c r="O8" s="320">
        <f>'04-221Master'!AQ16</f>
        <v>0</v>
      </c>
      <c r="P8" s="320">
        <f>'04-221Master'!AR16</f>
        <v>391.787848</v>
      </c>
      <c r="Q8" s="320">
        <f>'04-221Master'!AP16</f>
        <v>200</v>
      </c>
      <c r="R8" s="320">
        <f>'04-221Master'!AO16</f>
        <v>1800</v>
      </c>
      <c r="S8" s="337">
        <f>'04-221Master'!AN16</f>
        <v>0</v>
      </c>
      <c r="T8" s="337">
        <f>'04-221Master'!AS16</f>
        <v>2391.7878479999999</v>
      </c>
      <c r="U8" s="333">
        <f>'04-221Master'!AT16</f>
        <v>80884.028131999978</v>
      </c>
      <c r="V8" s="570">
        <v>20.5</v>
      </c>
      <c r="W8" s="838">
        <v>1</v>
      </c>
      <c r="X8" s="371"/>
      <c r="Y8" s="371">
        <v>21</v>
      </c>
      <c r="Z8" s="338" t="str">
        <f>'04-221Master'!AU16</f>
        <v>05.05.2022</v>
      </c>
      <c r="AA8" s="338" t="str">
        <f>'04-221Master'!AV16</f>
        <v>KVBL</v>
      </c>
      <c r="AB8" s="363" t="str">
        <f>'04-221Master'!AW16</f>
        <v>A/C'1498155000027380</v>
      </c>
    </row>
    <row r="9" spans="1:28" s="388" customFormat="1" ht="30.6" customHeight="1">
      <c r="A9" s="347">
        <v>2</v>
      </c>
      <c r="B9" s="332"/>
      <c r="C9" s="325"/>
      <c r="D9" s="569" t="str">
        <f>'04-221Master'!B17</f>
        <v>Moeenahmed Shakilahmed Shaikh</v>
      </c>
      <c r="E9" s="679">
        <f>'04-221Master'!Z17</f>
        <v>89877</v>
      </c>
      <c r="F9" s="333">
        <f>'04-221Master'!AD17</f>
        <v>35950.800000000003</v>
      </c>
      <c r="G9" s="320">
        <f>'04-221Master'!AE17</f>
        <v>2083</v>
      </c>
      <c r="H9" s="334">
        <f>'04-221Master'!AI17</f>
        <v>1554.6089999999999</v>
      </c>
      <c r="I9" s="334">
        <f>'04-221Master'!AG17</f>
        <v>19914.199999999997</v>
      </c>
      <c r="J9" s="334">
        <f>'04-221Master'!AF17</f>
        <v>2083</v>
      </c>
      <c r="K9" s="335"/>
      <c r="L9" s="333">
        <f>'04-221Master'!AH17</f>
        <v>149908</v>
      </c>
      <c r="M9" s="336">
        <v>1</v>
      </c>
      <c r="N9" s="333">
        <f>'04-221Master'!AM17</f>
        <v>163275.44269999999</v>
      </c>
      <c r="O9" s="320">
        <f>'04-221Master'!AQ17</f>
        <v>0</v>
      </c>
      <c r="P9" s="320">
        <f>'04-221Master'!AR17</f>
        <v>440.76132899999999</v>
      </c>
      <c r="Q9" s="320">
        <f>'04-221Master'!AP17</f>
        <v>200</v>
      </c>
      <c r="R9" s="320">
        <f>'04-221Master'!AO17</f>
        <v>6000</v>
      </c>
      <c r="S9" s="337">
        <f>'04-221Master'!AN17</f>
        <v>0</v>
      </c>
      <c r="T9" s="337">
        <f>'04-221Master'!AS17</f>
        <v>6640.7613289999999</v>
      </c>
      <c r="U9" s="333">
        <f>'04-221Master'!AT17</f>
        <v>156634.68137099998</v>
      </c>
      <c r="V9" s="570">
        <v>26</v>
      </c>
      <c r="W9" s="838">
        <v>0</v>
      </c>
      <c r="X9" s="371"/>
      <c r="Y9" s="371">
        <v>27.5</v>
      </c>
      <c r="Z9" s="338" t="str">
        <f>'04-221Master'!AU17</f>
        <v>05.05.2022</v>
      </c>
      <c r="AA9" s="338" t="str">
        <f>'04-221Master'!AV17</f>
        <v>KKBK</v>
      </c>
      <c r="AB9" s="363" t="str">
        <f>'04-221Master'!AW17</f>
        <v>A/C'7311230416</v>
      </c>
    </row>
    <row r="10" spans="1:28" s="388" customFormat="1" ht="30.6" customHeight="1">
      <c r="A10" s="347">
        <v>3</v>
      </c>
      <c r="B10" s="332"/>
      <c r="C10" s="325"/>
      <c r="D10" s="569" t="str">
        <f>'04-221Master'!B18</f>
        <v>Yarramaddu Raveendra Reddy</v>
      </c>
      <c r="E10" s="679">
        <f>'04-221Master'!Z18</f>
        <v>37044</v>
      </c>
      <c r="F10" s="333">
        <f>'04-221Master'!AD18</f>
        <v>14817.6</v>
      </c>
      <c r="G10" s="320">
        <f>'04-221Master'!AE18</f>
        <v>2083</v>
      </c>
      <c r="H10" s="334">
        <f>'04-221Master'!AI18</f>
        <v>1554.6089999999999</v>
      </c>
      <c r="I10" s="334">
        <f>'04-221Master'!AG18</f>
        <v>5825.4000000000015</v>
      </c>
      <c r="J10" s="334">
        <f>'04-221Master'!AF18</f>
        <v>2083</v>
      </c>
      <c r="K10" s="335"/>
      <c r="L10" s="333">
        <f>'04-221Master'!AH18</f>
        <v>61853</v>
      </c>
      <c r="M10" s="336">
        <v>2</v>
      </c>
      <c r="N10" s="333">
        <f>'04-221Master'!AM18</f>
        <v>68276.425400000007</v>
      </c>
      <c r="O10" s="320">
        <f>'04-221Master'!AQ18</f>
        <v>0</v>
      </c>
      <c r="P10" s="320">
        <f>'04-221Master'!AR18</f>
        <v>391.787848</v>
      </c>
      <c r="Q10" s="320">
        <f>'04-221Master'!AP18</f>
        <v>200</v>
      </c>
      <c r="R10" s="320">
        <f>'04-221Master'!AO18</f>
        <v>1800</v>
      </c>
      <c r="S10" s="337">
        <f>'04-221Master'!AN18</f>
        <v>0</v>
      </c>
      <c r="T10" s="337">
        <f>'04-221Master'!AS18</f>
        <v>2391.7878479999999</v>
      </c>
      <c r="U10" s="333">
        <f>'04-221Master'!AT18</f>
        <v>65884.637552</v>
      </c>
      <c r="V10" s="570">
        <v>18</v>
      </c>
      <c r="W10" s="838">
        <v>0</v>
      </c>
      <c r="X10" s="371"/>
      <c r="Y10" s="371">
        <v>18</v>
      </c>
      <c r="Z10" s="338" t="str">
        <f>'04-221Master'!AU18</f>
        <v>05.05.2022</v>
      </c>
      <c r="AA10" s="338" t="str">
        <f>'04-221Master'!AV18</f>
        <v>HDFC BANK</v>
      </c>
      <c r="AB10" s="363" t="str">
        <f>'04-221Master'!AW18</f>
        <v>A/C'50100313077055</v>
      </c>
    </row>
    <row r="11" spans="1:28" s="388" customFormat="1" ht="30.6" customHeight="1">
      <c r="A11" s="347">
        <v>4</v>
      </c>
      <c r="B11" s="332"/>
      <c r="C11" s="325"/>
      <c r="D11" s="569" t="str">
        <f>'04-221Master'!B19</f>
        <v>Chitra Kulkarni</v>
      </c>
      <c r="E11" s="679">
        <f>'04-221Master'!Z19</f>
        <v>49279.199999999997</v>
      </c>
      <c r="F11" s="333">
        <f>'04-221Master'!AD19</f>
        <v>19711.68</v>
      </c>
      <c r="G11" s="320">
        <f>'04-221Master'!AE19</f>
        <v>2083</v>
      </c>
      <c r="H11" s="334">
        <f>'04-221Master'!AI19</f>
        <v>1554.6089999999999</v>
      </c>
      <c r="I11" s="334">
        <f>'04-221Master'!AG19</f>
        <v>9088.1199999999953</v>
      </c>
      <c r="J11" s="334">
        <f>'04-221Master'!AF19</f>
        <v>2083</v>
      </c>
      <c r="K11" s="335"/>
      <c r="L11" s="333">
        <f>'04-221Master'!AH19</f>
        <v>82245</v>
      </c>
      <c r="M11" s="336">
        <v>3</v>
      </c>
      <c r="N11" s="333">
        <f>'04-221Master'!AM19</f>
        <v>90276.538520000002</v>
      </c>
      <c r="O11" s="320">
        <f>'04-221Master'!AQ19</f>
        <v>0</v>
      </c>
      <c r="P11" s="320">
        <f>'04-221Master'!AR19</f>
        <v>335</v>
      </c>
      <c r="Q11" s="320">
        <f>'04-221Master'!AP19</f>
        <v>200</v>
      </c>
      <c r="R11" s="320">
        <f>'04-221Master'!AO19</f>
        <v>1800</v>
      </c>
      <c r="S11" s="337">
        <f>'04-221Master'!AN19</f>
        <v>0</v>
      </c>
      <c r="T11" s="337">
        <f>'04-221Master'!AS19</f>
        <v>2335</v>
      </c>
      <c r="U11" s="333">
        <f>'04-221Master'!AT19</f>
        <v>87941.538520000002</v>
      </c>
      <c r="V11" s="570">
        <v>7</v>
      </c>
      <c r="W11" s="838">
        <v>1</v>
      </c>
      <c r="X11" s="371"/>
      <c r="Y11" s="371">
        <v>7.5</v>
      </c>
      <c r="Z11" s="338" t="str">
        <f>'04-221Master'!AU19</f>
        <v>05.05.2022</v>
      </c>
      <c r="AA11" s="338" t="str">
        <f>'04-221Master'!AV19</f>
        <v>ICICI</v>
      </c>
      <c r="AB11" s="363" t="str">
        <f>'04-221Master'!AW19</f>
        <v>A/C' 055801521228</v>
      </c>
    </row>
    <row r="12" spans="1:28" s="388" customFormat="1" ht="30.6" customHeight="1">
      <c r="A12" s="347">
        <v>5</v>
      </c>
      <c r="B12" s="332"/>
      <c r="C12" s="325"/>
      <c r="D12" s="569" t="str">
        <f>'04-221Master'!B20</f>
        <v>Sunnapalli Anil</v>
      </c>
      <c r="E12" s="679">
        <f>'04-221Master'!Z20</f>
        <v>41748</v>
      </c>
      <c r="F12" s="333">
        <f>'04-221Master'!AD20</f>
        <v>16699.2</v>
      </c>
      <c r="G12" s="320">
        <f>'04-221Master'!AE20</f>
        <v>2083</v>
      </c>
      <c r="H12" s="334">
        <f>'04-221Master'!AI20</f>
        <v>1554.6089999999999</v>
      </c>
      <c r="I12" s="334">
        <f>'04-221Master'!AG20</f>
        <v>7079.8000000000029</v>
      </c>
      <c r="J12" s="334">
        <f>'04-221Master'!AF20</f>
        <v>2083</v>
      </c>
      <c r="K12" s="335"/>
      <c r="L12" s="333">
        <f>'04-221Master'!AH20</f>
        <v>69693</v>
      </c>
      <c r="M12" s="336">
        <v>4</v>
      </c>
      <c r="N12" s="333">
        <f>'04-221Master'!AM20</f>
        <v>76734.6878</v>
      </c>
      <c r="O12" s="320">
        <f>'04-221Master'!AQ20</f>
        <v>0</v>
      </c>
      <c r="P12" s="320">
        <f>'04-221Master'!AR20</f>
        <v>335</v>
      </c>
      <c r="Q12" s="320">
        <f>'04-221Master'!AP20</f>
        <v>200</v>
      </c>
      <c r="R12" s="320">
        <f>'04-221Master'!AO20</f>
        <v>1800</v>
      </c>
      <c r="S12" s="337">
        <f>'04-221Master'!AN20</f>
        <v>0</v>
      </c>
      <c r="T12" s="337">
        <f>'04-221Master'!AS20</f>
        <v>2335</v>
      </c>
      <c r="U12" s="333">
        <f>'04-221Master'!AT20</f>
        <v>74399.6878</v>
      </c>
      <c r="V12" s="570">
        <v>8.5</v>
      </c>
      <c r="W12" s="838">
        <v>1</v>
      </c>
      <c r="X12" s="371"/>
      <c r="Y12" s="371">
        <v>9</v>
      </c>
      <c r="Z12" s="338" t="str">
        <f>'04-221Master'!AU20</f>
        <v>05.05.2022</v>
      </c>
      <c r="AA12" s="338" t="str">
        <f>'04-221Master'!AV20</f>
        <v>STATE BANK OF INDIA</v>
      </c>
      <c r="AB12" s="363" t="str">
        <f>'04-221Master'!AW20</f>
        <v>20222665512</v>
      </c>
    </row>
    <row r="13" spans="1:28" s="388" customFormat="1" ht="30.6" customHeight="1">
      <c r="A13" s="347">
        <v>6</v>
      </c>
      <c r="B13" s="332"/>
      <c r="C13" s="325"/>
      <c r="D13" s="569" t="str">
        <f>'04-221Master'!B21</f>
        <v>Himanshu Anand</v>
      </c>
      <c r="E13" s="679">
        <f>'04-221Master'!Z21</f>
        <v>59100.6</v>
      </c>
      <c r="F13" s="333">
        <f>'04-221Master'!AD21</f>
        <v>23640.240000000002</v>
      </c>
      <c r="G13" s="320">
        <f>'04-221Master'!AE21</f>
        <v>2083</v>
      </c>
      <c r="H13" s="334">
        <f>'04-221Master'!AI21</f>
        <v>1554.6089999999999</v>
      </c>
      <c r="I13" s="334">
        <f>'04-221Master'!AG21</f>
        <v>11707.160000000003</v>
      </c>
      <c r="J13" s="334">
        <f>'04-221Master'!AF21</f>
        <v>2083</v>
      </c>
      <c r="K13" s="335"/>
      <c r="L13" s="333">
        <f>'04-221Master'!AH21</f>
        <v>98614</v>
      </c>
      <c r="M13" s="336">
        <v>5</v>
      </c>
      <c r="N13" s="333">
        <f>'04-221Master'!AM21</f>
        <v>107936.39786</v>
      </c>
      <c r="O13" s="320">
        <f>'04-221Master'!AQ21</f>
        <v>0</v>
      </c>
      <c r="P13" s="320">
        <f>'04-221Master'!AR21</f>
        <v>336</v>
      </c>
      <c r="Q13" s="320">
        <f>'04-221Master'!AP21</f>
        <v>200</v>
      </c>
      <c r="R13" s="320">
        <f>'04-221Master'!AO21</f>
        <v>1800</v>
      </c>
      <c r="S13" s="337">
        <f>'04-221Master'!AN21</f>
        <v>0</v>
      </c>
      <c r="T13" s="337">
        <f>'04-221Master'!AS21</f>
        <v>2336</v>
      </c>
      <c r="U13" s="333">
        <f>'04-221Master'!AT21</f>
        <v>105600.39786</v>
      </c>
      <c r="V13" s="570">
        <v>8.5</v>
      </c>
      <c r="W13" s="838">
        <v>0</v>
      </c>
      <c r="X13" s="371"/>
      <c r="Y13" s="371">
        <v>10</v>
      </c>
      <c r="Z13" s="338" t="str">
        <f>'04-221Master'!AU21</f>
        <v>05.05.2022</v>
      </c>
      <c r="AA13" s="338" t="str">
        <f>'04-221Master'!AV21</f>
        <v>HDFC BANK</v>
      </c>
      <c r="AB13" s="363" t="str">
        <f>'04-221Master'!AW21</f>
        <v>A/C 07281140023731</v>
      </c>
    </row>
    <row r="14" spans="1:28" s="388" customFormat="1" ht="30.6" customHeight="1">
      <c r="A14" s="347">
        <v>7</v>
      </c>
      <c r="B14" s="332"/>
      <c r="C14" s="325"/>
      <c r="D14" s="569" t="str">
        <f>'04-221Master'!B22</f>
        <v>Kanchupati Kondaiah</v>
      </c>
      <c r="E14" s="679">
        <f>'04-221Master'!Z22</f>
        <v>28145.4</v>
      </c>
      <c r="F14" s="333">
        <f>'04-221Master'!AD22</f>
        <v>11258.160000000002</v>
      </c>
      <c r="G14" s="320">
        <f>'04-221Master'!AE22</f>
        <v>2083</v>
      </c>
      <c r="H14" s="334">
        <f>'04-221Master'!AI22</f>
        <v>1554.6089999999999</v>
      </c>
      <c r="I14" s="334">
        <f>'04-221Master'!AG22</f>
        <v>3452.4399999999951</v>
      </c>
      <c r="J14" s="334">
        <f>'04-221Master'!AF22</f>
        <v>2083</v>
      </c>
      <c r="K14" s="335"/>
      <c r="L14" s="333">
        <f>'04-221Master'!AH22</f>
        <v>47022</v>
      </c>
      <c r="M14" s="336">
        <v>6</v>
      </c>
      <c r="N14" s="333">
        <f>'04-221Master'!AM22</f>
        <v>52275.852739999995</v>
      </c>
      <c r="O14" s="320">
        <f>'04-221Master'!AQ22</f>
        <v>0</v>
      </c>
      <c r="P14" s="320">
        <f>'04-221Master'!AR22</f>
        <v>336</v>
      </c>
      <c r="Q14" s="320">
        <f>'04-221Master'!AP22</f>
        <v>200</v>
      </c>
      <c r="R14" s="320">
        <f>'04-221Master'!AO22</f>
        <v>1800</v>
      </c>
      <c r="S14" s="337">
        <f>'04-221Master'!AN22</f>
        <v>0</v>
      </c>
      <c r="T14" s="337">
        <f>'04-221Master'!AS22</f>
        <v>2336</v>
      </c>
      <c r="U14" s="333">
        <f>'04-221Master'!AT22</f>
        <v>49939.852739999995</v>
      </c>
      <c r="V14" s="570">
        <v>8.5</v>
      </c>
      <c r="W14" s="838">
        <v>0</v>
      </c>
      <c r="X14" s="371"/>
      <c r="Y14" s="371">
        <v>10</v>
      </c>
      <c r="Z14" s="338" t="str">
        <f>'04-221Master'!AU22</f>
        <v>05.05.2022</v>
      </c>
      <c r="AA14" s="338" t="str">
        <f>'04-221Master'!AV22</f>
        <v>UCO</v>
      </c>
      <c r="AB14" s="363" t="str">
        <f>'04-221Master'!AW22</f>
        <v xml:space="preserve">A/c no 16280110106877 </v>
      </c>
    </row>
    <row r="15" spans="1:28" s="388" customFormat="1" ht="30.6" customHeight="1">
      <c r="A15" s="347">
        <v>8</v>
      </c>
      <c r="B15" s="332"/>
      <c r="C15" s="325"/>
      <c r="D15" s="569" t="str">
        <f>'04-221Master'!B23</f>
        <v>Santosh Patel</v>
      </c>
      <c r="E15" s="679">
        <f>'04-221Master'!Z23</f>
        <v>78754.2</v>
      </c>
      <c r="F15" s="333">
        <f>'04-221Master'!AD23</f>
        <v>31501.68</v>
      </c>
      <c r="G15" s="320">
        <f>'04-221Master'!AE23</f>
        <v>2083</v>
      </c>
      <c r="H15" s="334">
        <f>'04-221Master'!AI23</f>
        <v>1554.6089999999999</v>
      </c>
      <c r="I15" s="334">
        <f>'04-221Master'!AG23</f>
        <v>16948.119999999995</v>
      </c>
      <c r="J15" s="334">
        <f>'04-221Master'!AF23</f>
        <v>2083</v>
      </c>
      <c r="K15" s="335"/>
      <c r="L15" s="333">
        <f>'04-221Master'!AH23</f>
        <v>131370</v>
      </c>
      <c r="M15" s="336">
        <v>7</v>
      </c>
      <c r="N15" s="333">
        <f>'04-221Master'!AM23</f>
        <v>143275.53602</v>
      </c>
      <c r="O15" s="320">
        <f>'04-221Master'!AQ23</f>
        <v>0</v>
      </c>
      <c r="P15" s="320">
        <f>'04-221Master'!AR23</f>
        <v>336</v>
      </c>
      <c r="Q15" s="320">
        <f>'04-221Master'!AP23</f>
        <v>200</v>
      </c>
      <c r="R15" s="320">
        <f>'04-221Master'!AO23</f>
        <v>1800</v>
      </c>
      <c r="S15" s="337">
        <f>'04-221Master'!AN23</f>
        <v>0</v>
      </c>
      <c r="T15" s="337">
        <f>'04-221Master'!AS23</f>
        <v>2336</v>
      </c>
      <c r="U15" s="333">
        <f>'04-221Master'!AT23</f>
        <v>140939.53602</v>
      </c>
      <c r="V15" s="570">
        <v>7.5</v>
      </c>
      <c r="W15" s="838">
        <v>1</v>
      </c>
      <c r="X15" s="371"/>
      <c r="Y15" s="371">
        <v>8</v>
      </c>
      <c r="Z15" s="338" t="str">
        <f>'04-221Master'!AU23</f>
        <v>05.05.2022</v>
      </c>
      <c r="AA15" s="338" t="str">
        <f>'04-221Master'!AV23</f>
        <v>Axis Bank</v>
      </c>
      <c r="AB15" s="363" t="str">
        <f>'04-221Master'!AW23</f>
        <v>A/c No: 919010057225623</v>
      </c>
    </row>
    <row r="16" spans="1:28" s="388" customFormat="1" ht="30.6" customHeight="1">
      <c r="A16" s="347">
        <v>9</v>
      </c>
      <c r="B16" s="332"/>
      <c r="C16" s="325"/>
      <c r="D16" s="569" t="str">
        <f>'04-221Master'!B24</f>
        <v>Basweshwar Pawar</v>
      </c>
      <c r="E16" s="679">
        <f>'04-221Master'!Z24</f>
        <v>53728.2</v>
      </c>
      <c r="F16" s="333">
        <f>'04-221Master'!AD24</f>
        <v>21491.279999999999</v>
      </c>
      <c r="G16" s="320">
        <f>'04-221Master'!AE24</f>
        <v>2083</v>
      </c>
      <c r="H16" s="334">
        <f>'04-221Master'!AI24</f>
        <v>1554.6089999999999</v>
      </c>
      <c r="I16" s="334">
        <f>'04-221Master'!AG24</f>
        <v>10274.520000000004</v>
      </c>
      <c r="J16" s="334">
        <f>'04-221Master'!AF24</f>
        <v>2083</v>
      </c>
      <c r="K16" s="335"/>
      <c r="L16" s="333">
        <f>'04-221Master'!AH24</f>
        <v>89660</v>
      </c>
      <c r="M16" s="336">
        <v>8</v>
      </c>
      <c r="N16" s="333">
        <f>'04-221Master'!AM24</f>
        <v>98276.28542</v>
      </c>
      <c r="O16" s="320">
        <f>'04-221Master'!AQ24</f>
        <v>0</v>
      </c>
      <c r="P16" s="320">
        <f>'04-221Master'!AR24</f>
        <v>224</v>
      </c>
      <c r="Q16" s="320">
        <f>'04-221Master'!AP24</f>
        <v>200</v>
      </c>
      <c r="R16" s="320">
        <f>'04-221Master'!AO24</f>
        <v>1800</v>
      </c>
      <c r="S16" s="337">
        <f>'04-221Master'!AN24</f>
        <v>0</v>
      </c>
      <c r="T16" s="337">
        <f>'04-221Master'!AS24</f>
        <v>2224</v>
      </c>
      <c r="U16" s="333">
        <f>'04-221Master'!AT24</f>
        <v>96052.28542</v>
      </c>
      <c r="V16" s="570">
        <v>8</v>
      </c>
      <c r="W16" s="838">
        <v>0</v>
      </c>
      <c r="X16" s="371"/>
      <c r="Y16" s="371">
        <v>9.5</v>
      </c>
      <c r="Z16" s="338" t="str">
        <f>'04-221Master'!AU24</f>
        <v>05.05.2022</v>
      </c>
      <c r="AA16" s="338" t="str">
        <f>'04-221Master'!AV24</f>
        <v>ICICI BANK</v>
      </c>
      <c r="AB16" s="363" t="str">
        <f>'04-221Master'!AW24</f>
        <v>042401535769</v>
      </c>
    </row>
    <row r="17" spans="1:29" s="388" customFormat="1" ht="30.6" customHeight="1">
      <c r="A17" s="347">
        <v>10</v>
      </c>
      <c r="B17" s="332"/>
      <c r="C17" s="325"/>
      <c r="D17" s="569" t="str">
        <f>'04-221Master'!B25</f>
        <v>Hemanth Mishra</v>
      </c>
      <c r="E17" s="679">
        <f>'04-221Master'!Z25</f>
        <v>59289.599999999999</v>
      </c>
      <c r="F17" s="333">
        <f>'04-221Master'!AD25</f>
        <v>23715.84</v>
      </c>
      <c r="G17" s="320">
        <f>'04-221Master'!AE25</f>
        <v>2083</v>
      </c>
      <c r="H17" s="334">
        <f>'04-221Master'!AI25</f>
        <v>1554.6089999999999</v>
      </c>
      <c r="I17" s="334">
        <f>'04-221Master'!AG25</f>
        <v>11757.559999999998</v>
      </c>
      <c r="J17" s="334">
        <f>'04-221Master'!AF25</f>
        <v>2083</v>
      </c>
      <c r="K17" s="335"/>
      <c r="L17" s="333">
        <f>'04-221Master'!AH25</f>
        <v>98929</v>
      </c>
      <c r="M17" s="336">
        <v>9</v>
      </c>
      <c r="N17" s="333">
        <f>'04-221Master'!AM25</f>
        <v>108276.23875999999</v>
      </c>
      <c r="O17" s="320">
        <f>'04-221Master'!AQ25</f>
        <v>0</v>
      </c>
      <c r="P17" s="320">
        <f>'04-221Master'!AR25</f>
        <v>254</v>
      </c>
      <c r="Q17" s="320">
        <f>'04-221Master'!AP25</f>
        <v>200</v>
      </c>
      <c r="R17" s="320">
        <f>'04-221Master'!AO25</f>
        <v>1800</v>
      </c>
      <c r="S17" s="337">
        <f>'04-221Master'!AN25</f>
        <v>0</v>
      </c>
      <c r="T17" s="337">
        <f>'04-221Master'!AS25</f>
        <v>2254</v>
      </c>
      <c r="U17" s="333">
        <f>'04-221Master'!AT25</f>
        <v>106022.23875999999</v>
      </c>
      <c r="V17" s="570">
        <v>6</v>
      </c>
      <c r="W17" s="838">
        <v>0</v>
      </c>
      <c r="X17" s="371"/>
      <c r="Y17" s="371">
        <v>7.5</v>
      </c>
      <c r="Z17" s="338" t="str">
        <f>'04-221Master'!AU25</f>
        <v>05.05.2022</v>
      </c>
      <c r="AA17" s="338" t="str">
        <f>'04-221Master'!AV25</f>
        <v>ICICI BANK</v>
      </c>
      <c r="AB17" s="363" t="str">
        <f>'04-221Master'!AW25</f>
        <v>057001509856</v>
      </c>
    </row>
    <row r="18" spans="1:29" s="388" customFormat="1" ht="30.6" customHeight="1">
      <c r="A18" s="347">
        <v>11</v>
      </c>
      <c r="B18" s="332"/>
      <c r="C18" s="325"/>
      <c r="D18" s="569" t="str">
        <f>'04-221Master'!B26</f>
        <v>FAZALAHMED IRKAL</v>
      </c>
      <c r="E18" s="679">
        <f>'04-221Master'!Z26</f>
        <v>26349.84</v>
      </c>
      <c r="F18" s="333">
        <f>'04-221Master'!AD26</f>
        <v>10539.936000000002</v>
      </c>
      <c r="G18" s="320">
        <f>'04-221Master'!AE26</f>
        <v>1528</v>
      </c>
      <c r="H18" s="334">
        <f>'04-221Master'!AI26</f>
        <v>1554.6089999999999</v>
      </c>
      <c r="I18" s="334">
        <f>'04-221Master'!AG26</f>
        <v>4083.6240000000034</v>
      </c>
      <c r="J18" s="334">
        <f>'04-221Master'!AF26</f>
        <v>1528</v>
      </c>
      <c r="K18" s="335"/>
      <c r="L18" s="333">
        <f>'04-221Master'!AH26</f>
        <v>44029.400000000009</v>
      </c>
      <c r="M18" s="336">
        <v>10</v>
      </c>
      <c r="N18" s="333">
        <f>'04-221Master'!AM26</f>
        <v>49047.256303999995</v>
      </c>
      <c r="O18" s="320">
        <f>'04-221Master'!AQ26</f>
        <v>0</v>
      </c>
      <c r="P18" s="320">
        <f>'04-221Master'!AR26</f>
        <v>254</v>
      </c>
      <c r="Q18" s="320">
        <f>'04-221Master'!AP26</f>
        <v>200</v>
      </c>
      <c r="R18" s="320">
        <f>'04-221Master'!AO26</f>
        <v>1800</v>
      </c>
      <c r="S18" s="337">
        <f>'04-221Master'!AN26</f>
        <v>0</v>
      </c>
      <c r="T18" s="337">
        <f>'04-221Master'!AS26</f>
        <v>2254</v>
      </c>
      <c r="U18" s="333">
        <f>'04-221Master'!AT26</f>
        <v>46793.256303999995</v>
      </c>
      <c r="V18" s="570">
        <v>4.5</v>
      </c>
      <c r="W18" s="838">
        <v>1</v>
      </c>
      <c r="X18" s="371"/>
      <c r="Y18" s="371">
        <v>5</v>
      </c>
      <c r="Z18" s="338" t="str">
        <f>'04-221Master'!AU26</f>
        <v>05.05.2022</v>
      </c>
      <c r="AA18" s="338" t="str">
        <f>'04-221Master'!AV26</f>
        <v>SBI</v>
      </c>
      <c r="AB18" s="363">
        <f>'04-221Master'!AW26</f>
        <v>32722181716</v>
      </c>
    </row>
    <row r="19" spans="1:29" s="388" customFormat="1" ht="30.6" customHeight="1">
      <c r="A19" s="347">
        <v>12</v>
      </c>
      <c r="B19" s="332"/>
      <c r="C19" s="325"/>
      <c r="D19" s="569" t="str">
        <f>'04-221Master'!B27</f>
        <v>SUKRUTH YELLAMBOTLA</v>
      </c>
      <c r="E19" s="679">
        <f>'04-221Master'!Z27</f>
        <v>21471.599999999999</v>
      </c>
      <c r="F19" s="333">
        <f>'04-221Master'!AD27</f>
        <v>8588.64</v>
      </c>
      <c r="G19" s="320">
        <f>'04-221Master'!AE27</f>
        <v>2083</v>
      </c>
      <c r="H19" s="334">
        <f>'04-221Master'!AI27</f>
        <v>1554.6089999999999</v>
      </c>
      <c r="I19" s="334">
        <f>'04-221Master'!AG27</f>
        <v>1672.760000000002</v>
      </c>
      <c r="J19" s="334">
        <f>'04-221Master'!AF27</f>
        <v>2083</v>
      </c>
      <c r="K19" s="335"/>
      <c r="L19" s="333">
        <f>'04-221Master'!AH27</f>
        <v>35899</v>
      </c>
      <c r="M19" s="336">
        <v>11</v>
      </c>
      <c r="N19" s="333">
        <f>'04-221Master'!AM27</f>
        <v>40275.69296</v>
      </c>
      <c r="O19" s="320">
        <f>'04-221Master'!AQ27</f>
        <v>0</v>
      </c>
      <c r="P19" s="320">
        <f>'04-221Master'!AR27</f>
        <v>252</v>
      </c>
      <c r="Q19" s="320">
        <f>'04-221Master'!AP27</f>
        <v>200</v>
      </c>
      <c r="R19" s="320">
        <f>'04-221Master'!AO27</f>
        <v>1800</v>
      </c>
      <c r="S19" s="337">
        <f>'04-221Master'!AN27</f>
        <v>0</v>
      </c>
      <c r="T19" s="337">
        <f>'04-221Master'!AS27</f>
        <v>2252</v>
      </c>
      <c r="U19" s="333">
        <f>'04-221Master'!AT27</f>
        <v>38023.69296</v>
      </c>
      <c r="V19" s="570">
        <v>5.5</v>
      </c>
      <c r="W19" s="838">
        <v>0</v>
      </c>
      <c r="X19" s="371"/>
      <c r="Y19" s="371">
        <v>7</v>
      </c>
      <c r="Z19" s="338" t="str">
        <f>'04-221Master'!AU27</f>
        <v>05.05.2022</v>
      </c>
      <c r="AA19" s="338" t="str">
        <f>'04-221Master'!AV27</f>
        <v>HDFC0000486</v>
      </c>
      <c r="AB19" s="363" t="str">
        <f>'04-221Master'!AW27</f>
        <v>50100468093660</v>
      </c>
    </row>
    <row r="20" spans="1:29" s="388" customFormat="1" ht="30.6" customHeight="1">
      <c r="A20" s="347">
        <v>13</v>
      </c>
      <c r="B20" s="332"/>
      <c r="C20" s="325"/>
      <c r="D20" s="569" t="str">
        <f>'04-221Master'!B28</f>
        <v>Ajay Singh</v>
      </c>
      <c r="E20" s="679">
        <f>'04-221Master'!Z28</f>
        <v>77086.2</v>
      </c>
      <c r="F20" s="333">
        <f>'04-221Master'!AD28</f>
        <v>30834.48</v>
      </c>
      <c r="G20" s="320">
        <f>'04-221Master'!AE28</f>
        <v>2083</v>
      </c>
      <c r="H20" s="334">
        <f>'04-221Master'!AI28</f>
        <v>1554.6089999999999</v>
      </c>
      <c r="I20" s="334">
        <f>'04-221Master'!AG28</f>
        <v>16503.320000000007</v>
      </c>
      <c r="J20" s="334">
        <f>'04-221Master'!AF28</f>
        <v>2083</v>
      </c>
      <c r="K20" s="335"/>
      <c r="L20" s="333">
        <f>'04-221Master'!AH28</f>
        <v>128590</v>
      </c>
      <c r="M20" s="336">
        <v>12</v>
      </c>
      <c r="N20" s="333">
        <f>'04-221Master'!AM28</f>
        <v>140276.30522000001</v>
      </c>
      <c r="O20" s="320">
        <f>'04-221Master'!AQ28</f>
        <v>0</v>
      </c>
      <c r="P20" s="320">
        <f>'04-221Master'!AR28</f>
        <v>283</v>
      </c>
      <c r="Q20" s="320">
        <f>'04-221Master'!AP28</f>
        <v>200</v>
      </c>
      <c r="R20" s="320">
        <f>'04-221Master'!AO28</f>
        <v>1800</v>
      </c>
      <c r="S20" s="337">
        <f>'04-221Master'!AN28</f>
        <v>0</v>
      </c>
      <c r="T20" s="337">
        <f>'04-221Master'!AS28</f>
        <v>2283</v>
      </c>
      <c r="U20" s="333">
        <f>'04-221Master'!AT28</f>
        <v>137993.30522000001</v>
      </c>
      <c r="V20" s="570">
        <v>3.5</v>
      </c>
      <c r="W20" s="838">
        <v>1</v>
      </c>
      <c r="X20" s="371"/>
      <c r="Y20" s="371">
        <v>4</v>
      </c>
      <c r="Z20" s="338" t="str">
        <f>'04-221Master'!AU28</f>
        <v>05.05.2022</v>
      </c>
      <c r="AA20" s="338" t="str">
        <f>'04-221Master'!AV28</f>
        <v>Axis Bank</v>
      </c>
      <c r="AB20" s="363" t="str">
        <f>'04-221Master'!AW28</f>
        <v>916010061379733</v>
      </c>
    </row>
    <row r="21" spans="1:29" s="388" customFormat="1" ht="30.6" customHeight="1">
      <c r="A21" s="347">
        <v>14</v>
      </c>
      <c r="B21" s="332"/>
      <c r="C21" s="325"/>
      <c r="D21" s="569" t="str">
        <f>'04-221Master'!B29</f>
        <v> Rajesh Dhumal</v>
      </c>
      <c r="E21" s="679">
        <f>'04-221Master'!Z29</f>
        <v>44829.599999999999</v>
      </c>
      <c r="F21" s="333">
        <f>'04-221Master'!AD29</f>
        <v>17931.84</v>
      </c>
      <c r="G21" s="320">
        <f>'04-221Master'!AE29</f>
        <v>2083</v>
      </c>
      <c r="H21" s="334">
        <f>'04-221Master'!AI29</f>
        <v>1554.6089999999999</v>
      </c>
      <c r="I21" s="334">
        <f>'04-221Master'!AG29</f>
        <v>7901.5599999999977</v>
      </c>
      <c r="J21" s="334">
        <f>'04-221Master'!AF29</f>
        <v>2083</v>
      </c>
      <c r="K21" s="335"/>
      <c r="L21" s="333">
        <f>'04-221Master'!AH29</f>
        <v>74829</v>
      </c>
      <c r="M21" s="336">
        <v>13</v>
      </c>
      <c r="N21" s="333">
        <f>'04-221Master'!AM29</f>
        <v>82275.712759999995</v>
      </c>
      <c r="O21" s="320">
        <f>'04-221Master'!AQ29</f>
        <v>0</v>
      </c>
      <c r="P21" s="320">
        <f>'04-221Master'!AR29</f>
        <v>283</v>
      </c>
      <c r="Q21" s="320">
        <f>'04-221Master'!AP29</f>
        <v>200</v>
      </c>
      <c r="R21" s="320">
        <f>'04-221Master'!AO29</f>
        <v>1800</v>
      </c>
      <c r="S21" s="337">
        <f>'04-221Master'!AN29</f>
        <v>0</v>
      </c>
      <c r="T21" s="337">
        <f>'04-221Master'!AS29</f>
        <v>2283</v>
      </c>
      <c r="U21" s="333">
        <f>'04-221Master'!AT29</f>
        <v>79992.712759999995</v>
      </c>
      <c r="V21" s="570">
        <v>3</v>
      </c>
      <c r="W21" s="838">
        <v>1</v>
      </c>
      <c r="X21" s="371"/>
      <c r="Y21" s="371">
        <v>3.5</v>
      </c>
      <c r="Z21" s="338" t="str">
        <f>'04-221Master'!AU29</f>
        <v>05.05.2022</v>
      </c>
      <c r="AA21" s="338" t="str">
        <f>'04-221Master'!AV29</f>
        <v>AXIS BANK</v>
      </c>
      <c r="AB21" s="363" t="str">
        <f>'04-221Master'!AW29</f>
        <v>921010021808628</v>
      </c>
    </row>
    <row r="22" spans="1:29" s="388" customFormat="1" ht="30.6" customHeight="1">
      <c r="A22" s="347">
        <v>15</v>
      </c>
      <c r="B22" s="332"/>
      <c r="C22" s="325"/>
      <c r="D22" s="569" t="str">
        <f>'04-221Master'!B30</f>
        <v>Ajay Pal Singh</v>
      </c>
      <c r="E22" s="679">
        <f>'04-221Master'!Z30</f>
        <v>42605.4</v>
      </c>
      <c r="F22" s="333">
        <f>'04-221Master'!AD30</f>
        <v>17042.16</v>
      </c>
      <c r="G22" s="320">
        <f>'04-221Master'!AE30</f>
        <v>2083</v>
      </c>
      <c r="H22" s="334">
        <f>'04-221Master'!AI30</f>
        <v>1554.6089999999999</v>
      </c>
      <c r="I22" s="334">
        <f>'04-221Master'!AG30</f>
        <v>7308.4400000000023</v>
      </c>
      <c r="J22" s="334">
        <f>'04-221Master'!AF30</f>
        <v>2083</v>
      </c>
      <c r="K22" s="335"/>
      <c r="L22" s="333">
        <f>'04-221Master'!AH30</f>
        <v>71122</v>
      </c>
      <c r="M22" s="336">
        <v>14</v>
      </c>
      <c r="N22" s="333">
        <f>'04-221Master'!AM30</f>
        <v>78276.37874</v>
      </c>
      <c r="O22" s="320">
        <f>'04-221Master'!AQ30</f>
        <v>0</v>
      </c>
      <c r="P22" s="320">
        <f>'04-221Master'!AR30</f>
        <v>283</v>
      </c>
      <c r="Q22" s="320">
        <f>'04-221Master'!AP30</f>
        <v>200</v>
      </c>
      <c r="R22" s="320">
        <f>'04-221Master'!AO30</f>
        <v>1800</v>
      </c>
      <c r="S22" s="337">
        <f>'04-221Master'!AN30</f>
        <v>0</v>
      </c>
      <c r="T22" s="337">
        <f>'04-221Master'!AS30</f>
        <v>2283</v>
      </c>
      <c r="U22" s="333">
        <f>'04-221Master'!AT30</f>
        <v>75993.37874</v>
      </c>
      <c r="V22" s="570">
        <v>2</v>
      </c>
      <c r="W22" s="838">
        <v>0</v>
      </c>
      <c r="X22" s="371"/>
      <c r="Y22" s="371">
        <v>3.5</v>
      </c>
      <c r="Z22" s="338" t="str">
        <f>'04-221Master'!AU30</f>
        <v>05.05.2022</v>
      </c>
      <c r="AA22" s="338" t="str">
        <f>'04-221Master'!AV30</f>
        <v>DBS Bank</v>
      </c>
      <c r="AB22" s="363" t="str">
        <f>'04-221Master'!AW30</f>
        <v>881015838995</v>
      </c>
    </row>
    <row r="23" spans="1:29" s="388" customFormat="1" ht="30.6" customHeight="1">
      <c r="A23" s="347">
        <v>16</v>
      </c>
      <c r="B23" s="332"/>
      <c r="C23" s="325"/>
      <c r="D23" s="569" t="str">
        <f>'04-221Master'!B31</f>
        <v>PAVANKUMAR</v>
      </c>
      <c r="E23" s="679">
        <f>'04-221Master'!Z31</f>
        <v>23140.2</v>
      </c>
      <c r="F23" s="333">
        <f>'04-221Master'!AD31</f>
        <v>9256.08</v>
      </c>
      <c r="G23" s="320">
        <f>'04-221Master'!AE31</f>
        <v>2083</v>
      </c>
      <c r="H23" s="334">
        <f>'04-221Master'!AI31</f>
        <v>1554.6089999999999</v>
      </c>
      <c r="I23" s="334">
        <f>'04-221Master'!AG31</f>
        <v>2117.7200000000012</v>
      </c>
      <c r="J23" s="334">
        <f>'04-221Master'!AF31</f>
        <v>2083</v>
      </c>
      <c r="K23" s="335"/>
      <c r="L23" s="333">
        <f>'04-221Master'!AH31</f>
        <v>38680</v>
      </c>
      <c r="M23" s="336">
        <v>15</v>
      </c>
      <c r="N23" s="333">
        <f>'04-221Master'!AM31</f>
        <v>43276.002619999992</v>
      </c>
      <c r="O23" s="320">
        <f>'04-221Master'!AQ31</f>
        <v>0</v>
      </c>
      <c r="P23" s="320">
        <f>'04-221Master'!AR31</f>
        <v>283</v>
      </c>
      <c r="Q23" s="320">
        <f>'04-221Master'!AP31</f>
        <v>200</v>
      </c>
      <c r="R23" s="320">
        <f>'04-221Master'!AO31</f>
        <v>1800</v>
      </c>
      <c r="S23" s="337">
        <f>'04-221Master'!AN31</f>
        <v>0</v>
      </c>
      <c r="T23" s="337">
        <f>'04-221Master'!AS31</f>
        <v>2283</v>
      </c>
      <c r="U23" s="333">
        <f>'04-221Master'!AT31</f>
        <v>40993.002619999992</v>
      </c>
      <c r="V23" s="570">
        <v>2</v>
      </c>
      <c r="W23" s="838">
        <v>1</v>
      </c>
      <c r="X23" s="371"/>
      <c r="Y23" s="371">
        <v>2.5</v>
      </c>
      <c r="Z23" s="338" t="str">
        <f>'04-221Master'!AU31</f>
        <v>05.05.2022</v>
      </c>
      <c r="AA23" s="338" t="str">
        <f>'04-221Master'!AV31</f>
        <v>STATE BANK OF INDIA</v>
      </c>
      <c r="AB23" s="363">
        <f>'04-221Master'!AW31</f>
        <v>62318158569</v>
      </c>
    </row>
    <row r="24" spans="1:29" s="582" customFormat="1" ht="30.6" customHeight="1">
      <c r="A24" s="347">
        <v>17</v>
      </c>
      <c r="B24" s="850"/>
      <c r="C24" s="851"/>
      <c r="D24" s="569" t="str">
        <f>'04-221Master'!B32</f>
        <v>Rahul Suryawanshi</v>
      </c>
      <c r="E24" s="679">
        <f>'04-221Master'!Z32</f>
        <v>48166.8</v>
      </c>
      <c r="F24" s="333">
        <f>'04-221Master'!AD32</f>
        <v>19266.72</v>
      </c>
      <c r="G24" s="320">
        <f>'04-221Master'!AE32</f>
        <v>2083</v>
      </c>
      <c r="H24" s="334">
        <f>'04-221Master'!AI32</f>
        <v>1554.6089999999999</v>
      </c>
      <c r="I24" s="334">
        <f>'04-221Master'!AG32</f>
        <v>8791.4799999999959</v>
      </c>
      <c r="J24" s="334">
        <f>'04-221Master'!AF32</f>
        <v>2083</v>
      </c>
      <c r="K24" s="335"/>
      <c r="L24" s="333">
        <f>'04-221Master'!AH32</f>
        <v>80391</v>
      </c>
      <c r="M24" s="336">
        <v>16</v>
      </c>
      <c r="N24" s="333">
        <f>'04-221Master'!AM32</f>
        <v>88276.332079999993</v>
      </c>
      <c r="O24" s="320">
        <f>'04-221Master'!AQ32</f>
        <v>0</v>
      </c>
      <c r="P24" s="320">
        <f>'04-221Master'!AR32</f>
        <v>283</v>
      </c>
      <c r="Q24" s="320">
        <f>'04-221Master'!AP32</f>
        <v>200</v>
      </c>
      <c r="R24" s="320">
        <f>'04-221Master'!AO32</f>
        <v>1800</v>
      </c>
      <c r="S24" s="337">
        <f>'04-221Master'!AN32</f>
        <v>0</v>
      </c>
      <c r="T24" s="337">
        <f>'04-221Master'!AS32</f>
        <v>2283</v>
      </c>
      <c r="U24" s="333">
        <f>'04-221Master'!AT32</f>
        <v>85993.332079999993</v>
      </c>
      <c r="V24" s="570">
        <v>0.5</v>
      </c>
      <c r="W24" s="838">
        <v>0</v>
      </c>
      <c r="X24" s="371"/>
      <c r="Y24" s="371">
        <v>2</v>
      </c>
      <c r="Z24" s="338" t="str">
        <f>'04-221Master'!AU32</f>
        <v>05.05.2022</v>
      </c>
      <c r="AA24" s="338" t="str">
        <f>'04-221Master'!AV32</f>
        <v>standard chartered</v>
      </c>
      <c r="AB24" s="363" t="str">
        <f>'04-221Master'!AW32</f>
        <v>27011616110</v>
      </c>
    </row>
    <row r="25" spans="1:29" ht="30.6" customHeight="1">
      <c r="A25" s="347">
        <v>18</v>
      </c>
      <c r="B25" s="321"/>
      <c r="C25" s="321"/>
      <c r="D25" s="569" t="str">
        <f>'04-221Master'!B33</f>
        <v xml:space="preserve">Shantanu Patankar </v>
      </c>
      <c r="E25" s="679">
        <f>'04-221Master'!Z33</f>
        <v>67631.399999999994</v>
      </c>
      <c r="F25" s="333">
        <f>'04-221Master'!AD33</f>
        <v>27052.559999999998</v>
      </c>
      <c r="G25" s="320">
        <f>'04-221Master'!AE33</f>
        <v>2083</v>
      </c>
      <c r="H25" s="334">
        <f>'04-221Master'!AI33</f>
        <v>1554.6089999999999</v>
      </c>
      <c r="I25" s="334">
        <f>'04-221Master'!AG33</f>
        <v>13982.040000000008</v>
      </c>
      <c r="J25" s="334">
        <f>'04-221Master'!AF33</f>
        <v>2083</v>
      </c>
      <c r="K25" s="335"/>
      <c r="L25" s="333">
        <f>'04-221Master'!AH33</f>
        <v>112832</v>
      </c>
      <c r="M25" s="336">
        <v>17</v>
      </c>
      <c r="N25" s="333">
        <f>'04-221Master'!AM33</f>
        <v>123275.62934</v>
      </c>
      <c r="O25" s="320">
        <f>'04-221Master'!AQ33</f>
        <v>0</v>
      </c>
      <c r="P25" s="320">
        <f>'04-221Master'!AR33</f>
        <v>283</v>
      </c>
      <c r="Q25" s="320">
        <f>'04-221Master'!AP33</f>
        <v>200</v>
      </c>
      <c r="R25" s="320">
        <f>'04-221Master'!AO33</f>
        <v>1800</v>
      </c>
      <c r="S25" s="337">
        <f>'04-221Master'!AN33</f>
        <v>0</v>
      </c>
      <c r="T25" s="337">
        <f>'04-221Master'!AS33</f>
        <v>2283</v>
      </c>
      <c r="U25" s="333">
        <f>'04-221Master'!AT33</f>
        <v>120992.62934</v>
      </c>
      <c r="V25" s="570">
        <v>1.5</v>
      </c>
      <c r="W25" s="838">
        <v>1</v>
      </c>
      <c r="X25" s="371"/>
      <c r="Y25" s="371">
        <v>2</v>
      </c>
      <c r="Z25" s="338" t="str">
        <f>'04-221Master'!AU33</f>
        <v>05.05.2022</v>
      </c>
      <c r="AA25" s="338" t="str">
        <f>'04-221Master'!AV33</f>
        <v>ICICI bank</v>
      </c>
      <c r="AB25" s="363" t="str">
        <f>'04-221Master'!AW33</f>
        <v>239001508763</v>
      </c>
      <c r="AC25" s="388"/>
    </row>
    <row r="26" spans="1:29" ht="30.6" customHeight="1">
      <c r="A26" s="347">
        <v>19</v>
      </c>
      <c r="B26" s="321"/>
      <c r="C26" s="321"/>
      <c r="D26" s="569" t="str">
        <f>'04-221Master'!B34</f>
        <v>Varalakshmi Vijay</v>
      </c>
      <c r="E26" s="679">
        <f>'04-221Master'!Z34</f>
        <v>39824.400000000001</v>
      </c>
      <c r="F26" s="333">
        <f>'04-221Master'!AD34</f>
        <v>15929.760000000002</v>
      </c>
      <c r="G26" s="320">
        <f>'04-221Master'!AE34</f>
        <v>2083</v>
      </c>
      <c r="H26" s="334">
        <f>'04-221Master'!AI34</f>
        <v>1554.6089999999999</v>
      </c>
      <c r="I26" s="334">
        <f>'04-221Master'!AG34</f>
        <v>6566.8399999999965</v>
      </c>
      <c r="J26" s="334">
        <f>'04-221Master'!AF34</f>
        <v>2083</v>
      </c>
      <c r="K26" s="335"/>
      <c r="L26" s="333">
        <f>'04-221Master'!AH34</f>
        <v>66487</v>
      </c>
      <c r="M26" s="336">
        <v>18</v>
      </c>
      <c r="N26" s="333">
        <f>'04-221Master'!AM34</f>
        <v>73275.862639999992</v>
      </c>
      <c r="O26" s="320">
        <f>'04-221Master'!AQ34</f>
        <v>0</v>
      </c>
      <c r="P26" s="320">
        <f>'04-221Master'!AR34</f>
        <v>283</v>
      </c>
      <c r="Q26" s="320">
        <f>'04-221Master'!AP34</f>
        <v>200</v>
      </c>
      <c r="R26" s="320">
        <f>'04-221Master'!AO34</f>
        <v>1800</v>
      </c>
      <c r="S26" s="337">
        <f>'04-221Master'!AN34</f>
        <v>0</v>
      </c>
      <c r="T26" s="337">
        <f>'04-221Master'!AS34</f>
        <v>2283</v>
      </c>
      <c r="U26" s="333">
        <f>'04-221Master'!AT34</f>
        <v>70992.862639999992</v>
      </c>
      <c r="V26" s="570">
        <v>1.5</v>
      </c>
      <c r="W26" s="838">
        <v>0</v>
      </c>
      <c r="X26" s="371"/>
      <c r="Y26" s="371">
        <v>3</v>
      </c>
      <c r="Z26" s="338" t="str">
        <f>'04-221Master'!AU34</f>
        <v>05.05.2022</v>
      </c>
      <c r="AA26" s="338" t="str">
        <f>'04-221Master'!AV34</f>
        <v>ICICI bank</v>
      </c>
      <c r="AB26" s="363" t="str">
        <f>'04-221Master'!AW34</f>
        <v>055501503361</v>
      </c>
    </row>
    <row r="27" spans="1:29" s="388" customFormat="1" ht="30.6" customHeight="1">
      <c r="A27" s="347">
        <v>20</v>
      </c>
      <c r="B27" s="321"/>
      <c r="C27" s="321"/>
      <c r="D27" s="569" t="str">
        <f>'04-221Master'!B35</f>
        <v xml:space="preserve">OMPRAKASH PURI </v>
      </c>
      <c r="E27" s="679">
        <f>'04-221Master'!Z35</f>
        <v>64851</v>
      </c>
      <c r="F27" s="333">
        <f>'04-221Master'!AD35</f>
        <v>25940.400000000001</v>
      </c>
      <c r="G27" s="320">
        <f>'04-221Master'!AE35</f>
        <v>2083</v>
      </c>
      <c r="H27" s="334">
        <f>'04-221Master'!AI35</f>
        <v>1554.6089999999999</v>
      </c>
      <c r="I27" s="334">
        <f>'04-221Master'!AG35</f>
        <v>13240.600000000006</v>
      </c>
      <c r="J27" s="334">
        <f>'04-221Master'!AF35</f>
        <v>2083</v>
      </c>
      <c r="K27" s="335"/>
      <c r="L27" s="333">
        <f>'04-221Master'!AH35</f>
        <v>108198</v>
      </c>
      <c r="M27" s="336">
        <v>19</v>
      </c>
      <c r="N27" s="333">
        <f>'04-221Master'!AM35</f>
        <v>118276.1921</v>
      </c>
      <c r="O27" s="320">
        <f>'04-221Master'!AQ35</f>
        <v>0</v>
      </c>
      <c r="P27" s="320">
        <f>'04-221Master'!AR35</f>
        <v>0</v>
      </c>
      <c r="Q27" s="320">
        <f>'04-221Master'!AP35</f>
        <v>200</v>
      </c>
      <c r="R27" s="320">
        <f>'04-221Master'!AO35</f>
        <v>1800</v>
      </c>
      <c r="S27" s="337">
        <f>'04-221Master'!AN35</f>
        <v>0</v>
      </c>
      <c r="T27" s="337">
        <f>'04-221Master'!AS35</f>
        <v>2000</v>
      </c>
      <c r="U27" s="333">
        <f>'04-221Master'!AT35</f>
        <v>116276.1921</v>
      </c>
      <c r="V27" s="570">
        <v>0</v>
      </c>
      <c r="W27" s="838">
        <v>0</v>
      </c>
      <c r="X27" s="371"/>
      <c r="Y27" s="371">
        <v>1.5</v>
      </c>
      <c r="Z27" s="338" t="str">
        <f>'04-221Master'!AU35</f>
        <v>05.05.2022</v>
      </c>
      <c r="AA27" s="338" t="str">
        <f>'04-221Master'!AV35</f>
        <v>STATE BANK OF INDIA</v>
      </c>
      <c r="AB27" s="363" t="str">
        <f>'04-221Master'!AW35</f>
        <v xml:space="preserve">30067197155 </v>
      </c>
    </row>
    <row r="28" spans="1:29" s="388" customFormat="1" ht="30.6" customHeight="1">
      <c r="A28" s="347">
        <v>21</v>
      </c>
      <c r="B28" s="321"/>
      <c r="C28" s="321"/>
      <c r="D28" s="569" t="str">
        <f>'04-221Master'!B36</f>
        <v xml:space="preserve">DiptiRanjan Dikhit </v>
      </c>
      <c r="E28" s="679">
        <f>'04-221Master'!Z36</f>
        <v>33840.18</v>
      </c>
      <c r="F28" s="333">
        <f>'04-221Master'!AD36</f>
        <v>13536.072</v>
      </c>
      <c r="G28" s="320">
        <f>'04-221Master'!AE36</f>
        <v>1875</v>
      </c>
      <c r="H28" s="334">
        <f>'04-221Master'!AI36</f>
        <v>1554.6089999999999</v>
      </c>
      <c r="I28" s="334">
        <f>'04-221Master'!AG36</f>
        <v>5387.0480000000025</v>
      </c>
      <c r="J28" s="334">
        <f>'04-221Master'!AF36</f>
        <v>1875</v>
      </c>
      <c r="K28" s="335"/>
      <c r="L28" s="333">
        <f>'04-221Master'!AH36</f>
        <v>56513.3</v>
      </c>
      <c r="M28" s="336">
        <v>20</v>
      </c>
      <c r="N28" s="333">
        <f>'04-221Master'!AM36</f>
        <v>62515.636657999996</v>
      </c>
      <c r="O28" s="320">
        <f>'04-221Master'!AQ36</f>
        <v>0</v>
      </c>
      <c r="P28" s="320">
        <f>'04-221Master'!AR36</f>
        <v>0</v>
      </c>
      <c r="Q28" s="320">
        <f>'04-221Master'!AP36</f>
        <v>200</v>
      </c>
      <c r="R28" s="320">
        <f>'04-221Master'!AO36</f>
        <v>1800</v>
      </c>
      <c r="S28" s="337">
        <f>'04-221Master'!AN36</f>
        <v>0</v>
      </c>
      <c r="T28" s="337">
        <f>'04-221Master'!AS36</f>
        <v>2000</v>
      </c>
      <c r="U28" s="333">
        <f>'04-221Master'!AT36</f>
        <v>60515.636657999996</v>
      </c>
      <c r="V28" s="570">
        <v>0</v>
      </c>
      <c r="W28" s="838">
        <v>0</v>
      </c>
      <c r="X28" s="371"/>
      <c r="Y28" s="371">
        <v>1.5</v>
      </c>
      <c r="Z28" s="338" t="str">
        <f>'04-221Master'!AU36</f>
        <v>05.05.2022</v>
      </c>
      <c r="AA28" s="338" t="str">
        <f>'04-221Master'!AV36</f>
        <v>State Bank Of India</v>
      </c>
      <c r="AB28" s="363" t="str">
        <f>'04-221Master'!AW36</f>
        <v>31162392468</v>
      </c>
    </row>
    <row r="29" spans="1:29" s="388" customFormat="1" ht="30.6" customHeight="1">
      <c r="A29" s="321"/>
      <c r="B29" s="321"/>
      <c r="C29" s="321"/>
      <c r="D29" s="951"/>
      <c r="E29" s="679">
        <f t="shared" ref="E29:J29" si="0">SUM(E8:E28)</f>
        <v>1032148.62</v>
      </c>
      <c r="F29" s="333">
        <f t="shared" si="0"/>
        <v>412859.44800000009</v>
      </c>
      <c r="G29" s="320">
        <f t="shared" si="0"/>
        <v>42980</v>
      </c>
      <c r="H29" s="334">
        <f t="shared" si="0"/>
        <v>32646.789000000004</v>
      </c>
      <c r="I29" s="334">
        <f t="shared" si="0"/>
        <v>191652.63200000001</v>
      </c>
      <c r="J29" s="334">
        <f t="shared" si="0"/>
        <v>42980</v>
      </c>
      <c r="K29" s="335"/>
      <c r="L29" s="333">
        <f t="shared" ref="L29:T29" si="1">SUM(L8:L28)</f>
        <v>1722620.7</v>
      </c>
      <c r="M29" s="336">
        <f t="shared" si="1"/>
        <v>210</v>
      </c>
      <c r="N29" s="333">
        <f t="shared" si="1"/>
        <v>1890926.2226220001</v>
      </c>
      <c r="O29" s="320">
        <f t="shared" si="1"/>
        <v>0</v>
      </c>
      <c r="P29" s="320">
        <f t="shared" si="1"/>
        <v>5867.3370249999998</v>
      </c>
      <c r="Q29" s="320">
        <f t="shared" si="1"/>
        <v>4200</v>
      </c>
      <c r="R29" s="320">
        <f t="shared" si="1"/>
        <v>42000</v>
      </c>
      <c r="S29" s="337">
        <f t="shared" si="1"/>
        <v>0</v>
      </c>
      <c r="T29" s="337">
        <f t="shared" si="1"/>
        <v>52067.337025000001</v>
      </c>
      <c r="U29" s="333">
        <f>'04-221Master'!AT37</f>
        <v>1838858.8855970001</v>
      </c>
      <c r="V29" s="371"/>
      <c r="W29" s="838"/>
      <c r="X29" s="371"/>
      <c r="Y29" s="371"/>
      <c r="Z29" s="338"/>
      <c r="AA29" s="338"/>
      <c r="AB29" s="363"/>
    </row>
    <row r="30" spans="1:29" s="388" customFormat="1" ht="15.75">
      <c r="D30" s="879"/>
      <c r="E30" s="880"/>
      <c r="F30" s="881"/>
      <c r="G30" s="882"/>
      <c r="H30" s="883"/>
      <c r="I30" s="883"/>
      <c r="J30" s="883"/>
      <c r="K30" s="884"/>
      <c r="L30" s="881"/>
      <c r="M30" s="885"/>
      <c r="N30" s="881"/>
      <c r="O30" s="882"/>
      <c r="P30" s="882"/>
      <c r="Q30" s="882"/>
      <c r="R30" s="882"/>
      <c r="S30" s="886"/>
      <c r="T30" s="886"/>
      <c r="U30" s="881"/>
      <c r="V30" s="887"/>
      <c r="W30" s="888"/>
      <c r="X30" s="887"/>
      <c r="Y30" s="887"/>
      <c r="Z30" s="889"/>
      <c r="AA30" s="889"/>
      <c r="AB30" s="890"/>
    </row>
    <row r="31" spans="1:29" s="388" customFormat="1" ht="15.75">
      <c r="D31" s="879"/>
      <c r="E31" s="880"/>
      <c r="F31" s="881"/>
      <c r="G31" s="882"/>
      <c r="H31" s="883"/>
      <c r="I31" s="883"/>
      <c r="J31" s="883"/>
      <c r="K31" s="884"/>
      <c r="L31" s="881"/>
      <c r="M31" s="885"/>
      <c r="N31" s="881"/>
      <c r="O31" s="882"/>
      <c r="P31" s="882"/>
      <c r="Q31" s="882"/>
      <c r="R31" s="882"/>
      <c r="S31" s="886"/>
      <c r="T31" s="886"/>
      <c r="U31" s="881"/>
      <c r="V31" s="887"/>
      <c r="W31" s="888"/>
      <c r="X31" s="887"/>
      <c r="Y31" s="887"/>
      <c r="Z31" s="889"/>
      <c r="AA31" s="889"/>
      <c r="AB31" s="890"/>
    </row>
    <row r="32" spans="1:29" s="388" customFormat="1" ht="15.75">
      <c r="D32" s="879"/>
      <c r="E32" s="880"/>
      <c r="F32" s="881"/>
      <c r="G32" s="882"/>
      <c r="H32" s="883"/>
      <c r="I32" s="883"/>
      <c r="J32" s="883"/>
      <c r="K32" s="884"/>
      <c r="L32" s="881"/>
      <c r="M32" s="885"/>
      <c r="N32" s="881"/>
      <c r="O32" s="882"/>
      <c r="P32" s="882"/>
      <c r="Q32" s="882"/>
      <c r="R32" s="882"/>
      <c r="S32" s="886"/>
      <c r="T32" s="886"/>
      <c r="U32" s="881"/>
      <c r="V32" s="887"/>
      <c r="W32" s="888"/>
      <c r="X32" s="887"/>
      <c r="Y32" s="887"/>
      <c r="Z32" s="889"/>
      <c r="AA32" s="889"/>
      <c r="AB32" s="890"/>
    </row>
    <row r="33" spans="18:25" s="388" customFormat="1">
      <c r="R33" s="552"/>
      <c r="S33" s="552"/>
      <c r="T33" s="552"/>
      <c r="U33" s="552"/>
      <c r="V33" s="552"/>
      <c r="W33" s="552"/>
      <c r="X33" s="552"/>
      <c r="Y33" s="552"/>
    </row>
    <row r="34" spans="18:25" s="388" customFormat="1">
      <c r="R34" s="552"/>
      <c r="S34" s="552"/>
      <c r="T34" s="552"/>
      <c r="U34" s="552"/>
      <c r="V34" s="552"/>
      <c r="W34" s="552"/>
      <c r="X34" s="552"/>
      <c r="Y34" s="552"/>
    </row>
    <row r="35" spans="18:25" s="388" customFormat="1"/>
    <row r="36" spans="18:25" s="388" customFormat="1">
      <c r="R36" s="552"/>
      <c r="S36" s="552"/>
      <c r="T36" s="552"/>
      <c r="U36" s="552"/>
      <c r="V36" s="552"/>
      <c r="W36" s="552"/>
      <c r="X36" s="552"/>
      <c r="Y36" s="552"/>
    </row>
    <row r="41" spans="18:25">
      <c r="R41" s="1139" t="s">
        <v>38</v>
      </c>
      <c r="S41" s="1139"/>
      <c r="T41" s="1139"/>
      <c r="U41" s="1139"/>
      <c r="V41" s="1139"/>
      <c r="W41" s="1139"/>
      <c r="X41" s="1139"/>
      <c r="Y41" s="1139"/>
    </row>
  </sheetData>
  <mergeCells count="5">
    <mergeCell ref="A3:AB3"/>
    <mergeCell ref="A4:AB4"/>
    <mergeCell ref="A5:AB5"/>
    <mergeCell ref="R41:Y41"/>
    <mergeCell ref="A2:AB2"/>
  </mergeCells>
  <pageMargins left="0.70866141732283472" right="0.70866141732283472" top="0.74803149606299213" bottom="0.74803149606299213" header="0.31496062992125984" footer="0.31496062992125984"/>
  <pageSetup paperSize="8" scale="70" orientation="landscape"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254"/>
  <sheetViews>
    <sheetView topLeftCell="A1161" zoomScale="90" zoomScaleNormal="90" workbookViewId="0">
      <selection activeCell="H1127" sqref="H1127:L1127"/>
    </sheetView>
  </sheetViews>
  <sheetFormatPr defaultRowHeight="15"/>
  <cols>
    <col min="7" max="7" width="10.85546875" customWidth="1"/>
    <col min="8" max="8" width="11.5703125" customWidth="1"/>
    <col min="10" max="10" width="14.5703125" customWidth="1"/>
    <col min="12" max="12" width="24.140625" customWidth="1"/>
  </cols>
  <sheetData>
    <row r="1" spans="1:12" ht="32.25">
      <c r="A1" s="370"/>
      <c r="B1" s="1163" t="s">
        <v>590</v>
      </c>
      <c r="C1" s="1164"/>
      <c r="D1" s="1164"/>
      <c r="E1" s="1164"/>
      <c r="F1" s="1164"/>
      <c r="G1" s="1164"/>
      <c r="H1" s="1164"/>
      <c r="I1" s="1164"/>
      <c r="J1" s="1164"/>
      <c r="K1" s="1164"/>
      <c r="L1" s="1165"/>
    </row>
    <row r="2" spans="1:12" ht="23.25">
      <c r="A2" s="370"/>
      <c r="B2" s="1166" t="s">
        <v>107</v>
      </c>
      <c r="C2" s="1207"/>
      <c r="D2" s="1207"/>
      <c r="E2" s="1207"/>
      <c r="F2" s="1207"/>
      <c r="G2" s="1207"/>
      <c r="H2" s="1207"/>
      <c r="I2" s="1207"/>
      <c r="J2" s="1207"/>
      <c r="K2" s="1207"/>
      <c r="L2" s="1168"/>
    </row>
    <row r="3" spans="1:12" ht="16.5" thickBot="1">
      <c r="A3" s="370"/>
      <c r="B3" s="1169" t="s">
        <v>591</v>
      </c>
      <c r="C3" s="1170"/>
      <c r="D3" s="1170"/>
      <c r="E3" s="1170"/>
      <c r="F3" s="1170"/>
      <c r="G3" s="1170"/>
      <c r="H3" s="1170"/>
      <c r="I3" s="1170"/>
      <c r="J3" s="1170"/>
      <c r="K3" s="1170"/>
      <c r="L3" s="1171"/>
    </row>
    <row r="4" spans="1:12" ht="14.45" customHeight="1">
      <c r="A4" s="370"/>
      <c r="B4" s="1172" t="s">
        <v>108</v>
      </c>
      <c r="C4" s="1211"/>
      <c r="D4" s="1211"/>
      <c r="E4" s="1211"/>
      <c r="F4" s="1211"/>
      <c r="G4" s="370"/>
      <c r="H4" s="1212" t="s">
        <v>109</v>
      </c>
      <c r="I4" s="1212"/>
      <c r="J4" s="1212"/>
      <c r="K4" s="1212"/>
      <c r="L4" s="1175"/>
    </row>
    <row r="5" spans="1:12" ht="15.75" thickBot="1">
      <c r="A5" s="370"/>
      <c r="B5" s="1172"/>
      <c r="C5" s="1211"/>
      <c r="D5" s="1211"/>
      <c r="E5" s="1211"/>
      <c r="F5" s="1211"/>
      <c r="G5" s="370"/>
      <c r="H5" s="1212"/>
      <c r="I5" s="1212"/>
      <c r="J5" s="1212"/>
      <c r="K5" s="1212"/>
      <c r="L5" s="1175"/>
    </row>
    <row r="6" spans="1:12">
      <c r="A6" s="370"/>
      <c r="B6" s="74"/>
      <c r="C6" s="75"/>
      <c r="D6" s="75"/>
      <c r="E6" s="75"/>
      <c r="F6" s="76"/>
      <c r="G6" s="370"/>
      <c r="H6" s="74"/>
      <c r="I6" s="75"/>
      <c r="J6" s="75"/>
      <c r="K6" s="75"/>
      <c r="L6" s="76"/>
    </row>
    <row r="7" spans="1:12">
      <c r="A7" s="370"/>
      <c r="B7" s="77" t="str">
        <f>'04-221Master'!F5</f>
        <v>Burgeon IT Services Pvt.Ltd.</v>
      </c>
      <c r="C7" s="370"/>
      <c r="D7" s="370"/>
      <c r="E7" s="370"/>
      <c r="F7" s="14"/>
      <c r="G7" s="370"/>
      <c r="H7" s="77" t="str">
        <f>'04-221Master'!AP5</f>
        <v>Burgeon IT Services Pvt.Ltd.</v>
      </c>
      <c r="I7" s="370"/>
      <c r="J7" s="370"/>
      <c r="K7" s="370"/>
      <c r="L7" s="14"/>
    </row>
    <row r="8" spans="1:12">
      <c r="A8" s="370"/>
      <c r="B8" s="13"/>
      <c r="C8" s="370"/>
      <c r="D8" s="370"/>
      <c r="E8" s="370"/>
      <c r="F8" s="14"/>
      <c r="G8" s="370"/>
      <c r="H8" s="13"/>
      <c r="I8" s="370"/>
      <c r="J8" s="370"/>
      <c r="K8" s="370"/>
      <c r="L8" s="14"/>
    </row>
    <row r="9" spans="1:12">
      <c r="A9" s="370"/>
      <c r="B9" s="77" t="str">
        <f>'04-221Master'!F6</f>
        <v>Siri Mansion LIGB 436 Dr.A S Rao Nagar,Hyderabad</v>
      </c>
      <c r="C9" s="370"/>
      <c r="D9" s="370"/>
      <c r="E9" s="370"/>
      <c r="F9" s="14"/>
      <c r="G9" s="370"/>
      <c r="H9" s="77" t="str">
        <f>'04-221Master'!AP6</f>
        <v>Siri Mansion LIGB 436 Dr.A S Rao Nagar,Hyderabad</v>
      </c>
      <c r="I9" s="370"/>
      <c r="J9" s="370"/>
      <c r="K9" s="370"/>
      <c r="L9" s="14"/>
    </row>
    <row r="10" spans="1:12" ht="15.75" thickBot="1">
      <c r="A10" s="370"/>
      <c r="B10" s="25"/>
      <c r="C10" s="23"/>
      <c r="D10" s="23"/>
      <c r="E10" s="23"/>
      <c r="F10" s="24"/>
      <c r="G10" s="370"/>
      <c r="H10" s="25"/>
      <c r="I10" s="23"/>
      <c r="J10" s="23"/>
      <c r="K10" s="23"/>
      <c r="L10" s="24"/>
    </row>
    <row r="11" spans="1:12">
      <c r="A11" s="370"/>
      <c r="B11" s="13"/>
      <c r="C11" s="370"/>
      <c r="D11" s="370"/>
      <c r="E11" s="370"/>
      <c r="F11" s="370"/>
      <c r="G11" s="370"/>
      <c r="H11" s="370"/>
      <c r="I11" s="370"/>
      <c r="J11" s="370" t="s">
        <v>110</v>
      </c>
      <c r="K11" s="370"/>
      <c r="L11" s="14"/>
    </row>
    <row r="12" spans="1:12">
      <c r="A12" s="370"/>
      <c r="B12" s="1176" t="s">
        <v>111</v>
      </c>
      <c r="C12" s="1213"/>
      <c r="D12" s="1213"/>
      <c r="E12" s="1213"/>
      <c r="F12" s="1213"/>
      <c r="G12" s="370"/>
      <c r="H12" s="1213" t="s">
        <v>4</v>
      </c>
      <c r="I12" s="1213"/>
      <c r="J12" s="1213"/>
      <c r="K12" s="1213"/>
      <c r="L12" s="1178"/>
    </row>
    <row r="13" spans="1:12" ht="15.75" thickBot="1">
      <c r="A13" s="370"/>
      <c r="B13" s="13"/>
      <c r="C13" s="370"/>
      <c r="D13" s="370"/>
      <c r="E13" s="370"/>
      <c r="F13" s="370"/>
      <c r="G13" s="370"/>
      <c r="H13" s="370"/>
      <c r="I13" s="370"/>
      <c r="J13" s="370"/>
      <c r="K13" s="370"/>
      <c r="L13" s="14"/>
    </row>
    <row r="14" spans="1:12">
      <c r="A14" s="370"/>
      <c r="B14" s="74"/>
      <c r="C14" s="75"/>
      <c r="D14" s="75"/>
      <c r="E14" s="75"/>
      <c r="F14" s="76"/>
      <c r="G14" s="370"/>
      <c r="H14" s="78"/>
      <c r="I14" s="79"/>
      <c r="J14" s="79"/>
      <c r="K14" s="79"/>
      <c r="L14" s="80"/>
    </row>
    <row r="15" spans="1:12">
      <c r="A15" s="370"/>
      <c r="B15" s="13"/>
      <c r="C15" s="370"/>
      <c r="D15" s="370"/>
      <c r="E15" s="370"/>
      <c r="F15" s="14"/>
      <c r="G15" s="370"/>
      <c r="H15" s="77" t="str">
        <f>'04-221Master'!AP10</f>
        <v>INFOSYS  LTD.IL Pune SEZ Unit-I,Plot No. 24/3</v>
      </c>
      <c r="I15" s="374"/>
      <c r="J15" s="374"/>
      <c r="K15" s="374"/>
      <c r="L15" s="81"/>
    </row>
    <row r="16" spans="1:12">
      <c r="A16" s="370"/>
      <c r="B16" s="77" t="str">
        <f>'04-221Master'!F8</f>
        <v>IT SUPPORTIVE SERVICES&amp; Pune SEZ Unit-1</v>
      </c>
      <c r="C16" s="370"/>
      <c r="D16" s="370"/>
      <c r="E16" s="370"/>
      <c r="F16" s="14"/>
      <c r="G16" s="370"/>
      <c r="H16" s="77"/>
      <c r="I16" s="374"/>
      <c r="J16" s="374"/>
      <c r="K16" s="374"/>
      <c r="L16" s="81"/>
    </row>
    <row r="17" spans="1:12">
      <c r="A17" s="370"/>
      <c r="B17" s="13"/>
      <c r="C17" s="370"/>
      <c r="D17" s="370"/>
      <c r="E17" s="370"/>
      <c r="F17" s="14"/>
      <c r="G17" s="370"/>
      <c r="H17" s="77" t="str">
        <f>'04-221Master'!AP11</f>
        <v>Rajiv gandhi Info tech park,Village Mann,Pune,Maharashtra 411057</v>
      </c>
      <c r="I17" s="374"/>
      <c r="J17" s="374"/>
      <c r="K17" s="374"/>
      <c r="L17" s="81"/>
    </row>
    <row r="18" spans="1:12" ht="15.75" thickBot="1">
      <c r="A18" s="370"/>
      <c r="B18" s="25"/>
      <c r="C18" s="23"/>
      <c r="D18" s="23"/>
      <c r="E18" s="23"/>
      <c r="F18" s="24"/>
      <c r="G18" s="370"/>
      <c r="H18" s="77"/>
      <c r="I18" s="374"/>
      <c r="J18" s="374"/>
      <c r="K18" s="374"/>
      <c r="L18" s="81"/>
    </row>
    <row r="19" spans="1:12" ht="27.95" customHeight="1">
      <c r="A19" s="369"/>
      <c r="B19" s="1143" t="s">
        <v>112</v>
      </c>
      <c r="C19" s="1144"/>
      <c r="D19" s="1144"/>
      <c r="E19" s="1144"/>
      <c r="F19" s="1144"/>
      <c r="G19" s="1145"/>
      <c r="H19" s="1214" t="str">
        <f>'04-221Master'!B16</f>
        <v>Venegella Kanaka durga</v>
      </c>
      <c r="I19" s="1215"/>
      <c r="J19" s="1215"/>
      <c r="K19" s="1215"/>
      <c r="L19" s="1216"/>
    </row>
    <row r="20" spans="1:12" ht="27.95" customHeight="1">
      <c r="A20" s="369"/>
      <c r="B20" s="411"/>
      <c r="C20" s="412"/>
      <c r="D20" s="412"/>
      <c r="E20" s="412"/>
      <c r="F20" s="412"/>
      <c r="G20" s="413"/>
      <c r="H20" s="1150" t="str">
        <f>'04-221Master'!G16</f>
        <v>Dr no-115,Sujatha nagar, vinjamur SPSR Nellore ,Andra Pradesh,pincode:560066</v>
      </c>
      <c r="I20" s="1150"/>
      <c r="J20" s="1150"/>
      <c r="K20" s="1150"/>
      <c r="L20" s="1150"/>
    </row>
    <row r="21" spans="1:12" ht="27.95" customHeight="1">
      <c r="A21" s="369"/>
      <c r="B21" s="1152" t="s">
        <v>113</v>
      </c>
      <c r="C21" s="1153"/>
      <c r="D21" s="1153"/>
      <c r="E21" s="1153"/>
      <c r="F21" s="1153"/>
      <c r="G21" s="1153"/>
      <c r="H21" s="1154">
        <f>'04-221Master'!AY16</f>
        <v>6</v>
      </c>
      <c r="I21" s="1155"/>
      <c r="J21" s="1155"/>
      <c r="K21" s="1155"/>
      <c r="L21" s="1156"/>
    </row>
    <row r="22" spans="1:12" ht="27.95" customHeight="1">
      <c r="A22" s="369"/>
      <c r="B22" s="1143" t="s">
        <v>114</v>
      </c>
      <c r="C22" s="1144"/>
      <c r="D22" s="1144"/>
      <c r="E22" s="1144"/>
      <c r="F22" s="1144"/>
      <c r="G22" s="1144"/>
      <c r="H22" s="1146" t="str">
        <f>'04-221Master'!F16</f>
        <v>Senior Software Engineer</v>
      </c>
      <c r="I22" s="1147"/>
      <c r="J22" s="1147"/>
      <c r="K22" s="1147"/>
      <c r="L22" s="1151"/>
    </row>
    <row r="23" spans="1:12" ht="27.95" customHeight="1">
      <c r="A23" s="369"/>
      <c r="B23" s="1143" t="s">
        <v>115</v>
      </c>
      <c r="C23" s="1144"/>
      <c r="D23" s="1144"/>
      <c r="E23" s="1144"/>
      <c r="F23" s="1144"/>
      <c r="G23" s="1144"/>
      <c r="H23" s="1157">
        <f>'04-221Master'!N16</f>
        <v>44021</v>
      </c>
      <c r="I23" s="1158"/>
      <c r="J23" s="1158"/>
      <c r="K23" s="1158"/>
      <c r="L23" s="1159"/>
    </row>
    <row r="24" spans="1:12" ht="27.95" customHeight="1">
      <c r="A24" s="369"/>
      <c r="B24" s="399" t="s">
        <v>116</v>
      </c>
      <c r="C24" s="87"/>
      <c r="D24" s="87"/>
      <c r="E24" s="87"/>
      <c r="F24" s="87"/>
      <c r="G24" s="87"/>
      <c r="H24" s="418"/>
      <c r="I24" s="89"/>
      <c r="J24" s="389" t="str">
        <f>'04-221Master'!T16</f>
        <v>N/A</v>
      </c>
      <c r="K24" s="416"/>
      <c r="L24" s="417"/>
    </row>
    <row r="25" spans="1:12" ht="27.95" customHeight="1">
      <c r="A25" s="369"/>
      <c r="B25" s="399" t="s">
        <v>117</v>
      </c>
      <c r="C25" s="87"/>
      <c r="D25" s="87"/>
      <c r="E25" s="87"/>
      <c r="F25" s="87"/>
      <c r="G25" s="91"/>
      <c r="H25" s="92"/>
      <c r="I25" s="93"/>
      <c r="J25" s="389">
        <f>'04-221Master'!S16</f>
        <v>100748390738</v>
      </c>
      <c r="K25" s="93"/>
      <c r="L25" s="94"/>
    </row>
    <row r="26" spans="1:12" ht="27.95" customHeight="1">
      <c r="A26" s="369"/>
      <c r="B26" s="1160" t="s">
        <v>118</v>
      </c>
      <c r="C26" s="1161"/>
      <c r="D26" s="1161"/>
      <c r="E26" s="1161"/>
      <c r="F26" s="1161"/>
      <c r="G26" s="1161"/>
      <c r="H26" s="1154">
        <f>'04-221Master'!Y16</f>
        <v>75643</v>
      </c>
      <c r="I26" s="1155"/>
      <c r="J26" s="1155"/>
      <c r="K26" s="1155"/>
      <c r="L26" s="1156"/>
    </row>
    <row r="27" spans="1:12" ht="27.95" customHeight="1">
      <c r="A27" s="370"/>
      <c r="B27" s="1143" t="s">
        <v>119</v>
      </c>
      <c r="C27" s="1144"/>
      <c r="D27" s="1144"/>
      <c r="E27" s="1144"/>
      <c r="F27" s="1144"/>
      <c r="G27" s="1144"/>
      <c r="H27" s="1162">
        <f>'04-221Master'!D10</f>
        <v>44652</v>
      </c>
      <c r="I27" s="1147"/>
      <c r="J27" s="1147"/>
      <c r="K27" s="1147"/>
      <c r="L27" s="1151"/>
    </row>
    <row r="28" spans="1:12" ht="27.95" customHeight="1">
      <c r="A28" s="370"/>
      <c r="B28" s="1143" t="s">
        <v>120</v>
      </c>
      <c r="C28" s="1144"/>
      <c r="D28" s="1144"/>
      <c r="E28" s="1144"/>
      <c r="F28" s="1144"/>
      <c r="G28" s="1144"/>
      <c r="H28" s="1147" t="s">
        <v>121</v>
      </c>
      <c r="I28" s="1147"/>
      <c r="J28" s="1147"/>
      <c r="K28" s="1147"/>
      <c r="L28" s="1151"/>
    </row>
    <row r="29" spans="1:12" ht="27.95" customHeight="1">
      <c r="A29" s="370"/>
      <c r="B29" s="399" t="s">
        <v>122</v>
      </c>
      <c r="C29" s="87"/>
      <c r="D29" s="87"/>
      <c r="E29" s="87"/>
      <c r="F29" s="87"/>
      <c r="G29" s="91"/>
      <c r="H29" s="418"/>
      <c r="I29" s="416"/>
      <c r="J29" s="96">
        <f>'04-221Master'!W16</f>
        <v>30</v>
      </c>
      <c r="K29" s="416"/>
      <c r="L29" s="417"/>
    </row>
    <row r="30" spans="1:12" ht="27.95" customHeight="1">
      <c r="A30" s="370"/>
      <c r="B30" s="399" t="s">
        <v>123</v>
      </c>
      <c r="C30" s="87"/>
      <c r="D30" s="87"/>
      <c r="E30" s="87"/>
      <c r="F30" s="87"/>
      <c r="G30" s="91"/>
      <c r="H30" s="418"/>
      <c r="I30" s="416"/>
      <c r="J30" s="416" t="s">
        <v>37</v>
      </c>
      <c r="K30" s="416"/>
      <c r="L30" s="417"/>
    </row>
    <row r="31" spans="1:12" ht="27.95" customHeight="1">
      <c r="A31" s="370"/>
      <c r="B31" s="399" t="s">
        <v>124</v>
      </c>
      <c r="C31" s="87"/>
      <c r="D31" s="87"/>
      <c r="E31" s="87"/>
      <c r="F31" s="87"/>
      <c r="G31" s="91"/>
      <c r="H31" s="418"/>
      <c r="I31" s="416"/>
      <c r="J31" s="96">
        <v>0</v>
      </c>
      <c r="K31" s="416"/>
      <c r="L31" s="417"/>
    </row>
    <row r="32" spans="1:12" ht="27.95" customHeight="1">
      <c r="A32" s="370"/>
      <c r="B32" s="399" t="s">
        <v>125</v>
      </c>
      <c r="C32" s="87"/>
      <c r="D32" s="87"/>
      <c r="E32" s="87"/>
      <c r="F32" s="87"/>
      <c r="G32" s="91"/>
      <c r="H32" s="418"/>
      <c r="I32" s="416"/>
      <c r="J32" s="416">
        <v>0</v>
      </c>
      <c r="K32" s="416"/>
      <c r="L32" s="417"/>
    </row>
    <row r="33" spans="1:12" ht="27.95" customHeight="1">
      <c r="A33" s="370"/>
      <c r="B33" s="399" t="s">
        <v>126</v>
      </c>
      <c r="C33" s="87"/>
      <c r="D33" s="87"/>
      <c r="E33" s="87"/>
      <c r="F33" s="87"/>
      <c r="G33" s="91"/>
      <c r="H33" s="418"/>
      <c r="I33" s="416"/>
      <c r="J33" s="364">
        <f>'04-221Master'!AM16</f>
        <v>83275.815979999985</v>
      </c>
      <c r="K33" s="416"/>
      <c r="L33" s="417" t="s">
        <v>35</v>
      </c>
    </row>
    <row r="34" spans="1:12" ht="27.95" customHeight="1">
      <c r="A34" s="370"/>
      <c r="B34" s="399" t="s">
        <v>127</v>
      </c>
      <c r="C34" s="87"/>
      <c r="D34" s="414" t="s">
        <v>32</v>
      </c>
      <c r="E34" s="415">
        <f>'04-221Master'!AO16</f>
        <v>1800</v>
      </c>
      <c r="F34" s="414" t="s">
        <v>31</v>
      </c>
      <c r="G34" s="415">
        <f>'04-221Master'!AN16</f>
        <v>0</v>
      </c>
      <c r="H34" s="414" t="s">
        <v>33</v>
      </c>
      <c r="I34" s="415">
        <f>'04-221Master'!AP16</f>
        <v>200</v>
      </c>
      <c r="J34" s="414" t="s">
        <v>34</v>
      </c>
      <c r="K34" s="415">
        <f>'04-221Master'!AQ16</f>
        <v>0</v>
      </c>
      <c r="L34" s="103">
        <f>'04-221Master'!AR16</f>
        <v>391.787848</v>
      </c>
    </row>
    <row r="35" spans="1:12" ht="27.95" customHeight="1">
      <c r="A35" s="370"/>
      <c r="B35" s="399" t="s">
        <v>128</v>
      </c>
      <c r="C35" s="87"/>
      <c r="D35" s="87"/>
      <c r="E35" s="87"/>
      <c r="F35" s="87"/>
      <c r="G35" s="91"/>
      <c r="H35" s="418"/>
      <c r="I35" s="416"/>
      <c r="J35" s="96">
        <f>J33-(E34+G34+I34+K34+L34)</f>
        <v>80884.028131999978</v>
      </c>
      <c r="K35" s="416"/>
      <c r="L35" s="417"/>
    </row>
    <row r="36" spans="1:12" ht="27.95" customHeight="1">
      <c r="A36" s="370"/>
      <c r="B36" s="400" t="s">
        <v>129</v>
      </c>
      <c r="C36" s="401"/>
      <c r="D36" s="401"/>
      <c r="E36" s="401"/>
      <c r="F36" s="401"/>
      <c r="G36" s="402"/>
      <c r="H36" s="403"/>
      <c r="I36" s="404"/>
      <c r="J36" s="404"/>
      <c r="K36" s="404"/>
      <c r="L36" s="98"/>
    </row>
    <row r="37" spans="1:12">
      <c r="A37" s="370"/>
      <c r="B37" s="405" t="s">
        <v>130</v>
      </c>
      <c r="C37" s="99"/>
      <c r="D37" s="99"/>
      <c r="E37" s="99"/>
      <c r="F37" s="99"/>
      <c r="G37" s="100"/>
      <c r="H37" s="72"/>
      <c r="I37" s="17"/>
      <c r="J37" s="17"/>
      <c r="K37" s="17"/>
      <c r="L37" s="101"/>
    </row>
    <row r="38" spans="1:12">
      <c r="A38" s="370"/>
      <c r="B38" s="13"/>
      <c r="C38" s="370"/>
      <c r="D38" s="370"/>
      <c r="E38" s="370"/>
      <c r="F38" s="370"/>
      <c r="G38" s="370"/>
      <c r="H38" s="370"/>
      <c r="I38" s="370"/>
      <c r="J38" s="370"/>
      <c r="K38" s="370"/>
      <c r="L38" s="14"/>
    </row>
    <row r="39" spans="1:12" ht="15.75" thickBot="1">
      <c r="A39" s="370"/>
      <c r="B39" s="25"/>
      <c r="C39" s="23"/>
      <c r="D39" s="23"/>
      <c r="E39" s="23"/>
      <c r="F39" s="23"/>
      <c r="G39" s="23"/>
      <c r="H39" s="23"/>
      <c r="I39" s="23"/>
      <c r="J39" s="23"/>
      <c r="K39" s="23"/>
      <c r="L39" s="24"/>
    </row>
    <row r="40" spans="1:12">
      <c r="A40" s="370"/>
    </row>
    <row r="41" spans="1:12">
      <c r="A41" s="370"/>
    </row>
    <row r="42" spans="1:12">
      <c r="A42" s="370"/>
    </row>
    <row r="43" spans="1:12">
      <c r="A43" s="370"/>
    </row>
    <row r="44" spans="1:12">
      <c r="A44" s="370"/>
    </row>
    <row r="45" spans="1:12">
      <c r="A45" s="370"/>
    </row>
    <row r="46" spans="1:12">
      <c r="A46" s="370"/>
    </row>
    <row r="47" spans="1:12">
      <c r="A47" s="370"/>
    </row>
    <row r="48" spans="1:12">
      <c r="A48" s="370"/>
    </row>
    <row r="49" spans="1:12">
      <c r="A49" s="370"/>
    </row>
    <row r="50" spans="1:12">
      <c r="A50" s="370"/>
    </row>
    <row r="51" spans="1:12">
      <c r="A51" s="370"/>
    </row>
    <row r="52" spans="1:12">
      <c r="A52" s="370"/>
    </row>
    <row r="53" spans="1:12">
      <c r="A53" s="370"/>
    </row>
    <row r="54" spans="1:12" s="388" customFormat="1" ht="15.75" thickBot="1">
      <c r="A54" s="370"/>
    </row>
    <row r="55" spans="1:12" ht="32.25">
      <c r="A55" s="370"/>
      <c r="B55" s="1163" t="s">
        <v>590</v>
      </c>
      <c r="C55" s="1164"/>
      <c r="D55" s="1164"/>
      <c r="E55" s="1164"/>
      <c r="F55" s="1164"/>
      <c r="G55" s="1164"/>
      <c r="H55" s="1164"/>
      <c r="I55" s="1164"/>
      <c r="J55" s="1164"/>
      <c r="K55" s="1164"/>
      <c r="L55" s="1165"/>
    </row>
    <row r="56" spans="1:12" ht="23.25">
      <c r="A56" s="370"/>
      <c r="B56" s="1166" t="s">
        <v>107</v>
      </c>
      <c r="C56" s="1207"/>
      <c r="D56" s="1207"/>
      <c r="E56" s="1207"/>
      <c r="F56" s="1207"/>
      <c r="G56" s="1207"/>
      <c r="H56" s="1207"/>
      <c r="I56" s="1207"/>
      <c r="J56" s="1207"/>
      <c r="K56" s="1207"/>
      <c r="L56" s="1168"/>
    </row>
    <row r="57" spans="1:12" ht="16.5" thickBot="1">
      <c r="A57" s="370"/>
      <c r="B57" s="1169" t="s">
        <v>591</v>
      </c>
      <c r="C57" s="1170"/>
      <c r="D57" s="1170"/>
      <c r="E57" s="1170"/>
      <c r="F57" s="1170"/>
      <c r="G57" s="1170"/>
      <c r="H57" s="1170"/>
      <c r="I57" s="1170"/>
      <c r="J57" s="1170"/>
      <c r="K57" s="1170"/>
      <c r="L57" s="1171"/>
    </row>
    <row r="58" spans="1:12" ht="15" customHeight="1">
      <c r="A58" s="370"/>
      <c r="B58" s="1172" t="s">
        <v>108</v>
      </c>
      <c r="C58" s="1211"/>
      <c r="D58" s="1211"/>
      <c r="E58" s="1211"/>
      <c r="F58" s="1211"/>
      <c r="G58" s="370"/>
      <c r="H58" s="1212" t="s">
        <v>109</v>
      </c>
      <c r="I58" s="1212"/>
      <c r="J58" s="1212"/>
      <c r="K58" s="1212"/>
      <c r="L58" s="1175"/>
    </row>
    <row r="59" spans="1:12" ht="15.75" thickBot="1">
      <c r="A59" s="370"/>
      <c r="B59" s="1172"/>
      <c r="C59" s="1211"/>
      <c r="D59" s="1211"/>
      <c r="E59" s="1211"/>
      <c r="F59" s="1211"/>
      <c r="G59" s="370"/>
      <c r="H59" s="1212"/>
      <c r="I59" s="1212"/>
      <c r="J59" s="1212"/>
      <c r="K59" s="1212"/>
      <c r="L59" s="1175"/>
    </row>
    <row r="60" spans="1:12">
      <c r="A60" s="370"/>
      <c r="B60" s="74"/>
      <c r="C60" s="75"/>
      <c r="D60" s="75"/>
      <c r="E60" s="75"/>
      <c r="F60" s="76"/>
      <c r="G60" s="370"/>
      <c r="H60" s="74"/>
      <c r="I60" s="75"/>
      <c r="J60" s="75"/>
      <c r="K60" s="75"/>
      <c r="L60" s="76"/>
    </row>
    <row r="61" spans="1:12">
      <c r="A61" s="370"/>
      <c r="B61" s="77" t="str">
        <f>'04-221Master'!F5</f>
        <v>Burgeon IT Services Pvt.Ltd.</v>
      </c>
      <c r="C61" s="370"/>
      <c r="D61" s="370"/>
      <c r="E61" s="370"/>
      <c r="F61" s="14"/>
      <c r="G61" s="370"/>
      <c r="H61" s="77" t="str">
        <f>'04-221Master'!AP5</f>
        <v>Burgeon IT Services Pvt.Ltd.</v>
      </c>
      <c r="I61" s="370"/>
      <c r="J61" s="370"/>
      <c r="K61" s="370"/>
      <c r="L61" s="14"/>
    </row>
    <row r="62" spans="1:12">
      <c r="A62" s="370"/>
      <c r="B62" s="13"/>
      <c r="C62" s="370"/>
      <c r="D62" s="370"/>
      <c r="E62" s="370"/>
      <c r="F62" s="14"/>
      <c r="G62" s="370"/>
      <c r="H62" s="13"/>
      <c r="I62" s="370"/>
      <c r="J62" s="370"/>
      <c r="K62" s="370"/>
      <c r="L62" s="14"/>
    </row>
    <row r="63" spans="1:12">
      <c r="A63" s="370"/>
      <c r="B63" s="77" t="str">
        <f>'04-221Master'!F6</f>
        <v>Siri Mansion LIGB 436 Dr.A S Rao Nagar,Hyderabad</v>
      </c>
      <c r="C63" s="370"/>
      <c r="D63" s="370"/>
      <c r="E63" s="370"/>
      <c r="F63" s="14"/>
      <c r="G63" s="370"/>
      <c r="H63" s="77" t="str">
        <f>'04-221Master'!AP6</f>
        <v>Siri Mansion LIGB 436 Dr.A S Rao Nagar,Hyderabad</v>
      </c>
      <c r="I63" s="370"/>
      <c r="J63" s="370"/>
      <c r="K63" s="370"/>
      <c r="L63" s="14"/>
    </row>
    <row r="64" spans="1:12" ht="15.75" thickBot="1">
      <c r="A64" s="370"/>
      <c r="B64" s="25"/>
      <c r="C64" s="23"/>
      <c r="D64" s="23"/>
      <c r="E64" s="23"/>
      <c r="F64" s="24"/>
      <c r="G64" s="370"/>
      <c r="H64" s="25"/>
      <c r="I64" s="23"/>
      <c r="J64" s="23"/>
      <c r="K64" s="23"/>
      <c r="L64" s="24"/>
    </row>
    <row r="65" spans="1:12">
      <c r="A65" s="370"/>
      <c r="B65" s="13"/>
      <c r="C65" s="370"/>
      <c r="D65" s="370"/>
      <c r="E65" s="370"/>
      <c r="F65" s="370"/>
      <c r="G65" s="370"/>
      <c r="H65" s="370"/>
      <c r="I65" s="370"/>
      <c r="J65" s="370" t="s">
        <v>110</v>
      </c>
      <c r="K65" s="370"/>
      <c r="L65" s="14"/>
    </row>
    <row r="66" spans="1:12">
      <c r="A66" s="370"/>
      <c r="B66" s="1176" t="s">
        <v>111</v>
      </c>
      <c r="C66" s="1213"/>
      <c r="D66" s="1213"/>
      <c r="E66" s="1213"/>
      <c r="F66" s="1213"/>
      <c r="G66" s="370"/>
      <c r="H66" s="1213" t="s">
        <v>4</v>
      </c>
      <c r="I66" s="1213"/>
      <c r="J66" s="1213"/>
      <c r="K66" s="1213"/>
      <c r="L66" s="1178"/>
    </row>
    <row r="67" spans="1:12" ht="15.75" thickBot="1">
      <c r="A67" s="370"/>
      <c r="B67" s="13"/>
      <c r="C67" s="370"/>
      <c r="D67" s="370"/>
      <c r="E67" s="370"/>
      <c r="F67" s="370"/>
      <c r="G67" s="370"/>
      <c r="H67" s="370"/>
      <c r="I67" s="370"/>
      <c r="J67" s="370"/>
      <c r="K67" s="370"/>
      <c r="L67" s="14"/>
    </row>
    <row r="68" spans="1:12">
      <c r="A68" s="370"/>
      <c r="B68" s="74"/>
      <c r="C68" s="75"/>
      <c r="D68" s="75"/>
      <c r="E68" s="75"/>
      <c r="F68" s="76"/>
      <c r="G68" s="370"/>
      <c r="H68" s="78"/>
      <c r="I68" s="79"/>
      <c r="J68" s="79"/>
      <c r="K68" s="79"/>
      <c r="L68" s="80"/>
    </row>
    <row r="69" spans="1:12">
      <c r="A69" s="370"/>
      <c r="B69" s="13"/>
      <c r="C69" s="370"/>
      <c r="D69" s="370"/>
      <c r="E69" s="370"/>
      <c r="F69" s="14"/>
      <c r="G69" s="370"/>
      <c r="H69" s="77" t="str">
        <f>'04-221Master'!AP10</f>
        <v>INFOSYS  LTD.IL Pune SEZ Unit-I,Plot No. 24/3</v>
      </c>
      <c r="I69" s="374"/>
      <c r="J69" s="374"/>
      <c r="K69" s="374"/>
      <c r="L69" s="81"/>
    </row>
    <row r="70" spans="1:12">
      <c r="A70" s="370"/>
      <c r="B70" s="77" t="str">
        <f>'04-221Master'!F8</f>
        <v>IT SUPPORTIVE SERVICES&amp; Pune SEZ Unit-1</v>
      </c>
      <c r="C70" s="370"/>
      <c r="D70" s="370"/>
      <c r="E70" s="370"/>
      <c r="F70" s="14"/>
      <c r="G70" s="370"/>
      <c r="H70" s="77"/>
      <c r="I70" s="374"/>
      <c r="J70" s="374"/>
      <c r="K70" s="374"/>
      <c r="L70" s="81"/>
    </row>
    <row r="71" spans="1:12">
      <c r="A71" s="370"/>
      <c r="B71" s="13"/>
      <c r="C71" s="370"/>
      <c r="D71" s="370"/>
      <c r="E71" s="370"/>
      <c r="F71" s="14"/>
      <c r="G71" s="370"/>
      <c r="H71" s="77" t="str">
        <f>'04-221Master'!AP11</f>
        <v>Rajiv gandhi Info tech park,Village Mann,Pune,Maharashtra 411057</v>
      </c>
      <c r="I71" s="374"/>
      <c r="J71" s="374"/>
      <c r="K71" s="374"/>
      <c r="L71" s="81"/>
    </row>
    <row r="72" spans="1:12" ht="15.75" thickBot="1">
      <c r="A72" s="370"/>
      <c r="B72" s="25"/>
      <c r="C72" s="23"/>
      <c r="D72" s="23"/>
      <c r="E72" s="23"/>
      <c r="F72" s="24"/>
      <c r="G72" s="370"/>
      <c r="H72" s="77"/>
      <c r="I72" s="374"/>
      <c r="J72" s="374"/>
      <c r="K72" s="374"/>
      <c r="L72" s="81"/>
    </row>
    <row r="73" spans="1:12" ht="27.95" customHeight="1">
      <c r="A73" s="369"/>
      <c r="B73" s="1143" t="s">
        <v>112</v>
      </c>
      <c r="C73" s="1144"/>
      <c r="D73" s="1144"/>
      <c r="E73" s="1144"/>
      <c r="F73" s="1144"/>
      <c r="G73" s="1145"/>
      <c r="H73" s="1214" t="str">
        <f>'04-221Master'!B17</f>
        <v>Moeenahmed Shakilahmed Shaikh</v>
      </c>
      <c r="I73" s="1215"/>
      <c r="J73" s="1215"/>
      <c r="K73" s="1215"/>
      <c r="L73" s="1216"/>
    </row>
    <row r="74" spans="1:12" ht="27.95" customHeight="1" thickBot="1">
      <c r="A74" s="369"/>
      <c r="B74" s="411"/>
      <c r="C74" s="412"/>
      <c r="D74" s="412"/>
      <c r="E74" s="412"/>
      <c r="F74" s="412"/>
      <c r="G74" s="413"/>
      <c r="H74" s="1208" t="str">
        <f>'04-221Master'!G17</f>
        <v>967 Ravivarpet, Ghulamali,Chambers laxmi Road, Pune, MH 411002</v>
      </c>
      <c r="I74" s="1209"/>
      <c r="J74" s="1209"/>
      <c r="K74" s="1209"/>
      <c r="L74" s="1210"/>
    </row>
    <row r="75" spans="1:12" ht="27.95" customHeight="1">
      <c r="A75" s="369"/>
      <c r="B75" s="1152" t="s">
        <v>113</v>
      </c>
      <c r="C75" s="1153"/>
      <c r="D75" s="1153"/>
      <c r="E75" s="1153"/>
      <c r="F75" s="1153"/>
      <c r="G75" s="1153"/>
      <c r="H75" s="1154">
        <f>'04-221Master'!AY17</f>
        <v>10</v>
      </c>
      <c r="I75" s="1155"/>
      <c r="J75" s="1155"/>
      <c r="K75" s="1155"/>
      <c r="L75" s="1156"/>
    </row>
    <row r="76" spans="1:12" ht="27.95" customHeight="1">
      <c r="A76" s="369"/>
      <c r="B76" s="1143" t="s">
        <v>114</v>
      </c>
      <c r="C76" s="1144"/>
      <c r="D76" s="1144"/>
      <c r="E76" s="1144"/>
      <c r="F76" s="1144"/>
      <c r="G76" s="1144"/>
      <c r="H76" s="1146" t="str">
        <f>'04-221Master'!F17</f>
        <v>Splunk Developer</v>
      </c>
      <c r="I76" s="1147"/>
      <c r="J76" s="1147"/>
      <c r="K76" s="1147"/>
      <c r="L76" s="1151"/>
    </row>
    <row r="77" spans="1:12" ht="27.95" customHeight="1">
      <c r="A77" s="369"/>
      <c r="B77" s="1143" t="s">
        <v>115</v>
      </c>
      <c r="C77" s="1144"/>
      <c r="D77" s="1144"/>
      <c r="E77" s="1144"/>
      <c r="F77" s="1144"/>
      <c r="G77" s="1144"/>
      <c r="H77" s="1157">
        <f>'04-221Master'!N17</f>
        <v>44041</v>
      </c>
      <c r="I77" s="1158"/>
      <c r="J77" s="1158"/>
      <c r="K77" s="1158"/>
      <c r="L77" s="1159"/>
    </row>
    <row r="78" spans="1:12" ht="27.95" customHeight="1">
      <c r="A78" s="369"/>
      <c r="B78" s="399" t="s">
        <v>116</v>
      </c>
      <c r="C78" s="87"/>
      <c r="D78" s="87"/>
      <c r="E78" s="87"/>
      <c r="F78" s="87"/>
      <c r="G78" s="87"/>
      <c r="H78" s="418"/>
      <c r="I78" s="89"/>
      <c r="J78" s="389" t="str">
        <f>'04-221Master'!T17</f>
        <v>N/A</v>
      </c>
      <c r="K78" s="416"/>
      <c r="L78" s="417"/>
    </row>
    <row r="79" spans="1:12" ht="27.95" customHeight="1">
      <c r="A79" s="369"/>
      <c r="B79" s="399" t="s">
        <v>117</v>
      </c>
      <c r="C79" s="87"/>
      <c r="D79" s="87"/>
      <c r="E79" s="87"/>
      <c r="F79" s="87"/>
      <c r="G79" s="91"/>
      <c r="H79" s="92"/>
      <c r="I79" s="93"/>
      <c r="J79" s="389">
        <f>'04-221Master'!S17</f>
        <v>101607851856</v>
      </c>
      <c r="K79" s="93"/>
      <c r="L79" s="94"/>
    </row>
    <row r="80" spans="1:12" ht="27.95" customHeight="1">
      <c r="A80" s="369"/>
      <c r="B80" s="1160" t="s">
        <v>118</v>
      </c>
      <c r="C80" s="1161"/>
      <c r="D80" s="1161"/>
      <c r="E80" s="1161"/>
      <c r="F80" s="1161"/>
      <c r="G80" s="1161"/>
      <c r="H80" s="1154">
        <f>'04-221Master'!Y17</f>
        <v>149795</v>
      </c>
      <c r="I80" s="1155"/>
      <c r="J80" s="1155"/>
      <c r="K80" s="1155"/>
      <c r="L80" s="1156"/>
    </row>
    <row r="81" spans="1:13" ht="27.95" customHeight="1">
      <c r="A81" s="370"/>
      <c r="B81" s="1143" t="s">
        <v>119</v>
      </c>
      <c r="C81" s="1144"/>
      <c r="D81" s="1144"/>
      <c r="E81" s="1144"/>
      <c r="F81" s="1144"/>
      <c r="G81" s="1144"/>
      <c r="H81" s="1162">
        <f>'04-221Master'!D10</f>
        <v>44652</v>
      </c>
      <c r="I81" s="1147"/>
      <c r="J81" s="1147"/>
      <c r="K81" s="1147"/>
      <c r="L81" s="1151"/>
    </row>
    <row r="82" spans="1:13" ht="27.95" customHeight="1">
      <c r="A82" s="370"/>
      <c r="B82" s="1143" t="s">
        <v>120</v>
      </c>
      <c r="C82" s="1144"/>
      <c r="D82" s="1144"/>
      <c r="E82" s="1144"/>
      <c r="F82" s="1144"/>
      <c r="G82" s="1144"/>
      <c r="H82" s="1147" t="s">
        <v>121</v>
      </c>
      <c r="I82" s="1147"/>
      <c r="J82" s="1147"/>
      <c r="K82" s="1147"/>
      <c r="L82" s="1151"/>
    </row>
    <row r="83" spans="1:13" ht="27.95" customHeight="1">
      <c r="A83" s="370"/>
      <c r="B83" s="399" t="s">
        <v>122</v>
      </c>
      <c r="C83" s="87"/>
      <c r="D83" s="87"/>
      <c r="E83" s="87"/>
      <c r="F83" s="87"/>
      <c r="G83" s="91"/>
      <c r="H83" s="418"/>
      <c r="I83" s="416"/>
      <c r="J83" s="96">
        <f>'04-221Master'!W17</f>
        <v>30</v>
      </c>
      <c r="K83" s="416"/>
      <c r="L83" s="417"/>
    </row>
    <row r="84" spans="1:13" ht="27.95" customHeight="1">
      <c r="A84" s="370"/>
      <c r="B84" s="399" t="s">
        <v>123</v>
      </c>
      <c r="C84" s="87"/>
      <c r="D84" s="87"/>
      <c r="E84" s="87"/>
      <c r="F84" s="87"/>
      <c r="G84" s="91"/>
      <c r="H84" s="418"/>
      <c r="I84" s="416"/>
      <c r="J84" s="416" t="s">
        <v>37</v>
      </c>
      <c r="K84" s="416"/>
      <c r="L84" s="417"/>
    </row>
    <row r="85" spans="1:13" ht="27.95" customHeight="1">
      <c r="A85" s="370"/>
      <c r="B85" s="399" t="s">
        <v>124</v>
      </c>
      <c r="C85" s="87"/>
      <c r="D85" s="87"/>
      <c r="E85" s="87"/>
      <c r="F85" s="87"/>
      <c r="G85" s="91"/>
      <c r="H85" s="418"/>
      <c r="I85" s="416"/>
      <c r="J85" s="96">
        <v>0</v>
      </c>
      <c r="K85" s="416"/>
      <c r="L85" s="417"/>
    </row>
    <row r="86" spans="1:13" ht="27.95" customHeight="1">
      <c r="A86" s="370"/>
      <c r="B86" s="399" t="s">
        <v>125</v>
      </c>
      <c r="C86" s="87"/>
      <c r="D86" s="87"/>
      <c r="E86" s="87"/>
      <c r="F86" s="87"/>
      <c r="G86" s="91"/>
      <c r="H86" s="418"/>
      <c r="I86" s="416"/>
      <c r="J86" s="416">
        <v>0</v>
      </c>
      <c r="K86" s="416"/>
      <c r="L86" s="417"/>
    </row>
    <row r="87" spans="1:13" ht="27.95" customHeight="1">
      <c r="A87" s="370"/>
      <c r="B87" s="399" t="s">
        <v>126</v>
      </c>
      <c r="C87" s="87"/>
      <c r="D87" s="87"/>
      <c r="E87" s="87"/>
      <c r="F87" s="87"/>
      <c r="G87" s="91"/>
      <c r="H87" s="418"/>
      <c r="I87" s="416"/>
      <c r="J87" s="364">
        <f>'04-221Master'!AM17</f>
        <v>163275.44269999999</v>
      </c>
      <c r="K87" s="416"/>
      <c r="L87" s="417" t="s">
        <v>35</v>
      </c>
    </row>
    <row r="88" spans="1:13" ht="27.95" customHeight="1">
      <c r="A88" s="370"/>
      <c r="B88" s="399" t="s">
        <v>127</v>
      </c>
      <c r="C88" s="87"/>
      <c r="D88" s="414" t="s">
        <v>32</v>
      </c>
      <c r="E88" s="415">
        <f>'04-221Master'!AO17</f>
        <v>6000</v>
      </c>
      <c r="F88" s="414" t="s">
        <v>31</v>
      </c>
      <c r="G88" s="415">
        <f>'04-221Master'!AN17</f>
        <v>0</v>
      </c>
      <c r="H88" s="414" t="s">
        <v>33</v>
      </c>
      <c r="I88" s="415">
        <f>'04-221Master'!AP17</f>
        <v>200</v>
      </c>
      <c r="J88" s="414" t="s">
        <v>34</v>
      </c>
      <c r="K88" s="415">
        <f>'04-221Master'!AQ17</f>
        <v>0</v>
      </c>
      <c r="L88" s="103">
        <f>'04-221Master'!AR17</f>
        <v>440.76132899999999</v>
      </c>
    </row>
    <row r="89" spans="1:13" ht="27.95" customHeight="1">
      <c r="A89" s="370"/>
      <c r="B89" s="399" t="s">
        <v>128</v>
      </c>
      <c r="C89" s="87"/>
      <c r="D89" s="87"/>
      <c r="E89" s="87"/>
      <c r="F89" s="87"/>
      <c r="G89" s="91"/>
      <c r="H89" s="418"/>
      <c r="I89" s="416"/>
      <c r="J89" s="96">
        <f>J87-(E88+G88+I88+K88+L88)</f>
        <v>156634.68137099998</v>
      </c>
      <c r="K89" s="416"/>
      <c r="L89" s="417"/>
    </row>
    <row r="90" spans="1:13" ht="27.95" customHeight="1">
      <c r="A90" s="370"/>
      <c r="B90" s="400" t="s">
        <v>129</v>
      </c>
      <c r="C90" s="401"/>
      <c r="D90" s="401"/>
      <c r="E90" s="401"/>
      <c r="F90" s="401"/>
      <c r="G90" s="402"/>
      <c r="H90" s="403"/>
      <c r="I90" s="404"/>
      <c r="J90" s="404"/>
      <c r="K90" s="404"/>
      <c r="L90" s="98"/>
    </row>
    <row r="91" spans="1:13">
      <c r="A91" s="370"/>
      <c r="B91" s="426" t="s">
        <v>130</v>
      </c>
      <c r="C91" s="374"/>
      <c r="D91" s="374"/>
      <c r="E91" s="374"/>
      <c r="F91" s="374"/>
      <c r="G91" s="427"/>
      <c r="H91" s="71"/>
      <c r="I91" s="370"/>
      <c r="J91" s="370"/>
      <c r="K91" s="370"/>
      <c r="L91" s="14"/>
    </row>
    <row r="92" spans="1:13">
      <c r="A92" s="370"/>
      <c r="B92" s="13"/>
      <c r="C92" s="370"/>
      <c r="D92" s="370"/>
      <c r="E92" s="370"/>
      <c r="F92" s="370"/>
      <c r="G92" s="370"/>
      <c r="H92" s="370"/>
      <c r="I92" s="370"/>
      <c r="J92" s="370"/>
      <c r="K92" s="370"/>
      <c r="L92" s="14"/>
      <c r="M92" s="370"/>
    </row>
    <row r="93" spans="1:13" s="388" customFormat="1" ht="15.75" thickBot="1">
      <c r="A93" s="370"/>
      <c r="B93" s="25"/>
      <c r="C93" s="23"/>
      <c r="D93" s="23"/>
      <c r="E93" s="23"/>
      <c r="F93" s="23"/>
      <c r="G93" s="23"/>
      <c r="H93" s="23"/>
      <c r="I93" s="23"/>
      <c r="J93" s="23"/>
      <c r="K93" s="23"/>
      <c r="L93" s="24"/>
      <c r="M93" s="370"/>
    </row>
    <row r="94" spans="1:13" s="388" customFormat="1">
      <c r="A94" s="370"/>
      <c r="B94" s="370"/>
      <c r="C94" s="370"/>
      <c r="D94" s="370"/>
      <c r="E94" s="370"/>
      <c r="F94" s="370"/>
      <c r="G94" s="370"/>
      <c r="H94" s="370"/>
      <c r="I94" s="370"/>
      <c r="J94" s="370"/>
      <c r="K94" s="370"/>
      <c r="L94" s="370"/>
      <c r="M94" s="370"/>
    </row>
    <row r="95" spans="1:13" s="388" customFormat="1">
      <c r="A95" s="370"/>
      <c r="B95" s="370"/>
      <c r="C95" s="370"/>
      <c r="D95" s="370"/>
      <c r="E95" s="370"/>
      <c r="F95" s="370"/>
      <c r="G95" s="370"/>
      <c r="H95" s="370"/>
      <c r="I95" s="370"/>
      <c r="J95" s="370"/>
      <c r="K95" s="370"/>
      <c r="L95" s="370"/>
      <c r="M95" s="370"/>
    </row>
    <row r="96" spans="1:13" s="388" customFormat="1">
      <c r="A96" s="370"/>
      <c r="B96" s="370"/>
      <c r="C96" s="370"/>
      <c r="D96" s="370"/>
      <c r="E96" s="370"/>
      <c r="F96" s="370"/>
      <c r="G96" s="370"/>
      <c r="H96" s="370"/>
      <c r="I96" s="370"/>
      <c r="J96" s="370"/>
      <c r="K96" s="370"/>
      <c r="L96" s="370"/>
      <c r="M96" s="370"/>
    </row>
    <row r="97" spans="1:13" s="388" customFormat="1">
      <c r="A97" s="370"/>
      <c r="B97" s="370"/>
      <c r="C97" s="370"/>
      <c r="D97" s="370"/>
      <c r="E97" s="370"/>
      <c r="F97" s="370"/>
      <c r="G97" s="370"/>
      <c r="H97" s="370"/>
      <c r="I97" s="370"/>
      <c r="J97" s="370"/>
      <c r="K97" s="370"/>
      <c r="L97" s="370"/>
      <c r="M97" s="370"/>
    </row>
    <row r="98" spans="1:13" s="388" customFormat="1">
      <c r="A98" s="370"/>
      <c r="B98" s="370"/>
      <c r="C98" s="370"/>
      <c r="D98" s="370"/>
      <c r="E98" s="370"/>
      <c r="F98" s="370"/>
      <c r="G98" s="370"/>
      <c r="H98" s="370"/>
      <c r="I98" s="370"/>
      <c r="J98" s="370"/>
      <c r="K98" s="370"/>
      <c r="L98" s="370"/>
      <c r="M98" s="370"/>
    </row>
    <row r="99" spans="1:13" s="388" customFormat="1">
      <c r="A99" s="370"/>
      <c r="B99" s="370"/>
      <c r="C99" s="370"/>
      <c r="D99" s="370"/>
      <c r="E99" s="370"/>
      <c r="F99" s="370"/>
      <c r="G99" s="370"/>
      <c r="H99" s="370"/>
      <c r="I99" s="370"/>
      <c r="J99" s="370"/>
      <c r="K99" s="370"/>
      <c r="L99" s="370"/>
      <c r="M99" s="370"/>
    </row>
    <row r="100" spans="1:13" s="388" customFormat="1">
      <c r="A100" s="370"/>
      <c r="B100" s="370"/>
      <c r="C100" s="370"/>
      <c r="D100" s="370"/>
      <c r="E100" s="370"/>
      <c r="F100" s="370"/>
      <c r="G100" s="370"/>
      <c r="H100" s="370"/>
      <c r="I100" s="370"/>
      <c r="J100" s="370"/>
      <c r="K100" s="370"/>
      <c r="L100" s="370"/>
      <c r="M100" s="370"/>
    </row>
    <row r="101" spans="1:13" s="388" customFormat="1">
      <c r="A101" s="370"/>
      <c r="B101" s="370"/>
      <c r="C101" s="370"/>
      <c r="D101" s="370"/>
      <c r="E101" s="370"/>
      <c r="F101" s="370"/>
      <c r="G101" s="370"/>
      <c r="H101" s="370"/>
      <c r="I101" s="370"/>
      <c r="J101" s="370"/>
      <c r="K101" s="370"/>
      <c r="L101" s="370"/>
      <c r="M101" s="370"/>
    </row>
    <row r="102" spans="1:13" s="388" customFormat="1">
      <c r="A102" s="370"/>
      <c r="B102" s="370"/>
      <c r="C102" s="370"/>
      <c r="D102" s="370"/>
      <c r="E102" s="370"/>
      <c r="F102" s="370"/>
      <c r="G102" s="370"/>
      <c r="H102" s="370"/>
      <c r="I102" s="370"/>
      <c r="J102" s="370"/>
      <c r="K102" s="370"/>
      <c r="L102" s="370"/>
      <c r="M102" s="370"/>
    </row>
    <row r="103" spans="1:13" s="388" customFormat="1">
      <c r="A103" s="370"/>
      <c r="B103" s="370"/>
      <c r="C103" s="370"/>
      <c r="D103" s="370"/>
      <c r="E103" s="370"/>
      <c r="F103" s="370"/>
      <c r="G103" s="370"/>
      <c r="H103" s="370"/>
      <c r="I103" s="370"/>
      <c r="J103" s="370"/>
      <c r="K103" s="370"/>
      <c r="L103" s="370"/>
      <c r="M103" s="370"/>
    </row>
    <row r="104" spans="1:13" s="388" customFormat="1">
      <c r="A104" s="370"/>
      <c r="B104" s="370"/>
      <c r="C104" s="370"/>
      <c r="D104" s="370"/>
      <c r="E104" s="370"/>
      <c r="F104" s="370"/>
      <c r="G104" s="370"/>
      <c r="H104" s="370"/>
      <c r="I104" s="370"/>
      <c r="J104" s="370"/>
      <c r="K104" s="370"/>
      <c r="L104" s="370"/>
      <c r="M104" s="370"/>
    </row>
    <row r="105" spans="1:13" s="388" customFormat="1">
      <c r="A105" s="370"/>
      <c r="B105" s="370"/>
      <c r="C105" s="370"/>
      <c r="D105" s="370"/>
      <c r="E105" s="370"/>
      <c r="F105" s="370"/>
      <c r="G105" s="370"/>
      <c r="H105" s="370"/>
      <c r="I105" s="370"/>
      <c r="J105" s="370"/>
      <c r="K105" s="370"/>
      <c r="L105" s="370"/>
      <c r="M105" s="370"/>
    </row>
    <row r="106" spans="1:13" s="388" customFormat="1">
      <c r="A106" s="370"/>
      <c r="B106" s="370"/>
      <c r="C106" s="370"/>
      <c r="D106" s="370"/>
      <c r="E106" s="370"/>
      <c r="F106" s="370"/>
      <c r="G106" s="370"/>
      <c r="H106" s="370"/>
      <c r="I106" s="370"/>
      <c r="J106" s="370"/>
      <c r="K106" s="370"/>
      <c r="L106" s="370"/>
      <c r="M106" s="370"/>
    </row>
    <row r="107" spans="1:13" s="388" customFormat="1">
      <c r="A107" s="370"/>
      <c r="B107" s="370"/>
      <c r="C107" s="370"/>
      <c r="D107" s="370"/>
      <c r="E107" s="370"/>
      <c r="F107" s="370"/>
      <c r="G107" s="370"/>
      <c r="H107" s="370"/>
      <c r="I107" s="370"/>
      <c r="J107" s="370"/>
      <c r="K107" s="370"/>
      <c r="L107" s="370"/>
      <c r="M107" s="370"/>
    </row>
    <row r="109" spans="1:13" s="388" customFormat="1" ht="15.75" thickBot="1"/>
    <row r="110" spans="1:13" ht="32.25">
      <c r="B110" s="1163" t="s">
        <v>590</v>
      </c>
      <c r="C110" s="1164"/>
      <c r="D110" s="1164"/>
      <c r="E110" s="1164"/>
      <c r="F110" s="1164"/>
      <c r="G110" s="1164"/>
      <c r="H110" s="1164"/>
      <c r="I110" s="1164"/>
      <c r="J110" s="1164"/>
      <c r="K110" s="1164"/>
      <c r="L110" s="1165"/>
    </row>
    <row r="111" spans="1:13" ht="23.25">
      <c r="B111" s="1166" t="s">
        <v>107</v>
      </c>
      <c r="C111" s="1207"/>
      <c r="D111" s="1207"/>
      <c r="E111" s="1207"/>
      <c r="F111" s="1207"/>
      <c r="G111" s="1207"/>
      <c r="H111" s="1207"/>
      <c r="I111" s="1207"/>
      <c r="J111" s="1207"/>
      <c r="K111" s="1207"/>
      <c r="L111" s="1168"/>
    </row>
    <row r="112" spans="1:13" ht="16.5" thickBot="1">
      <c r="B112" s="1169" t="s">
        <v>591</v>
      </c>
      <c r="C112" s="1170"/>
      <c r="D112" s="1170"/>
      <c r="E112" s="1170"/>
      <c r="F112" s="1170"/>
      <c r="G112" s="1170"/>
      <c r="H112" s="1170"/>
      <c r="I112" s="1170"/>
      <c r="J112" s="1170"/>
      <c r="K112" s="1170"/>
      <c r="L112" s="1171"/>
    </row>
    <row r="113" spans="2:12">
      <c r="B113" s="1203" t="s">
        <v>108</v>
      </c>
      <c r="C113" s="1204"/>
      <c r="D113" s="1204"/>
      <c r="E113" s="1204"/>
      <c r="F113" s="1204"/>
      <c r="G113" s="952"/>
      <c r="H113" s="1205" t="s">
        <v>109</v>
      </c>
      <c r="I113" s="1205"/>
      <c r="J113" s="1205"/>
      <c r="K113" s="1205"/>
      <c r="L113" s="1206"/>
    </row>
    <row r="114" spans="2:12" ht="15.75" thickBot="1">
      <c r="B114" s="1203"/>
      <c r="C114" s="1204"/>
      <c r="D114" s="1204"/>
      <c r="E114" s="1204"/>
      <c r="F114" s="1204"/>
      <c r="G114" s="952"/>
      <c r="H114" s="1205"/>
      <c r="I114" s="1205"/>
      <c r="J114" s="1205"/>
      <c r="K114" s="1205"/>
      <c r="L114" s="1206"/>
    </row>
    <row r="115" spans="2:12">
      <c r="B115" s="953"/>
      <c r="C115" s="954"/>
      <c r="D115" s="954"/>
      <c r="E115" s="954"/>
      <c r="F115" s="955"/>
      <c r="G115" s="952"/>
      <c r="H115" s="953"/>
      <c r="I115" s="954"/>
      <c r="J115" s="954"/>
      <c r="K115" s="954"/>
      <c r="L115" s="955"/>
    </row>
    <row r="116" spans="2:12">
      <c r="B116" s="956" t="str">
        <f>'04-221Master'!F5</f>
        <v>Burgeon IT Services Pvt.Ltd.</v>
      </c>
      <c r="C116" s="952"/>
      <c r="D116" s="952"/>
      <c r="E116" s="952"/>
      <c r="F116" s="957"/>
      <c r="G116" s="952"/>
      <c r="H116" s="956" t="str">
        <f>'04-221Master'!AP5</f>
        <v>Burgeon IT Services Pvt.Ltd.</v>
      </c>
      <c r="I116" s="952"/>
      <c r="J116" s="952"/>
      <c r="K116" s="952"/>
      <c r="L116" s="957"/>
    </row>
    <row r="117" spans="2:12">
      <c r="B117" s="958"/>
      <c r="C117" s="952"/>
      <c r="D117" s="952"/>
      <c r="E117" s="952"/>
      <c r="F117" s="957"/>
      <c r="G117" s="952"/>
      <c r="H117" s="958"/>
      <c r="I117" s="952"/>
      <c r="J117" s="952"/>
      <c r="K117" s="952"/>
      <c r="L117" s="957"/>
    </row>
    <row r="118" spans="2:12">
      <c r="B118" s="956" t="str">
        <f>'04-221Master'!F6</f>
        <v>Siri Mansion LIGB 436 Dr.A S Rao Nagar,Hyderabad</v>
      </c>
      <c r="C118" s="952"/>
      <c r="D118" s="952"/>
      <c r="E118" s="952"/>
      <c r="F118" s="957"/>
      <c r="G118" s="952"/>
      <c r="H118" s="956" t="str">
        <f>'04-221Master'!AP6</f>
        <v>Siri Mansion LIGB 436 Dr.A S Rao Nagar,Hyderabad</v>
      </c>
      <c r="I118" s="952"/>
      <c r="J118" s="952"/>
      <c r="K118" s="952"/>
      <c r="L118" s="957"/>
    </row>
    <row r="119" spans="2:12" ht="15.75" thickBot="1">
      <c r="B119" s="959"/>
      <c r="C119" s="960"/>
      <c r="D119" s="960"/>
      <c r="E119" s="960"/>
      <c r="F119" s="961"/>
      <c r="G119" s="952"/>
      <c r="H119" s="959"/>
      <c r="I119" s="960"/>
      <c r="J119" s="960"/>
      <c r="K119" s="960"/>
      <c r="L119" s="961"/>
    </row>
    <row r="120" spans="2:12">
      <c r="B120" s="958"/>
      <c r="C120" s="952"/>
      <c r="D120" s="952"/>
      <c r="E120" s="952"/>
      <c r="F120" s="952"/>
      <c r="G120" s="952"/>
      <c r="H120" s="952"/>
      <c r="I120" s="952"/>
      <c r="J120" s="952" t="s">
        <v>110</v>
      </c>
      <c r="K120" s="952"/>
      <c r="L120" s="957"/>
    </row>
    <row r="121" spans="2:12">
      <c r="B121" s="1179" t="s">
        <v>111</v>
      </c>
      <c r="C121" s="1180"/>
      <c r="D121" s="1180"/>
      <c r="E121" s="1180"/>
      <c r="F121" s="1180"/>
      <c r="G121" s="952"/>
      <c r="H121" s="1180" t="s">
        <v>4</v>
      </c>
      <c r="I121" s="1180"/>
      <c r="J121" s="1180"/>
      <c r="K121" s="1180"/>
      <c r="L121" s="1181"/>
    </row>
    <row r="122" spans="2:12" ht="15.75" thickBot="1">
      <c r="B122" s="958"/>
      <c r="C122" s="952"/>
      <c r="D122" s="952"/>
      <c r="E122" s="952"/>
      <c r="F122" s="952"/>
      <c r="G122" s="952"/>
      <c r="H122" s="952"/>
      <c r="I122" s="952"/>
      <c r="J122" s="952"/>
      <c r="K122" s="952"/>
      <c r="L122" s="957"/>
    </row>
    <row r="123" spans="2:12">
      <c r="B123" s="953"/>
      <c r="C123" s="954"/>
      <c r="D123" s="954"/>
      <c r="E123" s="954"/>
      <c r="F123" s="955"/>
      <c r="G123" s="952"/>
      <c r="H123" s="962"/>
      <c r="I123" s="963"/>
      <c r="J123" s="963"/>
      <c r="K123" s="963"/>
      <c r="L123" s="964"/>
    </row>
    <row r="124" spans="2:12">
      <c r="B124" s="958"/>
      <c r="C124" s="952"/>
      <c r="D124" s="952"/>
      <c r="E124" s="952"/>
      <c r="F124" s="957"/>
      <c r="G124" s="952"/>
      <c r="H124" s="956" t="str">
        <f>'04-221Master'!AP10</f>
        <v>INFOSYS  LTD.IL Pune SEZ Unit-I,Plot No. 24/3</v>
      </c>
      <c r="I124" s="965"/>
      <c r="J124" s="965"/>
      <c r="K124" s="965"/>
      <c r="L124" s="966"/>
    </row>
    <row r="125" spans="2:12">
      <c r="B125" s="956" t="str">
        <f>'04-221Master'!F8</f>
        <v>IT SUPPORTIVE SERVICES&amp; Pune SEZ Unit-1</v>
      </c>
      <c r="C125" s="952"/>
      <c r="D125" s="952"/>
      <c r="E125" s="952"/>
      <c r="F125" s="957"/>
      <c r="G125" s="952"/>
      <c r="H125" s="956"/>
      <c r="I125" s="965"/>
      <c r="J125" s="965"/>
      <c r="K125" s="965"/>
      <c r="L125" s="966"/>
    </row>
    <row r="126" spans="2:12">
      <c r="B126" s="958"/>
      <c r="C126" s="952"/>
      <c r="D126" s="952"/>
      <c r="E126" s="952"/>
      <c r="F126" s="957"/>
      <c r="G126" s="952"/>
      <c r="H126" s="956" t="str">
        <f>'04-221Master'!AP11</f>
        <v>Rajiv gandhi Info tech park,Village Mann,Pune,Maharashtra 411057</v>
      </c>
      <c r="I126" s="965"/>
      <c r="J126" s="965"/>
      <c r="K126" s="965"/>
      <c r="L126" s="966"/>
    </row>
    <row r="127" spans="2:12" ht="15.75" thickBot="1">
      <c r="B127" s="959"/>
      <c r="C127" s="960"/>
      <c r="D127" s="960"/>
      <c r="E127" s="960"/>
      <c r="F127" s="961"/>
      <c r="G127" s="952"/>
      <c r="H127" s="956"/>
      <c r="I127" s="965"/>
      <c r="J127" s="965"/>
      <c r="K127" s="965"/>
      <c r="L127" s="966"/>
    </row>
    <row r="128" spans="2:12" ht="27.95" customHeight="1">
      <c r="B128" s="1182" t="s">
        <v>112</v>
      </c>
      <c r="C128" s="1183"/>
      <c r="D128" s="1183"/>
      <c r="E128" s="1183"/>
      <c r="F128" s="1183"/>
      <c r="G128" s="1184"/>
      <c r="H128" s="1185" t="e">
        <f>'04-221Master'!#REF!</f>
        <v>#REF!</v>
      </c>
      <c r="I128" s="1186"/>
      <c r="J128" s="1186"/>
      <c r="K128" s="1186"/>
      <c r="L128" s="1187"/>
    </row>
    <row r="129" spans="2:12" ht="27.95" customHeight="1">
      <c r="B129" s="967"/>
      <c r="C129" s="968"/>
      <c r="D129" s="968"/>
      <c r="E129" s="968"/>
      <c r="F129" s="968"/>
      <c r="G129" s="969"/>
      <c r="H129" s="1191" t="e">
        <f>'04-221Master'!#REF!</f>
        <v>#REF!</v>
      </c>
      <c r="I129" s="1191"/>
      <c r="J129" s="1191"/>
      <c r="K129" s="1191"/>
      <c r="L129" s="1191"/>
    </row>
    <row r="130" spans="2:12" ht="27.95" customHeight="1">
      <c r="B130" s="1192" t="s">
        <v>113</v>
      </c>
      <c r="C130" s="1193"/>
      <c r="D130" s="1193"/>
      <c r="E130" s="1193"/>
      <c r="F130" s="1193"/>
      <c r="G130" s="1193"/>
      <c r="H130" s="1194" t="e">
        <f>'04-221Master'!#REF!</f>
        <v>#REF!</v>
      </c>
      <c r="I130" s="1195"/>
      <c r="J130" s="1195"/>
      <c r="K130" s="1195"/>
      <c r="L130" s="1196"/>
    </row>
    <row r="131" spans="2:12" ht="27.95" customHeight="1">
      <c r="B131" s="1182" t="s">
        <v>114</v>
      </c>
      <c r="C131" s="1183"/>
      <c r="D131" s="1183"/>
      <c r="E131" s="1183"/>
      <c r="F131" s="1183"/>
      <c r="G131" s="1183"/>
      <c r="H131" s="1197" t="e">
        <f>'04-221Master'!#REF!</f>
        <v>#REF!</v>
      </c>
      <c r="I131" s="1189"/>
      <c r="J131" s="1189"/>
      <c r="K131" s="1189"/>
      <c r="L131" s="1190"/>
    </row>
    <row r="132" spans="2:12" ht="27.95" customHeight="1">
      <c r="B132" s="1182" t="s">
        <v>115</v>
      </c>
      <c r="C132" s="1183"/>
      <c r="D132" s="1183"/>
      <c r="E132" s="1183"/>
      <c r="F132" s="1183"/>
      <c r="G132" s="1183"/>
      <c r="H132" s="1198" t="e">
        <f>'04-221Master'!#REF!</f>
        <v>#REF!</v>
      </c>
      <c r="I132" s="1199"/>
      <c r="J132" s="1199"/>
      <c r="K132" s="1199"/>
      <c r="L132" s="1200"/>
    </row>
    <row r="133" spans="2:12" ht="27.95" customHeight="1">
      <c r="B133" s="970" t="s">
        <v>116</v>
      </c>
      <c r="C133" s="971"/>
      <c r="D133" s="971"/>
      <c r="E133" s="971"/>
      <c r="F133" s="971"/>
      <c r="G133" s="971"/>
      <c r="H133" s="972"/>
      <c r="I133" s="973"/>
      <c r="J133" s="974" t="e">
        <f>'04-221Master'!#REF!</f>
        <v>#REF!</v>
      </c>
      <c r="K133" s="975"/>
      <c r="L133" s="976"/>
    </row>
    <row r="134" spans="2:12" ht="27.95" customHeight="1">
      <c r="B134" s="970" t="s">
        <v>117</v>
      </c>
      <c r="C134" s="971"/>
      <c r="D134" s="971"/>
      <c r="E134" s="971"/>
      <c r="F134" s="971"/>
      <c r="G134" s="977"/>
      <c r="H134" s="978"/>
      <c r="I134" s="979"/>
      <c r="J134" s="974" t="e">
        <f>'04-221Master'!#REF!</f>
        <v>#REF!</v>
      </c>
      <c r="K134" s="979"/>
      <c r="L134" s="980"/>
    </row>
    <row r="135" spans="2:12" ht="27.95" customHeight="1">
      <c r="B135" s="1201" t="s">
        <v>118</v>
      </c>
      <c r="C135" s="1202"/>
      <c r="D135" s="1202"/>
      <c r="E135" s="1202"/>
      <c r="F135" s="1202"/>
      <c r="G135" s="1202"/>
      <c r="H135" s="1194" t="e">
        <f>'04-221Master'!#REF!</f>
        <v>#REF!</v>
      </c>
      <c r="I135" s="1195"/>
      <c r="J135" s="1195"/>
      <c r="K135" s="1195"/>
      <c r="L135" s="1196"/>
    </row>
    <row r="136" spans="2:12" ht="27.95" customHeight="1">
      <c r="B136" s="1182" t="s">
        <v>119</v>
      </c>
      <c r="C136" s="1183"/>
      <c r="D136" s="1183"/>
      <c r="E136" s="1183"/>
      <c r="F136" s="1183"/>
      <c r="G136" s="1183"/>
      <c r="H136" s="1188"/>
      <c r="I136" s="1189"/>
      <c r="J136" s="1189"/>
      <c r="K136" s="1189"/>
      <c r="L136" s="1190"/>
    </row>
    <row r="137" spans="2:12" ht="27.95" customHeight="1">
      <c r="B137" s="1182" t="s">
        <v>120</v>
      </c>
      <c r="C137" s="1183"/>
      <c r="D137" s="1183"/>
      <c r="E137" s="1183"/>
      <c r="F137" s="1183"/>
      <c r="G137" s="1183"/>
      <c r="H137" s="1189" t="s">
        <v>121</v>
      </c>
      <c r="I137" s="1189"/>
      <c r="J137" s="1189"/>
      <c r="K137" s="1189"/>
      <c r="L137" s="1190"/>
    </row>
    <row r="138" spans="2:12" ht="27.95" customHeight="1">
      <c r="B138" s="970" t="s">
        <v>122</v>
      </c>
      <c r="C138" s="971"/>
      <c r="D138" s="971"/>
      <c r="E138" s="971"/>
      <c r="F138" s="971"/>
      <c r="G138" s="977"/>
      <c r="H138" s="972"/>
      <c r="I138" s="975"/>
      <c r="J138" s="981" t="e">
        <f>'04-221Master'!#REF!</f>
        <v>#REF!</v>
      </c>
      <c r="K138" s="975"/>
      <c r="L138" s="976"/>
    </row>
    <row r="139" spans="2:12" ht="27.95" customHeight="1">
      <c r="B139" s="970" t="s">
        <v>123</v>
      </c>
      <c r="C139" s="971"/>
      <c r="D139" s="971"/>
      <c r="E139" s="971"/>
      <c r="F139" s="971"/>
      <c r="G139" s="977"/>
      <c r="H139" s="972"/>
      <c r="I139" s="975"/>
      <c r="J139" s="975" t="s">
        <v>37</v>
      </c>
      <c r="K139" s="975"/>
      <c r="L139" s="976"/>
    </row>
    <row r="140" spans="2:12" ht="27.95" customHeight="1">
      <c r="B140" s="970" t="s">
        <v>124</v>
      </c>
      <c r="C140" s="971"/>
      <c r="D140" s="971"/>
      <c r="E140" s="971"/>
      <c r="F140" s="971"/>
      <c r="G140" s="977"/>
      <c r="H140" s="972"/>
      <c r="I140" s="975"/>
      <c r="J140" s="981">
        <v>0</v>
      </c>
      <c r="K140" s="975"/>
      <c r="L140" s="976"/>
    </row>
    <row r="141" spans="2:12" ht="27.95" customHeight="1">
      <c r="B141" s="970" t="s">
        <v>125</v>
      </c>
      <c r="C141" s="971"/>
      <c r="D141" s="971"/>
      <c r="E141" s="971"/>
      <c r="F141" s="971"/>
      <c r="G141" s="977"/>
      <c r="H141" s="972"/>
      <c r="I141" s="975"/>
      <c r="J141" s="975">
        <v>0</v>
      </c>
      <c r="K141" s="975"/>
      <c r="L141" s="976"/>
    </row>
    <row r="142" spans="2:12" ht="27.95" customHeight="1">
      <c r="B142" s="970" t="s">
        <v>126</v>
      </c>
      <c r="C142" s="971"/>
      <c r="D142" s="971"/>
      <c r="E142" s="971"/>
      <c r="F142" s="971"/>
      <c r="G142" s="977"/>
      <c r="H142" s="972"/>
      <c r="I142" s="975"/>
      <c r="J142" s="982"/>
      <c r="K142" s="975"/>
      <c r="L142" s="976" t="s">
        <v>35</v>
      </c>
    </row>
    <row r="143" spans="2:12" ht="27.95" customHeight="1">
      <c r="B143" s="970" t="s">
        <v>127</v>
      </c>
      <c r="C143" s="971"/>
      <c r="D143" s="983" t="s">
        <v>32</v>
      </c>
      <c r="E143" s="984" t="e">
        <f>'04-221Master'!#REF!</f>
        <v>#REF!</v>
      </c>
      <c r="F143" s="983" t="s">
        <v>31</v>
      </c>
      <c r="G143" s="984" t="e">
        <f>'04-221Master'!#REF!</f>
        <v>#REF!</v>
      </c>
      <c r="H143" s="983" t="s">
        <v>33</v>
      </c>
      <c r="I143" s="984" t="e">
        <f>'04-221Master'!#REF!</f>
        <v>#REF!</v>
      </c>
      <c r="J143" s="983" t="s">
        <v>34</v>
      </c>
      <c r="K143" s="984" t="e">
        <f>'04-221Master'!#REF!</f>
        <v>#REF!</v>
      </c>
      <c r="L143" s="985" t="e">
        <f>'04-221Master'!#REF!</f>
        <v>#REF!</v>
      </c>
    </row>
    <row r="144" spans="2:12" ht="27.95" customHeight="1">
      <c r="B144" s="970" t="s">
        <v>128</v>
      </c>
      <c r="C144" s="971"/>
      <c r="D144" s="971"/>
      <c r="E144" s="971"/>
      <c r="F144" s="971"/>
      <c r="G144" s="977"/>
      <c r="H144" s="972"/>
      <c r="I144" s="975"/>
      <c r="J144" s="981"/>
      <c r="K144" s="975"/>
      <c r="L144" s="976"/>
    </row>
    <row r="145" spans="2:12" ht="27.95" customHeight="1">
      <c r="B145" s="986" t="s">
        <v>129</v>
      </c>
      <c r="C145" s="987"/>
      <c r="D145" s="987"/>
      <c r="E145" s="987"/>
      <c r="F145" s="987"/>
      <c r="G145" s="988"/>
      <c r="H145" s="989"/>
      <c r="I145" s="990"/>
      <c r="J145" s="990"/>
      <c r="K145" s="990"/>
      <c r="L145" s="991"/>
    </row>
    <row r="146" spans="2:12" ht="27.95" customHeight="1">
      <c r="B146" s="426" t="s">
        <v>130</v>
      </c>
      <c r="C146" s="374"/>
      <c r="D146" s="374"/>
      <c r="E146" s="374"/>
      <c r="F146" s="374"/>
      <c r="G146" s="427"/>
      <c r="H146" s="71"/>
      <c r="I146" s="370"/>
      <c r="J146" s="370"/>
      <c r="K146" s="370"/>
      <c r="L146" s="14"/>
    </row>
    <row r="147" spans="2:12">
      <c r="B147" s="13"/>
      <c r="C147" s="370"/>
      <c r="D147" s="370"/>
      <c r="E147" s="370"/>
      <c r="F147" s="370"/>
      <c r="G147" s="370"/>
      <c r="H147" s="370"/>
      <c r="I147" s="370"/>
      <c r="J147" s="370"/>
      <c r="K147" s="370"/>
      <c r="L147" s="14"/>
    </row>
    <row r="148" spans="2:12" ht="15.75" thickBot="1">
      <c r="B148" s="25"/>
      <c r="C148" s="23"/>
      <c r="D148" s="23"/>
      <c r="E148" s="23"/>
      <c r="F148" s="23"/>
      <c r="G148" s="23"/>
      <c r="H148" s="23"/>
      <c r="I148" s="23"/>
      <c r="J148" s="23"/>
      <c r="K148" s="23"/>
      <c r="L148" s="24"/>
    </row>
    <row r="149" spans="2:12">
      <c r="B149" s="370"/>
      <c r="C149" s="370"/>
      <c r="D149" s="370"/>
      <c r="E149" s="370"/>
      <c r="F149" s="370"/>
      <c r="G149" s="370"/>
      <c r="H149" s="370"/>
      <c r="I149" s="370"/>
      <c r="J149" s="370"/>
      <c r="K149" s="370"/>
      <c r="L149" s="370"/>
    </row>
    <row r="150" spans="2:12">
      <c r="B150" s="370"/>
      <c r="C150" s="370"/>
      <c r="D150" s="370"/>
      <c r="E150" s="370"/>
      <c r="F150" s="370"/>
      <c r="G150" s="370"/>
      <c r="H150" s="370"/>
      <c r="I150" s="370"/>
      <c r="J150" s="370"/>
      <c r="K150" s="370"/>
      <c r="L150" s="370"/>
    </row>
    <row r="151" spans="2:12">
      <c r="B151" s="370"/>
      <c r="C151" s="370"/>
      <c r="D151" s="370"/>
      <c r="E151" s="370"/>
      <c r="F151" s="370"/>
      <c r="G151" s="370"/>
      <c r="H151" s="370"/>
      <c r="I151" s="370"/>
      <c r="J151" s="370"/>
      <c r="K151" s="370"/>
      <c r="L151" s="370"/>
    </row>
    <row r="152" spans="2:12">
      <c r="B152" s="370"/>
      <c r="C152" s="370"/>
      <c r="D152" s="370"/>
      <c r="E152" s="370"/>
      <c r="F152" s="370"/>
      <c r="G152" s="370"/>
      <c r="H152" s="370"/>
      <c r="I152" s="370"/>
      <c r="J152" s="370"/>
      <c r="K152" s="370"/>
      <c r="L152" s="370"/>
    </row>
    <row r="153" spans="2:12">
      <c r="B153" s="370"/>
      <c r="C153" s="370"/>
      <c r="D153" s="370"/>
      <c r="E153" s="370"/>
      <c r="F153" s="370"/>
      <c r="G153" s="370"/>
      <c r="H153" s="370"/>
      <c r="I153" s="370"/>
      <c r="J153" s="370"/>
      <c r="K153" s="370"/>
      <c r="L153" s="370"/>
    </row>
    <row r="154" spans="2:12">
      <c r="B154" s="370"/>
      <c r="C154" s="370"/>
      <c r="D154" s="370"/>
      <c r="E154" s="370"/>
      <c r="F154" s="370"/>
      <c r="G154" s="370"/>
      <c r="H154" s="370"/>
      <c r="I154" s="370"/>
      <c r="J154" s="370"/>
      <c r="K154" s="370"/>
      <c r="L154" s="370"/>
    </row>
    <row r="155" spans="2:12">
      <c r="B155" s="370"/>
      <c r="C155" s="370"/>
      <c r="D155" s="370"/>
      <c r="E155" s="370"/>
      <c r="F155" s="370"/>
      <c r="G155" s="370"/>
      <c r="H155" s="370"/>
      <c r="I155" s="370"/>
      <c r="J155" s="370"/>
      <c r="K155" s="370"/>
      <c r="L155" s="370"/>
    </row>
    <row r="161" spans="1:12" ht="15.75" thickBot="1"/>
    <row r="162" spans="1:12" ht="32.25">
      <c r="A162" s="388"/>
      <c r="B162" s="1163" t="s">
        <v>590</v>
      </c>
      <c r="C162" s="1164"/>
      <c r="D162" s="1164"/>
      <c r="E162" s="1164"/>
      <c r="F162" s="1164"/>
      <c r="G162" s="1164"/>
      <c r="H162" s="1164"/>
      <c r="I162" s="1164"/>
      <c r="J162" s="1164"/>
      <c r="K162" s="1164"/>
      <c r="L162" s="1165"/>
    </row>
    <row r="163" spans="1:12" ht="23.25">
      <c r="A163" s="388"/>
      <c r="B163" s="1166" t="s">
        <v>107</v>
      </c>
      <c r="C163" s="1207"/>
      <c r="D163" s="1207"/>
      <c r="E163" s="1207"/>
      <c r="F163" s="1207"/>
      <c r="G163" s="1207"/>
      <c r="H163" s="1207"/>
      <c r="I163" s="1207"/>
      <c r="J163" s="1207"/>
      <c r="K163" s="1207"/>
      <c r="L163" s="1168"/>
    </row>
    <row r="164" spans="1:12" ht="16.5" thickBot="1">
      <c r="A164" s="388"/>
      <c r="B164" s="1169" t="s">
        <v>591</v>
      </c>
      <c r="C164" s="1170"/>
      <c r="D164" s="1170"/>
      <c r="E164" s="1170"/>
      <c r="F164" s="1170"/>
      <c r="G164" s="1170"/>
      <c r="H164" s="1170"/>
      <c r="I164" s="1170"/>
      <c r="J164" s="1170"/>
      <c r="K164" s="1170"/>
      <c r="L164" s="1171"/>
    </row>
    <row r="165" spans="1:12">
      <c r="A165" s="388"/>
      <c r="B165" s="1172" t="s">
        <v>108</v>
      </c>
      <c r="C165" s="1211"/>
      <c r="D165" s="1211"/>
      <c r="E165" s="1211"/>
      <c r="F165" s="1211"/>
      <c r="G165" s="370"/>
      <c r="H165" s="1212" t="s">
        <v>109</v>
      </c>
      <c r="I165" s="1212"/>
      <c r="J165" s="1212"/>
      <c r="K165" s="1212"/>
      <c r="L165" s="1175"/>
    </row>
    <row r="166" spans="1:12" ht="15.75" thickBot="1">
      <c r="A166" s="388"/>
      <c r="B166" s="1172"/>
      <c r="C166" s="1211"/>
      <c r="D166" s="1211"/>
      <c r="E166" s="1211"/>
      <c r="F166" s="1211"/>
      <c r="G166" s="370"/>
      <c r="H166" s="1212"/>
      <c r="I166" s="1212"/>
      <c r="J166" s="1212"/>
      <c r="K166" s="1212"/>
      <c r="L166" s="1175"/>
    </row>
    <row r="167" spans="1:12">
      <c r="A167" s="388"/>
      <c r="B167" s="74"/>
      <c r="C167" s="75"/>
      <c r="D167" s="75"/>
      <c r="E167" s="75"/>
      <c r="F167" s="76"/>
      <c r="G167" s="370"/>
      <c r="H167" s="74"/>
      <c r="I167" s="75"/>
      <c r="J167" s="75"/>
      <c r="K167" s="75"/>
      <c r="L167" s="76"/>
    </row>
    <row r="168" spans="1:12">
      <c r="A168" s="388"/>
      <c r="B168" s="419" t="s">
        <v>382</v>
      </c>
      <c r="C168" s="370"/>
      <c r="D168" s="370"/>
      <c r="E168" s="370"/>
      <c r="F168" s="14"/>
      <c r="G168" s="370"/>
      <c r="H168" s="419" t="s">
        <v>382</v>
      </c>
      <c r="I168" s="370"/>
      <c r="J168" s="370"/>
      <c r="K168" s="370"/>
      <c r="L168" s="14"/>
    </row>
    <row r="169" spans="1:12">
      <c r="A169" s="388"/>
      <c r="B169" s="421" t="s">
        <v>383</v>
      </c>
      <c r="C169" s="370"/>
      <c r="D169" s="370"/>
      <c r="E169" s="370"/>
      <c r="F169" s="14"/>
      <c r="G169" s="370"/>
      <c r="H169" s="421" t="s">
        <v>383</v>
      </c>
      <c r="I169" s="370"/>
      <c r="J169" s="370"/>
      <c r="K169" s="370"/>
      <c r="L169" s="14"/>
    </row>
    <row r="170" spans="1:12">
      <c r="A170" s="388"/>
      <c r="B170" s="77"/>
      <c r="C170" s="370"/>
      <c r="D170" s="370"/>
      <c r="E170" s="370"/>
      <c r="F170" s="14"/>
      <c r="G170" s="370"/>
      <c r="H170" s="77"/>
      <c r="I170" s="370"/>
      <c r="J170" s="370"/>
      <c r="K170" s="370"/>
      <c r="L170" s="14"/>
    </row>
    <row r="171" spans="1:12" ht="15.75" thickBot="1">
      <c r="A171" s="388"/>
      <c r="B171" s="25"/>
      <c r="C171" s="23"/>
      <c r="D171" s="23"/>
      <c r="E171" s="23"/>
      <c r="F171" s="24"/>
      <c r="G171" s="370"/>
      <c r="H171" s="25"/>
      <c r="I171" s="23"/>
      <c r="J171" s="23"/>
      <c r="K171" s="23"/>
      <c r="L171" s="24"/>
    </row>
    <row r="172" spans="1:12">
      <c r="A172" s="388"/>
      <c r="B172" s="13"/>
      <c r="C172" s="370"/>
      <c r="D172" s="370"/>
      <c r="E172" s="370"/>
      <c r="F172" s="370"/>
      <c r="G172" s="370"/>
      <c r="H172" s="370"/>
      <c r="I172" s="370"/>
      <c r="J172" s="370" t="s">
        <v>110</v>
      </c>
      <c r="K172" s="370"/>
      <c r="L172" s="14"/>
    </row>
    <row r="173" spans="1:12">
      <c r="A173" s="388"/>
      <c r="B173" s="1176" t="s">
        <v>111</v>
      </c>
      <c r="C173" s="1213"/>
      <c r="D173" s="1213"/>
      <c r="E173" s="1213"/>
      <c r="F173" s="1213"/>
      <c r="G173" s="370"/>
      <c r="H173" s="1213" t="s">
        <v>4</v>
      </c>
      <c r="I173" s="1213"/>
      <c r="J173" s="1213"/>
      <c r="K173" s="1213"/>
      <c r="L173" s="1178"/>
    </row>
    <row r="174" spans="1:12" ht="15.75" thickBot="1">
      <c r="A174" s="388"/>
      <c r="B174" s="13"/>
      <c r="C174" s="370"/>
      <c r="D174" s="370"/>
      <c r="E174" s="370"/>
      <c r="F174" s="370"/>
      <c r="G174" s="370"/>
      <c r="H174" s="370"/>
      <c r="I174" s="370"/>
      <c r="J174" s="370"/>
      <c r="K174" s="370"/>
      <c r="L174" s="14"/>
    </row>
    <row r="175" spans="1:12">
      <c r="A175" s="388"/>
      <c r="B175" s="74"/>
      <c r="C175" s="75"/>
      <c r="D175" s="75"/>
      <c r="E175" s="75"/>
      <c r="F175" s="76"/>
      <c r="G175" s="370"/>
      <c r="H175" s="78"/>
      <c r="I175" s="79"/>
      <c r="J175" s="79"/>
      <c r="K175" s="79"/>
      <c r="L175" s="80"/>
    </row>
    <row r="176" spans="1:12">
      <c r="A176" s="388"/>
      <c r="B176" s="13"/>
      <c r="C176" s="370"/>
      <c r="D176" s="370"/>
      <c r="E176" s="370"/>
      <c r="F176" s="14"/>
      <c r="G176" s="370"/>
      <c r="H176" s="524" t="s">
        <v>497</v>
      </c>
      <c r="I176" s="374"/>
      <c r="J176" s="374"/>
      <c r="K176" s="374"/>
      <c r="L176" s="81"/>
    </row>
    <row r="177" spans="1:12">
      <c r="A177" s="388"/>
      <c r="B177" s="423" t="s">
        <v>373</v>
      </c>
      <c r="C177" s="370"/>
      <c r="D177" s="370"/>
      <c r="E177" s="370"/>
      <c r="F177" s="14"/>
      <c r="G177" s="370"/>
      <c r="H177" s="425" t="s">
        <v>490</v>
      </c>
      <c r="I177" s="374"/>
      <c r="J177" s="374"/>
      <c r="K177" s="374"/>
      <c r="L177" s="81"/>
    </row>
    <row r="178" spans="1:12">
      <c r="A178" s="388"/>
      <c r="B178" s="13"/>
      <c r="C178" s="370"/>
      <c r="D178" s="370"/>
      <c r="E178" s="370"/>
      <c r="F178" s="14"/>
      <c r="G178" s="370"/>
      <c r="H178" s="77"/>
      <c r="I178" s="374"/>
      <c r="J178" s="374"/>
      <c r="K178" s="374"/>
      <c r="L178" s="81"/>
    </row>
    <row r="179" spans="1:12" ht="15.75" thickBot="1">
      <c r="A179" s="388"/>
      <c r="B179" s="25"/>
      <c r="C179" s="23"/>
      <c r="D179" s="23"/>
      <c r="E179" s="23"/>
      <c r="F179" s="24"/>
      <c r="G179" s="370"/>
      <c r="H179" s="77"/>
      <c r="I179" s="374"/>
      <c r="J179" s="374"/>
      <c r="K179" s="374"/>
      <c r="L179" s="81"/>
    </row>
    <row r="180" spans="1:12" ht="30" customHeight="1">
      <c r="A180" s="388"/>
      <c r="B180" s="1143" t="s">
        <v>112</v>
      </c>
      <c r="C180" s="1144"/>
      <c r="D180" s="1144"/>
      <c r="E180" s="1144"/>
      <c r="F180" s="1144"/>
      <c r="G180" s="1145"/>
      <c r="H180" s="1146" t="str">
        <f>'04-221Master'!B18</f>
        <v>Yarramaddu Raveendra Reddy</v>
      </c>
      <c r="I180" s="1147"/>
      <c r="J180" s="1147"/>
      <c r="K180" s="1147"/>
      <c r="L180" s="1147"/>
    </row>
    <row r="181" spans="1:12" ht="30" customHeight="1">
      <c r="A181" s="388"/>
      <c r="B181" s="1148"/>
      <c r="C181" s="1149"/>
      <c r="D181" s="1149"/>
      <c r="E181" s="1149"/>
      <c r="F181" s="1149"/>
      <c r="G181" s="1149"/>
      <c r="H181" s="1150" t="str">
        <f>'04-221Master'!G18</f>
        <v>11/25,Baddipally village,Mudivedu post,Kura Balakota mandal,Chittor district,AP 517350</v>
      </c>
      <c r="I181" s="1150"/>
      <c r="J181" s="1150"/>
      <c r="K181" s="1150"/>
      <c r="L181" s="1150"/>
    </row>
    <row r="182" spans="1:12" ht="30" customHeight="1">
      <c r="A182" s="388"/>
      <c r="B182" s="1152" t="s">
        <v>113</v>
      </c>
      <c r="C182" s="1153"/>
      <c r="D182" s="1153"/>
      <c r="E182" s="1153"/>
      <c r="F182" s="1153"/>
      <c r="G182" s="1153"/>
      <c r="H182" s="1154">
        <f>'04-221Master'!AY18</f>
        <v>19</v>
      </c>
      <c r="I182" s="1155"/>
      <c r="J182" s="1155"/>
      <c r="K182" s="1155"/>
      <c r="L182" s="1156"/>
    </row>
    <row r="183" spans="1:12" ht="30" customHeight="1">
      <c r="A183" s="388"/>
      <c r="B183" s="1143" t="s">
        <v>114</v>
      </c>
      <c r="C183" s="1144"/>
      <c r="D183" s="1144"/>
      <c r="E183" s="1144"/>
      <c r="F183" s="1144"/>
      <c r="G183" s="1144"/>
      <c r="H183" s="1146" t="str">
        <f>'04-221Master'!E18</f>
        <v>Ramachandra Reddy</v>
      </c>
      <c r="I183" s="1147"/>
      <c r="J183" s="1147"/>
      <c r="K183" s="1147"/>
      <c r="L183" s="1151"/>
    </row>
    <row r="184" spans="1:12" ht="30" customHeight="1">
      <c r="A184" s="388"/>
      <c r="B184" s="1143" t="s">
        <v>115</v>
      </c>
      <c r="C184" s="1144"/>
      <c r="D184" s="1144"/>
      <c r="E184" s="1144"/>
      <c r="F184" s="1144"/>
      <c r="G184" s="1144"/>
      <c r="H184" s="1157" t="str">
        <f>'04-221Master'!F18</f>
        <v>Sr Citrix Administrator</v>
      </c>
      <c r="I184" s="1158"/>
      <c r="J184" s="1158"/>
      <c r="K184" s="1158"/>
      <c r="L184" s="1159"/>
    </row>
    <row r="185" spans="1:12" ht="30" customHeight="1">
      <c r="A185" s="388"/>
      <c r="B185" s="399" t="s">
        <v>116</v>
      </c>
      <c r="C185" s="87"/>
      <c r="D185" s="87"/>
      <c r="E185" s="87"/>
      <c r="F185" s="87"/>
      <c r="G185" s="87"/>
      <c r="H185" s="531"/>
      <c r="I185" s="89"/>
      <c r="J185" s="389" t="str">
        <f>'04-221Master'!T18</f>
        <v>N/A</v>
      </c>
      <c r="K185" s="527"/>
      <c r="L185" s="529"/>
    </row>
    <row r="186" spans="1:12" ht="30" customHeight="1">
      <c r="A186" s="388"/>
      <c r="B186" s="399" t="s">
        <v>117</v>
      </c>
      <c r="C186" s="87"/>
      <c r="D186" s="87"/>
      <c r="E186" s="87"/>
      <c r="F186" s="87"/>
      <c r="G186" s="429"/>
      <c r="H186" s="92"/>
      <c r="I186" s="93"/>
      <c r="J186" s="389" t="str">
        <f>'04-221Master'!S18</f>
        <v>101695261757</v>
      </c>
      <c r="K186" s="93"/>
      <c r="L186" s="94"/>
    </row>
    <row r="187" spans="1:12" ht="30" customHeight="1">
      <c r="A187" s="388"/>
      <c r="B187" s="1160" t="s">
        <v>118</v>
      </c>
      <c r="C187" s="1161"/>
      <c r="D187" s="1161"/>
      <c r="E187" s="1161"/>
      <c r="F187" s="1161"/>
      <c r="G187" s="1161"/>
      <c r="H187" s="1154">
        <f>'04-221Master'!Y18</f>
        <v>61740</v>
      </c>
      <c r="I187" s="1155"/>
      <c r="J187" s="1155"/>
      <c r="K187" s="1155"/>
      <c r="L187" s="1156"/>
    </row>
    <row r="188" spans="1:12" ht="30" customHeight="1">
      <c r="A188" s="388"/>
      <c r="B188" s="1143" t="s">
        <v>119</v>
      </c>
      <c r="C188" s="1144"/>
      <c r="D188" s="1144"/>
      <c r="E188" s="1144"/>
      <c r="F188" s="1144"/>
      <c r="G188" s="1144"/>
      <c r="H188" s="1162">
        <f>'04-221Master'!D10</f>
        <v>44652</v>
      </c>
      <c r="I188" s="1147"/>
      <c r="J188" s="1147"/>
      <c r="K188" s="1147"/>
      <c r="L188" s="1151"/>
    </row>
    <row r="189" spans="1:12" ht="30" customHeight="1">
      <c r="A189" s="388"/>
      <c r="B189" s="1143" t="s">
        <v>120</v>
      </c>
      <c r="C189" s="1144"/>
      <c r="D189" s="1144"/>
      <c r="E189" s="1144"/>
      <c r="F189" s="1144"/>
      <c r="G189" s="1144"/>
      <c r="H189" s="1147" t="s">
        <v>121</v>
      </c>
      <c r="I189" s="1147"/>
      <c r="J189" s="1147"/>
      <c r="K189" s="1147"/>
      <c r="L189" s="1151"/>
    </row>
    <row r="190" spans="1:12" ht="30" customHeight="1">
      <c r="A190" s="388"/>
      <c r="B190" s="399" t="s">
        <v>122</v>
      </c>
      <c r="C190" s="87"/>
      <c r="D190" s="87"/>
      <c r="E190" s="87"/>
      <c r="F190" s="87"/>
      <c r="G190" s="429"/>
      <c r="H190" s="531"/>
      <c r="I190" s="527"/>
      <c r="J190" s="96">
        <f>'04-221Master'!W18</f>
        <v>30</v>
      </c>
      <c r="K190" s="527"/>
      <c r="L190" s="529"/>
    </row>
    <row r="191" spans="1:12" ht="30" customHeight="1">
      <c r="A191" s="388"/>
      <c r="B191" s="399" t="s">
        <v>123</v>
      </c>
      <c r="C191" s="87"/>
      <c r="D191" s="87"/>
      <c r="E191" s="87"/>
      <c r="F191" s="87"/>
      <c r="G191" s="429"/>
      <c r="H191" s="531"/>
      <c r="I191" s="527"/>
      <c r="J191" s="527" t="s">
        <v>37</v>
      </c>
      <c r="K191" s="527"/>
      <c r="L191" s="529"/>
    </row>
    <row r="192" spans="1:12" ht="30" customHeight="1">
      <c r="A192" s="388"/>
      <c r="B192" s="399" t="s">
        <v>124</v>
      </c>
      <c r="C192" s="87"/>
      <c r="D192" s="87"/>
      <c r="E192" s="87"/>
      <c r="F192" s="87"/>
      <c r="G192" s="429"/>
      <c r="H192" s="531"/>
      <c r="I192" s="527"/>
      <c r="J192" s="96">
        <v>0</v>
      </c>
      <c r="K192" s="527"/>
      <c r="L192" s="529"/>
    </row>
    <row r="193" spans="1:12" ht="30" customHeight="1">
      <c r="A193" s="388"/>
      <c r="B193" s="399" t="s">
        <v>125</v>
      </c>
      <c r="C193" s="87"/>
      <c r="D193" s="87"/>
      <c r="E193" s="87"/>
      <c r="F193" s="87"/>
      <c r="G193" s="429"/>
      <c r="H193" s="531"/>
      <c r="I193" s="527"/>
      <c r="J193" s="527">
        <v>0</v>
      </c>
      <c r="K193" s="527"/>
      <c r="L193" s="529"/>
    </row>
    <row r="194" spans="1:12" ht="30" customHeight="1">
      <c r="A194" s="388"/>
      <c r="B194" s="399" t="s">
        <v>126</v>
      </c>
      <c r="C194" s="87"/>
      <c r="D194" s="87"/>
      <c r="E194" s="87"/>
      <c r="F194" s="87"/>
      <c r="G194" s="429"/>
      <c r="H194" s="531"/>
      <c r="I194" s="527"/>
      <c r="J194" s="364">
        <f>'04-221Master'!AM18</f>
        <v>68276.425400000007</v>
      </c>
      <c r="K194" s="527"/>
      <c r="L194" s="529" t="s">
        <v>585</v>
      </c>
    </row>
    <row r="195" spans="1:12" ht="30" customHeight="1">
      <c r="A195" s="388"/>
      <c r="B195" s="399" t="s">
        <v>127</v>
      </c>
      <c r="C195" s="87"/>
      <c r="D195" s="526" t="s">
        <v>32</v>
      </c>
      <c r="E195" s="528">
        <f>'04-221Master'!AO18</f>
        <v>1800</v>
      </c>
      <c r="F195" s="526" t="s">
        <v>31</v>
      </c>
      <c r="G195" s="528">
        <f>'04-221Master'!AN317</f>
        <v>0</v>
      </c>
      <c r="H195" s="526" t="s">
        <v>33</v>
      </c>
      <c r="I195" s="528">
        <f>'04-221Master'!AP18</f>
        <v>200</v>
      </c>
      <c r="J195" s="526" t="s">
        <v>34</v>
      </c>
      <c r="K195" s="528">
        <f>'04-221Master'!AQ18</f>
        <v>0</v>
      </c>
      <c r="L195" s="103">
        <f>'04-221Master'!AR18</f>
        <v>391.787848</v>
      </c>
    </row>
    <row r="196" spans="1:12" ht="30" customHeight="1">
      <c r="A196" s="388"/>
      <c r="B196" s="399" t="s">
        <v>128</v>
      </c>
      <c r="C196" s="87"/>
      <c r="D196" s="87"/>
      <c r="E196" s="87"/>
      <c r="F196" s="87"/>
      <c r="G196" s="429"/>
      <c r="H196" s="531"/>
      <c r="I196" s="527"/>
      <c r="J196" s="96">
        <f>J194-(E195+G195+I195+K195+L195)</f>
        <v>65884.637552</v>
      </c>
      <c r="K196" s="527"/>
      <c r="L196" s="529"/>
    </row>
    <row r="197" spans="1:12">
      <c r="A197" s="388"/>
      <c r="B197" s="400" t="s">
        <v>129</v>
      </c>
      <c r="C197" s="401"/>
      <c r="D197" s="401"/>
      <c r="E197" s="401"/>
      <c r="F197" s="401"/>
      <c r="G197" s="402"/>
      <c r="H197" s="403"/>
      <c r="I197" s="404"/>
      <c r="J197" s="404"/>
      <c r="K197" s="404"/>
      <c r="L197" s="98"/>
    </row>
    <row r="198" spans="1:12">
      <c r="A198" s="388"/>
      <c r="B198" s="426" t="s">
        <v>130</v>
      </c>
      <c r="C198" s="374"/>
      <c r="D198" s="374"/>
      <c r="E198" s="374"/>
      <c r="F198" s="374"/>
      <c r="G198" s="427"/>
      <c r="H198" s="71"/>
      <c r="I198" s="370"/>
      <c r="J198" s="370"/>
      <c r="K198" s="370"/>
      <c r="L198" s="14"/>
    </row>
    <row r="199" spans="1:12">
      <c r="A199" s="388"/>
      <c r="B199" s="13"/>
      <c r="C199" s="370"/>
      <c r="D199" s="370"/>
      <c r="E199" s="370"/>
      <c r="F199" s="370"/>
      <c r="G199" s="370"/>
      <c r="H199" s="370"/>
      <c r="I199" s="370"/>
      <c r="J199" s="370"/>
      <c r="K199" s="370"/>
      <c r="L199" s="14"/>
    </row>
    <row r="200" spans="1:12" ht="15.75" thickBot="1">
      <c r="A200" s="388"/>
      <c r="B200" s="25"/>
      <c r="C200" s="23"/>
      <c r="D200" s="23"/>
      <c r="E200" s="23"/>
      <c r="F200" s="23"/>
      <c r="G200" s="23"/>
      <c r="H200" s="23"/>
      <c r="I200" s="23"/>
      <c r="J200" s="23"/>
      <c r="K200" s="23"/>
      <c r="L200" s="24"/>
    </row>
    <row r="201" spans="1:12">
      <c r="A201" s="388"/>
      <c r="B201" s="370"/>
      <c r="C201" s="370"/>
      <c r="D201" s="370"/>
      <c r="E201" s="370"/>
      <c r="F201" s="370"/>
      <c r="G201" s="370"/>
      <c r="H201" s="370"/>
      <c r="I201" s="370"/>
      <c r="J201" s="370"/>
      <c r="K201" s="370"/>
      <c r="L201" s="370"/>
    </row>
    <row r="202" spans="1:12">
      <c r="A202" s="388"/>
      <c r="B202" s="370"/>
      <c r="C202" s="370"/>
      <c r="D202" s="370"/>
      <c r="E202" s="370"/>
      <c r="F202" s="370"/>
      <c r="G202" s="370"/>
      <c r="H202" s="370"/>
      <c r="I202" s="370"/>
      <c r="J202" s="370"/>
      <c r="K202" s="370"/>
      <c r="L202" s="370"/>
    </row>
    <row r="203" spans="1:12">
      <c r="A203" s="388"/>
      <c r="B203" s="370"/>
      <c r="C203" s="370"/>
      <c r="D203" s="370"/>
      <c r="E203" s="370"/>
      <c r="F203" s="370"/>
      <c r="G203" s="370"/>
      <c r="H203" s="370"/>
      <c r="I203" s="370"/>
      <c r="J203" s="370"/>
      <c r="K203" s="370"/>
      <c r="L203" s="370"/>
    </row>
    <row r="204" spans="1:12">
      <c r="A204" s="388"/>
      <c r="B204" s="370"/>
      <c r="C204" s="370"/>
      <c r="D204" s="370"/>
      <c r="E204" s="370"/>
      <c r="F204" s="370"/>
      <c r="G204" s="370"/>
      <c r="H204" s="370"/>
      <c r="I204" s="370"/>
      <c r="J204" s="370"/>
      <c r="K204" s="370"/>
      <c r="L204" s="370"/>
    </row>
    <row r="205" spans="1:12">
      <c r="A205" s="388"/>
      <c r="B205" s="370"/>
      <c r="C205" s="370"/>
      <c r="D205" s="370"/>
      <c r="E205" s="370"/>
      <c r="F205" s="370"/>
      <c r="G205" s="370"/>
      <c r="H205" s="370"/>
      <c r="I205" s="370"/>
      <c r="J205" s="370"/>
      <c r="K205" s="370"/>
      <c r="L205" s="370"/>
    </row>
    <row r="206" spans="1:12">
      <c r="A206" s="388"/>
      <c r="B206" s="370"/>
      <c r="C206" s="370"/>
      <c r="D206" s="370"/>
      <c r="E206" s="370"/>
      <c r="F206" s="370"/>
      <c r="G206" s="370"/>
      <c r="H206" s="370"/>
      <c r="I206" s="370"/>
      <c r="J206" s="370"/>
      <c r="K206" s="370"/>
      <c r="L206" s="370"/>
    </row>
    <row r="207" spans="1:12">
      <c r="A207" s="388"/>
      <c r="B207" s="370"/>
      <c r="C207" s="370"/>
      <c r="D207" s="370"/>
      <c r="E207" s="370"/>
      <c r="F207" s="370"/>
      <c r="G207" s="370"/>
      <c r="H207" s="370"/>
      <c r="I207" s="370"/>
      <c r="J207" s="370"/>
      <c r="K207" s="370"/>
      <c r="L207" s="370"/>
    </row>
    <row r="208" spans="1:12">
      <c r="A208" s="388"/>
      <c r="B208" s="388"/>
      <c r="C208" s="388"/>
      <c r="D208" s="388"/>
      <c r="E208" s="388"/>
      <c r="F208" s="388"/>
      <c r="G208" s="388"/>
      <c r="H208" s="388"/>
      <c r="I208" s="388"/>
      <c r="J208" s="388"/>
      <c r="K208" s="388"/>
      <c r="L208" s="388"/>
    </row>
    <row r="214" spans="1:12" ht="15.75" thickBot="1"/>
    <row r="215" spans="1:12" ht="32.25">
      <c r="A215" s="388"/>
      <c r="B215" s="1163" t="s">
        <v>590</v>
      </c>
      <c r="C215" s="1164"/>
      <c r="D215" s="1164"/>
      <c r="E215" s="1164"/>
      <c r="F215" s="1164"/>
      <c r="G215" s="1164"/>
      <c r="H215" s="1164"/>
      <c r="I215" s="1164"/>
      <c r="J215" s="1164"/>
      <c r="K215" s="1164"/>
      <c r="L215" s="1165"/>
    </row>
    <row r="216" spans="1:12" ht="23.25">
      <c r="A216" s="388"/>
      <c r="B216" s="1166" t="s">
        <v>107</v>
      </c>
      <c r="C216" s="1207"/>
      <c r="D216" s="1207"/>
      <c r="E216" s="1207"/>
      <c r="F216" s="1207"/>
      <c r="G216" s="1207"/>
      <c r="H216" s="1207"/>
      <c r="I216" s="1207"/>
      <c r="J216" s="1207"/>
      <c r="K216" s="1207"/>
      <c r="L216" s="1168"/>
    </row>
    <row r="217" spans="1:12" ht="16.5" thickBot="1">
      <c r="A217" s="388"/>
      <c r="B217" s="1169" t="s">
        <v>591</v>
      </c>
      <c r="C217" s="1170"/>
      <c r="D217" s="1170"/>
      <c r="E217" s="1170"/>
      <c r="F217" s="1170"/>
      <c r="G217" s="1170"/>
      <c r="H217" s="1170"/>
      <c r="I217" s="1170"/>
      <c r="J217" s="1170"/>
      <c r="K217" s="1170"/>
      <c r="L217" s="1171"/>
    </row>
    <row r="218" spans="1:12">
      <c r="A218" s="388"/>
      <c r="B218" s="1172" t="s">
        <v>108</v>
      </c>
      <c r="C218" s="1211"/>
      <c r="D218" s="1211"/>
      <c r="E218" s="1211"/>
      <c r="F218" s="1211"/>
      <c r="G218" s="370"/>
      <c r="H218" s="1212" t="s">
        <v>109</v>
      </c>
      <c r="I218" s="1212"/>
      <c r="J218" s="1212"/>
      <c r="K218" s="1212"/>
      <c r="L218" s="1175"/>
    </row>
    <row r="219" spans="1:12" ht="15.75" thickBot="1">
      <c r="A219" s="388"/>
      <c r="B219" s="1172"/>
      <c r="C219" s="1211"/>
      <c r="D219" s="1211"/>
      <c r="E219" s="1211"/>
      <c r="F219" s="1211"/>
      <c r="G219" s="370"/>
      <c r="H219" s="1212"/>
      <c r="I219" s="1212"/>
      <c r="J219" s="1212"/>
      <c r="K219" s="1212"/>
      <c r="L219" s="1175"/>
    </row>
    <row r="220" spans="1:12">
      <c r="A220" s="388"/>
      <c r="B220" s="74"/>
      <c r="C220" s="75"/>
      <c r="D220" s="75"/>
      <c r="E220" s="75"/>
      <c r="F220" s="76"/>
      <c r="G220" s="370"/>
      <c r="H220" s="74"/>
      <c r="I220" s="75"/>
      <c r="J220" s="75"/>
      <c r="K220" s="75"/>
      <c r="L220" s="76"/>
    </row>
    <row r="221" spans="1:12">
      <c r="A221" s="388"/>
      <c r="B221" s="419" t="s">
        <v>382</v>
      </c>
      <c r="C221" s="370"/>
      <c r="D221" s="370"/>
      <c r="E221" s="370"/>
      <c r="F221" s="14"/>
      <c r="G221" s="370"/>
      <c r="H221" s="419" t="s">
        <v>382</v>
      </c>
      <c r="I221" s="370"/>
      <c r="J221" s="370"/>
      <c r="K221" s="370"/>
      <c r="L221" s="14"/>
    </row>
    <row r="222" spans="1:12">
      <c r="A222" s="388"/>
      <c r="B222" s="421" t="s">
        <v>383</v>
      </c>
      <c r="C222" s="370"/>
      <c r="D222" s="370"/>
      <c r="E222" s="370"/>
      <c r="F222" s="14"/>
      <c r="G222" s="370"/>
      <c r="H222" s="421" t="s">
        <v>383</v>
      </c>
      <c r="I222" s="370"/>
      <c r="J222" s="370"/>
      <c r="K222" s="370"/>
      <c r="L222" s="14"/>
    </row>
    <row r="223" spans="1:12">
      <c r="A223" s="388"/>
      <c r="B223" s="77"/>
      <c r="C223" s="370"/>
      <c r="D223" s="370"/>
      <c r="E223" s="370"/>
      <c r="F223" s="14"/>
      <c r="G223" s="370"/>
      <c r="H223" s="77"/>
      <c r="I223" s="370"/>
      <c r="J223" s="370"/>
      <c r="K223" s="370"/>
      <c r="L223" s="14"/>
    </row>
    <row r="224" spans="1:12" ht="15.75" thickBot="1">
      <c r="A224" s="388"/>
      <c r="B224" s="25"/>
      <c r="C224" s="23"/>
      <c r="D224" s="23"/>
      <c r="E224" s="23"/>
      <c r="F224" s="24"/>
      <c r="G224" s="370"/>
      <c r="H224" s="25"/>
      <c r="I224" s="23"/>
      <c r="J224" s="23"/>
      <c r="K224" s="23"/>
      <c r="L224" s="24"/>
    </row>
    <row r="225" spans="1:12">
      <c r="A225" s="388"/>
      <c r="B225" s="13"/>
      <c r="C225" s="370"/>
      <c r="D225" s="370"/>
      <c r="E225" s="370"/>
      <c r="F225" s="370"/>
      <c r="G225" s="370"/>
      <c r="H225" s="370"/>
      <c r="I225" s="370"/>
      <c r="J225" s="370" t="s">
        <v>110</v>
      </c>
      <c r="K225" s="370"/>
      <c r="L225" s="14"/>
    </row>
    <row r="226" spans="1:12">
      <c r="A226" s="388"/>
      <c r="B226" s="1176" t="s">
        <v>111</v>
      </c>
      <c r="C226" s="1213"/>
      <c r="D226" s="1213"/>
      <c r="E226" s="1213"/>
      <c r="F226" s="1213"/>
      <c r="G226" s="370"/>
      <c r="H226" s="1213" t="s">
        <v>4</v>
      </c>
      <c r="I226" s="1213"/>
      <c r="J226" s="1213"/>
      <c r="K226" s="1213"/>
      <c r="L226" s="1178"/>
    </row>
    <row r="227" spans="1:12" ht="15.75" thickBot="1">
      <c r="A227" s="388"/>
      <c r="B227" s="13"/>
      <c r="C227" s="370"/>
      <c r="D227" s="370"/>
      <c r="E227" s="370"/>
      <c r="F227" s="370"/>
      <c r="G227" s="370"/>
      <c r="H227" s="370"/>
      <c r="I227" s="370"/>
      <c r="J227" s="370"/>
      <c r="K227" s="370"/>
      <c r="L227" s="14"/>
    </row>
    <row r="228" spans="1:12">
      <c r="A228" s="388"/>
      <c r="B228" s="74"/>
      <c r="C228" s="75"/>
      <c r="D228" s="75"/>
      <c r="E228" s="75"/>
      <c r="F228" s="76"/>
      <c r="G228" s="370"/>
      <c r="H228" s="78"/>
      <c r="I228" s="79"/>
      <c r="J228" s="79"/>
      <c r="K228" s="79"/>
      <c r="L228" s="80"/>
    </row>
    <row r="229" spans="1:12">
      <c r="A229" s="388"/>
      <c r="B229" s="13"/>
      <c r="C229" s="370"/>
      <c r="D229" s="370"/>
      <c r="E229" s="370"/>
      <c r="F229" s="14"/>
      <c r="G229" s="370"/>
      <c r="H229" s="524" t="s">
        <v>497</v>
      </c>
      <c r="I229" s="374"/>
      <c r="J229" s="374"/>
      <c r="K229" s="374"/>
      <c r="L229" s="81"/>
    </row>
    <row r="230" spans="1:12">
      <c r="A230" s="388"/>
      <c r="B230" s="423" t="s">
        <v>373</v>
      </c>
      <c r="C230" s="370"/>
      <c r="D230" s="370"/>
      <c r="E230" s="370"/>
      <c r="F230" s="14"/>
      <c r="G230" s="370"/>
      <c r="H230" s="425" t="s">
        <v>490</v>
      </c>
      <c r="I230" s="374"/>
      <c r="J230" s="374"/>
      <c r="K230" s="374"/>
      <c r="L230" s="81"/>
    </row>
    <row r="231" spans="1:12">
      <c r="A231" s="388"/>
      <c r="B231" s="13"/>
      <c r="C231" s="370"/>
      <c r="D231" s="370"/>
      <c r="E231" s="370"/>
      <c r="F231" s="14"/>
      <c r="G231" s="370"/>
      <c r="H231" s="77"/>
      <c r="I231" s="374"/>
      <c r="J231" s="374"/>
      <c r="K231" s="374"/>
      <c r="L231" s="81"/>
    </row>
    <row r="232" spans="1:12" ht="15.75" thickBot="1">
      <c r="A232" s="388"/>
      <c r="B232" s="25"/>
      <c r="C232" s="23"/>
      <c r="D232" s="23"/>
      <c r="E232" s="23"/>
      <c r="F232" s="24"/>
      <c r="G232" s="370"/>
      <c r="H232" s="77"/>
      <c r="I232" s="374"/>
      <c r="J232" s="374"/>
      <c r="K232" s="374"/>
      <c r="L232" s="81"/>
    </row>
    <row r="233" spans="1:12" ht="30" customHeight="1">
      <c r="A233" s="388"/>
      <c r="B233" s="1143" t="s">
        <v>112</v>
      </c>
      <c r="C233" s="1144"/>
      <c r="D233" s="1144"/>
      <c r="E233" s="1144"/>
      <c r="F233" s="1144"/>
      <c r="G233" s="1145"/>
      <c r="H233" s="1146" t="str">
        <f>'04-221Master'!B19</f>
        <v>Chitra Kulkarni</v>
      </c>
      <c r="I233" s="1147"/>
      <c r="J233" s="1147"/>
      <c r="K233" s="1147"/>
      <c r="L233" s="1147"/>
    </row>
    <row r="234" spans="1:12" ht="30" customHeight="1">
      <c r="A234" s="388"/>
      <c r="B234" s="1148"/>
      <c r="C234" s="1149"/>
      <c r="D234" s="1149"/>
      <c r="E234" s="1149"/>
      <c r="F234" s="1149"/>
      <c r="G234" s="1149"/>
      <c r="H234" s="1150" t="str">
        <f>'04-221Master'!G19</f>
        <v>H No 479,Sy No 39,Road no.5, Mathenagar,Vadgaon sheri,Pune,Maharastra 411014</v>
      </c>
      <c r="I234" s="1150"/>
      <c r="J234" s="1150"/>
      <c r="K234" s="1150"/>
      <c r="L234" s="1150"/>
    </row>
    <row r="235" spans="1:12" ht="30" customHeight="1">
      <c r="A235" s="388"/>
      <c r="B235" s="1152" t="s">
        <v>113</v>
      </c>
      <c r="C235" s="1153"/>
      <c r="D235" s="1153"/>
      <c r="E235" s="1153"/>
      <c r="F235" s="1153"/>
      <c r="G235" s="1153"/>
      <c r="H235" s="1154">
        <f>'04-221Master'!AY19</f>
        <v>20</v>
      </c>
      <c r="I235" s="1155"/>
      <c r="J235" s="1155"/>
      <c r="K235" s="1155"/>
      <c r="L235" s="1156"/>
    </row>
    <row r="236" spans="1:12" ht="30" customHeight="1">
      <c r="A236" s="388"/>
      <c r="B236" s="1143" t="s">
        <v>114</v>
      </c>
      <c r="C236" s="1144"/>
      <c r="D236" s="1144"/>
      <c r="E236" s="1144"/>
      <c r="F236" s="1144"/>
      <c r="G236" s="1144"/>
      <c r="H236" s="1146" t="str">
        <f>'04-221Master'!F19</f>
        <v>Project Manager</v>
      </c>
      <c r="I236" s="1147"/>
      <c r="J236" s="1147"/>
      <c r="K236" s="1147"/>
      <c r="L236" s="1151"/>
    </row>
    <row r="237" spans="1:12" ht="30" customHeight="1">
      <c r="A237" s="388"/>
      <c r="B237" s="1143" t="s">
        <v>115</v>
      </c>
      <c r="C237" s="1144"/>
      <c r="D237" s="1144"/>
      <c r="E237" s="1144"/>
      <c r="F237" s="1144"/>
      <c r="G237" s="1144"/>
      <c r="H237" s="1157">
        <f>'04-221Master'!N19</f>
        <v>44390</v>
      </c>
      <c r="I237" s="1158"/>
      <c r="J237" s="1158"/>
      <c r="K237" s="1158"/>
      <c r="L237" s="1159"/>
    </row>
    <row r="238" spans="1:12" ht="30" customHeight="1">
      <c r="A238" s="388"/>
      <c r="B238" s="399" t="s">
        <v>116</v>
      </c>
      <c r="C238" s="87"/>
      <c r="D238" s="87"/>
      <c r="E238" s="87"/>
      <c r="F238" s="87"/>
      <c r="G238" s="87"/>
      <c r="H238" s="531"/>
      <c r="I238" s="89"/>
      <c r="J238" s="389" t="str">
        <f>'04-221Master'!T19</f>
        <v>N/A</v>
      </c>
      <c r="K238" s="527"/>
      <c r="L238" s="529"/>
    </row>
    <row r="239" spans="1:12" ht="30" customHeight="1">
      <c r="A239" s="388"/>
      <c r="B239" s="399" t="s">
        <v>117</v>
      </c>
      <c r="C239" s="87"/>
      <c r="D239" s="87"/>
      <c r="E239" s="87"/>
      <c r="F239" s="87"/>
      <c r="G239" s="429"/>
      <c r="H239" s="92"/>
      <c r="I239" s="93"/>
      <c r="J239" s="389" t="str">
        <f>'04-221Master'!S19</f>
        <v>100126170346</v>
      </c>
      <c r="K239" s="93"/>
      <c r="L239" s="94"/>
    </row>
    <row r="240" spans="1:12" ht="30" customHeight="1">
      <c r="A240" s="388"/>
      <c r="B240" s="1160" t="s">
        <v>118</v>
      </c>
      <c r="C240" s="1161"/>
      <c r="D240" s="1161"/>
      <c r="E240" s="1161"/>
      <c r="F240" s="1161"/>
      <c r="G240" s="1161"/>
      <c r="H240" s="1154">
        <f>'04-221Master'!Y19</f>
        <v>82132</v>
      </c>
      <c r="I240" s="1155"/>
      <c r="J240" s="1155"/>
      <c r="K240" s="1155"/>
      <c r="L240" s="1156"/>
    </row>
    <row r="241" spans="1:12" ht="30" customHeight="1">
      <c r="A241" s="388"/>
      <c r="B241" s="1143" t="s">
        <v>119</v>
      </c>
      <c r="C241" s="1144"/>
      <c r="D241" s="1144"/>
      <c r="E241" s="1144"/>
      <c r="F241" s="1144"/>
      <c r="G241" s="1144"/>
      <c r="H241" s="1162">
        <f>'04-221Master'!D10</f>
        <v>44652</v>
      </c>
      <c r="I241" s="1147"/>
      <c r="J241" s="1147"/>
      <c r="K241" s="1147"/>
      <c r="L241" s="1151"/>
    </row>
    <row r="242" spans="1:12" ht="30" customHeight="1">
      <c r="A242" s="388"/>
      <c r="B242" s="1143" t="s">
        <v>120</v>
      </c>
      <c r="C242" s="1144"/>
      <c r="D242" s="1144"/>
      <c r="E242" s="1144"/>
      <c r="F242" s="1144"/>
      <c r="G242" s="1144"/>
      <c r="H242" s="1147" t="s">
        <v>121</v>
      </c>
      <c r="I242" s="1147"/>
      <c r="J242" s="1147"/>
      <c r="K242" s="1147"/>
      <c r="L242" s="1151"/>
    </row>
    <row r="243" spans="1:12" ht="30" customHeight="1">
      <c r="A243" s="388"/>
      <c r="B243" s="399" t="s">
        <v>122</v>
      </c>
      <c r="C243" s="87"/>
      <c r="D243" s="87"/>
      <c r="E243" s="87"/>
      <c r="F243" s="87"/>
      <c r="G243" s="429"/>
      <c r="H243" s="531"/>
      <c r="I243" s="527"/>
      <c r="J243" s="96">
        <f>'04-221Master'!W19</f>
        <v>30</v>
      </c>
      <c r="K243" s="527"/>
      <c r="L243" s="529"/>
    </row>
    <row r="244" spans="1:12" ht="30" customHeight="1">
      <c r="A244" s="388"/>
      <c r="B244" s="399" t="s">
        <v>123</v>
      </c>
      <c r="C244" s="87"/>
      <c r="D244" s="87"/>
      <c r="E244" s="87"/>
      <c r="F244" s="87"/>
      <c r="G244" s="429"/>
      <c r="H244" s="531"/>
      <c r="I244" s="527"/>
      <c r="J244" s="527" t="s">
        <v>37</v>
      </c>
      <c r="K244" s="527"/>
      <c r="L244" s="529"/>
    </row>
    <row r="245" spans="1:12" ht="30" customHeight="1">
      <c r="A245" s="388"/>
      <c r="B245" s="399" t="s">
        <v>124</v>
      </c>
      <c r="C245" s="87"/>
      <c r="D245" s="87"/>
      <c r="E245" s="87"/>
      <c r="F245" s="87"/>
      <c r="G245" s="429"/>
      <c r="H245" s="531"/>
      <c r="I245" s="527"/>
      <c r="J245" s="96">
        <v>0</v>
      </c>
      <c r="K245" s="527"/>
      <c r="L245" s="529"/>
    </row>
    <row r="246" spans="1:12" ht="30" customHeight="1">
      <c r="A246" s="388"/>
      <c r="B246" s="399" t="s">
        <v>125</v>
      </c>
      <c r="C246" s="87"/>
      <c r="D246" s="87"/>
      <c r="E246" s="87"/>
      <c r="F246" s="87"/>
      <c r="G246" s="429"/>
      <c r="H246" s="531"/>
      <c r="I246" s="527"/>
      <c r="J246" s="527">
        <v>0</v>
      </c>
      <c r="K246" s="527"/>
      <c r="L246" s="529"/>
    </row>
    <row r="247" spans="1:12" ht="30" customHeight="1">
      <c r="A247" s="388"/>
      <c r="B247" s="399" t="s">
        <v>126</v>
      </c>
      <c r="C247" s="87"/>
      <c r="D247" s="87"/>
      <c r="E247" s="87"/>
      <c r="F247" s="87"/>
      <c r="G247" s="429"/>
      <c r="H247" s="531"/>
      <c r="I247" s="527"/>
      <c r="J247" s="96">
        <f>'04-221Master'!AM19</f>
        <v>90276.538520000002</v>
      </c>
      <c r="K247" s="527"/>
      <c r="L247" s="529" t="s">
        <v>585</v>
      </c>
    </row>
    <row r="248" spans="1:12" ht="30" customHeight="1">
      <c r="A248" s="388"/>
      <c r="B248" s="399" t="s">
        <v>127</v>
      </c>
      <c r="C248" s="87"/>
      <c r="D248" s="526" t="s">
        <v>32</v>
      </c>
      <c r="E248" s="528">
        <f>'04-221Master'!AO19</f>
        <v>1800</v>
      </c>
      <c r="F248" s="526" t="s">
        <v>31</v>
      </c>
      <c r="G248" s="528">
        <f>'04-221Master'!AN374</f>
        <v>0</v>
      </c>
      <c r="H248" s="526" t="s">
        <v>33</v>
      </c>
      <c r="I248" s="528">
        <f>'04-221Master'!AP19</f>
        <v>200</v>
      </c>
      <c r="J248" s="526" t="s">
        <v>34</v>
      </c>
      <c r="K248" s="528">
        <f>'04-221Master'!AQ19</f>
        <v>0</v>
      </c>
      <c r="L248" s="103">
        <f>'04-221Master'!AR19</f>
        <v>335</v>
      </c>
    </row>
    <row r="249" spans="1:12" ht="30" customHeight="1">
      <c r="A249" s="388"/>
      <c r="B249" s="399" t="s">
        <v>128</v>
      </c>
      <c r="C249" s="87"/>
      <c r="D249" s="87"/>
      <c r="E249" s="87"/>
      <c r="F249" s="87"/>
      <c r="G249" s="429"/>
      <c r="H249" s="531"/>
      <c r="I249" s="527"/>
      <c r="J249" s="96">
        <f>J247-E248-I248-K248-L248</f>
        <v>87941.538520000002</v>
      </c>
      <c r="K249" s="527"/>
      <c r="L249" s="529"/>
    </row>
    <row r="250" spans="1:12">
      <c r="A250" s="388"/>
      <c r="B250" s="400" t="s">
        <v>129</v>
      </c>
      <c r="C250" s="401"/>
      <c r="D250" s="401"/>
      <c r="E250" s="401"/>
      <c r="F250" s="401"/>
      <c r="G250" s="402"/>
      <c r="H250" s="403"/>
      <c r="I250" s="404"/>
      <c r="J250" s="404"/>
      <c r="K250" s="404"/>
      <c r="L250" s="98"/>
    </row>
    <row r="251" spans="1:12">
      <c r="A251" s="388"/>
      <c r="B251" s="426" t="s">
        <v>130</v>
      </c>
      <c r="C251" s="374"/>
      <c r="D251" s="374"/>
      <c r="E251" s="374"/>
      <c r="F251" s="374"/>
      <c r="G251" s="427"/>
      <c r="H251" s="71"/>
      <c r="I251" s="370"/>
      <c r="J251" s="370"/>
      <c r="K251" s="370"/>
      <c r="L251" s="14"/>
    </row>
    <row r="252" spans="1:12">
      <c r="A252" s="388"/>
      <c r="B252" s="13"/>
      <c r="C252" s="370"/>
      <c r="D252" s="370"/>
      <c r="E252" s="370"/>
      <c r="F252" s="370"/>
      <c r="G252" s="370"/>
      <c r="H252" s="370"/>
      <c r="I252" s="370"/>
      <c r="J252" s="370"/>
      <c r="K252" s="370"/>
      <c r="L252" s="14"/>
    </row>
    <row r="253" spans="1:12" ht="15.75" thickBot="1">
      <c r="A253" s="388"/>
      <c r="B253" s="25"/>
      <c r="C253" s="23"/>
      <c r="D253" s="23"/>
      <c r="E253" s="23"/>
      <c r="F253" s="23"/>
      <c r="G253" s="23"/>
      <c r="H253" s="23"/>
      <c r="I253" s="23"/>
      <c r="J253" s="23"/>
      <c r="K253" s="23"/>
      <c r="L253" s="24"/>
    </row>
    <row r="254" spans="1:12">
      <c r="A254" s="388"/>
      <c r="B254" s="370"/>
      <c r="C254" s="370"/>
      <c r="D254" s="370"/>
      <c r="E254" s="370"/>
      <c r="F254" s="370"/>
      <c r="G254" s="370"/>
      <c r="H254" s="370"/>
      <c r="I254" s="370"/>
      <c r="J254" s="370"/>
      <c r="K254" s="370"/>
      <c r="L254" s="370"/>
    </row>
    <row r="255" spans="1:12">
      <c r="A255" s="388"/>
      <c r="B255" s="370"/>
      <c r="C255" s="370"/>
      <c r="D255" s="370"/>
      <c r="E255" s="370"/>
      <c r="F255" s="370"/>
      <c r="G255" s="370"/>
      <c r="H255" s="370"/>
      <c r="I255" s="370"/>
      <c r="J255" s="370"/>
      <c r="K255" s="370"/>
      <c r="L255" s="370"/>
    </row>
    <row r="256" spans="1:12">
      <c r="A256" s="388"/>
      <c r="B256" s="370"/>
      <c r="C256" s="370"/>
      <c r="D256" s="370"/>
      <c r="E256" s="370"/>
      <c r="F256" s="370"/>
      <c r="G256" s="370"/>
      <c r="H256" s="370"/>
      <c r="I256" s="370"/>
      <c r="J256" s="370"/>
      <c r="K256" s="370"/>
      <c r="L256" s="370"/>
    </row>
    <row r="257" spans="1:12">
      <c r="A257" s="388"/>
      <c r="B257" s="370"/>
      <c r="C257" s="370"/>
      <c r="D257" s="370"/>
      <c r="E257" s="370"/>
      <c r="F257" s="370"/>
      <c r="G257" s="370"/>
      <c r="H257" s="370"/>
      <c r="I257" s="370"/>
      <c r="J257" s="370"/>
      <c r="K257" s="370"/>
      <c r="L257" s="370"/>
    </row>
    <row r="258" spans="1:12">
      <c r="A258" s="388"/>
      <c r="B258" s="370"/>
      <c r="C258" s="370"/>
      <c r="D258" s="370"/>
      <c r="E258" s="370"/>
      <c r="F258" s="370"/>
      <c r="G258" s="370"/>
      <c r="H258" s="370"/>
      <c r="I258" s="370"/>
      <c r="J258" s="370"/>
      <c r="K258" s="370"/>
      <c r="L258" s="370"/>
    </row>
    <row r="259" spans="1:12">
      <c r="A259" s="388"/>
      <c r="B259" s="370"/>
      <c r="C259" s="370"/>
      <c r="D259" s="370"/>
      <c r="E259" s="370"/>
      <c r="F259" s="370"/>
      <c r="G259" s="370"/>
      <c r="H259" s="370"/>
      <c r="I259" s="370"/>
      <c r="J259" s="370"/>
      <c r="K259" s="370"/>
      <c r="L259" s="370"/>
    </row>
    <row r="260" spans="1:12">
      <c r="A260" s="388"/>
      <c r="B260" s="370"/>
      <c r="C260" s="370"/>
      <c r="D260" s="370"/>
      <c r="E260" s="370"/>
      <c r="F260" s="370"/>
      <c r="G260" s="370"/>
      <c r="H260" s="370"/>
      <c r="I260" s="370"/>
      <c r="J260" s="370"/>
      <c r="K260" s="370"/>
      <c r="L260" s="370"/>
    </row>
    <row r="261" spans="1:12">
      <c r="A261" s="388"/>
      <c r="B261" s="388"/>
      <c r="C261" s="388"/>
      <c r="D261" s="388"/>
      <c r="E261" s="388"/>
      <c r="F261" s="388"/>
      <c r="G261" s="388"/>
      <c r="H261" s="388"/>
      <c r="I261" s="388"/>
      <c r="J261" s="388"/>
      <c r="K261" s="388"/>
      <c r="L261" s="388"/>
    </row>
    <row r="262" spans="1:12">
      <c r="A262" s="388"/>
      <c r="B262" s="388"/>
      <c r="C262" s="388"/>
      <c r="D262" s="388"/>
      <c r="E262" s="388"/>
      <c r="F262" s="388"/>
      <c r="G262" s="388"/>
      <c r="H262" s="388"/>
      <c r="I262" s="388"/>
      <c r="J262" s="388"/>
      <c r="K262" s="388"/>
      <c r="L262" s="388"/>
    </row>
    <row r="263" spans="1:12">
      <c r="A263" s="388"/>
      <c r="B263" s="388"/>
      <c r="C263" s="388"/>
      <c r="D263" s="388"/>
      <c r="E263" s="388"/>
      <c r="F263" s="388"/>
      <c r="G263" s="388"/>
      <c r="H263" s="388"/>
      <c r="I263" s="388"/>
      <c r="J263" s="388"/>
      <c r="K263" s="388"/>
      <c r="L263" s="388"/>
    </row>
    <row r="264" spans="1:12">
      <c r="A264" s="388"/>
      <c r="B264" s="388"/>
      <c r="C264" s="388"/>
      <c r="D264" s="388"/>
      <c r="E264" s="388"/>
      <c r="F264" s="388"/>
      <c r="G264" s="388"/>
      <c r="H264" s="388"/>
      <c r="I264" s="388"/>
      <c r="J264" s="388"/>
      <c r="K264" s="388"/>
      <c r="L264" s="388"/>
    </row>
    <row r="265" spans="1:12">
      <c r="A265" s="388"/>
      <c r="B265" s="388"/>
      <c r="C265" s="388"/>
      <c r="D265" s="388"/>
      <c r="E265" s="388"/>
      <c r="F265" s="388"/>
      <c r="G265" s="388"/>
      <c r="H265" s="388"/>
      <c r="I265" s="388"/>
      <c r="J265" s="388"/>
      <c r="K265" s="388"/>
      <c r="L265" s="388"/>
    </row>
    <row r="266" spans="1:12">
      <c r="A266" s="388"/>
      <c r="B266" s="388"/>
      <c r="C266" s="388"/>
      <c r="D266" s="388"/>
      <c r="E266" s="388"/>
      <c r="F266" s="388"/>
      <c r="G266" s="388"/>
      <c r="H266" s="388"/>
      <c r="I266" s="388"/>
      <c r="J266" s="388"/>
      <c r="K266" s="388"/>
      <c r="L266" s="388"/>
    </row>
    <row r="267" spans="1:12" ht="15.75" thickBot="1">
      <c r="A267" s="388"/>
      <c r="B267" s="388"/>
      <c r="C267" s="388"/>
      <c r="D267" s="388"/>
      <c r="E267" s="388"/>
      <c r="F267" s="388"/>
      <c r="G267" s="388"/>
      <c r="H267" s="388"/>
      <c r="I267" s="388"/>
      <c r="J267" s="388"/>
      <c r="K267" s="388"/>
      <c r="L267" s="388"/>
    </row>
    <row r="268" spans="1:12" ht="32.25">
      <c r="A268" s="388"/>
      <c r="B268" s="1163" t="s">
        <v>590</v>
      </c>
      <c r="C268" s="1164"/>
      <c r="D268" s="1164"/>
      <c r="E268" s="1164"/>
      <c r="F268" s="1164"/>
      <c r="G268" s="1164"/>
      <c r="H268" s="1164"/>
      <c r="I268" s="1164"/>
      <c r="J268" s="1164"/>
      <c r="K268" s="1164"/>
      <c r="L268" s="1165"/>
    </row>
    <row r="269" spans="1:12" ht="23.25">
      <c r="A269" s="388"/>
      <c r="B269" s="1166" t="s">
        <v>107</v>
      </c>
      <c r="C269" s="1207"/>
      <c r="D269" s="1207"/>
      <c r="E269" s="1207"/>
      <c r="F269" s="1207"/>
      <c r="G269" s="1207"/>
      <c r="H269" s="1207"/>
      <c r="I269" s="1207"/>
      <c r="J269" s="1207"/>
      <c r="K269" s="1207"/>
      <c r="L269" s="1168"/>
    </row>
    <row r="270" spans="1:12" ht="16.5" thickBot="1">
      <c r="A270" s="388"/>
      <c r="B270" s="1169" t="s">
        <v>591</v>
      </c>
      <c r="C270" s="1170"/>
      <c r="D270" s="1170"/>
      <c r="E270" s="1170"/>
      <c r="F270" s="1170"/>
      <c r="G270" s="1170"/>
      <c r="H270" s="1170"/>
      <c r="I270" s="1170"/>
      <c r="J270" s="1170"/>
      <c r="K270" s="1170"/>
      <c r="L270" s="1171"/>
    </row>
    <row r="271" spans="1:12">
      <c r="A271" s="388"/>
      <c r="B271" s="1172" t="s">
        <v>108</v>
      </c>
      <c r="C271" s="1211"/>
      <c r="D271" s="1211"/>
      <c r="E271" s="1211"/>
      <c r="F271" s="1211"/>
      <c r="G271" s="370"/>
      <c r="H271" s="1212" t="s">
        <v>109</v>
      </c>
      <c r="I271" s="1212"/>
      <c r="J271" s="1212"/>
      <c r="K271" s="1212"/>
      <c r="L271" s="1175"/>
    </row>
    <row r="272" spans="1:12" ht="15.75" thickBot="1">
      <c r="A272" s="388"/>
      <c r="B272" s="1172"/>
      <c r="C272" s="1211"/>
      <c r="D272" s="1211"/>
      <c r="E272" s="1211"/>
      <c r="F272" s="1211"/>
      <c r="G272" s="370"/>
      <c r="H272" s="1212"/>
      <c r="I272" s="1212"/>
      <c r="J272" s="1212"/>
      <c r="K272" s="1212"/>
      <c r="L272" s="1175"/>
    </row>
    <row r="273" spans="1:12">
      <c r="A273" s="388"/>
      <c r="B273" s="74"/>
      <c r="C273" s="75"/>
      <c r="D273" s="75"/>
      <c r="E273" s="75"/>
      <c r="F273" s="76"/>
      <c r="G273" s="370"/>
      <c r="H273" s="74"/>
      <c r="I273" s="75"/>
      <c r="J273" s="75"/>
      <c r="K273" s="75"/>
      <c r="L273" s="76"/>
    </row>
    <row r="274" spans="1:12">
      <c r="A274" s="388"/>
      <c r="B274" s="419" t="s">
        <v>382</v>
      </c>
      <c r="C274" s="370"/>
      <c r="D274" s="370"/>
      <c r="E274" s="370"/>
      <c r="F274" s="14"/>
      <c r="G274" s="370"/>
      <c r="H274" s="419" t="s">
        <v>382</v>
      </c>
      <c r="I274" s="370"/>
      <c r="J274" s="370"/>
      <c r="K274" s="370"/>
      <c r="L274" s="14"/>
    </row>
    <row r="275" spans="1:12">
      <c r="A275" s="388"/>
      <c r="B275" s="421" t="s">
        <v>383</v>
      </c>
      <c r="C275" s="370"/>
      <c r="D275" s="370"/>
      <c r="E275" s="370"/>
      <c r="F275" s="14"/>
      <c r="G275" s="370"/>
      <c r="H275" s="421" t="s">
        <v>383</v>
      </c>
      <c r="I275" s="370"/>
      <c r="J275" s="370"/>
      <c r="K275" s="370"/>
      <c r="L275" s="14"/>
    </row>
    <row r="276" spans="1:12">
      <c r="A276" s="388"/>
      <c r="B276" s="77"/>
      <c r="C276" s="370"/>
      <c r="D276" s="370"/>
      <c r="E276" s="370"/>
      <c r="F276" s="14"/>
      <c r="G276" s="370"/>
      <c r="H276" s="77"/>
      <c r="I276" s="370"/>
      <c r="J276" s="370"/>
      <c r="K276" s="370"/>
      <c r="L276" s="14"/>
    </row>
    <row r="277" spans="1:12" ht="15.75" thickBot="1">
      <c r="A277" s="388"/>
      <c r="B277" s="25"/>
      <c r="C277" s="23"/>
      <c r="D277" s="23"/>
      <c r="E277" s="23"/>
      <c r="F277" s="24"/>
      <c r="G277" s="370"/>
      <c r="H277" s="25"/>
      <c r="I277" s="23"/>
      <c r="J277" s="23"/>
      <c r="K277" s="23"/>
      <c r="L277" s="24"/>
    </row>
    <row r="278" spans="1:12">
      <c r="A278" s="388"/>
      <c r="B278" s="13"/>
      <c r="C278" s="370"/>
      <c r="D278" s="370"/>
      <c r="E278" s="370"/>
      <c r="F278" s="370"/>
      <c r="G278" s="370"/>
      <c r="H278" s="370"/>
      <c r="I278" s="370"/>
      <c r="J278" s="370" t="s">
        <v>110</v>
      </c>
      <c r="K278" s="370"/>
      <c r="L278" s="14"/>
    </row>
    <row r="279" spans="1:12">
      <c r="A279" s="388"/>
      <c r="B279" s="1176" t="s">
        <v>111</v>
      </c>
      <c r="C279" s="1213"/>
      <c r="D279" s="1213"/>
      <c r="E279" s="1213"/>
      <c r="F279" s="1213"/>
      <c r="G279" s="370"/>
      <c r="H279" s="1213" t="s">
        <v>4</v>
      </c>
      <c r="I279" s="1213"/>
      <c r="J279" s="1213"/>
      <c r="K279" s="1213"/>
      <c r="L279" s="1178"/>
    </row>
    <row r="280" spans="1:12" ht="15.75" thickBot="1">
      <c r="A280" s="388"/>
      <c r="B280" s="13"/>
      <c r="C280" s="370"/>
      <c r="D280" s="370"/>
      <c r="E280" s="370"/>
      <c r="F280" s="370"/>
      <c r="G280" s="370"/>
      <c r="H280" s="370"/>
      <c r="I280" s="370"/>
      <c r="J280" s="370"/>
      <c r="K280" s="370"/>
      <c r="L280" s="14"/>
    </row>
    <row r="281" spans="1:12">
      <c r="A281" s="388"/>
      <c r="B281" s="74"/>
      <c r="C281" s="75"/>
      <c r="D281" s="75"/>
      <c r="E281" s="75"/>
      <c r="F281" s="76"/>
      <c r="G281" s="370"/>
      <c r="H281" s="78"/>
      <c r="I281" s="79"/>
      <c r="J281" s="79"/>
      <c r="K281" s="79"/>
      <c r="L281" s="80"/>
    </row>
    <row r="282" spans="1:12">
      <c r="A282" s="388"/>
      <c r="B282" s="13"/>
      <c r="C282" s="370"/>
      <c r="D282" s="370"/>
      <c r="E282" s="370"/>
      <c r="F282" s="14"/>
      <c r="G282" s="370"/>
      <c r="H282" s="524" t="s">
        <v>497</v>
      </c>
      <c r="I282" s="374"/>
      <c r="J282" s="374"/>
      <c r="K282" s="374"/>
      <c r="L282" s="81"/>
    </row>
    <row r="283" spans="1:12">
      <c r="A283" s="388"/>
      <c r="B283" s="423" t="s">
        <v>373</v>
      </c>
      <c r="C283" s="370"/>
      <c r="D283" s="370"/>
      <c r="E283" s="370"/>
      <c r="F283" s="14"/>
      <c r="G283" s="370"/>
      <c r="H283" s="425" t="s">
        <v>490</v>
      </c>
      <c r="I283" s="374"/>
      <c r="J283" s="374"/>
      <c r="K283" s="374"/>
      <c r="L283" s="81"/>
    </row>
    <row r="284" spans="1:12">
      <c r="A284" s="388"/>
      <c r="B284" s="13"/>
      <c r="C284" s="370"/>
      <c r="D284" s="370"/>
      <c r="E284" s="370"/>
      <c r="F284" s="14"/>
      <c r="G284" s="370"/>
      <c r="H284" s="77"/>
      <c r="I284" s="374"/>
      <c r="J284" s="374"/>
      <c r="K284" s="374"/>
      <c r="L284" s="81"/>
    </row>
    <row r="285" spans="1:12" ht="15.75" thickBot="1">
      <c r="A285" s="388"/>
      <c r="B285" s="25"/>
      <c r="C285" s="23"/>
      <c r="D285" s="23"/>
      <c r="E285" s="23"/>
      <c r="F285" s="24"/>
      <c r="G285" s="370"/>
      <c r="H285" s="77"/>
      <c r="I285" s="374"/>
      <c r="J285" s="374"/>
      <c r="K285" s="374"/>
      <c r="L285" s="81"/>
    </row>
    <row r="286" spans="1:12" ht="30" customHeight="1">
      <c r="A286" s="388"/>
      <c r="B286" s="1143" t="s">
        <v>112</v>
      </c>
      <c r="C286" s="1144"/>
      <c r="D286" s="1144"/>
      <c r="E286" s="1144"/>
      <c r="F286" s="1144"/>
      <c r="G286" s="1145"/>
      <c r="H286" s="1146" t="str">
        <f>'04-221Master'!B20</f>
        <v>Sunnapalli Anil</v>
      </c>
      <c r="I286" s="1147"/>
      <c r="J286" s="1147"/>
      <c r="K286" s="1147"/>
      <c r="L286" s="1147"/>
    </row>
    <row r="287" spans="1:12" ht="30" customHeight="1">
      <c r="A287" s="388"/>
      <c r="B287" s="1148"/>
      <c r="C287" s="1149"/>
      <c r="D287" s="1149"/>
      <c r="E287" s="1149"/>
      <c r="F287" s="1149"/>
      <c r="G287" s="1149"/>
      <c r="H287" s="1150" t="str">
        <f>'04-221Master'!G20</f>
        <v>16-9-239,Puppalagutta,Railway flyover bridge,Chital,Warangal,TS 506002</v>
      </c>
      <c r="I287" s="1150"/>
      <c r="J287" s="1150"/>
      <c r="K287" s="1150"/>
      <c r="L287" s="1150"/>
    </row>
    <row r="288" spans="1:12" ht="30" customHeight="1">
      <c r="A288" s="388"/>
      <c r="B288" s="1152" t="s">
        <v>113</v>
      </c>
      <c r="C288" s="1153"/>
      <c r="D288" s="1153"/>
      <c r="E288" s="1153"/>
      <c r="F288" s="1153"/>
      <c r="G288" s="1153"/>
      <c r="H288" s="1154">
        <f>'04-221Master'!AY20</f>
        <v>22</v>
      </c>
      <c r="I288" s="1155"/>
      <c r="J288" s="1155"/>
      <c r="K288" s="1155"/>
      <c r="L288" s="1156"/>
    </row>
    <row r="289" spans="1:12" ht="30" customHeight="1">
      <c r="A289" s="388"/>
      <c r="B289" s="1143" t="s">
        <v>114</v>
      </c>
      <c r="C289" s="1144"/>
      <c r="D289" s="1144"/>
      <c r="E289" s="1144"/>
      <c r="F289" s="1144"/>
      <c r="G289" s="1144"/>
      <c r="H289" s="1146" t="str">
        <f>'04-221Master'!F20</f>
        <v>Sr. Software Engineer</v>
      </c>
      <c r="I289" s="1147"/>
      <c r="J289" s="1147"/>
      <c r="K289" s="1147"/>
      <c r="L289" s="1151"/>
    </row>
    <row r="290" spans="1:12" ht="30" customHeight="1">
      <c r="A290" s="388"/>
      <c r="B290" s="1143" t="s">
        <v>115</v>
      </c>
      <c r="C290" s="1144"/>
      <c r="D290" s="1144"/>
      <c r="E290" s="1144"/>
      <c r="F290" s="1144"/>
      <c r="G290" s="1144"/>
      <c r="H290" s="1157">
        <f>'04-221Master'!N20</f>
        <v>44409</v>
      </c>
      <c r="I290" s="1158"/>
      <c r="J290" s="1158"/>
      <c r="K290" s="1158"/>
      <c r="L290" s="1159"/>
    </row>
    <row r="291" spans="1:12" ht="30" customHeight="1">
      <c r="A291" s="388"/>
      <c r="B291" s="399" t="s">
        <v>116</v>
      </c>
      <c r="C291" s="87"/>
      <c r="D291" s="87"/>
      <c r="E291" s="87"/>
      <c r="F291" s="87"/>
      <c r="G291" s="87"/>
      <c r="H291" s="531"/>
      <c r="I291" s="89"/>
      <c r="J291" s="389" t="str">
        <f>'04-221Master'!T20</f>
        <v>N/A</v>
      </c>
      <c r="K291" s="527"/>
      <c r="L291" s="529"/>
    </row>
    <row r="292" spans="1:12" ht="30" customHeight="1">
      <c r="A292" s="388"/>
      <c r="B292" s="399" t="s">
        <v>117</v>
      </c>
      <c r="C292" s="87"/>
      <c r="D292" s="87"/>
      <c r="E292" s="87"/>
      <c r="F292" s="87"/>
      <c r="G292" s="429"/>
      <c r="H292" s="92"/>
      <c r="I292" s="93"/>
      <c r="J292" s="389" t="str">
        <f>'04-221Master'!S20</f>
        <v>100051658997</v>
      </c>
      <c r="K292" s="93"/>
      <c r="L292" s="94"/>
    </row>
    <row r="293" spans="1:12" ht="30" customHeight="1">
      <c r="A293" s="388"/>
      <c r="B293" s="1160" t="s">
        <v>118</v>
      </c>
      <c r="C293" s="1161"/>
      <c r="D293" s="1161"/>
      <c r="E293" s="1161"/>
      <c r="F293" s="1161"/>
      <c r="G293" s="1161"/>
      <c r="H293" s="1154">
        <f>'04-221Master'!AM20</f>
        <v>76734.6878</v>
      </c>
      <c r="I293" s="1155"/>
      <c r="J293" s="1155"/>
      <c r="K293" s="1155"/>
      <c r="L293" s="1156"/>
    </row>
    <row r="294" spans="1:12" ht="30" customHeight="1">
      <c r="A294" s="388"/>
      <c r="B294" s="1143" t="s">
        <v>119</v>
      </c>
      <c r="C294" s="1144"/>
      <c r="D294" s="1144"/>
      <c r="E294" s="1144"/>
      <c r="F294" s="1144"/>
      <c r="G294" s="1144"/>
      <c r="H294" s="1162">
        <f>'04-221Master'!D10</f>
        <v>44652</v>
      </c>
      <c r="I294" s="1147"/>
      <c r="J294" s="1147"/>
      <c r="K294" s="1147"/>
      <c r="L294" s="1151"/>
    </row>
    <row r="295" spans="1:12" ht="30" customHeight="1">
      <c r="A295" s="388"/>
      <c r="B295" s="1143" t="s">
        <v>120</v>
      </c>
      <c r="C295" s="1144"/>
      <c r="D295" s="1144"/>
      <c r="E295" s="1144"/>
      <c r="F295" s="1144"/>
      <c r="G295" s="1144"/>
      <c r="H295" s="1147" t="s">
        <v>121</v>
      </c>
      <c r="I295" s="1147"/>
      <c r="J295" s="1147"/>
      <c r="K295" s="1147"/>
      <c r="L295" s="1151"/>
    </row>
    <row r="296" spans="1:12" ht="30" customHeight="1">
      <c r="A296" s="388"/>
      <c r="B296" s="399" t="s">
        <v>122</v>
      </c>
      <c r="C296" s="87"/>
      <c r="D296" s="87"/>
      <c r="E296" s="87"/>
      <c r="F296" s="87"/>
      <c r="G296" s="429"/>
      <c r="H296" s="531"/>
      <c r="I296" s="527"/>
      <c r="J296" s="96">
        <f>'04-221Master'!W20</f>
        <v>30</v>
      </c>
      <c r="K296" s="527"/>
      <c r="L296" s="529"/>
    </row>
    <row r="297" spans="1:12" ht="30" customHeight="1">
      <c r="A297" s="388"/>
      <c r="B297" s="399" t="s">
        <v>123</v>
      </c>
      <c r="C297" s="87"/>
      <c r="D297" s="87"/>
      <c r="E297" s="87"/>
      <c r="F297" s="87"/>
      <c r="G297" s="429"/>
      <c r="H297" s="531"/>
      <c r="I297" s="527"/>
      <c r="J297" s="527" t="s">
        <v>37</v>
      </c>
      <c r="K297" s="527"/>
      <c r="L297" s="529"/>
    </row>
    <row r="298" spans="1:12" ht="30" customHeight="1">
      <c r="A298" s="388"/>
      <c r="B298" s="399" t="s">
        <v>124</v>
      </c>
      <c r="C298" s="87"/>
      <c r="D298" s="87"/>
      <c r="E298" s="87"/>
      <c r="F298" s="87"/>
      <c r="G298" s="429"/>
      <c r="H298" s="531"/>
      <c r="I298" s="527"/>
      <c r="J298" s="96">
        <v>0</v>
      </c>
      <c r="K298" s="527"/>
      <c r="L298" s="529"/>
    </row>
    <row r="299" spans="1:12" ht="30" customHeight="1">
      <c r="A299" s="388"/>
      <c r="B299" s="399" t="s">
        <v>125</v>
      </c>
      <c r="C299" s="87"/>
      <c r="D299" s="87"/>
      <c r="E299" s="87"/>
      <c r="F299" s="87"/>
      <c r="G299" s="429"/>
      <c r="H299" s="531"/>
      <c r="I299" s="527"/>
      <c r="J299" s="527">
        <v>0</v>
      </c>
      <c r="K299" s="527"/>
      <c r="L299" s="529"/>
    </row>
    <row r="300" spans="1:12" ht="30" customHeight="1">
      <c r="A300" s="388"/>
      <c r="B300" s="399" t="s">
        <v>126</v>
      </c>
      <c r="C300" s="87"/>
      <c r="D300" s="87"/>
      <c r="E300" s="87"/>
      <c r="F300" s="87"/>
      <c r="G300" s="429"/>
      <c r="H300" s="531"/>
      <c r="I300" s="527"/>
      <c r="J300" s="364">
        <f>'04-221Master'!AM20</f>
        <v>76734.6878</v>
      </c>
      <c r="K300" s="527"/>
      <c r="L300" s="529" t="s">
        <v>585</v>
      </c>
    </row>
    <row r="301" spans="1:12" ht="30" customHeight="1">
      <c r="A301" s="388"/>
      <c r="B301" s="399" t="s">
        <v>127</v>
      </c>
      <c r="C301" s="87"/>
      <c r="D301" s="526" t="s">
        <v>32</v>
      </c>
      <c r="E301" s="528">
        <f>'04-221Master'!AO20</f>
        <v>1800</v>
      </c>
      <c r="F301" s="526" t="s">
        <v>31</v>
      </c>
      <c r="G301" s="528">
        <f>'04-221Master'!AN20</f>
        <v>0</v>
      </c>
      <c r="H301" s="526" t="s">
        <v>33</v>
      </c>
      <c r="I301" s="528">
        <f>'04-221Master'!AP20</f>
        <v>200</v>
      </c>
      <c r="J301" s="526" t="s">
        <v>34</v>
      </c>
      <c r="K301" s="528">
        <f>'04-221Master'!AQ20</f>
        <v>0</v>
      </c>
      <c r="L301" s="103">
        <f>'04-221Master'!AR20</f>
        <v>335</v>
      </c>
    </row>
    <row r="302" spans="1:12" ht="30" customHeight="1">
      <c r="A302" s="388"/>
      <c r="B302" s="399" t="s">
        <v>128</v>
      </c>
      <c r="C302" s="87"/>
      <c r="D302" s="87"/>
      <c r="E302" s="87"/>
      <c r="F302" s="87"/>
      <c r="G302" s="429"/>
      <c r="H302" s="531"/>
      <c r="I302" s="527"/>
      <c r="J302" s="96">
        <f>J300-(E301+G301+I301+K301+L301)</f>
        <v>74399.6878</v>
      </c>
      <c r="K302" s="527"/>
      <c r="L302" s="529"/>
    </row>
    <row r="303" spans="1:12">
      <c r="A303" s="388"/>
      <c r="B303" s="400" t="s">
        <v>129</v>
      </c>
      <c r="C303" s="401"/>
      <c r="D303" s="401"/>
      <c r="E303" s="401"/>
      <c r="F303" s="401"/>
      <c r="G303" s="402"/>
      <c r="H303" s="403"/>
      <c r="I303" s="404"/>
      <c r="J303" s="404"/>
      <c r="K303" s="404"/>
      <c r="L303" s="98"/>
    </row>
    <row r="304" spans="1:12">
      <c r="A304" s="388"/>
      <c r="B304" s="426" t="s">
        <v>130</v>
      </c>
      <c r="C304" s="374"/>
      <c r="D304" s="374"/>
      <c r="E304" s="374"/>
      <c r="F304" s="374"/>
      <c r="G304" s="427"/>
      <c r="H304" s="71"/>
      <c r="I304" s="370"/>
      <c r="J304" s="370"/>
      <c r="K304" s="370"/>
      <c r="L304" s="14"/>
    </row>
    <row r="305" spans="1:12">
      <c r="A305" s="388"/>
      <c r="B305" s="13"/>
      <c r="C305" s="370"/>
      <c r="D305" s="370"/>
      <c r="E305" s="370"/>
      <c r="F305" s="370"/>
      <c r="G305" s="370"/>
      <c r="H305" s="370"/>
      <c r="I305" s="370"/>
      <c r="J305" s="370"/>
      <c r="K305" s="370"/>
      <c r="L305" s="14"/>
    </row>
    <row r="306" spans="1:12" ht="15.75" thickBot="1">
      <c r="A306" s="388"/>
      <c r="B306" s="25"/>
      <c r="C306" s="23"/>
      <c r="D306" s="23"/>
      <c r="E306" s="23"/>
      <c r="F306" s="23"/>
      <c r="G306" s="23"/>
      <c r="H306" s="23"/>
      <c r="I306" s="23"/>
      <c r="J306" s="23"/>
      <c r="K306" s="23"/>
      <c r="L306" s="24"/>
    </row>
    <row r="307" spans="1:12">
      <c r="A307" s="388"/>
      <c r="B307" s="370"/>
      <c r="C307" s="370"/>
      <c r="D307" s="370"/>
      <c r="E307" s="370"/>
      <c r="F307" s="370"/>
      <c r="G307" s="370"/>
      <c r="H307" s="370"/>
      <c r="I307" s="370"/>
      <c r="J307" s="370"/>
      <c r="K307" s="370"/>
      <c r="L307" s="370"/>
    </row>
    <row r="308" spans="1:12">
      <c r="A308" s="388"/>
      <c r="B308" s="370"/>
      <c r="C308" s="370"/>
      <c r="D308" s="370"/>
      <c r="E308" s="370"/>
      <c r="F308" s="370"/>
      <c r="G308" s="370"/>
      <c r="H308" s="370"/>
      <c r="I308" s="370"/>
      <c r="J308" s="370"/>
      <c r="K308" s="370"/>
      <c r="L308" s="370"/>
    </row>
    <row r="309" spans="1:12">
      <c r="A309" s="388"/>
      <c r="B309" s="370"/>
      <c r="C309" s="370"/>
      <c r="D309" s="370"/>
      <c r="E309" s="370"/>
      <c r="F309" s="370"/>
      <c r="G309" s="370"/>
      <c r="H309" s="370"/>
      <c r="I309" s="370"/>
      <c r="J309" s="370"/>
      <c r="K309" s="370"/>
      <c r="L309" s="370"/>
    </row>
    <row r="310" spans="1:12">
      <c r="A310" s="388"/>
      <c r="B310" s="370"/>
      <c r="C310" s="370"/>
      <c r="D310" s="370"/>
      <c r="E310" s="370"/>
      <c r="F310" s="370"/>
      <c r="G310" s="370"/>
      <c r="H310" s="370"/>
      <c r="I310" s="370"/>
      <c r="J310" s="370"/>
      <c r="K310" s="370"/>
      <c r="L310" s="370"/>
    </row>
    <row r="311" spans="1:12">
      <c r="A311" s="388"/>
      <c r="B311" s="370"/>
      <c r="C311" s="370"/>
      <c r="D311" s="370"/>
      <c r="E311" s="370"/>
      <c r="F311" s="370"/>
      <c r="G311" s="370"/>
      <c r="H311" s="370"/>
      <c r="I311" s="370"/>
      <c r="J311" s="370"/>
      <c r="K311" s="370"/>
      <c r="L311" s="370"/>
    </row>
    <row r="312" spans="1:12">
      <c r="A312" s="388"/>
      <c r="B312" s="370"/>
      <c r="C312" s="370"/>
      <c r="D312" s="370"/>
      <c r="E312" s="370"/>
      <c r="F312" s="370"/>
      <c r="G312" s="370"/>
      <c r="H312" s="370"/>
      <c r="I312" s="370"/>
      <c r="J312" s="370"/>
      <c r="K312" s="370"/>
      <c r="L312" s="370"/>
    </row>
    <row r="313" spans="1:12">
      <c r="A313" s="388"/>
      <c r="B313" s="370"/>
      <c r="C313" s="370"/>
      <c r="D313" s="370"/>
      <c r="E313" s="370"/>
      <c r="F313" s="370"/>
      <c r="G313" s="370"/>
      <c r="H313" s="370"/>
      <c r="I313" s="370"/>
      <c r="J313" s="370"/>
      <c r="K313" s="370"/>
      <c r="L313" s="370"/>
    </row>
    <row r="314" spans="1:12">
      <c r="A314" s="388"/>
      <c r="B314" s="388"/>
      <c r="C314" s="388"/>
      <c r="D314" s="388"/>
      <c r="E314" s="388"/>
      <c r="F314" s="388"/>
      <c r="G314" s="388"/>
      <c r="H314" s="388"/>
      <c r="I314" s="388"/>
      <c r="J314" s="388"/>
      <c r="K314" s="388"/>
      <c r="L314" s="388"/>
    </row>
    <row r="319" spans="1:12" ht="15.75" thickBot="1"/>
    <row r="320" spans="1:12" ht="32.25">
      <c r="A320" s="388"/>
      <c r="B320" s="1163" t="s">
        <v>590</v>
      </c>
      <c r="C320" s="1164"/>
      <c r="D320" s="1164"/>
      <c r="E320" s="1164"/>
      <c r="F320" s="1164"/>
      <c r="G320" s="1164"/>
      <c r="H320" s="1164"/>
      <c r="I320" s="1164"/>
      <c r="J320" s="1164"/>
      <c r="K320" s="1164"/>
      <c r="L320" s="1165"/>
    </row>
    <row r="321" spans="1:12" ht="23.25">
      <c r="A321" s="388"/>
      <c r="B321" s="1166" t="s">
        <v>107</v>
      </c>
      <c r="C321" s="1207"/>
      <c r="D321" s="1207"/>
      <c r="E321" s="1207"/>
      <c r="F321" s="1207"/>
      <c r="G321" s="1207"/>
      <c r="H321" s="1207"/>
      <c r="I321" s="1207"/>
      <c r="J321" s="1207"/>
      <c r="K321" s="1207"/>
      <c r="L321" s="1168"/>
    </row>
    <row r="322" spans="1:12" ht="16.5" thickBot="1">
      <c r="A322" s="388"/>
      <c r="B322" s="1169" t="s">
        <v>591</v>
      </c>
      <c r="C322" s="1170"/>
      <c r="D322" s="1170"/>
      <c r="E322" s="1170"/>
      <c r="F322" s="1170"/>
      <c r="G322" s="1170"/>
      <c r="H322" s="1170"/>
      <c r="I322" s="1170"/>
      <c r="J322" s="1170"/>
      <c r="K322" s="1170"/>
      <c r="L322" s="1171"/>
    </row>
    <row r="323" spans="1:12">
      <c r="A323" s="388"/>
      <c r="B323" s="1172" t="s">
        <v>108</v>
      </c>
      <c r="C323" s="1211"/>
      <c r="D323" s="1211"/>
      <c r="E323" s="1211"/>
      <c r="F323" s="1211"/>
      <c r="G323" s="370"/>
      <c r="H323" s="1212" t="s">
        <v>109</v>
      </c>
      <c r="I323" s="1212"/>
      <c r="J323" s="1212"/>
      <c r="K323" s="1212"/>
      <c r="L323" s="1175"/>
    </row>
    <row r="324" spans="1:12" ht="15.75" thickBot="1">
      <c r="A324" s="388"/>
      <c r="B324" s="1172"/>
      <c r="C324" s="1211"/>
      <c r="D324" s="1211"/>
      <c r="E324" s="1211"/>
      <c r="F324" s="1211"/>
      <c r="G324" s="370"/>
      <c r="H324" s="1212"/>
      <c r="I324" s="1212"/>
      <c r="J324" s="1212"/>
      <c r="K324" s="1212"/>
      <c r="L324" s="1175"/>
    </row>
    <row r="325" spans="1:12">
      <c r="A325" s="388"/>
      <c r="B325" s="74"/>
      <c r="C325" s="75"/>
      <c r="D325" s="75"/>
      <c r="E325" s="75"/>
      <c r="F325" s="76"/>
      <c r="G325" s="370"/>
      <c r="H325" s="74"/>
      <c r="I325" s="75"/>
      <c r="J325" s="75"/>
      <c r="K325" s="75"/>
      <c r="L325" s="76"/>
    </row>
    <row r="326" spans="1:12">
      <c r="A326" s="388"/>
      <c r="B326" s="419" t="s">
        <v>382</v>
      </c>
      <c r="C326" s="370"/>
      <c r="D326" s="370"/>
      <c r="E326" s="370"/>
      <c r="F326" s="14"/>
      <c r="G326" s="370"/>
      <c r="H326" s="419" t="s">
        <v>382</v>
      </c>
      <c r="I326" s="370"/>
      <c r="J326" s="370"/>
      <c r="K326" s="370"/>
      <c r="L326" s="14"/>
    </row>
    <row r="327" spans="1:12">
      <c r="A327" s="388"/>
      <c r="B327" s="421" t="s">
        <v>383</v>
      </c>
      <c r="C327" s="370"/>
      <c r="D327" s="370"/>
      <c r="E327" s="370"/>
      <c r="F327" s="14"/>
      <c r="G327" s="370"/>
      <c r="H327" s="421" t="s">
        <v>383</v>
      </c>
      <c r="I327" s="370"/>
      <c r="J327" s="370"/>
      <c r="K327" s="370"/>
      <c r="L327" s="14"/>
    </row>
    <row r="328" spans="1:12">
      <c r="A328" s="388"/>
      <c r="B328" s="77"/>
      <c r="C328" s="370"/>
      <c r="D328" s="370"/>
      <c r="E328" s="370"/>
      <c r="F328" s="14"/>
      <c r="G328" s="370"/>
      <c r="H328" s="77"/>
      <c r="I328" s="370"/>
      <c r="J328" s="370"/>
      <c r="K328" s="370"/>
      <c r="L328" s="14"/>
    </row>
    <row r="329" spans="1:12" ht="15.75" thickBot="1">
      <c r="A329" s="388"/>
      <c r="B329" s="25"/>
      <c r="C329" s="23"/>
      <c r="D329" s="23"/>
      <c r="E329" s="23"/>
      <c r="F329" s="24"/>
      <c r="G329" s="370"/>
      <c r="H329" s="25"/>
      <c r="I329" s="23"/>
      <c r="J329" s="23"/>
      <c r="K329" s="23"/>
      <c r="L329" s="24"/>
    </row>
    <row r="330" spans="1:12">
      <c r="A330" s="388"/>
      <c r="B330" s="13"/>
      <c r="C330" s="370"/>
      <c r="D330" s="370"/>
      <c r="E330" s="370"/>
      <c r="F330" s="370"/>
      <c r="G330" s="370"/>
      <c r="H330" s="370"/>
      <c r="I330" s="370"/>
      <c r="J330" s="370" t="s">
        <v>110</v>
      </c>
      <c r="K330" s="370"/>
      <c r="L330" s="14"/>
    </row>
    <row r="331" spans="1:12">
      <c r="A331" s="388"/>
      <c r="B331" s="1176" t="s">
        <v>111</v>
      </c>
      <c r="C331" s="1213"/>
      <c r="D331" s="1213"/>
      <c r="E331" s="1213"/>
      <c r="F331" s="1213"/>
      <c r="G331" s="370"/>
      <c r="H331" s="1213" t="s">
        <v>4</v>
      </c>
      <c r="I331" s="1213"/>
      <c r="J331" s="1213"/>
      <c r="K331" s="1213"/>
      <c r="L331" s="1178"/>
    </row>
    <row r="332" spans="1:12" ht="15.75" thickBot="1">
      <c r="A332" s="388"/>
      <c r="B332" s="13"/>
      <c r="C332" s="370"/>
      <c r="D332" s="370"/>
      <c r="E332" s="370"/>
      <c r="F332" s="370"/>
      <c r="G332" s="370"/>
      <c r="H332" s="370"/>
      <c r="I332" s="370"/>
      <c r="J332" s="370"/>
      <c r="K332" s="370"/>
      <c r="L332" s="14"/>
    </row>
    <row r="333" spans="1:12">
      <c r="A333" s="388"/>
      <c r="B333" s="74"/>
      <c r="C333" s="75"/>
      <c r="D333" s="75"/>
      <c r="E333" s="75"/>
      <c r="F333" s="76"/>
      <c r="G333" s="370"/>
      <c r="H333" s="78"/>
      <c r="I333" s="79"/>
      <c r="J333" s="79"/>
      <c r="K333" s="79"/>
      <c r="L333" s="80"/>
    </row>
    <row r="334" spans="1:12">
      <c r="A334" s="388"/>
      <c r="B334" s="13"/>
      <c r="C334" s="370"/>
      <c r="D334" s="370"/>
      <c r="E334" s="370"/>
      <c r="F334" s="14"/>
      <c r="G334" s="370"/>
      <c r="H334" s="524" t="s">
        <v>497</v>
      </c>
      <c r="I334" s="374"/>
      <c r="J334" s="374"/>
      <c r="K334" s="374"/>
      <c r="L334" s="81"/>
    </row>
    <row r="335" spans="1:12">
      <c r="A335" s="388"/>
      <c r="B335" s="423" t="s">
        <v>373</v>
      </c>
      <c r="C335" s="370"/>
      <c r="D335" s="370"/>
      <c r="E335" s="370"/>
      <c r="F335" s="14"/>
      <c r="G335" s="370"/>
      <c r="H335" s="425" t="s">
        <v>490</v>
      </c>
      <c r="I335" s="374"/>
      <c r="J335" s="374"/>
      <c r="K335" s="374"/>
      <c r="L335" s="81"/>
    </row>
    <row r="336" spans="1:12">
      <c r="A336" s="388"/>
      <c r="B336" s="13"/>
      <c r="C336" s="370"/>
      <c r="D336" s="370"/>
      <c r="E336" s="370"/>
      <c r="F336" s="14"/>
      <c r="G336" s="370"/>
      <c r="H336" s="77"/>
      <c r="I336" s="374"/>
      <c r="J336" s="374"/>
      <c r="K336" s="374"/>
      <c r="L336" s="81"/>
    </row>
    <row r="337" spans="1:12" ht="15.75" thickBot="1">
      <c r="A337" s="388"/>
      <c r="B337" s="25"/>
      <c r="C337" s="23"/>
      <c r="D337" s="23"/>
      <c r="E337" s="23"/>
      <c r="F337" s="24"/>
      <c r="G337" s="370"/>
      <c r="H337" s="77"/>
      <c r="I337" s="374"/>
      <c r="J337" s="374"/>
      <c r="K337" s="374"/>
      <c r="L337" s="81"/>
    </row>
    <row r="338" spans="1:12" ht="30" customHeight="1">
      <c r="A338" s="388"/>
      <c r="B338" s="1143" t="s">
        <v>112</v>
      </c>
      <c r="C338" s="1144"/>
      <c r="D338" s="1144"/>
      <c r="E338" s="1144"/>
      <c r="F338" s="1144"/>
      <c r="G338" s="1145"/>
      <c r="H338" s="1146" t="str">
        <f>'04-221Master'!B21</f>
        <v>Himanshu Anand</v>
      </c>
      <c r="I338" s="1147"/>
      <c r="J338" s="1147"/>
      <c r="K338" s="1147"/>
      <c r="L338" s="1147"/>
    </row>
    <row r="339" spans="1:12" ht="30" customHeight="1">
      <c r="A339" s="388"/>
      <c r="B339" s="1148"/>
      <c r="C339" s="1149"/>
      <c r="D339" s="1149"/>
      <c r="E339" s="1149"/>
      <c r="F339" s="1149"/>
      <c r="G339" s="1149"/>
      <c r="H339" s="1150" t="str">
        <f>'04-221Master'!G21</f>
        <v>25-B Radha Nagar, Rohini complex, Mathura, UP 281004</v>
      </c>
      <c r="I339" s="1150"/>
      <c r="J339" s="1150"/>
      <c r="K339" s="1150"/>
      <c r="L339" s="1150"/>
    </row>
    <row r="340" spans="1:12" ht="30" customHeight="1">
      <c r="A340" s="388"/>
      <c r="B340" s="1152" t="s">
        <v>113</v>
      </c>
      <c r="C340" s="1153"/>
      <c r="D340" s="1153"/>
      <c r="E340" s="1153"/>
      <c r="F340" s="1153"/>
      <c r="G340" s="1153"/>
      <c r="H340" s="1217">
        <f>'04-221Master'!AY21</f>
        <v>24</v>
      </c>
      <c r="I340" s="1217"/>
      <c r="J340" s="1217"/>
      <c r="K340" s="1217"/>
      <c r="L340" s="1218"/>
    </row>
    <row r="341" spans="1:12" ht="30" customHeight="1">
      <c r="A341" s="388"/>
      <c r="B341" s="1143" t="s">
        <v>114</v>
      </c>
      <c r="C341" s="1144"/>
      <c r="D341" s="1144"/>
      <c r="E341" s="1144"/>
      <c r="F341" s="1144"/>
      <c r="G341" s="1144"/>
      <c r="H341" s="531"/>
      <c r="I341" s="89"/>
      <c r="J341" s="389" t="str">
        <f>'04-221Master'!F21</f>
        <v xml:space="preserve">Sr. DBA / Sr. Administrator </v>
      </c>
      <c r="K341" s="527"/>
      <c r="L341" s="529"/>
    </row>
    <row r="342" spans="1:12" ht="30" customHeight="1">
      <c r="A342" s="388"/>
      <c r="B342" s="1143" t="s">
        <v>115</v>
      </c>
      <c r="C342" s="1144"/>
      <c r="D342" s="1144"/>
      <c r="E342" s="1144"/>
      <c r="F342" s="1144"/>
      <c r="G342" s="1144"/>
      <c r="H342" s="92"/>
      <c r="I342" s="1221">
        <f>'04-221Master'!N21</f>
        <v>44432</v>
      </c>
      <c r="J342" s="1221"/>
      <c r="K342" s="1221"/>
      <c r="L342" s="94"/>
    </row>
    <row r="343" spans="1:12" ht="30" customHeight="1">
      <c r="A343" s="388"/>
      <c r="B343" s="399" t="s">
        <v>116</v>
      </c>
      <c r="C343" s="87"/>
      <c r="D343" s="87"/>
      <c r="E343" s="87"/>
      <c r="F343" s="87"/>
      <c r="G343" s="87"/>
      <c r="H343" s="1154" t="str">
        <f>'04-221Master'!T21</f>
        <v>N/A</v>
      </c>
      <c r="I343" s="1155"/>
      <c r="J343" s="1155"/>
      <c r="K343" s="1155"/>
      <c r="L343" s="1156"/>
    </row>
    <row r="344" spans="1:12" ht="30" customHeight="1">
      <c r="A344" s="388"/>
      <c r="B344" s="399" t="s">
        <v>117</v>
      </c>
      <c r="C344" s="87"/>
      <c r="D344" s="87"/>
      <c r="E344" s="87"/>
      <c r="F344" s="87"/>
      <c r="G344" s="429"/>
      <c r="H344" s="1219" t="str">
        <f>'04-221Master'!S21</f>
        <v>100582540876</v>
      </c>
      <c r="I344" s="1219"/>
      <c r="J344" s="1219"/>
      <c r="K344" s="1219"/>
      <c r="L344" s="1220"/>
    </row>
    <row r="345" spans="1:12" ht="30" customHeight="1">
      <c r="A345" s="388"/>
      <c r="B345" s="1160" t="s">
        <v>118</v>
      </c>
      <c r="C345" s="1161"/>
      <c r="D345" s="1161"/>
      <c r="E345" s="1161"/>
      <c r="F345" s="1161"/>
      <c r="G345" s="1161"/>
      <c r="H345" s="1154">
        <f>'04-221Master'!Y21</f>
        <v>98501</v>
      </c>
      <c r="I345" s="1155"/>
      <c r="J345" s="1155"/>
      <c r="K345" s="1155"/>
      <c r="L345" s="1156"/>
    </row>
    <row r="346" spans="1:12" ht="30" customHeight="1">
      <c r="A346" s="388"/>
      <c r="B346" s="1143" t="s">
        <v>119</v>
      </c>
      <c r="C346" s="1144"/>
      <c r="D346" s="1144"/>
      <c r="E346" s="1144"/>
      <c r="F346" s="1144"/>
      <c r="G346" s="1144"/>
      <c r="H346" s="1162">
        <f>'04-221Master'!D10</f>
        <v>44652</v>
      </c>
      <c r="I346" s="1147"/>
      <c r="J346" s="1147"/>
      <c r="K346" s="1147"/>
      <c r="L346" s="1151"/>
    </row>
    <row r="347" spans="1:12" ht="30" customHeight="1">
      <c r="A347" s="388"/>
      <c r="B347" s="1143" t="s">
        <v>120</v>
      </c>
      <c r="C347" s="1144"/>
      <c r="D347" s="1144"/>
      <c r="E347" s="1144"/>
      <c r="F347" s="1144"/>
      <c r="G347" s="1144"/>
      <c r="H347" s="1147" t="s">
        <v>121</v>
      </c>
      <c r="I347" s="1147"/>
      <c r="J347" s="1147"/>
      <c r="K347" s="1147"/>
      <c r="L347" s="1151"/>
    </row>
    <row r="348" spans="1:12" ht="30" customHeight="1">
      <c r="A348" s="388"/>
      <c r="B348" s="399" t="s">
        <v>122</v>
      </c>
      <c r="C348" s="87"/>
      <c r="D348" s="87"/>
      <c r="E348" s="87"/>
      <c r="F348" s="87"/>
      <c r="G348" s="429"/>
      <c r="H348" s="531"/>
      <c r="I348" s="527"/>
      <c r="J348" s="96">
        <f>'04-221Master'!W21</f>
        <v>30</v>
      </c>
      <c r="K348" s="527"/>
      <c r="L348" s="529"/>
    </row>
    <row r="349" spans="1:12" ht="30" customHeight="1">
      <c r="A349" s="388"/>
      <c r="B349" s="399" t="s">
        <v>123</v>
      </c>
      <c r="C349" s="87"/>
      <c r="D349" s="87"/>
      <c r="E349" s="87"/>
      <c r="F349" s="87"/>
      <c r="G349" s="429"/>
      <c r="H349" s="531"/>
      <c r="I349" s="527"/>
      <c r="J349" s="527" t="s">
        <v>37</v>
      </c>
      <c r="K349" s="527"/>
      <c r="L349" s="529"/>
    </row>
    <row r="350" spans="1:12" ht="30" customHeight="1">
      <c r="A350" s="388"/>
      <c r="B350" s="399" t="s">
        <v>124</v>
      </c>
      <c r="C350" s="87"/>
      <c r="D350" s="87"/>
      <c r="E350" s="87"/>
      <c r="F350" s="87"/>
      <c r="G350" s="429"/>
      <c r="H350" s="531"/>
      <c r="I350" s="527"/>
      <c r="J350" s="96">
        <v>0</v>
      </c>
      <c r="K350" s="527"/>
      <c r="L350" s="529"/>
    </row>
    <row r="351" spans="1:12" ht="30" customHeight="1">
      <c r="A351" s="388"/>
      <c r="B351" s="399" t="s">
        <v>125</v>
      </c>
      <c r="C351" s="87"/>
      <c r="D351" s="87"/>
      <c r="E351" s="87"/>
      <c r="F351" s="87"/>
      <c r="G351" s="429"/>
      <c r="H351" s="531"/>
      <c r="I351" s="527"/>
      <c r="J351" s="527">
        <v>0</v>
      </c>
      <c r="K351" s="527"/>
      <c r="L351" s="529"/>
    </row>
    <row r="352" spans="1:12" ht="30" customHeight="1">
      <c r="A352" s="388"/>
      <c r="B352" s="399" t="s">
        <v>126</v>
      </c>
      <c r="C352" s="87"/>
      <c r="D352" s="87"/>
      <c r="E352" s="87"/>
      <c r="F352" s="87"/>
      <c r="G352" s="429"/>
      <c r="H352" s="531"/>
      <c r="I352" s="527"/>
      <c r="J352" s="364">
        <f>'04-221Master'!AM21</f>
        <v>107936.39786</v>
      </c>
      <c r="K352" s="527"/>
      <c r="L352" s="529" t="s">
        <v>585</v>
      </c>
    </row>
    <row r="353" spans="1:12" ht="30" customHeight="1">
      <c r="A353" s="388"/>
      <c r="B353" s="399" t="s">
        <v>127</v>
      </c>
      <c r="C353" s="87"/>
      <c r="D353" s="526" t="s">
        <v>32</v>
      </c>
      <c r="E353" s="528">
        <f>'04-221Master'!AO21</f>
        <v>1800</v>
      </c>
      <c r="F353" s="526" t="s">
        <v>31</v>
      </c>
      <c r="G353" s="528">
        <f>'04-221Master'!AN21</f>
        <v>0</v>
      </c>
      <c r="H353" s="526" t="s">
        <v>33</v>
      </c>
      <c r="I353" s="528">
        <f>'04-221Master'!AP21</f>
        <v>200</v>
      </c>
      <c r="J353" s="526" t="s">
        <v>34</v>
      </c>
      <c r="K353" s="528">
        <f>'04-221Master'!AQ21</f>
        <v>0</v>
      </c>
      <c r="L353" s="103">
        <f>'04-221Master'!AR21</f>
        <v>336</v>
      </c>
    </row>
    <row r="354" spans="1:12" ht="30" customHeight="1">
      <c r="A354" s="388"/>
      <c r="B354" s="399" t="s">
        <v>128</v>
      </c>
      <c r="C354" s="87"/>
      <c r="D354" s="87"/>
      <c r="E354" s="87"/>
      <c r="F354" s="87"/>
      <c r="G354" s="429"/>
      <c r="H354" s="531"/>
      <c r="I354" s="527"/>
      <c r="J354" s="96">
        <f>J352-(E353+G353+I353+K353+L353)</f>
        <v>105600.39786</v>
      </c>
      <c r="K354" s="527"/>
      <c r="L354" s="529"/>
    </row>
    <row r="355" spans="1:12">
      <c r="A355" s="388"/>
      <c r="B355" s="400" t="s">
        <v>129</v>
      </c>
      <c r="C355" s="401"/>
      <c r="D355" s="401"/>
      <c r="E355" s="401"/>
      <c r="F355" s="401"/>
      <c r="G355" s="402"/>
      <c r="H355" s="403"/>
      <c r="I355" s="404"/>
      <c r="J355" s="404"/>
      <c r="K355" s="404"/>
      <c r="L355" s="98"/>
    </row>
    <row r="356" spans="1:12">
      <c r="A356" s="388"/>
      <c r="B356" s="426" t="s">
        <v>130</v>
      </c>
      <c r="C356" s="374"/>
      <c r="D356" s="374"/>
      <c r="E356" s="374"/>
      <c r="F356" s="374"/>
      <c r="G356" s="427"/>
      <c r="H356" s="71"/>
      <c r="I356" s="370"/>
      <c r="J356" s="370"/>
      <c r="K356" s="370"/>
      <c r="L356" s="14"/>
    </row>
    <row r="357" spans="1:12">
      <c r="A357" s="388"/>
      <c r="B357" s="13"/>
      <c r="C357" s="370"/>
      <c r="D357" s="370"/>
      <c r="E357" s="370"/>
      <c r="F357" s="370"/>
      <c r="G357" s="370"/>
      <c r="H357" s="370"/>
      <c r="I357" s="370"/>
      <c r="J357" s="370"/>
      <c r="K357" s="370"/>
      <c r="L357" s="14"/>
    </row>
    <row r="358" spans="1:12" ht="15.75" thickBot="1">
      <c r="A358" s="388"/>
      <c r="B358" s="25"/>
      <c r="C358" s="23"/>
      <c r="D358" s="23"/>
      <c r="E358" s="23"/>
      <c r="F358" s="23"/>
      <c r="G358" s="23"/>
      <c r="H358" s="23"/>
      <c r="I358" s="23"/>
      <c r="J358" s="23"/>
      <c r="K358" s="23"/>
      <c r="L358" s="24"/>
    </row>
    <row r="359" spans="1:12">
      <c r="A359" s="388"/>
      <c r="B359" s="370"/>
      <c r="C359" s="370"/>
      <c r="D359" s="370"/>
      <c r="E359" s="370"/>
      <c r="F359" s="370"/>
      <c r="G359" s="370"/>
      <c r="H359" s="370"/>
      <c r="I359" s="370"/>
      <c r="J359" s="370"/>
      <c r="K359" s="370"/>
      <c r="L359" s="370"/>
    </row>
    <row r="360" spans="1:12">
      <c r="A360" s="388"/>
      <c r="B360" s="370"/>
      <c r="C360" s="370"/>
      <c r="D360" s="370"/>
      <c r="E360" s="370"/>
      <c r="F360" s="370"/>
      <c r="G360" s="370"/>
      <c r="H360" s="370"/>
      <c r="I360" s="370"/>
      <c r="J360" s="370"/>
      <c r="K360" s="370"/>
      <c r="L360" s="370"/>
    </row>
    <row r="361" spans="1:12">
      <c r="A361" s="388"/>
      <c r="B361" s="370"/>
      <c r="C361" s="370"/>
      <c r="D361" s="370"/>
      <c r="E361" s="370"/>
      <c r="F361" s="370"/>
      <c r="G361" s="370"/>
      <c r="H361" s="370"/>
      <c r="I361" s="370"/>
      <c r="J361" s="370"/>
      <c r="K361" s="370"/>
      <c r="L361" s="370"/>
    </row>
    <row r="362" spans="1:12">
      <c r="A362" s="388"/>
      <c r="B362" s="370"/>
      <c r="C362" s="370"/>
      <c r="D362" s="370"/>
      <c r="E362" s="370"/>
      <c r="F362" s="370"/>
      <c r="G362" s="370"/>
      <c r="H362" s="370"/>
      <c r="I362" s="370"/>
      <c r="J362" s="370"/>
      <c r="K362" s="370"/>
      <c r="L362" s="370"/>
    </row>
    <row r="363" spans="1:12">
      <c r="A363" s="388"/>
      <c r="B363" s="370"/>
      <c r="C363" s="370"/>
      <c r="D363" s="370"/>
      <c r="E363" s="370"/>
      <c r="F363" s="370"/>
      <c r="G363" s="370"/>
      <c r="H363" s="370"/>
      <c r="I363" s="370"/>
      <c r="J363" s="370"/>
      <c r="K363" s="370"/>
      <c r="L363" s="370"/>
    </row>
    <row r="364" spans="1:12">
      <c r="A364" s="388"/>
      <c r="B364" s="370"/>
      <c r="C364" s="370"/>
      <c r="D364" s="370"/>
      <c r="E364" s="370"/>
      <c r="F364" s="370"/>
      <c r="G364" s="370"/>
      <c r="H364" s="370"/>
      <c r="I364" s="370"/>
      <c r="J364" s="370"/>
      <c r="K364" s="370"/>
      <c r="L364" s="370"/>
    </row>
    <row r="365" spans="1:12">
      <c r="A365" s="388"/>
      <c r="B365" s="370"/>
      <c r="C365" s="370"/>
      <c r="D365" s="370"/>
      <c r="E365" s="370"/>
      <c r="F365" s="370"/>
      <c r="G365" s="370"/>
      <c r="H365" s="370"/>
      <c r="I365" s="370"/>
      <c r="J365" s="370"/>
      <c r="K365" s="370"/>
      <c r="L365" s="370"/>
    </row>
    <row r="366" spans="1:12">
      <c r="A366" s="388"/>
      <c r="B366" s="388"/>
      <c r="C366" s="388"/>
      <c r="D366" s="388"/>
      <c r="E366" s="388"/>
      <c r="F366" s="388"/>
      <c r="G366" s="388"/>
      <c r="H366" s="388"/>
      <c r="I366" s="388"/>
      <c r="J366" s="388"/>
      <c r="K366" s="388"/>
      <c r="L366" s="388"/>
    </row>
    <row r="372" spans="1:12" ht="15.75" thickBot="1"/>
    <row r="373" spans="1:12" ht="32.25">
      <c r="A373" s="388"/>
      <c r="B373" s="1163" t="s">
        <v>590</v>
      </c>
      <c r="C373" s="1164"/>
      <c r="D373" s="1164"/>
      <c r="E373" s="1164"/>
      <c r="F373" s="1164"/>
      <c r="G373" s="1164"/>
      <c r="H373" s="1164"/>
      <c r="I373" s="1164"/>
      <c r="J373" s="1164"/>
      <c r="K373" s="1164"/>
      <c r="L373" s="1165"/>
    </row>
    <row r="374" spans="1:12" ht="23.25">
      <c r="A374" s="388"/>
      <c r="B374" s="1166" t="s">
        <v>107</v>
      </c>
      <c r="C374" s="1207"/>
      <c r="D374" s="1207"/>
      <c r="E374" s="1207"/>
      <c r="F374" s="1207"/>
      <c r="G374" s="1207"/>
      <c r="H374" s="1207"/>
      <c r="I374" s="1207"/>
      <c r="J374" s="1207"/>
      <c r="K374" s="1207"/>
      <c r="L374" s="1168"/>
    </row>
    <row r="375" spans="1:12" ht="16.5" thickBot="1">
      <c r="A375" s="388"/>
      <c r="B375" s="1169" t="s">
        <v>591</v>
      </c>
      <c r="C375" s="1170"/>
      <c r="D375" s="1170"/>
      <c r="E375" s="1170"/>
      <c r="F375" s="1170"/>
      <c r="G375" s="1170"/>
      <c r="H375" s="1170"/>
      <c r="I375" s="1170"/>
      <c r="J375" s="1170"/>
      <c r="K375" s="1170"/>
      <c r="L375" s="1171"/>
    </row>
    <row r="376" spans="1:12">
      <c r="A376" s="388"/>
      <c r="B376" s="1172" t="s">
        <v>108</v>
      </c>
      <c r="C376" s="1211"/>
      <c r="D376" s="1211"/>
      <c r="E376" s="1211"/>
      <c r="F376" s="1211"/>
      <c r="G376" s="370"/>
      <c r="H376" s="1212" t="s">
        <v>109</v>
      </c>
      <c r="I376" s="1212"/>
      <c r="J376" s="1212"/>
      <c r="K376" s="1212"/>
      <c r="L376" s="1175"/>
    </row>
    <row r="377" spans="1:12" ht="15.75" thickBot="1">
      <c r="A377" s="388"/>
      <c r="B377" s="1172"/>
      <c r="C377" s="1211"/>
      <c r="D377" s="1211"/>
      <c r="E377" s="1211"/>
      <c r="F377" s="1211"/>
      <c r="G377" s="370"/>
      <c r="H377" s="1212"/>
      <c r="I377" s="1212"/>
      <c r="J377" s="1212"/>
      <c r="K377" s="1212"/>
      <c r="L377" s="1175"/>
    </row>
    <row r="378" spans="1:12">
      <c r="A378" s="388"/>
      <c r="B378" s="74"/>
      <c r="C378" s="75"/>
      <c r="D378" s="75"/>
      <c r="E378" s="75"/>
      <c r="F378" s="76"/>
      <c r="G378" s="370"/>
      <c r="H378" s="74"/>
      <c r="I378" s="75"/>
      <c r="J378" s="75"/>
      <c r="K378" s="75"/>
      <c r="L378" s="76"/>
    </row>
    <row r="379" spans="1:12">
      <c r="A379" s="388"/>
      <c r="B379" s="419" t="s">
        <v>382</v>
      </c>
      <c r="C379" s="370"/>
      <c r="D379" s="370"/>
      <c r="E379" s="370"/>
      <c r="F379" s="14"/>
      <c r="G379" s="370"/>
      <c r="H379" s="419" t="s">
        <v>382</v>
      </c>
      <c r="I379" s="370"/>
      <c r="J379" s="370"/>
      <c r="K379" s="370"/>
      <c r="L379" s="14"/>
    </row>
    <row r="380" spans="1:12">
      <c r="A380" s="388"/>
      <c r="B380" s="421" t="s">
        <v>383</v>
      </c>
      <c r="C380" s="370"/>
      <c r="D380" s="370"/>
      <c r="E380" s="370"/>
      <c r="F380" s="14"/>
      <c r="G380" s="370"/>
      <c r="H380" s="421" t="s">
        <v>383</v>
      </c>
      <c r="I380" s="370"/>
      <c r="J380" s="370"/>
      <c r="K380" s="370"/>
      <c r="L380" s="14"/>
    </row>
    <row r="381" spans="1:12">
      <c r="A381" s="388"/>
      <c r="B381" s="77"/>
      <c r="C381" s="370"/>
      <c r="D381" s="370"/>
      <c r="E381" s="370"/>
      <c r="F381" s="14"/>
      <c r="G381" s="370"/>
      <c r="H381" s="77"/>
      <c r="I381" s="370"/>
      <c r="J381" s="370"/>
      <c r="K381" s="370"/>
      <c r="L381" s="14"/>
    </row>
    <row r="382" spans="1:12" ht="15.75" thickBot="1">
      <c r="A382" s="388"/>
      <c r="B382" s="25"/>
      <c r="C382" s="23"/>
      <c r="D382" s="23"/>
      <c r="E382" s="23"/>
      <c r="F382" s="24"/>
      <c r="G382" s="370"/>
      <c r="H382" s="25"/>
      <c r="I382" s="23"/>
      <c r="J382" s="23"/>
      <c r="K382" s="23"/>
      <c r="L382" s="24"/>
    </row>
    <row r="383" spans="1:12">
      <c r="A383" s="388"/>
      <c r="B383" s="13"/>
      <c r="C383" s="370"/>
      <c r="D383" s="370"/>
      <c r="E383" s="370"/>
      <c r="F383" s="370"/>
      <c r="G383" s="370"/>
      <c r="H383" s="370"/>
      <c r="I383" s="370"/>
      <c r="J383" s="370" t="s">
        <v>110</v>
      </c>
      <c r="K383" s="370"/>
      <c r="L383" s="14"/>
    </row>
    <row r="384" spans="1:12">
      <c r="A384" s="388"/>
      <c r="B384" s="1176" t="s">
        <v>111</v>
      </c>
      <c r="C384" s="1213"/>
      <c r="D384" s="1213"/>
      <c r="E384" s="1213"/>
      <c r="F384" s="1213"/>
      <c r="G384" s="370"/>
      <c r="H384" s="1213" t="s">
        <v>4</v>
      </c>
      <c r="I384" s="1213"/>
      <c r="J384" s="1213"/>
      <c r="K384" s="1213"/>
      <c r="L384" s="1178"/>
    </row>
    <row r="385" spans="1:12" ht="15.75" thickBot="1">
      <c r="A385" s="388"/>
      <c r="B385" s="13"/>
      <c r="C385" s="370"/>
      <c r="D385" s="370"/>
      <c r="E385" s="370"/>
      <c r="F385" s="370"/>
      <c r="G385" s="370"/>
      <c r="H385" s="370"/>
      <c r="I385" s="370"/>
      <c r="J385" s="370"/>
      <c r="K385" s="370"/>
      <c r="L385" s="14"/>
    </row>
    <row r="386" spans="1:12">
      <c r="A386" s="388"/>
      <c r="B386" s="74"/>
      <c r="C386" s="75"/>
      <c r="D386" s="75"/>
      <c r="E386" s="75"/>
      <c r="F386" s="76"/>
      <c r="G386" s="370"/>
      <c r="H386" s="78"/>
      <c r="I386" s="79"/>
      <c r="J386" s="79"/>
      <c r="K386" s="79"/>
      <c r="L386" s="80"/>
    </row>
    <row r="387" spans="1:12">
      <c r="A387" s="388"/>
      <c r="B387" s="13"/>
      <c r="C387" s="370"/>
      <c r="D387" s="370"/>
      <c r="E387" s="370"/>
      <c r="F387" s="14"/>
      <c r="G387" s="370"/>
      <c r="H387" s="524" t="s">
        <v>497</v>
      </c>
      <c r="I387" s="374"/>
      <c r="J387" s="374"/>
      <c r="K387" s="374"/>
      <c r="L387" s="81"/>
    </row>
    <row r="388" spans="1:12">
      <c r="A388" s="388"/>
      <c r="B388" s="423" t="s">
        <v>373</v>
      </c>
      <c r="C388" s="370"/>
      <c r="D388" s="370"/>
      <c r="E388" s="370"/>
      <c r="F388" s="14"/>
      <c r="G388" s="370"/>
      <c r="H388" s="425" t="s">
        <v>490</v>
      </c>
      <c r="I388" s="374"/>
      <c r="J388" s="374"/>
      <c r="K388" s="374"/>
      <c r="L388" s="81"/>
    </row>
    <row r="389" spans="1:12">
      <c r="A389" s="388"/>
      <c r="B389" s="13"/>
      <c r="C389" s="370"/>
      <c r="D389" s="370"/>
      <c r="E389" s="370"/>
      <c r="F389" s="14"/>
      <c r="G389" s="370"/>
      <c r="H389" s="77"/>
      <c r="I389" s="374"/>
      <c r="J389" s="374"/>
      <c r="K389" s="374"/>
      <c r="L389" s="81"/>
    </row>
    <row r="390" spans="1:12" ht="15.75" thickBot="1">
      <c r="A390" s="388"/>
      <c r="B390" s="25"/>
      <c r="C390" s="23"/>
      <c r="D390" s="23"/>
      <c r="E390" s="23"/>
      <c r="F390" s="24"/>
      <c r="G390" s="370"/>
      <c r="H390" s="77"/>
      <c r="I390" s="374"/>
      <c r="J390" s="374"/>
      <c r="K390" s="374"/>
      <c r="L390" s="81"/>
    </row>
    <row r="391" spans="1:12" ht="30" customHeight="1">
      <c r="A391" s="388"/>
      <c r="B391" s="1143" t="s">
        <v>112</v>
      </c>
      <c r="C391" s="1144"/>
      <c r="D391" s="1144"/>
      <c r="E391" s="1144"/>
      <c r="F391" s="1144"/>
      <c r="G391" s="1145"/>
      <c r="H391" s="1146" t="str">
        <f>'04-221Master'!B22</f>
        <v>Kanchupati Kondaiah</v>
      </c>
      <c r="I391" s="1147"/>
      <c r="J391" s="1147"/>
      <c r="K391" s="1147"/>
      <c r="L391" s="1147"/>
    </row>
    <row r="392" spans="1:12" ht="30" customHeight="1">
      <c r="A392" s="388"/>
      <c r="B392" s="1148"/>
      <c r="C392" s="1149"/>
      <c r="D392" s="1149"/>
      <c r="E392" s="1149"/>
      <c r="F392" s="1149"/>
      <c r="G392" s="1149"/>
      <c r="H392" s="1150" t="str">
        <f>'04-221Master'!G22</f>
        <v>CHENNAVARAM Village, Rachayapost, gopavaram mandal, YSR Kadapa, AP 516233</v>
      </c>
      <c r="I392" s="1150"/>
      <c r="J392" s="1150"/>
      <c r="K392" s="1150"/>
      <c r="L392" s="1150"/>
    </row>
    <row r="393" spans="1:12" ht="30" customHeight="1">
      <c r="A393" s="388"/>
      <c r="B393" s="1152" t="s">
        <v>113</v>
      </c>
      <c r="C393" s="1153"/>
      <c r="D393" s="1153"/>
      <c r="E393" s="1153"/>
      <c r="F393" s="1153"/>
      <c r="G393" s="1153"/>
      <c r="H393" s="1154">
        <f>'04-221Master'!AY22</f>
        <v>25</v>
      </c>
      <c r="I393" s="1155"/>
      <c r="J393" s="1155"/>
      <c r="K393" s="1155"/>
      <c r="L393" s="1156"/>
    </row>
    <row r="394" spans="1:12" ht="30" customHeight="1">
      <c r="A394" s="388"/>
      <c r="B394" s="1143" t="s">
        <v>114</v>
      </c>
      <c r="C394" s="1144"/>
      <c r="D394" s="1144"/>
      <c r="E394" s="1144"/>
      <c r="F394" s="1144"/>
      <c r="G394" s="1144"/>
      <c r="H394" s="1146" t="str">
        <f>'04-221Master'!F22</f>
        <v xml:space="preserve"> SQL DATABASE ADMINISTRATOR</v>
      </c>
      <c r="I394" s="1147"/>
      <c r="J394" s="1147"/>
      <c r="K394" s="1147"/>
      <c r="L394" s="1151"/>
    </row>
    <row r="395" spans="1:12" ht="30" customHeight="1">
      <c r="A395" s="388"/>
      <c r="B395" s="1143" t="s">
        <v>115</v>
      </c>
      <c r="C395" s="1144"/>
      <c r="D395" s="1144"/>
      <c r="E395" s="1144"/>
      <c r="F395" s="1144"/>
      <c r="G395" s="1144"/>
      <c r="H395" s="1157">
        <f>'04-221Master'!N22</f>
        <v>44434</v>
      </c>
      <c r="I395" s="1158"/>
      <c r="J395" s="1158"/>
      <c r="K395" s="1158"/>
      <c r="L395" s="1159"/>
    </row>
    <row r="396" spans="1:12" ht="30" customHeight="1">
      <c r="A396" s="388"/>
      <c r="B396" s="399" t="s">
        <v>116</v>
      </c>
      <c r="C396" s="87"/>
      <c r="D396" s="87"/>
      <c r="E396" s="87"/>
      <c r="F396" s="87"/>
      <c r="G396" s="87"/>
      <c r="H396" s="531"/>
      <c r="I396" s="89"/>
      <c r="J396" s="389" t="str">
        <f>'04-221Master'!T22</f>
        <v>N/A</v>
      </c>
      <c r="K396" s="527"/>
      <c r="L396" s="529"/>
    </row>
    <row r="397" spans="1:12" ht="30" customHeight="1">
      <c r="A397" s="388"/>
      <c r="B397" s="399" t="s">
        <v>117</v>
      </c>
      <c r="C397" s="87"/>
      <c r="D397" s="87"/>
      <c r="E397" s="87"/>
      <c r="F397" s="87"/>
      <c r="G397" s="429"/>
      <c r="H397" s="92"/>
      <c r="I397" s="93"/>
      <c r="J397" s="389" t="str">
        <f>'04-221Master'!S22</f>
        <v>101439478209</v>
      </c>
      <c r="K397" s="93"/>
      <c r="L397" s="94"/>
    </row>
    <row r="398" spans="1:12" ht="30" customHeight="1">
      <c r="A398" s="388"/>
      <c r="B398" s="1160" t="s">
        <v>118</v>
      </c>
      <c r="C398" s="1161"/>
      <c r="D398" s="1161"/>
      <c r="E398" s="1161"/>
      <c r="F398" s="1161"/>
      <c r="G398" s="1161"/>
      <c r="H398" s="1154">
        <f>'04-221Master'!Y22</f>
        <v>46909</v>
      </c>
      <c r="I398" s="1155"/>
      <c r="J398" s="1155"/>
      <c r="K398" s="1155"/>
      <c r="L398" s="1156"/>
    </row>
    <row r="399" spans="1:12" ht="30" customHeight="1">
      <c r="A399" s="388"/>
      <c r="B399" s="1143" t="s">
        <v>119</v>
      </c>
      <c r="C399" s="1144"/>
      <c r="D399" s="1144"/>
      <c r="E399" s="1144"/>
      <c r="F399" s="1144"/>
      <c r="G399" s="1144"/>
      <c r="H399" s="1162">
        <f>'04-221Master'!D10</f>
        <v>44652</v>
      </c>
      <c r="I399" s="1147"/>
      <c r="J399" s="1147"/>
      <c r="K399" s="1147"/>
      <c r="L399" s="1151"/>
    </row>
    <row r="400" spans="1:12" ht="30" customHeight="1">
      <c r="A400" s="388"/>
      <c r="B400" s="1143" t="s">
        <v>120</v>
      </c>
      <c r="C400" s="1144"/>
      <c r="D400" s="1144"/>
      <c r="E400" s="1144"/>
      <c r="F400" s="1144"/>
      <c r="G400" s="1144"/>
      <c r="H400" s="1147" t="s">
        <v>121</v>
      </c>
      <c r="I400" s="1147"/>
      <c r="J400" s="1147"/>
      <c r="K400" s="1147"/>
      <c r="L400" s="1151"/>
    </row>
    <row r="401" spans="1:13" ht="30" customHeight="1">
      <c r="A401" s="388"/>
      <c r="B401" s="399" t="s">
        <v>122</v>
      </c>
      <c r="C401" s="87"/>
      <c r="D401" s="87"/>
      <c r="E401" s="87"/>
      <c r="F401" s="87"/>
      <c r="G401" s="429"/>
      <c r="H401" s="531"/>
      <c r="I401" s="527"/>
      <c r="J401" s="96">
        <f>'04-221Master'!W22</f>
        <v>30</v>
      </c>
      <c r="K401" s="527"/>
      <c r="L401" s="529"/>
    </row>
    <row r="402" spans="1:13" ht="30" customHeight="1">
      <c r="A402" s="388"/>
      <c r="B402" s="399" t="s">
        <v>123</v>
      </c>
      <c r="C402" s="87"/>
      <c r="D402" s="87"/>
      <c r="E402" s="87"/>
      <c r="F402" s="87"/>
      <c r="G402" s="429"/>
      <c r="H402" s="531"/>
      <c r="I402" s="527"/>
      <c r="J402" s="527" t="s">
        <v>37</v>
      </c>
      <c r="K402" s="527"/>
      <c r="L402" s="529"/>
    </row>
    <row r="403" spans="1:13" ht="30" customHeight="1">
      <c r="A403" s="388"/>
      <c r="B403" s="399" t="s">
        <v>124</v>
      </c>
      <c r="C403" s="87"/>
      <c r="D403" s="87"/>
      <c r="E403" s="87"/>
      <c r="F403" s="87"/>
      <c r="G403" s="429"/>
      <c r="H403" s="531"/>
      <c r="I403" s="527"/>
      <c r="J403" s="96">
        <v>0</v>
      </c>
      <c r="K403" s="527"/>
      <c r="L403" s="529"/>
    </row>
    <row r="404" spans="1:13" ht="30" customHeight="1">
      <c r="A404" s="388"/>
      <c r="B404" s="399" t="s">
        <v>125</v>
      </c>
      <c r="C404" s="87"/>
      <c r="D404" s="87"/>
      <c r="E404" s="87"/>
      <c r="F404" s="87"/>
      <c r="G404" s="429"/>
      <c r="H404" s="531"/>
      <c r="I404" s="527"/>
      <c r="J404" s="527">
        <v>0</v>
      </c>
      <c r="K404" s="527"/>
      <c r="L404" s="529"/>
    </row>
    <row r="405" spans="1:13" ht="30" customHeight="1">
      <c r="A405" s="388"/>
      <c r="B405" s="399" t="s">
        <v>126</v>
      </c>
      <c r="C405" s="87"/>
      <c r="D405" s="87"/>
      <c r="E405" s="87"/>
      <c r="F405" s="87"/>
      <c r="G405" s="429"/>
      <c r="H405" s="531"/>
      <c r="I405" s="527"/>
      <c r="J405" s="364">
        <f>'04-221Master'!AM22</f>
        <v>52275.852739999995</v>
      </c>
      <c r="K405" s="527"/>
      <c r="L405" s="529" t="s">
        <v>585</v>
      </c>
    </row>
    <row r="406" spans="1:13" ht="30" customHeight="1">
      <c r="A406" s="388"/>
      <c r="B406" s="399" t="s">
        <v>127</v>
      </c>
      <c r="C406" s="87"/>
      <c r="D406" s="526" t="s">
        <v>32</v>
      </c>
      <c r="E406" s="528">
        <f>'04-221Master'!AO22</f>
        <v>1800</v>
      </c>
      <c r="F406" s="526" t="s">
        <v>31</v>
      </c>
      <c r="G406" s="528">
        <f>'04-221Master'!AN22</f>
        <v>0</v>
      </c>
      <c r="H406" s="526" t="s">
        <v>33</v>
      </c>
      <c r="I406" s="528">
        <f>'04-221Master'!AP22</f>
        <v>200</v>
      </c>
      <c r="J406" s="526" t="s">
        <v>34</v>
      </c>
      <c r="K406" s="528">
        <f>'04-221Master'!AQ22</f>
        <v>0</v>
      </c>
      <c r="L406" s="103">
        <f>'04-221Master'!AR22</f>
        <v>336</v>
      </c>
    </row>
    <row r="407" spans="1:13" ht="30" customHeight="1">
      <c r="A407" s="388"/>
      <c r="B407" s="399" t="s">
        <v>128</v>
      </c>
      <c r="C407" s="87"/>
      <c r="D407" s="87"/>
      <c r="E407" s="87"/>
      <c r="F407" s="87"/>
      <c r="G407" s="429"/>
      <c r="H407" s="531"/>
      <c r="I407" s="527"/>
      <c r="J407" s="96">
        <f>J405-E406-I406-K406-L406</f>
        <v>49939.852739999995</v>
      </c>
      <c r="K407" s="527"/>
      <c r="L407" s="529"/>
      <c r="M407" s="249"/>
    </row>
    <row r="408" spans="1:13" ht="30" customHeight="1">
      <c r="A408" s="388"/>
      <c r="B408" s="400" t="s">
        <v>129</v>
      </c>
      <c r="C408" s="401"/>
      <c r="D408" s="401"/>
      <c r="E408" s="401"/>
      <c r="F408" s="401"/>
      <c r="G408" s="402"/>
      <c r="H408" s="403"/>
      <c r="I408" s="404"/>
      <c r="J408" s="404"/>
      <c r="K408" s="404"/>
      <c r="L408" s="98"/>
    </row>
    <row r="409" spans="1:13" ht="30" customHeight="1">
      <c r="A409" s="388"/>
      <c r="B409" s="426" t="s">
        <v>130</v>
      </c>
      <c r="C409" s="374"/>
      <c r="D409" s="374"/>
      <c r="E409" s="374"/>
      <c r="F409" s="374"/>
      <c r="G409" s="427"/>
      <c r="H409" s="71"/>
      <c r="I409" s="370"/>
      <c r="J409" s="370"/>
      <c r="K409" s="370"/>
      <c r="L409" s="14"/>
    </row>
    <row r="410" spans="1:13" ht="30" customHeight="1">
      <c r="A410" s="388"/>
      <c r="B410" s="13"/>
      <c r="C410" s="370"/>
      <c r="D410" s="370"/>
      <c r="E410" s="370"/>
      <c r="F410" s="370"/>
      <c r="G410" s="370"/>
      <c r="H410" s="370"/>
      <c r="I410" s="370"/>
      <c r="J410" s="370"/>
      <c r="K410" s="370"/>
      <c r="L410" s="14"/>
    </row>
    <row r="411" spans="1:13" ht="30" customHeight="1" thickBot="1">
      <c r="A411" s="388"/>
      <c r="B411" s="25"/>
      <c r="C411" s="23"/>
      <c r="D411" s="23"/>
      <c r="E411" s="23"/>
      <c r="F411" s="23"/>
      <c r="G411" s="23"/>
      <c r="H411" s="23"/>
      <c r="I411" s="23"/>
      <c r="J411" s="23"/>
      <c r="K411" s="23"/>
      <c r="L411" s="24"/>
    </row>
    <row r="412" spans="1:13">
      <c r="A412" s="388"/>
      <c r="B412" s="370"/>
      <c r="C412" s="370"/>
      <c r="D412" s="370"/>
      <c r="E412" s="370"/>
      <c r="F412" s="370"/>
      <c r="G412" s="370"/>
      <c r="H412" s="370"/>
      <c r="I412" s="370"/>
      <c r="J412" s="370"/>
      <c r="K412" s="370"/>
      <c r="L412" s="370"/>
    </row>
    <row r="413" spans="1:13">
      <c r="A413" s="388"/>
      <c r="B413" s="370"/>
      <c r="C413" s="370"/>
      <c r="D413" s="370"/>
      <c r="E413" s="370"/>
      <c r="F413" s="370"/>
      <c r="G413" s="370"/>
      <c r="H413" s="370"/>
      <c r="I413" s="370"/>
      <c r="J413" s="370"/>
      <c r="K413" s="370"/>
      <c r="L413" s="370"/>
    </row>
    <row r="414" spans="1:13">
      <c r="A414" s="388"/>
      <c r="B414" s="370"/>
      <c r="C414" s="370"/>
      <c r="D414" s="370"/>
      <c r="E414" s="370"/>
      <c r="F414" s="370"/>
      <c r="G414" s="370"/>
      <c r="H414" s="370"/>
      <c r="I414" s="370"/>
      <c r="J414" s="370"/>
      <c r="K414" s="370"/>
      <c r="L414" s="370"/>
    </row>
    <row r="415" spans="1:13">
      <c r="A415" s="388"/>
      <c r="B415" s="370"/>
      <c r="C415" s="370"/>
      <c r="D415" s="370"/>
      <c r="E415" s="370"/>
      <c r="F415" s="370"/>
      <c r="G415" s="370"/>
      <c r="H415" s="370"/>
      <c r="I415" s="370"/>
      <c r="J415" s="370"/>
      <c r="K415" s="370"/>
      <c r="L415" s="370"/>
    </row>
    <row r="416" spans="1:13">
      <c r="A416" s="388"/>
      <c r="B416" s="370"/>
      <c r="C416" s="370"/>
      <c r="D416" s="370"/>
      <c r="E416" s="370"/>
      <c r="F416" s="370"/>
      <c r="G416" s="370"/>
      <c r="H416" s="370"/>
      <c r="I416" s="370"/>
      <c r="J416" s="370"/>
      <c r="K416" s="370"/>
      <c r="L416" s="370"/>
    </row>
    <row r="417" spans="1:12">
      <c r="A417" s="388"/>
      <c r="B417" s="370"/>
      <c r="C417" s="370"/>
      <c r="D417" s="370"/>
      <c r="E417" s="370"/>
      <c r="F417" s="370"/>
      <c r="G417" s="370"/>
      <c r="H417" s="370"/>
      <c r="I417" s="370"/>
      <c r="J417" s="370"/>
      <c r="K417" s="370"/>
      <c r="L417" s="370"/>
    </row>
    <row r="418" spans="1:12">
      <c r="A418" s="388"/>
      <c r="B418" s="370"/>
      <c r="C418" s="370"/>
      <c r="D418" s="370"/>
      <c r="E418" s="370"/>
      <c r="F418" s="370"/>
      <c r="G418" s="370"/>
      <c r="H418" s="370"/>
      <c r="I418" s="370"/>
      <c r="J418" s="370"/>
      <c r="K418" s="370"/>
      <c r="L418" s="370"/>
    </row>
    <row r="419" spans="1:12">
      <c r="A419" s="388"/>
      <c r="B419" s="388"/>
      <c r="C419" s="388"/>
      <c r="D419" s="388"/>
      <c r="E419" s="388"/>
      <c r="F419" s="388"/>
      <c r="G419" s="388"/>
      <c r="H419" s="388"/>
      <c r="I419" s="388"/>
      <c r="J419" s="388"/>
      <c r="K419" s="388"/>
      <c r="L419" s="388"/>
    </row>
    <row r="420" spans="1:12">
      <c r="A420" s="388"/>
      <c r="B420" s="388"/>
      <c r="C420" s="388"/>
      <c r="D420" s="388"/>
      <c r="E420" s="388"/>
      <c r="F420" s="388"/>
      <c r="G420" s="388"/>
      <c r="H420" s="388"/>
      <c r="I420" s="388"/>
      <c r="J420" s="388"/>
      <c r="K420" s="388"/>
      <c r="L420" s="388"/>
    </row>
    <row r="421" spans="1:12">
      <c r="A421" s="388"/>
      <c r="B421" s="388"/>
      <c r="C421" s="388"/>
      <c r="D421" s="388"/>
      <c r="E421" s="388"/>
      <c r="F421" s="388"/>
      <c r="G421" s="388"/>
      <c r="H421" s="388"/>
      <c r="I421" s="388"/>
      <c r="J421" s="388"/>
      <c r="K421" s="388"/>
      <c r="L421" s="388"/>
    </row>
    <row r="422" spans="1:12">
      <c r="A422" s="388"/>
      <c r="B422" s="388"/>
      <c r="C422" s="388"/>
      <c r="D422" s="388"/>
      <c r="E422" s="388"/>
      <c r="F422" s="388"/>
      <c r="G422" s="388"/>
      <c r="H422" s="388"/>
      <c r="I422" s="388"/>
      <c r="J422" s="388"/>
      <c r="K422" s="388"/>
      <c r="L422" s="388"/>
    </row>
    <row r="423" spans="1:12">
      <c r="A423" s="388"/>
      <c r="B423" s="388"/>
      <c r="C423" s="388"/>
      <c r="D423" s="388"/>
      <c r="E423" s="388"/>
      <c r="F423" s="388"/>
      <c r="G423" s="388"/>
      <c r="H423" s="388"/>
      <c r="I423" s="388"/>
      <c r="J423" s="388"/>
      <c r="K423" s="388"/>
      <c r="L423" s="388"/>
    </row>
    <row r="424" spans="1:12">
      <c r="A424" s="388"/>
      <c r="B424" s="388"/>
      <c r="C424" s="388"/>
      <c r="D424" s="388"/>
      <c r="E424" s="388"/>
      <c r="F424" s="388"/>
      <c r="G424" s="388"/>
      <c r="H424" s="388"/>
      <c r="I424" s="388"/>
      <c r="J424" s="388"/>
      <c r="K424" s="388"/>
      <c r="L424" s="388"/>
    </row>
    <row r="425" spans="1:12">
      <c r="A425" s="388"/>
      <c r="B425" s="388"/>
      <c r="C425" s="388"/>
      <c r="D425" s="388"/>
      <c r="E425" s="388"/>
      <c r="F425" s="388"/>
      <c r="G425" s="388"/>
      <c r="H425" s="388"/>
      <c r="I425" s="388"/>
      <c r="J425" s="388"/>
      <c r="K425" s="388"/>
      <c r="L425" s="388"/>
    </row>
    <row r="426" spans="1:12">
      <c r="A426" s="388"/>
      <c r="B426" s="388"/>
      <c r="C426" s="388"/>
      <c r="D426" s="388"/>
      <c r="E426" s="388"/>
      <c r="F426" s="388"/>
      <c r="G426" s="388"/>
      <c r="H426" s="388"/>
      <c r="I426" s="388"/>
      <c r="J426" s="388"/>
      <c r="K426" s="388"/>
      <c r="L426" s="388"/>
    </row>
    <row r="427" spans="1:12">
      <c r="A427" s="388"/>
      <c r="B427" s="388"/>
      <c r="C427" s="388"/>
      <c r="D427" s="388"/>
      <c r="E427" s="388"/>
      <c r="F427" s="388"/>
      <c r="G427" s="388"/>
      <c r="H427" s="388"/>
      <c r="I427" s="388"/>
      <c r="J427" s="388"/>
      <c r="K427" s="388"/>
      <c r="L427" s="388"/>
    </row>
    <row r="428" spans="1:12" ht="15.75" thickBot="1">
      <c r="A428" s="388"/>
      <c r="B428" s="388"/>
      <c r="C428" s="388"/>
      <c r="D428" s="388"/>
      <c r="E428" s="388"/>
      <c r="F428" s="388"/>
      <c r="G428" s="388"/>
      <c r="H428" s="388"/>
      <c r="I428" s="388"/>
      <c r="J428" s="388"/>
      <c r="K428" s="388"/>
      <c r="L428" s="388"/>
    </row>
    <row r="429" spans="1:12" ht="32.25">
      <c r="A429" s="388"/>
      <c r="B429" s="1163" t="s">
        <v>590</v>
      </c>
      <c r="C429" s="1164"/>
      <c r="D429" s="1164"/>
      <c r="E429" s="1164"/>
      <c r="F429" s="1164"/>
      <c r="G429" s="1164"/>
      <c r="H429" s="1164"/>
      <c r="I429" s="1164"/>
      <c r="J429" s="1164"/>
      <c r="K429" s="1164"/>
      <c r="L429" s="1165"/>
    </row>
    <row r="430" spans="1:12" ht="23.25">
      <c r="A430" s="388"/>
      <c r="B430" s="1166" t="s">
        <v>107</v>
      </c>
      <c r="C430" s="1207"/>
      <c r="D430" s="1207"/>
      <c r="E430" s="1207"/>
      <c r="F430" s="1207"/>
      <c r="G430" s="1207"/>
      <c r="H430" s="1207"/>
      <c r="I430" s="1207"/>
      <c r="J430" s="1207"/>
      <c r="K430" s="1207"/>
      <c r="L430" s="1168"/>
    </row>
    <row r="431" spans="1:12" ht="16.5" thickBot="1">
      <c r="A431" s="388"/>
      <c r="B431" s="1169" t="s">
        <v>591</v>
      </c>
      <c r="C431" s="1170"/>
      <c r="D431" s="1170"/>
      <c r="E431" s="1170"/>
      <c r="F431" s="1170"/>
      <c r="G431" s="1170"/>
      <c r="H431" s="1170"/>
      <c r="I431" s="1170"/>
      <c r="J431" s="1170"/>
      <c r="K431" s="1170"/>
      <c r="L431" s="1171"/>
    </row>
    <row r="432" spans="1:12">
      <c r="A432" s="388"/>
      <c r="B432" s="1172" t="s">
        <v>108</v>
      </c>
      <c r="C432" s="1211"/>
      <c r="D432" s="1211"/>
      <c r="E432" s="1211"/>
      <c r="F432" s="1211"/>
      <c r="G432" s="370"/>
      <c r="H432" s="1212" t="s">
        <v>109</v>
      </c>
      <c r="I432" s="1212"/>
      <c r="J432" s="1212"/>
      <c r="K432" s="1212"/>
      <c r="L432" s="1175"/>
    </row>
    <row r="433" spans="1:12" ht="15.75" thickBot="1">
      <c r="A433" s="388"/>
      <c r="B433" s="1172"/>
      <c r="C433" s="1211"/>
      <c r="D433" s="1211"/>
      <c r="E433" s="1211"/>
      <c r="F433" s="1211"/>
      <c r="G433" s="370"/>
      <c r="H433" s="1212"/>
      <c r="I433" s="1212"/>
      <c r="J433" s="1212"/>
      <c r="K433" s="1212"/>
      <c r="L433" s="1175"/>
    </row>
    <row r="434" spans="1:12">
      <c r="A434" s="388"/>
      <c r="B434" s="74"/>
      <c r="C434" s="75"/>
      <c r="D434" s="75"/>
      <c r="E434" s="75"/>
      <c r="F434" s="76"/>
      <c r="G434" s="370"/>
      <c r="H434" s="74"/>
      <c r="I434" s="75"/>
      <c r="J434" s="75"/>
      <c r="K434" s="75"/>
      <c r="L434" s="76"/>
    </row>
    <row r="435" spans="1:12">
      <c r="A435" s="388"/>
      <c r="B435" s="419" t="s">
        <v>382</v>
      </c>
      <c r="C435" s="370"/>
      <c r="D435" s="370"/>
      <c r="E435" s="370"/>
      <c r="F435" s="14"/>
      <c r="G435" s="370"/>
      <c r="H435" s="419" t="s">
        <v>382</v>
      </c>
      <c r="I435" s="370"/>
      <c r="J435" s="370"/>
      <c r="K435" s="370"/>
      <c r="L435" s="14"/>
    </row>
    <row r="436" spans="1:12">
      <c r="A436" s="388"/>
      <c r="B436" s="421" t="s">
        <v>383</v>
      </c>
      <c r="C436" s="370"/>
      <c r="D436" s="370"/>
      <c r="E436" s="370"/>
      <c r="F436" s="14"/>
      <c r="G436" s="370"/>
      <c r="H436" s="421" t="s">
        <v>383</v>
      </c>
      <c r="I436" s="370"/>
      <c r="J436" s="370"/>
      <c r="K436" s="370"/>
      <c r="L436" s="14"/>
    </row>
    <row r="437" spans="1:12">
      <c r="A437" s="388"/>
      <c r="B437" s="77"/>
      <c r="C437" s="370"/>
      <c r="D437" s="370"/>
      <c r="E437" s="370"/>
      <c r="F437" s="14"/>
      <c r="G437" s="370"/>
      <c r="H437" s="77"/>
      <c r="I437" s="370"/>
      <c r="J437" s="370"/>
      <c r="K437" s="370"/>
      <c r="L437" s="14"/>
    </row>
    <row r="438" spans="1:12" ht="15.75" thickBot="1">
      <c r="A438" s="388"/>
      <c r="B438" s="25"/>
      <c r="C438" s="23"/>
      <c r="D438" s="23"/>
      <c r="E438" s="23"/>
      <c r="F438" s="24"/>
      <c r="G438" s="370"/>
      <c r="H438" s="25"/>
      <c r="I438" s="23"/>
      <c r="J438" s="23"/>
      <c r="K438" s="23"/>
      <c r="L438" s="24"/>
    </row>
    <row r="439" spans="1:12">
      <c r="A439" s="388"/>
      <c r="B439" s="13"/>
      <c r="C439" s="370"/>
      <c r="D439" s="370"/>
      <c r="E439" s="370"/>
      <c r="F439" s="370"/>
      <c r="G439" s="370"/>
      <c r="H439" s="370"/>
      <c r="I439" s="370"/>
      <c r="J439" s="370" t="s">
        <v>110</v>
      </c>
      <c r="K439" s="370"/>
      <c r="L439" s="14"/>
    </row>
    <row r="440" spans="1:12">
      <c r="A440" s="388"/>
      <c r="B440" s="1176" t="s">
        <v>111</v>
      </c>
      <c r="C440" s="1213"/>
      <c r="D440" s="1213"/>
      <c r="E440" s="1213"/>
      <c r="F440" s="1213"/>
      <c r="G440" s="370"/>
      <c r="H440" s="1213" t="s">
        <v>4</v>
      </c>
      <c r="I440" s="1213"/>
      <c r="J440" s="1213"/>
      <c r="K440" s="1213"/>
      <c r="L440" s="1178"/>
    </row>
    <row r="441" spans="1:12" ht="15.75" thickBot="1">
      <c r="A441" s="388"/>
      <c r="B441" s="13"/>
      <c r="C441" s="370"/>
      <c r="D441" s="370"/>
      <c r="E441" s="370"/>
      <c r="F441" s="370"/>
      <c r="G441" s="370"/>
      <c r="H441" s="370"/>
      <c r="I441" s="370"/>
      <c r="J441" s="370"/>
      <c r="K441" s="370"/>
      <c r="L441" s="14"/>
    </row>
    <row r="442" spans="1:12">
      <c r="A442" s="388"/>
      <c r="B442" s="74"/>
      <c r="C442" s="75"/>
      <c r="D442" s="75"/>
      <c r="E442" s="75"/>
      <c r="F442" s="76"/>
      <c r="G442" s="370"/>
      <c r="H442" s="78"/>
      <c r="I442" s="79"/>
      <c r="J442" s="79"/>
      <c r="K442" s="79"/>
      <c r="L442" s="80"/>
    </row>
    <row r="443" spans="1:12">
      <c r="A443" s="388"/>
      <c r="B443" s="13"/>
      <c r="C443" s="370"/>
      <c r="D443" s="370"/>
      <c r="E443" s="370"/>
      <c r="F443" s="14"/>
      <c r="G443" s="370"/>
      <c r="H443" s="524" t="s">
        <v>497</v>
      </c>
      <c r="I443" s="374"/>
      <c r="J443" s="374"/>
      <c r="K443" s="374"/>
      <c r="L443" s="81"/>
    </row>
    <row r="444" spans="1:12">
      <c r="A444" s="388"/>
      <c r="B444" s="423" t="s">
        <v>373</v>
      </c>
      <c r="C444" s="370"/>
      <c r="D444" s="370"/>
      <c r="E444" s="370"/>
      <c r="F444" s="14"/>
      <c r="G444" s="370"/>
      <c r="H444" s="425" t="s">
        <v>490</v>
      </c>
      <c r="I444" s="374"/>
      <c r="J444" s="374"/>
      <c r="K444" s="374"/>
      <c r="L444" s="81"/>
    </row>
    <row r="445" spans="1:12">
      <c r="A445" s="388"/>
      <c r="B445" s="13"/>
      <c r="C445" s="370"/>
      <c r="D445" s="370"/>
      <c r="E445" s="370"/>
      <c r="F445" s="14"/>
      <c r="G445" s="370"/>
      <c r="H445" s="77"/>
      <c r="I445" s="374"/>
      <c r="J445" s="374"/>
      <c r="K445" s="374"/>
      <c r="L445" s="81"/>
    </row>
    <row r="446" spans="1:12" ht="15.75" thickBot="1">
      <c r="A446" s="388"/>
      <c r="B446" s="25"/>
      <c r="C446" s="23"/>
      <c r="D446" s="23"/>
      <c r="E446" s="23"/>
      <c r="F446" s="24"/>
      <c r="G446" s="370"/>
      <c r="H446" s="77"/>
      <c r="I446" s="374"/>
      <c r="J446" s="374"/>
      <c r="K446" s="374"/>
      <c r="L446" s="81"/>
    </row>
    <row r="447" spans="1:12" ht="30" customHeight="1">
      <c r="A447" s="388"/>
      <c r="B447" s="1143" t="s">
        <v>112</v>
      </c>
      <c r="C447" s="1144"/>
      <c r="D447" s="1144"/>
      <c r="E447" s="1144"/>
      <c r="F447" s="1144"/>
      <c r="G447" s="1145"/>
      <c r="H447" s="1146" t="str">
        <f>'04-221Master'!B23</f>
        <v>Santosh Patel</v>
      </c>
      <c r="I447" s="1147"/>
      <c r="J447" s="1147"/>
      <c r="K447" s="1147"/>
      <c r="L447" s="1147"/>
    </row>
    <row r="448" spans="1:12" ht="30" customHeight="1">
      <c r="A448" s="388"/>
      <c r="B448" s="1148"/>
      <c r="C448" s="1149"/>
      <c r="D448" s="1149"/>
      <c r="E448" s="1149"/>
      <c r="F448" s="1149"/>
      <c r="G448" s="1149"/>
      <c r="H448" s="1150" t="str">
        <f>'04-221Master'!G23</f>
        <v>RNA- Plaza, Bldg R-6, Flat 714,Shree Ganesh CHS,Somani Gram, Rammandr road, Goregaon (west), Mumbai 400104.</v>
      </c>
      <c r="I448" s="1150"/>
      <c r="J448" s="1150"/>
      <c r="K448" s="1150"/>
      <c r="L448" s="1150"/>
    </row>
    <row r="449" spans="1:13" ht="30" customHeight="1">
      <c r="A449" s="388"/>
      <c r="B449" s="1152" t="s">
        <v>113</v>
      </c>
      <c r="C449" s="1153"/>
      <c r="D449" s="1153"/>
      <c r="E449" s="1153"/>
      <c r="F449" s="1153"/>
      <c r="G449" s="1153"/>
      <c r="H449" s="1154">
        <f>'04-221Master'!AY23</f>
        <v>26</v>
      </c>
      <c r="I449" s="1155"/>
      <c r="J449" s="1155"/>
      <c r="K449" s="1155"/>
      <c r="L449" s="1156"/>
    </row>
    <row r="450" spans="1:13" ht="30" customHeight="1">
      <c r="A450" s="388"/>
      <c r="B450" s="1143" t="s">
        <v>114</v>
      </c>
      <c r="C450" s="1144"/>
      <c r="D450" s="1144"/>
      <c r="E450" s="1144"/>
      <c r="F450" s="1144"/>
      <c r="G450" s="1144"/>
      <c r="H450" s="1146" t="str">
        <f>'04-221Master'!F23</f>
        <v>Senior  Support Engineer</v>
      </c>
      <c r="I450" s="1147"/>
      <c r="J450" s="1147"/>
      <c r="K450" s="1147"/>
      <c r="L450" s="1151"/>
    </row>
    <row r="451" spans="1:13" ht="30" customHeight="1">
      <c r="A451" s="388"/>
      <c r="B451" s="1143" t="s">
        <v>115</v>
      </c>
      <c r="C451" s="1144"/>
      <c r="D451" s="1144"/>
      <c r="E451" s="1144"/>
      <c r="F451" s="1144"/>
      <c r="G451" s="1144"/>
      <c r="H451" s="1157">
        <f>'04-221Master'!N23</f>
        <v>44438</v>
      </c>
      <c r="I451" s="1158"/>
      <c r="J451" s="1158"/>
      <c r="K451" s="1158"/>
      <c r="L451" s="1159"/>
    </row>
    <row r="452" spans="1:13" ht="30" customHeight="1">
      <c r="A452" s="388"/>
      <c r="B452" s="399" t="s">
        <v>116</v>
      </c>
      <c r="C452" s="87"/>
      <c r="D452" s="87"/>
      <c r="E452" s="87"/>
      <c r="F452" s="87"/>
      <c r="G452" s="87"/>
      <c r="H452" s="531"/>
      <c r="I452" s="89"/>
      <c r="J452" s="389" t="str">
        <f>'04-221Master'!T23</f>
        <v>N/A</v>
      </c>
      <c r="K452" s="527"/>
      <c r="L452" s="529"/>
    </row>
    <row r="453" spans="1:13" ht="30" customHeight="1">
      <c r="A453" s="388"/>
      <c r="B453" s="399" t="s">
        <v>117</v>
      </c>
      <c r="C453" s="87"/>
      <c r="D453" s="87"/>
      <c r="E453" s="87"/>
      <c r="F453" s="87"/>
      <c r="G453" s="429"/>
      <c r="H453" s="92"/>
      <c r="I453" s="93"/>
      <c r="J453" s="389" t="str">
        <f>'04-221Master'!S23</f>
        <v>100893476080</v>
      </c>
      <c r="K453" s="93"/>
      <c r="L453" s="94"/>
    </row>
    <row r="454" spans="1:13" ht="30" customHeight="1">
      <c r="A454" s="388"/>
      <c r="B454" s="1160" t="s">
        <v>118</v>
      </c>
      <c r="C454" s="1161"/>
      <c r="D454" s="1161"/>
      <c r="E454" s="1161"/>
      <c r="F454" s="1161"/>
      <c r="G454" s="1161"/>
      <c r="H454" s="1154">
        <f>'04-221Master'!Y23</f>
        <v>131257</v>
      </c>
      <c r="I454" s="1155"/>
      <c r="J454" s="1155"/>
      <c r="K454" s="1155"/>
      <c r="L454" s="1156"/>
    </row>
    <row r="455" spans="1:13" ht="30" customHeight="1">
      <c r="A455" s="388"/>
      <c r="B455" s="1143" t="s">
        <v>119</v>
      </c>
      <c r="C455" s="1144"/>
      <c r="D455" s="1144"/>
      <c r="E455" s="1144"/>
      <c r="F455" s="1144"/>
      <c r="G455" s="1144"/>
      <c r="H455" s="1162">
        <f>'04-221Master'!D10</f>
        <v>44652</v>
      </c>
      <c r="I455" s="1147"/>
      <c r="J455" s="1147"/>
      <c r="K455" s="1147"/>
      <c r="L455" s="1151"/>
    </row>
    <row r="456" spans="1:13" ht="30" customHeight="1">
      <c r="A456" s="388"/>
      <c r="B456" s="1143" t="s">
        <v>120</v>
      </c>
      <c r="C456" s="1144"/>
      <c r="D456" s="1144"/>
      <c r="E456" s="1144"/>
      <c r="F456" s="1144"/>
      <c r="G456" s="1144"/>
      <c r="H456" s="1147" t="s">
        <v>121</v>
      </c>
      <c r="I456" s="1147"/>
      <c r="J456" s="1147"/>
      <c r="K456" s="1147"/>
      <c r="L456" s="1151"/>
    </row>
    <row r="457" spans="1:13" ht="30" customHeight="1">
      <c r="A457" s="388"/>
      <c r="B457" s="399" t="s">
        <v>122</v>
      </c>
      <c r="C457" s="87"/>
      <c r="D457" s="87"/>
      <c r="E457" s="87"/>
      <c r="F457" s="87"/>
      <c r="G457" s="429"/>
      <c r="H457" s="531"/>
      <c r="I457" s="527"/>
      <c r="J457" s="96">
        <f>'04-221Master'!W23</f>
        <v>30</v>
      </c>
      <c r="K457" s="527"/>
      <c r="L457" s="529"/>
    </row>
    <row r="458" spans="1:13" ht="30" customHeight="1">
      <c r="A458" s="388"/>
      <c r="B458" s="399" t="s">
        <v>123</v>
      </c>
      <c r="C458" s="87"/>
      <c r="D458" s="87"/>
      <c r="E458" s="87"/>
      <c r="F458" s="87"/>
      <c r="G458" s="429"/>
      <c r="H458" s="531"/>
      <c r="I458" s="527"/>
      <c r="J458" s="527" t="s">
        <v>37</v>
      </c>
      <c r="K458" s="527"/>
      <c r="L458" s="529"/>
    </row>
    <row r="459" spans="1:13" ht="30" customHeight="1">
      <c r="A459" s="388"/>
      <c r="B459" s="399" t="s">
        <v>124</v>
      </c>
      <c r="C459" s="87"/>
      <c r="D459" s="87"/>
      <c r="E459" s="87"/>
      <c r="F459" s="87"/>
      <c r="G459" s="429"/>
      <c r="H459" s="531"/>
      <c r="I459" s="527"/>
      <c r="J459" s="96">
        <v>0</v>
      </c>
      <c r="K459" s="527"/>
      <c r="L459" s="529"/>
    </row>
    <row r="460" spans="1:13" ht="30" customHeight="1">
      <c r="A460" s="388"/>
      <c r="B460" s="399" t="s">
        <v>125</v>
      </c>
      <c r="C460" s="87"/>
      <c r="D460" s="87"/>
      <c r="E460" s="87"/>
      <c r="F460" s="87"/>
      <c r="G460" s="429"/>
      <c r="H460" s="531"/>
      <c r="I460" s="527"/>
      <c r="J460" s="527">
        <v>0</v>
      </c>
      <c r="K460" s="527"/>
      <c r="L460" s="529"/>
    </row>
    <row r="461" spans="1:13" ht="30" customHeight="1">
      <c r="A461" s="388"/>
      <c r="B461" s="399" t="s">
        <v>126</v>
      </c>
      <c r="C461" s="87"/>
      <c r="D461" s="87"/>
      <c r="E461" s="87"/>
      <c r="F461" s="87"/>
      <c r="G461" s="429"/>
      <c r="H461" s="531"/>
      <c r="I461" s="527"/>
      <c r="J461" s="364">
        <f>'04-221Master'!AM23</f>
        <v>143275.53602</v>
      </c>
      <c r="K461" s="527"/>
      <c r="L461" s="529" t="s">
        <v>585</v>
      </c>
    </row>
    <row r="462" spans="1:13" ht="30" customHeight="1">
      <c r="A462" s="388"/>
      <c r="B462" s="399" t="s">
        <v>127</v>
      </c>
      <c r="C462" s="87"/>
      <c r="D462" s="526" t="s">
        <v>32</v>
      </c>
      <c r="E462" s="528">
        <f>'04-221Master'!AO23</f>
        <v>1800</v>
      </c>
      <c r="F462" s="526" t="s">
        <v>31</v>
      </c>
      <c r="G462" s="528">
        <f>'04-221Master'!AN23</f>
        <v>0</v>
      </c>
      <c r="H462" s="526" t="s">
        <v>33</v>
      </c>
      <c r="I462" s="528">
        <f>'04-221Master'!AP23</f>
        <v>200</v>
      </c>
      <c r="J462" s="526" t="s">
        <v>34</v>
      </c>
      <c r="K462" s="528">
        <f>'04-221Master'!AQ23</f>
        <v>0</v>
      </c>
      <c r="L462" s="103">
        <f>'04-221Master'!AR23</f>
        <v>336</v>
      </c>
    </row>
    <row r="463" spans="1:13" ht="30" customHeight="1">
      <c r="A463" s="388"/>
      <c r="B463" s="399" t="s">
        <v>128</v>
      </c>
      <c r="C463" s="87"/>
      <c r="D463" s="87"/>
      <c r="E463" s="87"/>
      <c r="F463" s="87"/>
      <c r="G463" s="429"/>
      <c r="H463" s="531"/>
      <c r="I463" s="527"/>
      <c r="J463" s="96">
        <f>'04-221Master'!AT23</f>
        <v>140939.53602</v>
      </c>
      <c r="K463" s="527"/>
      <c r="L463" s="529"/>
      <c r="M463" s="388"/>
    </row>
    <row r="464" spans="1:13" ht="30" customHeight="1">
      <c r="A464" s="388"/>
      <c r="B464" s="400" t="s">
        <v>129</v>
      </c>
      <c r="C464" s="401"/>
      <c r="D464" s="401"/>
      <c r="E464" s="401"/>
      <c r="F464" s="401"/>
      <c r="G464" s="402"/>
      <c r="H464" s="403"/>
      <c r="I464" s="404"/>
      <c r="J464" s="404"/>
      <c r="K464" s="404"/>
      <c r="L464" s="98"/>
    </row>
    <row r="465" spans="1:12" ht="30" customHeight="1">
      <c r="A465" s="388"/>
      <c r="B465" s="426" t="s">
        <v>130</v>
      </c>
      <c r="C465" s="374"/>
      <c r="D465" s="374"/>
      <c r="E465" s="374"/>
      <c r="F465" s="374"/>
      <c r="G465" s="427"/>
      <c r="H465" s="71"/>
      <c r="I465" s="370"/>
      <c r="J465" s="370"/>
      <c r="K465" s="370"/>
      <c r="L465" s="14"/>
    </row>
    <row r="466" spans="1:12" ht="30" customHeight="1">
      <c r="A466" s="388"/>
      <c r="B466" s="13"/>
      <c r="C466" s="370"/>
      <c r="D466" s="370"/>
      <c r="E466" s="370"/>
      <c r="F466" s="370"/>
      <c r="G466" s="370"/>
      <c r="H466" s="370"/>
      <c r="I466" s="370"/>
      <c r="J466" s="370"/>
      <c r="K466" s="370"/>
      <c r="L466" s="14"/>
    </row>
    <row r="467" spans="1:12" ht="30" customHeight="1" thickBot="1">
      <c r="A467" s="388"/>
      <c r="B467" s="25"/>
      <c r="C467" s="23"/>
      <c r="D467" s="23"/>
      <c r="E467" s="23"/>
      <c r="F467" s="23"/>
      <c r="G467" s="23"/>
      <c r="H467" s="23"/>
      <c r="I467" s="23"/>
      <c r="J467" s="23"/>
      <c r="K467" s="23"/>
      <c r="L467" s="24"/>
    </row>
    <row r="468" spans="1:12">
      <c r="A468" s="388"/>
      <c r="B468" s="370"/>
      <c r="C468" s="370"/>
      <c r="D468" s="370"/>
      <c r="E468" s="370"/>
      <c r="F468" s="370"/>
      <c r="G468" s="370"/>
      <c r="H468" s="370"/>
      <c r="I468" s="370"/>
      <c r="J468" s="370"/>
      <c r="K468" s="370"/>
      <c r="L468" s="370"/>
    </row>
    <row r="469" spans="1:12">
      <c r="A469" s="388"/>
      <c r="B469" s="370"/>
      <c r="C469" s="370"/>
      <c r="D469" s="370"/>
      <c r="E469" s="370"/>
      <c r="F469" s="370"/>
      <c r="G469" s="370"/>
      <c r="H469" s="370"/>
      <c r="I469" s="370"/>
      <c r="J469" s="370"/>
      <c r="K469" s="370"/>
      <c r="L469" s="370"/>
    </row>
    <row r="470" spans="1:12">
      <c r="A470" s="388"/>
      <c r="B470" s="370"/>
      <c r="C470" s="370"/>
      <c r="D470" s="370"/>
      <c r="E470" s="370"/>
      <c r="F470" s="370"/>
      <c r="G470" s="370"/>
      <c r="H470" s="370"/>
      <c r="I470" s="370"/>
      <c r="J470" s="370"/>
      <c r="K470" s="370"/>
      <c r="L470" s="370"/>
    </row>
    <row r="471" spans="1:12">
      <c r="A471" s="388"/>
      <c r="B471" s="370"/>
      <c r="C471" s="370"/>
      <c r="D471" s="370"/>
      <c r="E471" s="370"/>
      <c r="F471" s="370"/>
      <c r="G471" s="370"/>
      <c r="H471" s="370"/>
      <c r="I471" s="370"/>
      <c r="J471" s="370"/>
      <c r="K471" s="370"/>
      <c r="L471" s="370"/>
    </row>
    <row r="472" spans="1:12">
      <c r="A472" s="388"/>
      <c r="B472" s="370"/>
      <c r="C472" s="370"/>
      <c r="D472" s="370"/>
      <c r="E472" s="370"/>
      <c r="F472" s="370"/>
      <c r="G472" s="370"/>
      <c r="H472" s="370"/>
      <c r="I472" s="370"/>
      <c r="J472" s="370"/>
      <c r="K472" s="370"/>
      <c r="L472" s="370"/>
    </row>
    <row r="473" spans="1:12">
      <c r="A473" s="388"/>
      <c r="B473" s="370"/>
      <c r="C473" s="370"/>
      <c r="D473" s="370"/>
      <c r="E473" s="370"/>
      <c r="F473" s="370"/>
      <c r="G473" s="370"/>
      <c r="H473" s="370"/>
      <c r="I473" s="370"/>
      <c r="J473" s="370"/>
      <c r="K473" s="370"/>
      <c r="L473" s="370"/>
    </row>
    <row r="474" spans="1:12">
      <c r="A474" s="388"/>
      <c r="B474" s="370"/>
      <c r="C474" s="370"/>
      <c r="D474" s="370"/>
      <c r="E474" s="370"/>
      <c r="F474" s="370"/>
      <c r="G474" s="370"/>
      <c r="H474" s="370"/>
      <c r="I474" s="370"/>
      <c r="J474" s="370"/>
      <c r="K474" s="370"/>
      <c r="L474" s="370"/>
    </row>
    <row r="475" spans="1:12">
      <c r="A475" s="388"/>
      <c r="B475" s="388"/>
      <c r="C475" s="388"/>
      <c r="D475" s="388"/>
      <c r="E475" s="388"/>
      <c r="F475" s="388"/>
      <c r="G475" s="388"/>
      <c r="H475" s="388"/>
      <c r="I475" s="388"/>
      <c r="J475" s="388"/>
      <c r="K475" s="388"/>
      <c r="L475" s="388"/>
    </row>
    <row r="485" spans="1:12" ht="15.75" thickBot="1"/>
    <row r="486" spans="1:12" ht="32.25">
      <c r="A486" s="388"/>
      <c r="B486" s="1163" t="s">
        <v>590</v>
      </c>
      <c r="C486" s="1164"/>
      <c r="D486" s="1164"/>
      <c r="E486" s="1164"/>
      <c r="F486" s="1164"/>
      <c r="G486" s="1164"/>
      <c r="H486" s="1164"/>
      <c r="I486" s="1164"/>
      <c r="J486" s="1164"/>
      <c r="K486" s="1164"/>
      <c r="L486" s="1165"/>
    </row>
    <row r="487" spans="1:12" ht="23.25">
      <c r="A487" s="388"/>
      <c r="B487" s="1166" t="s">
        <v>107</v>
      </c>
      <c r="C487" s="1207"/>
      <c r="D487" s="1207"/>
      <c r="E487" s="1207"/>
      <c r="F487" s="1207"/>
      <c r="G487" s="1207"/>
      <c r="H487" s="1207"/>
      <c r="I487" s="1207"/>
      <c r="J487" s="1207"/>
      <c r="K487" s="1207"/>
      <c r="L487" s="1168"/>
    </row>
    <row r="488" spans="1:12" ht="16.5" thickBot="1">
      <c r="A488" s="388"/>
      <c r="B488" s="1169" t="s">
        <v>591</v>
      </c>
      <c r="C488" s="1170"/>
      <c r="D488" s="1170"/>
      <c r="E488" s="1170"/>
      <c r="F488" s="1170"/>
      <c r="G488" s="1170"/>
      <c r="H488" s="1170"/>
      <c r="I488" s="1170"/>
      <c r="J488" s="1170"/>
      <c r="K488" s="1170"/>
      <c r="L488" s="1171"/>
    </row>
    <row r="489" spans="1:12">
      <c r="A489" s="388"/>
      <c r="B489" s="1172" t="s">
        <v>108</v>
      </c>
      <c r="C489" s="1211"/>
      <c r="D489" s="1211"/>
      <c r="E489" s="1211"/>
      <c r="F489" s="1211"/>
      <c r="G489" s="370"/>
      <c r="H489" s="1212" t="s">
        <v>109</v>
      </c>
      <c r="I489" s="1212"/>
      <c r="J489" s="1212"/>
      <c r="K489" s="1212"/>
      <c r="L489" s="1175"/>
    </row>
    <row r="490" spans="1:12" ht="15.75" thickBot="1">
      <c r="A490" s="388"/>
      <c r="B490" s="1172"/>
      <c r="C490" s="1211"/>
      <c r="D490" s="1211"/>
      <c r="E490" s="1211"/>
      <c r="F490" s="1211"/>
      <c r="G490" s="370"/>
      <c r="H490" s="1212"/>
      <c r="I490" s="1212"/>
      <c r="J490" s="1212"/>
      <c r="K490" s="1212"/>
      <c r="L490" s="1175"/>
    </row>
    <row r="491" spans="1:12">
      <c r="A491" s="388"/>
      <c r="B491" s="74"/>
      <c r="C491" s="75"/>
      <c r="D491" s="75"/>
      <c r="E491" s="75"/>
      <c r="F491" s="76"/>
      <c r="G491" s="370"/>
      <c r="H491" s="74"/>
      <c r="I491" s="75"/>
      <c r="J491" s="75"/>
      <c r="K491" s="75"/>
      <c r="L491" s="76"/>
    </row>
    <row r="492" spans="1:12">
      <c r="A492" s="388"/>
      <c r="B492" s="419" t="s">
        <v>382</v>
      </c>
      <c r="C492" s="370"/>
      <c r="D492" s="370"/>
      <c r="E492" s="370"/>
      <c r="F492" s="14"/>
      <c r="G492" s="370"/>
      <c r="H492" s="419" t="s">
        <v>382</v>
      </c>
      <c r="I492" s="370"/>
      <c r="J492" s="370"/>
      <c r="K492" s="370"/>
      <c r="L492" s="14"/>
    </row>
    <row r="493" spans="1:12">
      <c r="A493" s="388"/>
      <c r="B493" s="421" t="s">
        <v>383</v>
      </c>
      <c r="C493" s="370"/>
      <c r="D493" s="370"/>
      <c r="E493" s="370"/>
      <c r="F493" s="14"/>
      <c r="G493" s="370"/>
      <c r="H493" s="421" t="s">
        <v>383</v>
      </c>
      <c r="I493" s="370"/>
      <c r="J493" s="370"/>
      <c r="K493" s="370"/>
      <c r="L493" s="14"/>
    </row>
    <row r="494" spans="1:12">
      <c r="A494" s="388"/>
      <c r="B494" s="77"/>
      <c r="C494" s="370"/>
      <c r="D494" s="370"/>
      <c r="E494" s="370"/>
      <c r="F494" s="14"/>
      <c r="G494" s="370"/>
      <c r="H494" s="77"/>
      <c r="I494" s="370"/>
      <c r="J494" s="370"/>
      <c r="K494" s="370"/>
      <c r="L494" s="14"/>
    </row>
    <row r="495" spans="1:12" ht="15.75" thickBot="1">
      <c r="A495" s="388"/>
      <c r="B495" s="25"/>
      <c r="C495" s="23"/>
      <c r="D495" s="23"/>
      <c r="E495" s="23"/>
      <c r="F495" s="24"/>
      <c r="G495" s="370"/>
      <c r="H495" s="25"/>
      <c r="I495" s="23"/>
      <c r="J495" s="23"/>
      <c r="K495" s="23"/>
      <c r="L495" s="24"/>
    </row>
    <row r="496" spans="1:12">
      <c r="A496" s="388"/>
      <c r="B496" s="13"/>
      <c r="C496" s="370"/>
      <c r="D496" s="370"/>
      <c r="E496" s="370"/>
      <c r="F496" s="370"/>
      <c r="G496" s="370"/>
      <c r="H496" s="370"/>
      <c r="I496" s="370"/>
      <c r="J496" s="370" t="s">
        <v>110</v>
      </c>
      <c r="K496" s="370"/>
      <c r="L496" s="14"/>
    </row>
    <row r="497" spans="1:12">
      <c r="A497" s="388"/>
      <c r="B497" s="1176" t="s">
        <v>111</v>
      </c>
      <c r="C497" s="1213"/>
      <c r="D497" s="1213"/>
      <c r="E497" s="1213"/>
      <c r="F497" s="1213"/>
      <c r="G497" s="370"/>
      <c r="H497" s="1213" t="s">
        <v>4</v>
      </c>
      <c r="I497" s="1213"/>
      <c r="J497" s="1213"/>
      <c r="K497" s="1213"/>
      <c r="L497" s="1178"/>
    </row>
    <row r="498" spans="1:12" ht="19.149999999999999" customHeight="1" thickBot="1">
      <c r="A498" s="388"/>
      <c r="B498" s="13"/>
      <c r="C498" s="370"/>
      <c r="D498" s="370"/>
      <c r="E498" s="370"/>
      <c r="F498" s="370"/>
      <c r="G498" s="370"/>
      <c r="H498" s="370"/>
      <c r="I498" s="370"/>
      <c r="J498" s="370"/>
      <c r="K498" s="370"/>
      <c r="L498" s="14"/>
    </row>
    <row r="499" spans="1:12" ht="19.149999999999999" customHeight="1">
      <c r="A499" s="388"/>
      <c r="B499" s="74"/>
      <c r="C499" s="75"/>
      <c r="D499" s="75"/>
      <c r="E499" s="75"/>
      <c r="F499" s="76"/>
      <c r="G499" s="370"/>
      <c r="H499" s="78"/>
      <c r="I499" s="79"/>
      <c r="J499" s="79"/>
      <c r="K499" s="79"/>
      <c r="L499" s="80"/>
    </row>
    <row r="500" spans="1:12" ht="19.149999999999999" customHeight="1">
      <c r="A500" s="388"/>
      <c r="B500" s="13"/>
      <c r="C500" s="370"/>
      <c r="D500" s="370"/>
      <c r="E500" s="370"/>
      <c r="F500" s="14"/>
      <c r="G500" s="370"/>
      <c r="H500" s="524" t="s">
        <v>497</v>
      </c>
      <c r="I500" s="374"/>
      <c r="J500" s="374"/>
      <c r="K500" s="374"/>
      <c r="L500" s="81"/>
    </row>
    <row r="501" spans="1:12" ht="19.149999999999999" customHeight="1">
      <c r="A501" s="388"/>
      <c r="B501" s="423" t="s">
        <v>373</v>
      </c>
      <c r="C501" s="370"/>
      <c r="D501" s="370"/>
      <c r="E501" s="370"/>
      <c r="F501" s="14"/>
      <c r="G501" s="370"/>
      <c r="H501" s="425" t="s">
        <v>490</v>
      </c>
      <c r="I501" s="374"/>
      <c r="J501" s="374"/>
      <c r="K501" s="374"/>
      <c r="L501" s="81"/>
    </row>
    <row r="502" spans="1:12" ht="19.149999999999999" customHeight="1">
      <c r="A502" s="388"/>
      <c r="B502" s="13"/>
      <c r="C502" s="370"/>
      <c r="D502" s="370"/>
      <c r="E502" s="370"/>
      <c r="F502" s="14"/>
      <c r="G502" s="370"/>
      <c r="H502" s="77"/>
      <c r="I502" s="374"/>
      <c r="J502" s="374"/>
      <c r="K502" s="374"/>
      <c r="L502" s="81"/>
    </row>
    <row r="503" spans="1:12" ht="19.149999999999999" customHeight="1" thickBot="1">
      <c r="A503" s="388"/>
      <c r="B503" s="25"/>
      <c r="C503" s="23"/>
      <c r="D503" s="23"/>
      <c r="E503" s="23"/>
      <c r="F503" s="24"/>
      <c r="G503" s="370"/>
      <c r="H503" s="77"/>
      <c r="I503" s="374"/>
      <c r="J503" s="374"/>
      <c r="K503" s="374"/>
      <c r="L503" s="81"/>
    </row>
    <row r="504" spans="1:12" ht="30" customHeight="1">
      <c r="A504" s="388"/>
      <c r="B504" s="1143" t="s">
        <v>112</v>
      </c>
      <c r="C504" s="1144"/>
      <c r="D504" s="1144"/>
      <c r="E504" s="1144"/>
      <c r="F504" s="1144"/>
      <c r="G504" s="1145"/>
      <c r="H504" s="1146" t="str">
        <f>'04-221Master'!B24</f>
        <v>Basweshwar Pawar</v>
      </c>
      <c r="I504" s="1147"/>
      <c r="J504" s="1147"/>
      <c r="K504" s="1147"/>
      <c r="L504" s="1147"/>
    </row>
    <row r="505" spans="1:12" ht="30" customHeight="1">
      <c r="A505" s="388"/>
      <c r="B505" s="1148"/>
      <c r="C505" s="1149"/>
      <c r="D505" s="1149"/>
      <c r="E505" s="1149"/>
      <c r="F505" s="1149"/>
      <c r="G505" s="1149"/>
      <c r="H505" s="1150" t="str">
        <f>'04-221Master'!G24</f>
        <v>H-302, Kohinoor Abhimaan Homes, somatane-Kasarai Road,Near Sai Temple, Mawal, PUNE 410506</v>
      </c>
      <c r="I505" s="1150"/>
      <c r="J505" s="1150"/>
      <c r="K505" s="1150"/>
      <c r="L505" s="1150"/>
    </row>
    <row r="506" spans="1:12" ht="30" customHeight="1">
      <c r="A506" s="388"/>
      <c r="B506" s="1152" t="s">
        <v>113</v>
      </c>
      <c r="C506" s="1153"/>
      <c r="D506" s="1153"/>
      <c r="E506" s="1153"/>
      <c r="F506" s="1153"/>
      <c r="G506" s="1153"/>
      <c r="H506" s="1154">
        <f>'04-221Master'!AY24</f>
        <v>27</v>
      </c>
      <c r="I506" s="1155"/>
      <c r="J506" s="1155"/>
      <c r="K506" s="1155"/>
      <c r="L506" s="1156"/>
    </row>
    <row r="507" spans="1:12" ht="30" customHeight="1">
      <c r="A507" s="388"/>
      <c r="B507" s="1143" t="s">
        <v>114</v>
      </c>
      <c r="C507" s="1144"/>
      <c r="D507" s="1144"/>
      <c r="E507" s="1144"/>
      <c r="F507" s="1144"/>
      <c r="G507" s="1144"/>
      <c r="H507" s="1146" t="str">
        <f>'04-221Master'!F24</f>
        <v>Lead PMO</v>
      </c>
      <c r="I507" s="1147"/>
      <c r="J507" s="1147"/>
      <c r="K507" s="1147"/>
      <c r="L507" s="1151"/>
    </row>
    <row r="508" spans="1:12" ht="30" customHeight="1">
      <c r="A508" s="388"/>
      <c r="B508" s="1143" t="s">
        <v>115</v>
      </c>
      <c r="C508" s="1144"/>
      <c r="D508" s="1144"/>
      <c r="E508" s="1144"/>
      <c r="F508" s="1144"/>
      <c r="G508" s="1144"/>
      <c r="H508" s="1157">
        <f>'04-221Master'!N24</f>
        <v>44446</v>
      </c>
      <c r="I508" s="1158"/>
      <c r="J508" s="1158"/>
      <c r="K508" s="1158"/>
      <c r="L508" s="1159"/>
    </row>
    <row r="509" spans="1:12" ht="30" customHeight="1">
      <c r="A509" s="388"/>
      <c r="B509" s="399" t="s">
        <v>116</v>
      </c>
      <c r="C509" s="87"/>
      <c r="D509" s="87"/>
      <c r="E509" s="87"/>
      <c r="F509" s="87"/>
      <c r="G509" s="87"/>
      <c r="H509" s="531"/>
      <c r="I509" s="89"/>
      <c r="J509" s="389" t="str">
        <f>'04-221Master'!T24</f>
        <v>N/A</v>
      </c>
      <c r="K509" s="527"/>
      <c r="L509" s="529"/>
    </row>
    <row r="510" spans="1:12" ht="30" customHeight="1">
      <c r="A510" s="388"/>
      <c r="B510" s="399" t="s">
        <v>117</v>
      </c>
      <c r="C510" s="87"/>
      <c r="D510" s="87"/>
      <c r="E510" s="87"/>
      <c r="F510" s="87"/>
      <c r="G510" s="429"/>
      <c r="H510" s="92"/>
      <c r="I510" s="93"/>
      <c r="J510" s="389" t="str">
        <f>'04-221Master'!S24</f>
        <v>100233436495</v>
      </c>
      <c r="K510" s="93"/>
      <c r="L510" s="94"/>
    </row>
    <row r="511" spans="1:12" ht="30" customHeight="1">
      <c r="A511" s="388"/>
      <c r="B511" s="1160" t="s">
        <v>118</v>
      </c>
      <c r="C511" s="1161"/>
      <c r="D511" s="1161"/>
      <c r="E511" s="1161"/>
      <c r="F511" s="1161"/>
      <c r="G511" s="1161"/>
      <c r="H511" s="1154">
        <f>'04-221Master'!Y24</f>
        <v>89547</v>
      </c>
      <c r="I511" s="1155"/>
      <c r="J511" s="1155"/>
      <c r="K511" s="1155"/>
      <c r="L511" s="1156"/>
    </row>
    <row r="512" spans="1:12" ht="30" customHeight="1">
      <c r="A512" s="388"/>
      <c r="B512" s="1143" t="s">
        <v>119</v>
      </c>
      <c r="C512" s="1144"/>
      <c r="D512" s="1144"/>
      <c r="E512" s="1144"/>
      <c r="F512" s="1144"/>
      <c r="G512" s="1144"/>
      <c r="H512" s="1162">
        <f>'04-221Master'!D10</f>
        <v>44652</v>
      </c>
      <c r="I512" s="1147"/>
      <c r="J512" s="1147"/>
      <c r="K512" s="1147"/>
      <c r="L512" s="1151"/>
    </row>
    <row r="513" spans="1:13" ht="30" customHeight="1">
      <c r="A513" s="388"/>
      <c r="B513" s="1143" t="s">
        <v>120</v>
      </c>
      <c r="C513" s="1144"/>
      <c r="D513" s="1144"/>
      <c r="E513" s="1144"/>
      <c r="F513" s="1144"/>
      <c r="G513" s="1144"/>
      <c r="H513" s="1147" t="s">
        <v>121</v>
      </c>
      <c r="I513" s="1147"/>
      <c r="J513" s="1147"/>
      <c r="K513" s="1147"/>
      <c r="L513" s="1151"/>
    </row>
    <row r="514" spans="1:13" ht="30" customHeight="1">
      <c r="A514" s="388"/>
      <c r="B514" s="399" t="s">
        <v>122</v>
      </c>
      <c r="C514" s="87"/>
      <c r="D514" s="87"/>
      <c r="E514" s="87"/>
      <c r="F514" s="87"/>
      <c r="G514" s="429"/>
      <c r="H514" s="531"/>
      <c r="I514" s="527"/>
      <c r="J514" s="96">
        <f>'04-221Master'!W24</f>
        <v>30</v>
      </c>
      <c r="K514" s="527"/>
      <c r="L514" s="529"/>
    </row>
    <row r="515" spans="1:13" ht="30" customHeight="1">
      <c r="A515" s="388"/>
      <c r="B515" s="399" t="s">
        <v>123</v>
      </c>
      <c r="C515" s="87"/>
      <c r="D515" s="87"/>
      <c r="E515" s="87"/>
      <c r="F515" s="87"/>
      <c r="G515" s="429"/>
      <c r="H515" s="531"/>
      <c r="I515" s="527"/>
      <c r="J515" s="527" t="s">
        <v>37</v>
      </c>
      <c r="K515" s="527"/>
      <c r="L515" s="529"/>
    </row>
    <row r="516" spans="1:13" ht="30" customHeight="1">
      <c r="A516" s="388"/>
      <c r="B516" s="399" t="s">
        <v>124</v>
      </c>
      <c r="C516" s="87"/>
      <c r="D516" s="87"/>
      <c r="E516" s="87"/>
      <c r="F516" s="87"/>
      <c r="G516" s="429"/>
      <c r="H516" s="531"/>
      <c r="I516" s="527"/>
      <c r="J516" s="96">
        <v>0</v>
      </c>
      <c r="K516" s="527"/>
      <c r="L516" s="529"/>
    </row>
    <row r="517" spans="1:13" ht="30" customHeight="1">
      <c r="A517" s="388"/>
      <c r="B517" s="399" t="s">
        <v>125</v>
      </c>
      <c r="C517" s="87"/>
      <c r="D517" s="87"/>
      <c r="E517" s="87"/>
      <c r="F517" s="87"/>
      <c r="G517" s="429"/>
      <c r="H517" s="531"/>
      <c r="I517" s="527"/>
      <c r="J517" s="527">
        <v>0</v>
      </c>
      <c r="K517" s="527"/>
      <c r="L517" s="529"/>
    </row>
    <row r="518" spans="1:13" ht="30" customHeight="1">
      <c r="A518" s="388"/>
      <c r="B518" s="399" t="s">
        <v>126</v>
      </c>
      <c r="C518" s="87"/>
      <c r="D518" s="87"/>
      <c r="E518" s="87"/>
      <c r="F518" s="87"/>
      <c r="G518" s="429"/>
      <c r="H518" s="531"/>
      <c r="I518" s="527"/>
      <c r="J518" s="364">
        <f>'04-221Master'!AM24</f>
        <v>98276.28542</v>
      </c>
      <c r="K518" s="527"/>
      <c r="L518" s="529" t="s">
        <v>585</v>
      </c>
    </row>
    <row r="519" spans="1:13" ht="30" customHeight="1">
      <c r="A519" s="388"/>
      <c r="B519" s="399" t="s">
        <v>127</v>
      </c>
      <c r="C519" s="87"/>
      <c r="D519" s="526" t="s">
        <v>32</v>
      </c>
      <c r="E519" s="528">
        <f>'04-221Master'!AO24</f>
        <v>1800</v>
      </c>
      <c r="F519" s="526" t="s">
        <v>31</v>
      </c>
      <c r="G519" s="528">
        <f>'04-221Master'!AN24</f>
        <v>0</v>
      </c>
      <c r="H519" s="526" t="s">
        <v>33</v>
      </c>
      <c r="I519" s="528">
        <f>'04-221Master'!AP24</f>
        <v>200</v>
      </c>
      <c r="J519" s="526" t="s">
        <v>34</v>
      </c>
      <c r="K519" s="528">
        <f>'04-221Master'!AQ24</f>
        <v>0</v>
      </c>
      <c r="L519" s="103">
        <f>'04-221Master'!AR24</f>
        <v>224</v>
      </c>
    </row>
    <row r="520" spans="1:13" ht="30" customHeight="1">
      <c r="A520" s="388"/>
      <c r="B520" s="399" t="s">
        <v>128</v>
      </c>
      <c r="C520" s="87"/>
      <c r="D520" s="87"/>
      <c r="E520" s="87"/>
      <c r="F520" s="87"/>
      <c r="G520" s="429"/>
      <c r="H520" s="531"/>
      <c r="I520" s="527"/>
      <c r="J520" s="96">
        <f>'04-221Master'!AT24</f>
        <v>96052.28542</v>
      </c>
      <c r="K520" s="527"/>
      <c r="L520" s="529"/>
      <c r="M520" s="839"/>
    </row>
    <row r="521" spans="1:13" ht="19.149999999999999" customHeight="1">
      <c r="A521" s="388"/>
      <c r="B521" s="400" t="s">
        <v>129</v>
      </c>
      <c r="C521" s="401"/>
      <c r="D521" s="401"/>
      <c r="E521" s="401"/>
      <c r="F521" s="401"/>
      <c r="G521" s="402"/>
      <c r="H521" s="403"/>
      <c r="I521" s="404"/>
      <c r="J521" s="404"/>
      <c r="K521" s="404"/>
      <c r="L521" s="98"/>
    </row>
    <row r="522" spans="1:13" ht="19.149999999999999" customHeight="1">
      <c r="A522" s="388"/>
      <c r="B522" s="426" t="s">
        <v>130</v>
      </c>
      <c r="C522" s="374"/>
      <c r="D522" s="374"/>
      <c r="E522" s="374"/>
      <c r="F522" s="374"/>
      <c r="G522" s="427"/>
      <c r="H522" s="71"/>
      <c r="I522" s="370"/>
      <c r="J522" s="370"/>
      <c r="K522" s="370"/>
      <c r="L522" s="14"/>
    </row>
    <row r="523" spans="1:13">
      <c r="A523" s="388"/>
      <c r="B523" s="13"/>
      <c r="C523" s="370"/>
      <c r="D523" s="370"/>
      <c r="E523" s="370"/>
      <c r="F523" s="370"/>
      <c r="G523" s="370"/>
      <c r="H523" s="370"/>
      <c r="I523" s="370"/>
      <c r="J523" s="370"/>
      <c r="K523" s="370"/>
      <c r="L523" s="14"/>
    </row>
    <row r="524" spans="1:13" ht="15.75" thickBot="1">
      <c r="A524" s="388"/>
      <c r="B524" s="25"/>
      <c r="C524" s="23"/>
      <c r="D524" s="23"/>
      <c r="E524" s="23"/>
      <c r="F524" s="23"/>
      <c r="G524" s="23"/>
      <c r="H524" s="23"/>
      <c r="I524" s="23"/>
      <c r="J524" s="23"/>
      <c r="K524" s="23"/>
      <c r="L524" s="24"/>
    </row>
    <row r="525" spans="1:13">
      <c r="A525" s="388"/>
      <c r="B525" s="370"/>
      <c r="C525" s="370"/>
      <c r="D525" s="370"/>
      <c r="E525" s="370"/>
      <c r="F525" s="370"/>
      <c r="G525" s="370"/>
      <c r="H525" s="370"/>
      <c r="I525" s="370"/>
      <c r="J525" s="370"/>
      <c r="K525" s="370"/>
      <c r="L525" s="370"/>
    </row>
    <row r="526" spans="1:13">
      <c r="A526" s="388"/>
      <c r="B526" s="370"/>
      <c r="C526" s="370"/>
      <c r="D526" s="370"/>
      <c r="E526" s="370"/>
      <c r="F526" s="370"/>
      <c r="G526" s="370"/>
      <c r="H526" s="370"/>
      <c r="I526" s="370"/>
      <c r="J526" s="370"/>
      <c r="K526" s="370"/>
      <c r="L526" s="370"/>
    </row>
    <row r="527" spans="1:13">
      <c r="A527" s="388"/>
      <c r="B527" s="370"/>
      <c r="C527" s="370"/>
      <c r="D527" s="370"/>
      <c r="E527" s="370"/>
      <c r="F527" s="370"/>
      <c r="G527" s="370"/>
      <c r="H527" s="370"/>
      <c r="I527" s="370"/>
      <c r="J527" s="370"/>
      <c r="K527" s="370"/>
      <c r="L527" s="370"/>
    </row>
    <row r="528" spans="1:13">
      <c r="A528" s="388"/>
      <c r="B528" s="370"/>
      <c r="C528" s="370"/>
      <c r="D528" s="370"/>
      <c r="E528" s="370"/>
      <c r="F528" s="370"/>
      <c r="G528" s="370"/>
      <c r="H528" s="370"/>
      <c r="I528" s="370"/>
      <c r="J528" s="370"/>
      <c r="K528" s="370"/>
      <c r="L528" s="370"/>
    </row>
    <row r="529" spans="1:12">
      <c r="A529" s="388"/>
      <c r="B529" s="370"/>
      <c r="C529" s="370"/>
      <c r="D529" s="370"/>
      <c r="E529" s="370"/>
      <c r="F529" s="370"/>
      <c r="G529" s="370"/>
      <c r="H529" s="370"/>
      <c r="I529" s="370"/>
      <c r="J529" s="370"/>
      <c r="K529" s="370"/>
      <c r="L529" s="370"/>
    </row>
    <row r="530" spans="1:12">
      <c r="A530" s="388"/>
      <c r="B530" s="370"/>
      <c r="C530" s="370"/>
      <c r="D530" s="370"/>
      <c r="E530" s="370"/>
      <c r="F530" s="370"/>
      <c r="G530" s="370"/>
      <c r="H530" s="370"/>
      <c r="I530" s="370"/>
      <c r="J530" s="370"/>
      <c r="K530" s="370"/>
      <c r="L530" s="370"/>
    </row>
    <row r="531" spans="1:12">
      <c r="A531" s="388"/>
      <c r="B531" s="370"/>
      <c r="C531" s="370"/>
      <c r="D531" s="370"/>
      <c r="E531" s="370"/>
      <c r="F531" s="370"/>
      <c r="G531" s="370"/>
      <c r="H531" s="370"/>
      <c r="I531" s="370"/>
      <c r="J531" s="370"/>
      <c r="K531" s="370"/>
      <c r="L531" s="370"/>
    </row>
    <row r="532" spans="1:12">
      <c r="A532" s="388"/>
      <c r="B532" s="388"/>
      <c r="C532" s="388"/>
      <c r="D532" s="388"/>
      <c r="E532" s="388"/>
      <c r="F532" s="388"/>
      <c r="G532" s="388"/>
      <c r="H532" s="388"/>
      <c r="I532" s="388"/>
      <c r="J532" s="388"/>
      <c r="K532" s="388"/>
      <c r="L532" s="388"/>
    </row>
    <row r="533" spans="1:12">
      <c r="A533" s="388"/>
      <c r="B533" s="388"/>
      <c r="C533" s="388"/>
      <c r="D533" s="388"/>
      <c r="E533" s="388"/>
      <c r="F533" s="388"/>
      <c r="G533" s="388"/>
      <c r="H533" s="388"/>
      <c r="I533" s="388"/>
      <c r="J533" s="388"/>
      <c r="K533" s="388"/>
      <c r="L533" s="388"/>
    </row>
    <row r="534" spans="1:12">
      <c r="A534" s="388"/>
      <c r="B534" s="388"/>
      <c r="C534" s="388"/>
      <c r="D534" s="388"/>
      <c r="E534" s="388"/>
      <c r="F534" s="388"/>
      <c r="G534" s="388"/>
      <c r="H534" s="388"/>
      <c r="I534" s="388"/>
      <c r="J534" s="388"/>
      <c r="K534" s="388"/>
      <c r="L534" s="388"/>
    </row>
    <row r="535" spans="1:12">
      <c r="A535" s="388"/>
      <c r="B535" s="388"/>
      <c r="C535" s="388"/>
      <c r="D535" s="388"/>
      <c r="E535" s="388"/>
      <c r="F535" s="388"/>
      <c r="G535" s="388"/>
      <c r="H535" s="388"/>
      <c r="I535" s="388"/>
      <c r="J535" s="388"/>
      <c r="K535" s="388"/>
      <c r="L535" s="388"/>
    </row>
    <row r="536" spans="1:12">
      <c r="A536" s="388"/>
      <c r="B536" s="388"/>
      <c r="C536" s="388"/>
      <c r="D536" s="388"/>
      <c r="E536" s="388"/>
      <c r="F536" s="388"/>
      <c r="G536" s="388"/>
      <c r="H536" s="388"/>
      <c r="I536" s="388"/>
      <c r="J536" s="388"/>
      <c r="K536" s="388"/>
      <c r="L536" s="388"/>
    </row>
    <row r="537" spans="1:12">
      <c r="A537" s="388"/>
      <c r="B537" s="388"/>
      <c r="C537" s="388"/>
      <c r="D537" s="388"/>
      <c r="E537" s="388"/>
      <c r="F537" s="388"/>
      <c r="G537" s="388"/>
      <c r="H537" s="388"/>
      <c r="I537" s="388"/>
      <c r="J537" s="388"/>
      <c r="K537" s="388"/>
      <c r="L537" s="388"/>
    </row>
    <row r="538" spans="1:12">
      <c r="A538" s="388"/>
      <c r="B538" s="388"/>
      <c r="C538" s="388"/>
      <c r="D538" s="388"/>
      <c r="E538" s="388"/>
      <c r="F538" s="388"/>
      <c r="G538" s="388"/>
      <c r="H538" s="388"/>
      <c r="I538" s="388"/>
      <c r="J538" s="388"/>
      <c r="K538" s="388"/>
      <c r="L538" s="388"/>
    </row>
    <row r="539" spans="1:12">
      <c r="A539" s="388"/>
      <c r="B539" s="388"/>
      <c r="C539" s="388"/>
      <c r="D539" s="388"/>
      <c r="E539" s="388"/>
      <c r="F539" s="388"/>
      <c r="G539" s="388"/>
      <c r="H539" s="388"/>
      <c r="I539" s="388"/>
      <c r="J539" s="388"/>
      <c r="K539" s="388"/>
      <c r="L539" s="388"/>
    </row>
    <row r="540" spans="1:12">
      <c r="A540" s="388"/>
      <c r="B540" s="388"/>
      <c r="C540" s="388"/>
      <c r="D540" s="388"/>
      <c r="E540" s="388"/>
      <c r="F540" s="388"/>
      <c r="G540" s="388"/>
      <c r="H540" s="388"/>
      <c r="I540" s="388"/>
      <c r="J540" s="388"/>
      <c r="K540" s="388"/>
      <c r="L540" s="388"/>
    </row>
    <row r="541" spans="1:12" ht="15.75" thickBot="1">
      <c r="A541" s="388"/>
      <c r="B541" s="388"/>
      <c r="C541" s="388"/>
      <c r="D541" s="388"/>
      <c r="E541" s="388"/>
      <c r="F541" s="388"/>
      <c r="G541" s="388"/>
      <c r="H541" s="388"/>
      <c r="I541" s="388"/>
      <c r="J541" s="388"/>
      <c r="K541" s="388"/>
      <c r="L541" s="388"/>
    </row>
    <row r="542" spans="1:12" ht="32.25">
      <c r="A542" s="388"/>
      <c r="B542" s="1163" t="s">
        <v>590</v>
      </c>
      <c r="C542" s="1164"/>
      <c r="D542" s="1164"/>
      <c r="E542" s="1164"/>
      <c r="F542" s="1164"/>
      <c r="G542" s="1164"/>
      <c r="H542" s="1164"/>
      <c r="I542" s="1164"/>
      <c r="J542" s="1164"/>
      <c r="K542" s="1164"/>
      <c r="L542" s="1165"/>
    </row>
    <row r="543" spans="1:12" ht="23.25">
      <c r="A543" s="388"/>
      <c r="B543" s="1166" t="s">
        <v>107</v>
      </c>
      <c r="C543" s="1167"/>
      <c r="D543" s="1167"/>
      <c r="E543" s="1167"/>
      <c r="F543" s="1167"/>
      <c r="G543" s="1167"/>
      <c r="H543" s="1167"/>
      <c r="I543" s="1167"/>
      <c r="J543" s="1167"/>
      <c r="K543" s="1167"/>
      <c r="L543" s="1168"/>
    </row>
    <row r="544" spans="1:12" ht="16.5" thickBot="1">
      <c r="A544" s="388"/>
      <c r="B544" s="1169" t="s">
        <v>591</v>
      </c>
      <c r="C544" s="1170"/>
      <c r="D544" s="1170"/>
      <c r="E544" s="1170"/>
      <c r="F544" s="1170"/>
      <c r="G544" s="1170"/>
      <c r="H544" s="1170"/>
      <c r="I544" s="1170"/>
      <c r="J544" s="1170"/>
      <c r="K544" s="1170"/>
      <c r="L544" s="1171"/>
    </row>
    <row r="545" spans="1:12">
      <c r="A545" s="388"/>
      <c r="B545" s="1172" t="s">
        <v>108</v>
      </c>
      <c r="C545" s="1173"/>
      <c r="D545" s="1173"/>
      <c r="E545" s="1173"/>
      <c r="F545" s="1173"/>
      <c r="G545" s="388"/>
      <c r="H545" s="1174" t="s">
        <v>109</v>
      </c>
      <c r="I545" s="1174"/>
      <c r="J545" s="1174"/>
      <c r="K545" s="1174"/>
      <c r="L545" s="1175"/>
    </row>
    <row r="546" spans="1:12" ht="15.75" thickBot="1">
      <c r="A546" s="388"/>
      <c r="B546" s="1172"/>
      <c r="C546" s="1173"/>
      <c r="D546" s="1173"/>
      <c r="E546" s="1173"/>
      <c r="F546" s="1173"/>
      <c r="G546" s="388"/>
      <c r="H546" s="1174"/>
      <c r="I546" s="1174"/>
      <c r="J546" s="1174"/>
      <c r="K546" s="1174"/>
      <c r="L546" s="1175"/>
    </row>
    <row r="547" spans="1:12">
      <c r="A547" s="388"/>
      <c r="B547" s="74"/>
      <c r="C547" s="75"/>
      <c r="D547" s="75"/>
      <c r="E547" s="75"/>
      <c r="F547" s="76"/>
      <c r="G547" s="388"/>
      <c r="H547" s="74"/>
      <c r="I547" s="75"/>
      <c r="J547" s="75"/>
      <c r="K547" s="75"/>
      <c r="L547" s="76"/>
    </row>
    <row r="548" spans="1:12">
      <c r="A548" s="388"/>
      <c r="B548" s="419" t="s">
        <v>382</v>
      </c>
      <c r="C548" s="388"/>
      <c r="D548" s="388"/>
      <c r="E548" s="388"/>
      <c r="F548" s="14"/>
      <c r="G548" s="388"/>
      <c r="H548" s="419" t="s">
        <v>382</v>
      </c>
      <c r="I548" s="388"/>
      <c r="J548" s="388"/>
      <c r="K548" s="388"/>
      <c r="L548" s="14"/>
    </row>
    <row r="549" spans="1:12">
      <c r="A549" s="388"/>
      <c r="B549" s="421" t="s">
        <v>383</v>
      </c>
      <c r="C549" s="388"/>
      <c r="D549" s="388"/>
      <c r="E549" s="388"/>
      <c r="F549" s="14"/>
      <c r="G549" s="388"/>
      <c r="H549" s="421" t="s">
        <v>383</v>
      </c>
      <c r="I549" s="388"/>
      <c r="J549" s="388"/>
      <c r="K549" s="388"/>
      <c r="L549" s="14"/>
    </row>
    <row r="550" spans="1:12">
      <c r="A550" s="388"/>
      <c r="B550" s="77"/>
      <c r="C550" s="388"/>
      <c r="D550" s="388"/>
      <c r="E550" s="388"/>
      <c r="F550" s="14"/>
      <c r="G550" s="388"/>
      <c r="H550" s="77"/>
      <c r="I550" s="388"/>
      <c r="J550" s="388"/>
      <c r="K550" s="388"/>
      <c r="L550" s="14"/>
    </row>
    <row r="551" spans="1:12" ht="15.75" thickBot="1">
      <c r="A551" s="388"/>
      <c r="B551" s="25"/>
      <c r="C551" s="23"/>
      <c r="D551" s="23"/>
      <c r="E551" s="23"/>
      <c r="F551" s="24"/>
      <c r="G551" s="388"/>
      <c r="H551" s="25"/>
      <c r="I551" s="23"/>
      <c r="J551" s="23"/>
      <c r="K551" s="23"/>
      <c r="L551" s="24"/>
    </row>
    <row r="552" spans="1:12">
      <c r="A552" s="388"/>
      <c r="B552" s="13"/>
      <c r="C552" s="388"/>
      <c r="D552" s="388"/>
      <c r="E552" s="388"/>
      <c r="F552" s="388"/>
      <c r="G552" s="388"/>
      <c r="H552" s="388"/>
      <c r="I552" s="388"/>
      <c r="J552" s="388" t="s">
        <v>110</v>
      </c>
      <c r="K552" s="388"/>
      <c r="L552" s="14"/>
    </row>
    <row r="553" spans="1:12">
      <c r="A553" s="388"/>
      <c r="B553" s="1176" t="s">
        <v>111</v>
      </c>
      <c r="C553" s="1177"/>
      <c r="D553" s="1177"/>
      <c r="E553" s="1177"/>
      <c r="F553" s="1177"/>
      <c r="G553" s="388"/>
      <c r="H553" s="1177" t="s">
        <v>4</v>
      </c>
      <c r="I553" s="1177"/>
      <c r="J553" s="1177"/>
      <c r="K553" s="1177"/>
      <c r="L553" s="1178"/>
    </row>
    <row r="554" spans="1:12" ht="15.75" thickBot="1">
      <c r="A554" s="388"/>
      <c r="B554" s="13"/>
      <c r="C554" s="388"/>
      <c r="D554" s="388"/>
      <c r="E554" s="388"/>
      <c r="F554" s="388"/>
      <c r="G554" s="388"/>
      <c r="H554" s="388"/>
      <c r="I554" s="388"/>
      <c r="J554" s="388"/>
      <c r="K554" s="388"/>
      <c r="L554" s="14"/>
    </row>
    <row r="555" spans="1:12">
      <c r="A555" s="388"/>
      <c r="B555" s="74"/>
      <c r="C555" s="75"/>
      <c r="D555" s="75"/>
      <c r="E555" s="75"/>
      <c r="F555" s="76"/>
      <c r="G555" s="388"/>
      <c r="H555" s="78"/>
      <c r="I555" s="79"/>
      <c r="J555" s="79"/>
      <c r="K555" s="79"/>
      <c r="L555" s="80"/>
    </row>
    <row r="556" spans="1:12">
      <c r="A556" s="388"/>
      <c r="B556" s="13"/>
      <c r="C556" s="388"/>
      <c r="D556" s="388"/>
      <c r="E556" s="388"/>
      <c r="F556" s="14"/>
      <c r="G556" s="388"/>
      <c r="H556" s="584" t="s">
        <v>497</v>
      </c>
      <c r="I556" s="2"/>
      <c r="J556" s="2"/>
      <c r="K556" s="2"/>
      <c r="L556" s="81"/>
    </row>
    <row r="557" spans="1:12">
      <c r="A557" s="388"/>
      <c r="B557" s="423" t="s">
        <v>373</v>
      </c>
      <c r="C557" s="388"/>
      <c r="D557" s="388"/>
      <c r="E557" s="388"/>
      <c r="F557" s="14"/>
      <c r="G557" s="388"/>
      <c r="H557" s="425" t="s">
        <v>490</v>
      </c>
      <c r="I557" s="2"/>
      <c r="J557" s="2"/>
      <c r="K557" s="2"/>
      <c r="L557" s="81"/>
    </row>
    <row r="558" spans="1:12">
      <c r="A558" s="388"/>
      <c r="B558" s="13"/>
      <c r="C558" s="388"/>
      <c r="D558" s="388"/>
      <c r="E558" s="388"/>
      <c r="F558" s="14"/>
      <c r="G558" s="388"/>
      <c r="H558" s="77"/>
      <c r="I558" s="2"/>
      <c r="J558" s="2"/>
      <c r="K558" s="2"/>
      <c r="L558" s="81"/>
    </row>
    <row r="559" spans="1:12" ht="15.75" thickBot="1">
      <c r="A559" s="388"/>
      <c r="B559" s="25"/>
      <c r="C559" s="23"/>
      <c r="D559" s="23"/>
      <c r="E559" s="23"/>
      <c r="F559" s="24"/>
      <c r="G559" s="388"/>
      <c r="H559" s="77"/>
      <c r="I559" s="2"/>
      <c r="J559" s="2"/>
      <c r="K559" s="2"/>
      <c r="L559" s="81"/>
    </row>
    <row r="560" spans="1:12" ht="30" customHeight="1">
      <c r="A560" s="388"/>
      <c r="B560" s="1143" t="s">
        <v>112</v>
      </c>
      <c r="C560" s="1144"/>
      <c r="D560" s="1144"/>
      <c r="E560" s="1144"/>
      <c r="F560" s="1144"/>
      <c r="G560" s="1145"/>
      <c r="H560" s="1146" t="str">
        <f>'04-221Master'!B25</f>
        <v>Hemanth Mishra</v>
      </c>
      <c r="I560" s="1147"/>
      <c r="J560" s="1147"/>
      <c r="K560" s="1147"/>
      <c r="L560" s="1147"/>
    </row>
    <row r="561" spans="1:12" ht="30" customHeight="1">
      <c r="A561" s="388"/>
      <c r="B561" s="1148"/>
      <c r="C561" s="1149"/>
      <c r="D561" s="1149"/>
      <c r="E561" s="1149"/>
      <c r="F561" s="1149"/>
      <c r="G561" s="1149"/>
      <c r="H561" s="1150" t="str">
        <f>'04-221Master'!G25</f>
        <v>16 B,Braj Nagar,Rameshwar Ward,    opp. Anima Ubeja's Banglow, KHANDWA     Pin-450001,                 Madhra Pradesh</v>
      </c>
      <c r="I561" s="1150"/>
      <c r="J561" s="1150"/>
      <c r="K561" s="1150"/>
      <c r="L561" s="1150"/>
    </row>
    <row r="562" spans="1:12" ht="30" customHeight="1">
      <c r="A562" s="388"/>
      <c r="B562" s="1152" t="s">
        <v>113</v>
      </c>
      <c r="C562" s="1153"/>
      <c r="D562" s="1153"/>
      <c r="E562" s="1153"/>
      <c r="F562" s="1153"/>
      <c r="G562" s="1153"/>
      <c r="H562" s="1154">
        <f>'04-221Master'!AY25</f>
        <v>29</v>
      </c>
      <c r="I562" s="1155"/>
      <c r="J562" s="1155"/>
      <c r="K562" s="1155"/>
      <c r="L562" s="1156"/>
    </row>
    <row r="563" spans="1:12" ht="30" customHeight="1">
      <c r="A563" s="388"/>
      <c r="B563" s="1143" t="s">
        <v>114</v>
      </c>
      <c r="C563" s="1144"/>
      <c r="D563" s="1144"/>
      <c r="E563" s="1144"/>
      <c r="F563" s="1144"/>
      <c r="G563" s="1144"/>
      <c r="H563" s="1146" t="str">
        <f>'04-221Master'!F25</f>
        <v>Technology Analyst</v>
      </c>
      <c r="I563" s="1147"/>
      <c r="J563" s="1147"/>
      <c r="K563" s="1147"/>
      <c r="L563" s="1151"/>
    </row>
    <row r="564" spans="1:12" ht="30" customHeight="1">
      <c r="A564" s="388"/>
      <c r="B564" s="1143" t="s">
        <v>115</v>
      </c>
      <c r="C564" s="1144"/>
      <c r="D564" s="1144"/>
      <c r="E564" s="1144"/>
      <c r="F564" s="1144"/>
      <c r="G564" s="1144"/>
      <c r="H564" s="1157">
        <f>'04-221Master'!N25</f>
        <v>44490</v>
      </c>
      <c r="I564" s="1158"/>
      <c r="J564" s="1158"/>
      <c r="K564" s="1158"/>
      <c r="L564" s="1159"/>
    </row>
    <row r="565" spans="1:12" ht="30" customHeight="1">
      <c r="A565" s="388"/>
      <c r="B565" s="399" t="s">
        <v>116</v>
      </c>
      <c r="C565" s="87"/>
      <c r="D565" s="87"/>
      <c r="E565" s="87"/>
      <c r="F565" s="87"/>
      <c r="G565" s="87"/>
      <c r="H565" s="589"/>
      <c r="I565" s="89"/>
      <c r="J565" s="389" t="str">
        <f>'04-221Master'!T25</f>
        <v>N/A</v>
      </c>
      <c r="K565" s="587"/>
      <c r="L565" s="588"/>
    </row>
    <row r="566" spans="1:12" ht="30" customHeight="1">
      <c r="A566" s="388"/>
      <c r="B566" s="399" t="s">
        <v>117</v>
      </c>
      <c r="C566" s="87"/>
      <c r="D566" s="87"/>
      <c r="E566" s="87"/>
      <c r="F566" s="87"/>
      <c r="G566" s="429"/>
      <c r="H566" s="92"/>
      <c r="I566" s="93"/>
      <c r="J566" s="389" t="str">
        <f>'04-221Master'!S25</f>
        <v>100163951857</v>
      </c>
      <c r="K566" s="93"/>
      <c r="L566" s="94"/>
    </row>
    <row r="567" spans="1:12" ht="30" customHeight="1">
      <c r="A567" s="388"/>
      <c r="B567" s="1160" t="s">
        <v>118</v>
      </c>
      <c r="C567" s="1161"/>
      <c r="D567" s="1161"/>
      <c r="E567" s="1161"/>
      <c r="F567" s="1161"/>
      <c r="G567" s="1161"/>
      <c r="H567" s="1154">
        <f>'04-221Master'!Y25</f>
        <v>98816</v>
      </c>
      <c r="I567" s="1155"/>
      <c r="J567" s="1155"/>
      <c r="K567" s="1155"/>
      <c r="L567" s="1156"/>
    </row>
    <row r="568" spans="1:12" ht="30" customHeight="1">
      <c r="A568" s="388"/>
      <c r="B568" s="1143" t="s">
        <v>119</v>
      </c>
      <c r="C568" s="1144"/>
      <c r="D568" s="1144"/>
      <c r="E568" s="1144"/>
      <c r="F568" s="1144"/>
      <c r="G568" s="1144"/>
      <c r="H568" s="1157">
        <f>'04-221Master'!D10</f>
        <v>44652</v>
      </c>
      <c r="I568" s="1157"/>
      <c r="J568" s="1157"/>
      <c r="K568" s="1157"/>
      <c r="L568" s="1222"/>
    </row>
    <row r="569" spans="1:12" ht="30" customHeight="1">
      <c r="A569" s="388"/>
      <c r="B569" s="1143" t="s">
        <v>120</v>
      </c>
      <c r="C569" s="1144"/>
      <c r="D569" s="1144"/>
      <c r="E569" s="1144"/>
      <c r="F569" s="1144"/>
      <c r="G569" s="1144"/>
      <c r="H569" s="1147" t="s">
        <v>121</v>
      </c>
      <c r="I569" s="1147"/>
      <c r="J569" s="1147"/>
      <c r="K569" s="1147"/>
      <c r="L569" s="1151"/>
    </row>
    <row r="570" spans="1:12" ht="30" customHeight="1">
      <c r="A570" s="388"/>
      <c r="B570" s="399" t="s">
        <v>122</v>
      </c>
      <c r="C570" s="87"/>
      <c r="D570" s="87"/>
      <c r="E570" s="87"/>
      <c r="F570" s="87"/>
      <c r="G570" s="429"/>
      <c r="H570" s="589"/>
      <c r="I570" s="587"/>
      <c r="J570" s="96">
        <f>'04-221Master'!W25</f>
        <v>30</v>
      </c>
      <c r="K570" s="587"/>
      <c r="L570" s="588"/>
    </row>
    <row r="571" spans="1:12" ht="30" customHeight="1">
      <c r="A571" s="388"/>
      <c r="B571" s="399" t="s">
        <v>123</v>
      </c>
      <c r="C571" s="87"/>
      <c r="D571" s="87"/>
      <c r="E571" s="87"/>
      <c r="F571" s="87"/>
      <c r="G571" s="429"/>
      <c r="H571" s="589"/>
      <c r="I571" s="587"/>
      <c r="J571" s="587" t="s">
        <v>37</v>
      </c>
      <c r="K571" s="587"/>
      <c r="L571" s="588"/>
    </row>
    <row r="572" spans="1:12" ht="30" customHeight="1">
      <c r="A572" s="388"/>
      <c r="B572" s="399" t="s">
        <v>124</v>
      </c>
      <c r="C572" s="87"/>
      <c r="D572" s="87"/>
      <c r="E572" s="87"/>
      <c r="F572" s="87"/>
      <c r="G572" s="429"/>
      <c r="H572" s="589"/>
      <c r="I572" s="587"/>
      <c r="J572" s="96">
        <v>0</v>
      </c>
      <c r="K572" s="587"/>
      <c r="L572" s="588"/>
    </row>
    <row r="573" spans="1:12" ht="30" customHeight="1">
      <c r="A573" s="388"/>
      <c r="B573" s="399" t="s">
        <v>125</v>
      </c>
      <c r="C573" s="87"/>
      <c r="D573" s="87"/>
      <c r="E573" s="87"/>
      <c r="F573" s="87"/>
      <c r="G573" s="429"/>
      <c r="H573" s="589"/>
      <c r="I573" s="587"/>
      <c r="J573" s="587">
        <v>0</v>
      </c>
      <c r="K573" s="587"/>
      <c r="L573" s="588"/>
    </row>
    <row r="574" spans="1:12" ht="30" customHeight="1">
      <c r="A574" s="388"/>
      <c r="B574" s="399" t="s">
        <v>126</v>
      </c>
      <c r="C574" s="87"/>
      <c r="D574" s="87"/>
      <c r="E574" s="87"/>
      <c r="F574" s="87"/>
      <c r="G574" s="429"/>
      <c r="H574" s="589"/>
      <c r="I574" s="587"/>
      <c r="J574" s="604">
        <f>'04-221Master'!AM25</f>
        <v>108276.23875999999</v>
      </c>
      <c r="K574" s="587"/>
      <c r="L574" s="588" t="s">
        <v>585</v>
      </c>
    </row>
    <row r="575" spans="1:12" ht="30" customHeight="1">
      <c r="A575" s="388"/>
      <c r="B575" s="399" t="s">
        <v>127</v>
      </c>
      <c r="C575" s="87"/>
      <c r="D575" s="585" t="s">
        <v>32</v>
      </c>
      <c r="E575" s="586">
        <f>'04-221Master'!AO25</f>
        <v>1800</v>
      </c>
      <c r="F575" s="585" t="s">
        <v>31</v>
      </c>
      <c r="G575" s="586">
        <f>'04-221Master'!AN25</f>
        <v>0</v>
      </c>
      <c r="H575" s="585" t="s">
        <v>33</v>
      </c>
      <c r="I575" s="586">
        <f>'04-221Master'!AP25</f>
        <v>200</v>
      </c>
      <c r="J575" s="585" t="s">
        <v>34</v>
      </c>
      <c r="K575" s="586">
        <f>'04-221Master'!AQ25</f>
        <v>0</v>
      </c>
      <c r="L575" s="103">
        <f>'04-221Master'!AR25</f>
        <v>254</v>
      </c>
    </row>
    <row r="576" spans="1:12" ht="30" customHeight="1">
      <c r="A576" s="388"/>
      <c r="B576" s="399" t="s">
        <v>128</v>
      </c>
      <c r="C576" s="87"/>
      <c r="D576" s="87"/>
      <c r="E576" s="87"/>
      <c r="F576" s="87"/>
      <c r="G576" s="429"/>
      <c r="H576" s="589"/>
      <c r="I576" s="587"/>
      <c r="J576" s="96">
        <f>J574-E575-I575-K575-L575</f>
        <v>106022.23875999999</v>
      </c>
      <c r="K576" s="587"/>
      <c r="L576" s="588"/>
    </row>
    <row r="577" spans="1:12">
      <c r="A577" s="388"/>
      <c r="B577" s="400" t="s">
        <v>129</v>
      </c>
      <c r="C577" s="401"/>
      <c r="D577" s="401"/>
      <c r="E577" s="401"/>
      <c r="F577" s="401"/>
      <c r="G577" s="402"/>
      <c r="H577" s="403"/>
      <c r="I577" s="404"/>
      <c r="J577" s="404"/>
      <c r="K577" s="404"/>
      <c r="L577" s="98"/>
    </row>
    <row r="578" spans="1:12">
      <c r="A578" s="388"/>
      <c r="B578" s="426" t="s">
        <v>130</v>
      </c>
      <c r="C578" s="2"/>
      <c r="D578" s="2"/>
      <c r="E578" s="2"/>
      <c r="F578" s="2"/>
      <c r="G578" s="427"/>
      <c r="H578" s="71"/>
      <c r="I578" s="388"/>
      <c r="J578" s="388"/>
      <c r="K578" s="388"/>
      <c r="L578" s="14"/>
    </row>
    <row r="579" spans="1:12">
      <c r="A579" s="388"/>
      <c r="B579" s="13"/>
      <c r="C579" s="388"/>
      <c r="D579" s="388"/>
      <c r="E579" s="388"/>
      <c r="F579" s="388"/>
      <c r="G579" s="388"/>
      <c r="H579" s="388"/>
      <c r="I579" s="388"/>
      <c r="J579" s="388"/>
      <c r="K579" s="388"/>
      <c r="L579" s="14"/>
    </row>
    <row r="580" spans="1:12" ht="15.75" thickBot="1">
      <c r="A580" s="388"/>
      <c r="B580" s="25"/>
      <c r="C580" s="23"/>
      <c r="D580" s="23"/>
      <c r="E580" s="23"/>
      <c r="F580" s="23"/>
      <c r="G580" s="23"/>
      <c r="H580" s="23"/>
      <c r="I580" s="23"/>
      <c r="J580" s="23"/>
      <c r="K580" s="23"/>
      <c r="L580" s="24"/>
    </row>
    <row r="581" spans="1:12">
      <c r="A581" s="388"/>
      <c r="B581" s="388"/>
      <c r="C581" s="388"/>
      <c r="D581" s="388"/>
      <c r="E581" s="388"/>
      <c r="F581" s="388"/>
      <c r="G581" s="388"/>
      <c r="H581" s="388"/>
      <c r="I581" s="388"/>
      <c r="J581" s="388"/>
      <c r="K581" s="388"/>
      <c r="L581" s="388"/>
    </row>
    <row r="582" spans="1:12">
      <c r="A582" s="388"/>
      <c r="B582" s="388"/>
      <c r="C582" s="388"/>
      <c r="D582" s="388"/>
      <c r="E582" s="388"/>
      <c r="F582" s="388"/>
      <c r="G582" s="388"/>
      <c r="H582" s="388"/>
      <c r="I582" s="388"/>
      <c r="J582" s="388"/>
      <c r="K582" s="388"/>
      <c r="L582" s="388"/>
    </row>
    <row r="583" spans="1:12">
      <c r="A583" s="388"/>
      <c r="B583" s="388"/>
      <c r="C583" s="388"/>
      <c r="D583" s="388"/>
      <c r="E583" s="388"/>
      <c r="F583" s="388"/>
      <c r="G583" s="388"/>
      <c r="H583" s="388"/>
      <c r="I583" s="388"/>
      <c r="J583" s="388"/>
      <c r="K583" s="388"/>
      <c r="L583" s="388"/>
    </row>
    <row r="584" spans="1:12">
      <c r="A584" s="388"/>
      <c r="B584" s="388"/>
      <c r="C584" s="388"/>
      <c r="D584" s="388"/>
      <c r="E584" s="388"/>
      <c r="F584" s="388"/>
      <c r="G584" s="388"/>
      <c r="H584" s="388"/>
      <c r="I584" s="388"/>
      <c r="J584" s="388"/>
      <c r="K584" s="388"/>
      <c r="L584" s="388"/>
    </row>
    <row r="585" spans="1:12">
      <c r="A585" s="388"/>
      <c r="B585" s="388"/>
      <c r="C585" s="388"/>
      <c r="D585" s="388"/>
      <c r="E585" s="388"/>
      <c r="F585" s="388"/>
      <c r="G585" s="388"/>
      <c r="H585" s="388"/>
      <c r="I585" s="388"/>
      <c r="J585" s="388"/>
      <c r="K585" s="388"/>
      <c r="L585" s="388"/>
    </row>
    <row r="586" spans="1:12">
      <c r="A586" s="388"/>
      <c r="B586" s="388"/>
      <c r="C586" s="388"/>
      <c r="D586" s="388"/>
      <c r="E586" s="388"/>
      <c r="F586" s="388"/>
      <c r="G586" s="388"/>
      <c r="H586" s="388"/>
      <c r="I586" s="388"/>
      <c r="J586" s="388"/>
      <c r="K586" s="388"/>
      <c r="L586" s="388"/>
    </row>
    <row r="587" spans="1:12">
      <c r="A587" s="388"/>
      <c r="B587" s="388"/>
      <c r="C587" s="388"/>
      <c r="D587" s="388"/>
      <c r="E587" s="388"/>
      <c r="F587" s="388"/>
      <c r="G587" s="388"/>
      <c r="H587" s="388"/>
      <c r="I587" s="388"/>
      <c r="J587" s="388"/>
      <c r="K587" s="388"/>
      <c r="L587" s="388"/>
    </row>
    <row r="588" spans="1:12">
      <c r="A588" s="388"/>
      <c r="B588" s="388"/>
      <c r="C588" s="388"/>
      <c r="D588" s="388"/>
      <c r="E588" s="388"/>
      <c r="F588" s="388"/>
      <c r="G588" s="388"/>
      <c r="H588" s="388"/>
      <c r="I588" s="388"/>
      <c r="J588" s="388"/>
      <c r="K588" s="388"/>
      <c r="L588" s="388"/>
    </row>
    <row r="589" spans="1:12">
      <c r="A589" s="388"/>
      <c r="B589" s="388"/>
      <c r="C589" s="388"/>
      <c r="D589" s="388"/>
      <c r="E589" s="388"/>
      <c r="F589" s="388"/>
      <c r="G589" s="388"/>
      <c r="H589" s="388"/>
      <c r="I589" s="388"/>
      <c r="J589" s="388"/>
      <c r="K589" s="388"/>
      <c r="L589" s="388"/>
    </row>
    <row r="590" spans="1:12">
      <c r="A590" s="388"/>
      <c r="B590" s="388"/>
      <c r="C590" s="388"/>
      <c r="D590" s="388"/>
      <c r="E590" s="388"/>
      <c r="F590" s="388"/>
      <c r="G590" s="388"/>
      <c r="H590" s="388"/>
      <c r="I590" s="388"/>
      <c r="J590" s="388"/>
      <c r="K590" s="388"/>
      <c r="L590" s="388"/>
    </row>
    <row r="591" spans="1:12">
      <c r="A591" s="388"/>
      <c r="B591" s="388"/>
      <c r="C591" s="388"/>
      <c r="D591" s="388"/>
      <c r="E591" s="388"/>
      <c r="F591" s="388"/>
      <c r="G591" s="388"/>
      <c r="H591" s="388"/>
      <c r="I591" s="388"/>
      <c r="J591" s="388"/>
      <c r="K591" s="388"/>
      <c r="L591" s="388"/>
    </row>
    <row r="592" spans="1:12">
      <c r="A592" s="388"/>
      <c r="B592" s="388"/>
      <c r="C592" s="388"/>
      <c r="D592" s="388"/>
      <c r="E592" s="388"/>
      <c r="F592" s="388"/>
      <c r="G592" s="388"/>
      <c r="H592" s="388"/>
      <c r="I592" s="388"/>
      <c r="J592" s="388"/>
      <c r="K592" s="388"/>
      <c r="L592" s="388"/>
    </row>
    <row r="593" spans="1:12">
      <c r="A593" s="388"/>
      <c r="B593" s="388"/>
      <c r="C593" s="388"/>
      <c r="D593" s="388"/>
      <c r="E593" s="388"/>
      <c r="F593" s="388"/>
      <c r="G593" s="388"/>
      <c r="H593" s="388"/>
      <c r="I593" s="388"/>
      <c r="J593" s="388"/>
      <c r="K593" s="388"/>
      <c r="L593" s="388"/>
    </row>
    <row r="594" spans="1:12">
      <c r="A594" s="388"/>
      <c r="B594" s="388"/>
      <c r="C594" s="388"/>
      <c r="D594" s="388"/>
      <c r="E594" s="388"/>
      <c r="F594" s="388"/>
      <c r="G594" s="388"/>
      <c r="H594" s="388"/>
      <c r="I594" s="388"/>
      <c r="J594" s="388"/>
      <c r="K594" s="388"/>
      <c r="L594" s="388"/>
    </row>
    <row r="595" spans="1:12">
      <c r="A595" s="388"/>
      <c r="B595" s="388"/>
      <c r="C595" s="388"/>
      <c r="D595" s="388"/>
      <c r="E595" s="388"/>
      <c r="F595" s="388"/>
      <c r="G595" s="388"/>
      <c r="H595" s="388"/>
      <c r="I595" s="388"/>
      <c r="J595" s="388"/>
      <c r="K595" s="388"/>
      <c r="L595" s="388"/>
    </row>
    <row r="596" spans="1:12">
      <c r="A596" s="388"/>
      <c r="B596" s="388"/>
      <c r="C596" s="388"/>
      <c r="D596" s="388"/>
      <c r="E596" s="388"/>
      <c r="F596" s="388"/>
      <c r="G596" s="388"/>
      <c r="H596" s="388"/>
      <c r="I596" s="388"/>
      <c r="J596" s="388"/>
      <c r="K596" s="388"/>
      <c r="L596" s="388"/>
    </row>
    <row r="597" spans="1:12">
      <c r="A597" s="388"/>
      <c r="B597" s="388"/>
      <c r="C597" s="388"/>
      <c r="D597" s="388"/>
      <c r="E597" s="388"/>
      <c r="F597" s="388"/>
      <c r="G597" s="388"/>
      <c r="H597" s="388"/>
      <c r="I597" s="388"/>
      <c r="J597" s="388"/>
      <c r="K597" s="388"/>
      <c r="L597" s="388"/>
    </row>
    <row r="598" spans="1:12">
      <c r="A598" s="388"/>
      <c r="B598" s="388"/>
      <c r="C598" s="388"/>
      <c r="D598" s="388"/>
      <c r="E598" s="388"/>
      <c r="F598" s="388"/>
      <c r="G598" s="388"/>
      <c r="H598" s="388"/>
      <c r="I598" s="388"/>
      <c r="J598" s="388"/>
      <c r="K598" s="388"/>
      <c r="L598" s="388"/>
    </row>
    <row r="599" spans="1:12">
      <c r="A599" s="388"/>
      <c r="B599" s="388"/>
      <c r="C599" s="388"/>
      <c r="D599" s="388"/>
      <c r="E599" s="388"/>
      <c r="F599" s="388"/>
      <c r="G599" s="388"/>
      <c r="H599" s="388"/>
      <c r="I599" s="388"/>
      <c r="J599" s="388"/>
      <c r="K599" s="388"/>
      <c r="L599" s="388"/>
    </row>
    <row r="600" spans="1:12">
      <c r="A600" s="388"/>
      <c r="B600" s="388"/>
      <c r="C600" s="388"/>
      <c r="D600" s="388"/>
      <c r="E600" s="388"/>
      <c r="F600" s="388"/>
      <c r="G600" s="388"/>
      <c r="H600" s="388"/>
      <c r="I600" s="388"/>
      <c r="J600" s="388"/>
      <c r="K600" s="388"/>
      <c r="L600" s="388"/>
    </row>
    <row r="601" spans="1:12">
      <c r="A601" s="388"/>
      <c r="B601" s="388"/>
      <c r="C601" s="388"/>
      <c r="D601" s="388"/>
      <c r="E601" s="388"/>
      <c r="F601" s="388"/>
      <c r="G601" s="388"/>
      <c r="H601" s="388"/>
      <c r="I601" s="388"/>
      <c r="J601" s="388"/>
      <c r="K601" s="388"/>
      <c r="L601" s="388"/>
    </row>
    <row r="602" spans="1:12" ht="15.75" thickBot="1">
      <c r="A602" s="388"/>
      <c r="B602" s="388"/>
      <c r="C602" s="388"/>
      <c r="D602" s="388"/>
      <c r="E602" s="388"/>
      <c r="F602" s="388"/>
      <c r="G602" s="388"/>
      <c r="H602" s="388"/>
      <c r="I602" s="388"/>
      <c r="J602" s="388"/>
      <c r="K602" s="388"/>
      <c r="L602" s="388"/>
    </row>
    <row r="603" spans="1:12" ht="32.25">
      <c r="A603" s="388"/>
      <c r="B603" s="1163" t="s">
        <v>590</v>
      </c>
      <c r="C603" s="1164"/>
      <c r="D603" s="1164"/>
      <c r="E603" s="1164"/>
      <c r="F603" s="1164"/>
      <c r="G603" s="1164"/>
      <c r="H603" s="1164"/>
      <c r="I603" s="1164"/>
      <c r="J603" s="1164"/>
      <c r="K603" s="1164"/>
      <c r="L603" s="1165"/>
    </row>
    <row r="604" spans="1:12" ht="23.25">
      <c r="A604" s="388"/>
      <c r="B604" s="1166" t="s">
        <v>107</v>
      </c>
      <c r="C604" s="1167"/>
      <c r="D604" s="1167"/>
      <c r="E604" s="1167"/>
      <c r="F604" s="1167"/>
      <c r="G604" s="1167"/>
      <c r="H604" s="1167"/>
      <c r="I604" s="1167"/>
      <c r="J604" s="1167"/>
      <c r="K604" s="1167"/>
      <c r="L604" s="1168"/>
    </row>
    <row r="605" spans="1:12" ht="16.5" thickBot="1">
      <c r="A605" s="388"/>
      <c r="B605" s="1169" t="s">
        <v>591</v>
      </c>
      <c r="C605" s="1170"/>
      <c r="D605" s="1170"/>
      <c r="E605" s="1170"/>
      <c r="F605" s="1170"/>
      <c r="G605" s="1170"/>
      <c r="H605" s="1170"/>
      <c r="I605" s="1170"/>
      <c r="J605" s="1170"/>
      <c r="K605" s="1170"/>
      <c r="L605" s="1171"/>
    </row>
    <row r="606" spans="1:12">
      <c r="A606" s="388"/>
      <c r="B606" s="1172" t="s">
        <v>108</v>
      </c>
      <c r="C606" s="1173"/>
      <c r="D606" s="1173"/>
      <c r="E606" s="1173"/>
      <c r="F606" s="1173"/>
      <c r="G606" s="388"/>
      <c r="H606" s="1174" t="s">
        <v>109</v>
      </c>
      <c r="I606" s="1174"/>
      <c r="J606" s="1174"/>
      <c r="K606" s="1174"/>
      <c r="L606" s="1175"/>
    </row>
    <row r="607" spans="1:12" ht="15.75" thickBot="1">
      <c r="A607" s="388"/>
      <c r="B607" s="1172"/>
      <c r="C607" s="1173"/>
      <c r="D607" s="1173"/>
      <c r="E607" s="1173"/>
      <c r="F607" s="1173"/>
      <c r="G607" s="388"/>
      <c r="H607" s="1174"/>
      <c r="I607" s="1174"/>
      <c r="J607" s="1174"/>
      <c r="K607" s="1174"/>
      <c r="L607" s="1175"/>
    </row>
    <row r="608" spans="1:12">
      <c r="A608" s="388"/>
      <c r="B608" s="74"/>
      <c r="C608" s="75"/>
      <c r="D608" s="75"/>
      <c r="E608" s="75"/>
      <c r="F608" s="76"/>
      <c r="G608" s="388"/>
      <c r="H608" s="74"/>
      <c r="I608" s="75"/>
      <c r="J608" s="75"/>
      <c r="K608" s="75"/>
      <c r="L608" s="76"/>
    </row>
    <row r="609" spans="1:12">
      <c r="A609" s="388"/>
      <c r="B609" s="419" t="s">
        <v>382</v>
      </c>
      <c r="C609" s="388"/>
      <c r="D609" s="388"/>
      <c r="E609" s="388"/>
      <c r="F609" s="14"/>
      <c r="G609" s="388"/>
      <c r="H609" s="419" t="s">
        <v>382</v>
      </c>
      <c r="I609" s="388"/>
      <c r="J609" s="388"/>
      <c r="K609" s="388"/>
      <c r="L609" s="14"/>
    </row>
    <row r="610" spans="1:12">
      <c r="A610" s="388"/>
      <c r="B610" s="421" t="s">
        <v>383</v>
      </c>
      <c r="C610" s="388"/>
      <c r="D610" s="388"/>
      <c r="E610" s="388"/>
      <c r="F610" s="14"/>
      <c r="G610" s="388"/>
      <c r="H610" s="421" t="s">
        <v>383</v>
      </c>
      <c r="I610" s="388"/>
      <c r="J610" s="388"/>
      <c r="K610" s="388"/>
      <c r="L610" s="14"/>
    </row>
    <row r="611" spans="1:12">
      <c r="A611" s="388"/>
      <c r="B611" s="77"/>
      <c r="C611" s="388"/>
      <c r="D611" s="388"/>
      <c r="E611" s="388"/>
      <c r="F611" s="14"/>
      <c r="G611" s="388"/>
      <c r="H611" s="77"/>
      <c r="I611" s="388"/>
      <c r="J611" s="388"/>
      <c r="K611" s="388"/>
      <c r="L611" s="14"/>
    </row>
    <row r="612" spans="1:12" ht="15.75" thickBot="1">
      <c r="A612" s="388"/>
      <c r="B612" s="25"/>
      <c r="C612" s="23"/>
      <c r="D612" s="23"/>
      <c r="E612" s="23"/>
      <c r="F612" s="24"/>
      <c r="G612" s="388"/>
      <c r="H612" s="25"/>
      <c r="I612" s="23"/>
      <c r="J612" s="23"/>
      <c r="K612" s="23"/>
      <c r="L612" s="24"/>
    </row>
    <row r="613" spans="1:12">
      <c r="A613" s="388"/>
      <c r="B613" s="13"/>
      <c r="C613" s="388"/>
      <c r="D613" s="388"/>
      <c r="E613" s="388"/>
      <c r="F613" s="388"/>
      <c r="G613" s="388"/>
      <c r="H613" s="388"/>
      <c r="I613" s="388"/>
      <c r="J613" s="388" t="s">
        <v>110</v>
      </c>
      <c r="K613" s="388"/>
      <c r="L613" s="14"/>
    </row>
    <row r="614" spans="1:12">
      <c r="A614" s="388"/>
      <c r="B614" s="1176" t="s">
        <v>111</v>
      </c>
      <c r="C614" s="1177"/>
      <c r="D614" s="1177"/>
      <c r="E614" s="1177"/>
      <c r="F614" s="1177"/>
      <c r="G614" s="388"/>
      <c r="H614" s="1177" t="s">
        <v>4</v>
      </c>
      <c r="I614" s="1177"/>
      <c r="J614" s="1177"/>
      <c r="K614" s="1177"/>
      <c r="L614" s="1178"/>
    </row>
    <row r="615" spans="1:12" ht="15.75" thickBot="1">
      <c r="A615" s="388"/>
      <c r="B615" s="13"/>
      <c r="C615" s="388"/>
      <c r="D615" s="388"/>
      <c r="E615" s="388"/>
      <c r="F615" s="388"/>
      <c r="G615" s="388"/>
      <c r="H615" s="388"/>
      <c r="I615" s="388"/>
      <c r="J615" s="388"/>
      <c r="K615" s="388"/>
      <c r="L615" s="14"/>
    </row>
    <row r="616" spans="1:12">
      <c r="A616" s="388"/>
      <c r="B616" s="74"/>
      <c r="C616" s="75"/>
      <c r="D616" s="75"/>
      <c r="E616" s="75"/>
      <c r="F616" s="76"/>
      <c r="G616" s="388"/>
      <c r="H616" s="78"/>
      <c r="I616" s="79"/>
      <c r="J616" s="79"/>
      <c r="K616" s="79"/>
      <c r="L616" s="80"/>
    </row>
    <row r="617" spans="1:12">
      <c r="A617" s="388"/>
      <c r="B617" s="13"/>
      <c r="C617" s="388"/>
      <c r="D617" s="388"/>
      <c r="E617" s="388"/>
      <c r="F617" s="14"/>
      <c r="G617" s="388"/>
      <c r="H617" s="584" t="s">
        <v>497</v>
      </c>
      <c r="I617" s="2"/>
      <c r="J617" s="2"/>
      <c r="K617" s="2"/>
      <c r="L617" s="81"/>
    </row>
    <row r="618" spans="1:12">
      <c r="A618" s="388"/>
      <c r="B618" s="423" t="s">
        <v>373</v>
      </c>
      <c r="C618" s="388"/>
      <c r="D618" s="388"/>
      <c r="E618" s="388"/>
      <c r="F618" s="14"/>
      <c r="G618" s="388"/>
      <c r="H618" s="425" t="s">
        <v>490</v>
      </c>
      <c r="I618" s="2"/>
      <c r="J618" s="2"/>
      <c r="K618" s="2"/>
      <c r="L618" s="81"/>
    </row>
    <row r="619" spans="1:12">
      <c r="A619" s="388"/>
      <c r="B619" s="13"/>
      <c r="C619" s="388"/>
      <c r="D619" s="388"/>
      <c r="E619" s="388"/>
      <c r="F619" s="14"/>
      <c r="G619" s="388"/>
      <c r="H619" s="77"/>
      <c r="I619" s="2"/>
      <c r="J619" s="2"/>
      <c r="K619" s="2"/>
      <c r="L619" s="81"/>
    </row>
    <row r="620" spans="1:12" ht="15.75" thickBot="1">
      <c r="A620" s="388"/>
      <c r="B620" s="25"/>
      <c r="C620" s="23"/>
      <c r="D620" s="23"/>
      <c r="E620" s="23"/>
      <c r="F620" s="24"/>
      <c r="G620" s="388"/>
      <c r="H620" s="77"/>
      <c r="I620" s="2"/>
      <c r="J620" s="2"/>
      <c r="K620" s="2"/>
      <c r="L620" s="81"/>
    </row>
    <row r="621" spans="1:12" ht="30" customHeight="1">
      <c r="A621" s="388"/>
      <c r="B621" s="1143" t="s">
        <v>112</v>
      </c>
      <c r="C621" s="1144"/>
      <c r="D621" s="1144"/>
      <c r="E621" s="1144"/>
      <c r="F621" s="1144"/>
      <c r="G621" s="1145"/>
      <c r="H621" s="1146" t="str">
        <f>'04-221Master'!B26</f>
        <v>FAZALAHMED IRKAL</v>
      </c>
      <c r="I621" s="1147"/>
      <c r="J621" s="1147"/>
      <c r="K621" s="1147"/>
      <c r="L621" s="1147"/>
    </row>
    <row r="622" spans="1:12" ht="30" customHeight="1">
      <c r="A622" s="388"/>
      <c r="B622" s="1148"/>
      <c r="C622" s="1149"/>
      <c r="D622" s="1149"/>
      <c r="E622" s="1149"/>
      <c r="F622" s="1149"/>
      <c r="G622" s="1149"/>
      <c r="H622" s="1150" t="str">
        <f>'04-221Master'!G26</f>
        <v>558, 37/133 New Paccha Peth, Ashok Chowk, Behind Taj Medical Solapur</v>
      </c>
      <c r="I622" s="1150"/>
      <c r="J622" s="1150"/>
      <c r="K622" s="1150"/>
      <c r="L622" s="1150"/>
    </row>
    <row r="623" spans="1:12" ht="30" customHeight="1">
      <c r="A623" s="388"/>
      <c r="B623" s="1152" t="s">
        <v>113</v>
      </c>
      <c r="C623" s="1153"/>
      <c r="D623" s="1153"/>
      <c r="E623" s="1153"/>
      <c r="F623" s="1153"/>
      <c r="G623" s="1153"/>
      <c r="H623" s="1154">
        <f>'04-221Master'!AY26</f>
        <v>30</v>
      </c>
      <c r="I623" s="1155"/>
      <c r="J623" s="1155"/>
      <c r="K623" s="1155"/>
      <c r="L623" s="1156"/>
    </row>
    <row r="624" spans="1:12" ht="30" customHeight="1">
      <c r="A624" s="388"/>
      <c r="B624" s="1143" t="s">
        <v>114</v>
      </c>
      <c r="C624" s="1144"/>
      <c r="D624" s="1144"/>
      <c r="E624" s="1144"/>
      <c r="F624" s="1144"/>
      <c r="G624" s="1144"/>
      <c r="H624" s="1146" t="str">
        <f>'04-221Master'!F26</f>
        <v>SENIOR HADOOP ADMIN</v>
      </c>
      <c r="I624" s="1147"/>
      <c r="J624" s="1147"/>
      <c r="K624" s="1147"/>
      <c r="L624" s="1151"/>
    </row>
    <row r="625" spans="1:12" ht="30" customHeight="1">
      <c r="A625" s="388"/>
      <c r="B625" s="1143" t="s">
        <v>115</v>
      </c>
      <c r="C625" s="1144"/>
      <c r="D625" s="1144"/>
      <c r="E625" s="1144"/>
      <c r="F625" s="1144"/>
      <c r="G625" s="1144"/>
      <c r="H625" s="1157">
        <f>'04-221Master'!N26</f>
        <v>44494</v>
      </c>
      <c r="I625" s="1158"/>
      <c r="J625" s="1158"/>
      <c r="K625" s="1158"/>
      <c r="L625" s="1159"/>
    </row>
    <row r="626" spans="1:12" ht="30" customHeight="1">
      <c r="A626" s="388"/>
      <c r="B626" s="399" t="s">
        <v>116</v>
      </c>
      <c r="C626" s="87"/>
      <c r="D626" s="87"/>
      <c r="E626" s="87"/>
      <c r="F626" s="87"/>
      <c r="G626" s="87"/>
      <c r="H626" s="589"/>
      <c r="I626" s="89"/>
      <c r="J626" s="389" t="str">
        <f>'04-221Master'!T26</f>
        <v>N/A</v>
      </c>
      <c r="K626" s="587"/>
      <c r="L626" s="588"/>
    </row>
    <row r="627" spans="1:12" ht="30" customHeight="1">
      <c r="A627" s="388"/>
      <c r="B627" s="399" t="s">
        <v>117</v>
      </c>
      <c r="C627" s="87"/>
      <c r="D627" s="87"/>
      <c r="E627" s="87"/>
      <c r="F627" s="87"/>
      <c r="G627" s="429"/>
      <c r="H627" s="92"/>
      <c r="I627" s="93"/>
      <c r="J627" s="389" t="str">
        <f>'04-221Master'!S26</f>
        <v>101148301276</v>
      </c>
      <c r="K627" s="93"/>
      <c r="L627" s="94"/>
    </row>
    <row r="628" spans="1:12" ht="30" customHeight="1">
      <c r="A628" s="388"/>
      <c r="B628" s="1160" t="s">
        <v>118</v>
      </c>
      <c r="C628" s="1161"/>
      <c r="D628" s="1161"/>
      <c r="E628" s="1161"/>
      <c r="F628" s="1161"/>
      <c r="G628" s="1161"/>
      <c r="H628" s="1154">
        <f>'04-221Master'!Y26</f>
        <v>59886</v>
      </c>
      <c r="I628" s="1155"/>
      <c r="J628" s="1155"/>
      <c r="K628" s="1155"/>
      <c r="L628" s="1156"/>
    </row>
    <row r="629" spans="1:12" ht="30" customHeight="1">
      <c r="A629" s="388"/>
      <c r="B629" s="1143" t="s">
        <v>119</v>
      </c>
      <c r="C629" s="1144"/>
      <c r="D629" s="1144"/>
      <c r="E629" s="1144"/>
      <c r="F629" s="1144"/>
      <c r="G629" s="1144"/>
      <c r="H629" s="1162">
        <f>'04-221Master'!D10</f>
        <v>44652</v>
      </c>
      <c r="I629" s="1147"/>
      <c r="J629" s="1147"/>
      <c r="K629" s="1147"/>
      <c r="L629" s="1151"/>
    </row>
    <row r="630" spans="1:12" ht="30" customHeight="1">
      <c r="A630" s="388"/>
      <c r="B630" s="1143" t="s">
        <v>120</v>
      </c>
      <c r="C630" s="1144"/>
      <c r="D630" s="1144"/>
      <c r="E630" s="1144"/>
      <c r="F630" s="1144"/>
      <c r="G630" s="1144"/>
      <c r="H630" s="1147" t="s">
        <v>121</v>
      </c>
      <c r="I630" s="1147"/>
      <c r="J630" s="1147"/>
      <c r="K630" s="1147"/>
      <c r="L630" s="1151"/>
    </row>
    <row r="631" spans="1:12" ht="30" customHeight="1">
      <c r="A631" s="388"/>
      <c r="B631" s="399" t="s">
        <v>122</v>
      </c>
      <c r="C631" s="87"/>
      <c r="D631" s="87"/>
      <c r="E631" s="87"/>
      <c r="F631" s="87"/>
      <c r="G631" s="429"/>
      <c r="H631" s="589"/>
      <c r="I631" s="587"/>
      <c r="J631" s="96">
        <f>'04-221Master'!W26</f>
        <v>22</v>
      </c>
      <c r="K631" s="587"/>
      <c r="L631" s="588"/>
    </row>
    <row r="632" spans="1:12" ht="30" customHeight="1">
      <c r="A632" s="388"/>
      <c r="B632" s="399" t="s">
        <v>123</v>
      </c>
      <c r="C632" s="87"/>
      <c r="D632" s="87"/>
      <c r="E632" s="87"/>
      <c r="F632" s="87"/>
      <c r="G632" s="429"/>
      <c r="H632" s="589"/>
      <c r="I632" s="587"/>
      <c r="J632" s="587" t="s">
        <v>37</v>
      </c>
      <c r="K632" s="587"/>
      <c r="L632" s="588"/>
    </row>
    <row r="633" spans="1:12" ht="30" customHeight="1">
      <c r="A633" s="388"/>
      <c r="B633" s="399" t="s">
        <v>124</v>
      </c>
      <c r="C633" s="87"/>
      <c r="D633" s="87"/>
      <c r="E633" s="87"/>
      <c r="F633" s="87"/>
      <c r="G633" s="429"/>
      <c r="H633" s="589"/>
      <c r="I633" s="587"/>
      <c r="J633" s="96">
        <v>0</v>
      </c>
      <c r="K633" s="587"/>
      <c r="L633" s="588"/>
    </row>
    <row r="634" spans="1:12" ht="30" customHeight="1">
      <c r="A634" s="388"/>
      <c r="B634" s="399" t="s">
        <v>125</v>
      </c>
      <c r="C634" s="87"/>
      <c r="D634" s="87"/>
      <c r="E634" s="87"/>
      <c r="F634" s="87"/>
      <c r="G634" s="429"/>
      <c r="H634" s="589"/>
      <c r="I634" s="587"/>
      <c r="J634" s="587">
        <v>0</v>
      </c>
      <c r="K634" s="587"/>
      <c r="L634" s="588"/>
    </row>
    <row r="635" spans="1:12" ht="30" customHeight="1">
      <c r="A635" s="388"/>
      <c r="B635" s="399" t="s">
        <v>126</v>
      </c>
      <c r="C635" s="87"/>
      <c r="D635" s="87"/>
      <c r="E635" s="87"/>
      <c r="F635" s="87"/>
      <c r="G635" s="429"/>
      <c r="H635" s="589"/>
      <c r="I635" s="587"/>
      <c r="J635" s="604">
        <f>'04-221Master'!AM26</f>
        <v>49047.256303999995</v>
      </c>
      <c r="K635" s="587"/>
      <c r="L635" s="588" t="s">
        <v>585</v>
      </c>
    </row>
    <row r="636" spans="1:12" ht="30" customHeight="1">
      <c r="A636" s="388"/>
      <c r="B636" s="399" t="s">
        <v>127</v>
      </c>
      <c r="C636" s="87"/>
      <c r="D636" s="585" t="s">
        <v>32</v>
      </c>
      <c r="E636" s="586">
        <f>'04-221Master'!AO26</f>
        <v>1800</v>
      </c>
      <c r="F636" s="585" t="s">
        <v>31</v>
      </c>
      <c r="G636" s="586">
        <f>'04-221Master'!AN26</f>
        <v>0</v>
      </c>
      <c r="H636" s="585" t="s">
        <v>33</v>
      </c>
      <c r="I636" s="586">
        <f>'04-221Master'!AP26</f>
        <v>200</v>
      </c>
      <c r="J636" s="585" t="s">
        <v>34</v>
      </c>
      <c r="K636" s="586">
        <f>'04-221Master'!AQ26</f>
        <v>0</v>
      </c>
      <c r="L636" s="103">
        <f>'04-221Master'!AR26</f>
        <v>254</v>
      </c>
    </row>
    <row r="637" spans="1:12" ht="30" customHeight="1">
      <c r="A637" s="388"/>
      <c r="B637" s="399" t="s">
        <v>128</v>
      </c>
      <c r="C637" s="87"/>
      <c r="D637" s="87"/>
      <c r="E637" s="87"/>
      <c r="F637" s="87"/>
      <c r="G637" s="429"/>
      <c r="H637" s="589"/>
      <c r="I637" s="587"/>
      <c r="J637" s="96">
        <f>J635-E636-I636-K636-L636</f>
        <v>46793.256303999995</v>
      </c>
      <c r="K637" s="587"/>
      <c r="L637" s="588"/>
    </row>
    <row r="638" spans="1:12">
      <c r="A638" s="388"/>
      <c r="B638" s="400" t="s">
        <v>129</v>
      </c>
      <c r="C638" s="401"/>
      <c r="D638" s="401"/>
      <c r="E638" s="401"/>
      <c r="F638" s="401"/>
      <c r="G638" s="402"/>
      <c r="H638" s="403"/>
      <c r="I638" s="404"/>
      <c r="J638" s="404"/>
      <c r="K638" s="404"/>
      <c r="L638" s="98"/>
    </row>
    <row r="639" spans="1:12">
      <c r="A639" s="388"/>
      <c r="B639" s="426" t="s">
        <v>130</v>
      </c>
      <c r="C639" s="2"/>
      <c r="D639" s="2"/>
      <c r="E639" s="2"/>
      <c r="F639" s="2"/>
      <c r="G639" s="427"/>
      <c r="H639" s="71"/>
      <c r="I639" s="388"/>
      <c r="J639" s="388"/>
      <c r="K639" s="388"/>
      <c r="L639" s="14"/>
    </row>
    <row r="640" spans="1:12">
      <c r="A640" s="388"/>
      <c r="B640" s="13"/>
      <c r="C640" s="388"/>
      <c r="D640" s="388"/>
      <c r="E640" s="388"/>
      <c r="F640" s="388"/>
      <c r="G640" s="388"/>
      <c r="H640" s="388"/>
      <c r="I640" s="388"/>
      <c r="J640" s="388"/>
      <c r="K640" s="388"/>
      <c r="L640" s="14"/>
    </row>
    <row r="641" spans="1:12" ht="15.75" thickBot="1">
      <c r="A641" s="388"/>
      <c r="B641" s="25"/>
      <c r="C641" s="23"/>
      <c r="D641" s="23"/>
      <c r="E641" s="23"/>
      <c r="F641" s="23"/>
      <c r="G641" s="23"/>
      <c r="H641" s="23"/>
      <c r="I641" s="23"/>
      <c r="J641" s="23"/>
      <c r="K641" s="23"/>
      <c r="L641" s="24"/>
    </row>
    <row r="642" spans="1:12">
      <c r="A642" s="388"/>
      <c r="B642" s="388"/>
      <c r="C642" s="388"/>
      <c r="D642" s="388"/>
      <c r="E642" s="388"/>
      <c r="F642" s="388"/>
      <c r="G642" s="388"/>
      <c r="H642" s="388"/>
      <c r="I642" s="388"/>
      <c r="J642" s="388"/>
      <c r="K642" s="388"/>
      <c r="L642" s="388"/>
    </row>
    <row r="643" spans="1:12">
      <c r="A643" s="388"/>
      <c r="B643" s="388"/>
      <c r="C643" s="388"/>
      <c r="D643" s="388"/>
      <c r="E643" s="388"/>
      <c r="F643" s="388"/>
      <c r="G643" s="388"/>
      <c r="H643" s="388"/>
      <c r="I643" s="388"/>
      <c r="J643" s="388"/>
      <c r="K643" s="388"/>
      <c r="L643" s="388"/>
    </row>
    <row r="644" spans="1:12">
      <c r="A644" s="388"/>
      <c r="B644" s="388"/>
      <c r="C644" s="388"/>
      <c r="D644" s="388"/>
      <c r="E644" s="388"/>
      <c r="F644" s="388"/>
      <c r="G644" s="388"/>
      <c r="H644" s="388"/>
      <c r="I644" s="388"/>
      <c r="J644" s="388"/>
      <c r="K644" s="388"/>
      <c r="L644" s="388"/>
    </row>
    <row r="645" spans="1:12">
      <c r="A645" s="388"/>
      <c r="B645" s="388"/>
      <c r="C645" s="388"/>
      <c r="D645" s="388"/>
      <c r="E645" s="388"/>
      <c r="F645" s="388"/>
      <c r="G645" s="388"/>
      <c r="H645" s="388"/>
      <c r="I645" s="388"/>
      <c r="J645" s="388"/>
      <c r="K645" s="388"/>
      <c r="L645" s="388"/>
    </row>
    <row r="646" spans="1:12">
      <c r="A646" s="388"/>
      <c r="B646" s="388"/>
      <c r="C646" s="388"/>
      <c r="D646" s="388"/>
      <c r="E646" s="388"/>
      <c r="F646" s="388"/>
      <c r="G646" s="388"/>
      <c r="H646" s="388"/>
      <c r="I646" s="388"/>
      <c r="J646" s="388"/>
      <c r="K646" s="388"/>
      <c r="L646" s="388"/>
    </row>
    <row r="647" spans="1:12">
      <c r="A647" s="388"/>
      <c r="B647" s="388"/>
      <c r="C647" s="388"/>
      <c r="D647" s="388"/>
      <c r="E647" s="388"/>
      <c r="F647" s="388"/>
      <c r="G647" s="388"/>
      <c r="H647" s="388"/>
      <c r="I647" s="388"/>
      <c r="J647" s="388"/>
      <c r="K647" s="388"/>
      <c r="L647" s="388"/>
    </row>
    <row r="648" spans="1:12">
      <c r="A648" s="388"/>
      <c r="B648" s="388"/>
      <c r="C648" s="388"/>
      <c r="D648" s="388"/>
      <c r="E648" s="388"/>
      <c r="F648" s="388"/>
      <c r="G648" s="388"/>
      <c r="H648" s="388"/>
      <c r="I648" s="388"/>
      <c r="J648" s="388"/>
      <c r="K648" s="388"/>
      <c r="L648" s="388"/>
    </row>
    <row r="649" spans="1:12">
      <c r="A649" s="388"/>
      <c r="B649" s="388"/>
      <c r="C649" s="388"/>
      <c r="D649" s="388"/>
      <c r="E649" s="388"/>
      <c r="F649" s="388"/>
      <c r="G649" s="388"/>
      <c r="H649" s="388"/>
      <c r="I649" s="388"/>
      <c r="J649" s="388"/>
      <c r="K649" s="388"/>
      <c r="L649" s="388"/>
    </row>
    <row r="650" spans="1:12">
      <c r="A650" s="388"/>
      <c r="B650" s="388"/>
      <c r="C650" s="388"/>
      <c r="D650" s="388"/>
      <c r="E650" s="388"/>
      <c r="F650" s="388"/>
      <c r="G650" s="388"/>
      <c r="H650" s="388"/>
      <c r="I650" s="388"/>
      <c r="J650" s="388"/>
      <c r="K650" s="388"/>
      <c r="L650" s="388"/>
    </row>
    <row r="651" spans="1:12" ht="15.75" thickBot="1">
      <c r="A651" s="388"/>
      <c r="B651" s="388"/>
      <c r="C651" s="388"/>
      <c r="D651" s="388"/>
      <c r="E651" s="388"/>
      <c r="F651" s="388"/>
      <c r="G651" s="388"/>
      <c r="H651" s="388"/>
      <c r="I651" s="388"/>
      <c r="J651" s="388"/>
      <c r="K651" s="388"/>
      <c r="L651" s="388"/>
    </row>
    <row r="652" spans="1:12" ht="32.25">
      <c r="A652" s="388"/>
      <c r="B652" s="1163" t="s">
        <v>590</v>
      </c>
      <c r="C652" s="1164"/>
      <c r="D652" s="1164"/>
      <c r="E652" s="1164"/>
      <c r="F652" s="1164"/>
      <c r="G652" s="1164"/>
      <c r="H652" s="1164"/>
      <c r="I652" s="1164"/>
      <c r="J652" s="1164"/>
      <c r="K652" s="1164"/>
      <c r="L652" s="1165"/>
    </row>
    <row r="653" spans="1:12" ht="23.25">
      <c r="A653" s="388"/>
      <c r="B653" s="1166" t="s">
        <v>107</v>
      </c>
      <c r="C653" s="1167"/>
      <c r="D653" s="1167"/>
      <c r="E653" s="1167"/>
      <c r="F653" s="1167"/>
      <c r="G653" s="1167"/>
      <c r="H653" s="1167"/>
      <c r="I653" s="1167"/>
      <c r="J653" s="1167"/>
      <c r="K653" s="1167"/>
      <c r="L653" s="1168"/>
    </row>
    <row r="654" spans="1:12" ht="16.5" thickBot="1">
      <c r="A654" s="388"/>
      <c r="B654" s="1169" t="s">
        <v>591</v>
      </c>
      <c r="C654" s="1170"/>
      <c r="D654" s="1170"/>
      <c r="E654" s="1170"/>
      <c r="F654" s="1170"/>
      <c r="G654" s="1170"/>
      <c r="H654" s="1170"/>
      <c r="I654" s="1170"/>
      <c r="J654" s="1170"/>
      <c r="K654" s="1170"/>
      <c r="L654" s="1171"/>
    </row>
    <row r="655" spans="1:12">
      <c r="A655" s="388"/>
      <c r="B655" s="1172" t="s">
        <v>108</v>
      </c>
      <c r="C655" s="1173"/>
      <c r="D655" s="1173"/>
      <c r="E655" s="1173"/>
      <c r="F655" s="1173"/>
      <c r="G655" s="388"/>
      <c r="H655" s="1174" t="s">
        <v>109</v>
      </c>
      <c r="I655" s="1174"/>
      <c r="J655" s="1174"/>
      <c r="K655" s="1174"/>
      <c r="L655" s="1175"/>
    </row>
    <row r="656" spans="1:12" ht="15.75" thickBot="1">
      <c r="A656" s="388"/>
      <c r="B656" s="1172"/>
      <c r="C656" s="1173"/>
      <c r="D656" s="1173"/>
      <c r="E656" s="1173"/>
      <c r="F656" s="1173"/>
      <c r="G656" s="388"/>
      <c r="H656" s="1174"/>
      <c r="I656" s="1174"/>
      <c r="J656" s="1174"/>
      <c r="K656" s="1174"/>
      <c r="L656" s="1175"/>
    </row>
    <row r="657" spans="1:12">
      <c r="A657" s="388"/>
      <c r="B657" s="74"/>
      <c r="C657" s="75"/>
      <c r="D657" s="75"/>
      <c r="E657" s="75"/>
      <c r="F657" s="76"/>
      <c r="G657" s="388"/>
      <c r="H657" s="74"/>
      <c r="I657" s="75"/>
      <c r="J657" s="75"/>
      <c r="K657" s="75"/>
      <c r="L657" s="76"/>
    </row>
    <row r="658" spans="1:12">
      <c r="A658" s="388"/>
      <c r="B658" s="419" t="s">
        <v>382</v>
      </c>
      <c r="C658" s="388"/>
      <c r="D658" s="388"/>
      <c r="E658" s="388"/>
      <c r="F658" s="14"/>
      <c r="G658" s="388"/>
      <c r="H658" s="419" t="s">
        <v>382</v>
      </c>
      <c r="I658" s="388"/>
      <c r="J658" s="388"/>
      <c r="K658" s="388"/>
      <c r="L658" s="14"/>
    </row>
    <row r="659" spans="1:12">
      <c r="A659" s="388"/>
      <c r="B659" s="421" t="s">
        <v>383</v>
      </c>
      <c r="C659" s="388"/>
      <c r="D659" s="388"/>
      <c r="E659" s="388"/>
      <c r="F659" s="14"/>
      <c r="G659" s="388"/>
      <c r="H659" s="421" t="s">
        <v>383</v>
      </c>
      <c r="I659" s="388"/>
      <c r="J659" s="388"/>
      <c r="K659" s="388"/>
      <c r="L659" s="14"/>
    </row>
    <row r="660" spans="1:12">
      <c r="A660" s="388"/>
      <c r="B660" s="77"/>
      <c r="C660" s="388"/>
      <c r="D660" s="388"/>
      <c r="E660" s="388"/>
      <c r="F660" s="14"/>
      <c r="G660" s="388"/>
      <c r="H660" s="77"/>
      <c r="I660" s="388"/>
      <c r="J660" s="388"/>
      <c r="K660" s="388"/>
      <c r="L660" s="14"/>
    </row>
    <row r="661" spans="1:12" ht="15.75" thickBot="1">
      <c r="A661" s="388"/>
      <c r="B661" s="25"/>
      <c r="C661" s="23"/>
      <c r="D661" s="23"/>
      <c r="E661" s="23"/>
      <c r="F661" s="24"/>
      <c r="G661" s="388"/>
      <c r="H661" s="25"/>
      <c r="I661" s="23"/>
      <c r="J661" s="23"/>
      <c r="K661" s="23"/>
      <c r="L661" s="24"/>
    </row>
    <row r="662" spans="1:12">
      <c r="A662" s="388"/>
      <c r="B662" s="13"/>
      <c r="C662" s="388"/>
      <c r="D662" s="388"/>
      <c r="E662" s="388"/>
      <c r="F662" s="388"/>
      <c r="G662" s="388"/>
      <c r="H662" s="388"/>
      <c r="I662" s="388"/>
      <c r="J662" s="388" t="s">
        <v>110</v>
      </c>
      <c r="K662" s="388"/>
      <c r="L662" s="14"/>
    </row>
    <row r="663" spans="1:12">
      <c r="A663" s="388"/>
      <c r="B663" s="1176" t="s">
        <v>111</v>
      </c>
      <c r="C663" s="1177"/>
      <c r="D663" s="1177"/>
      <c r="E663" s="1177"/>
      <c r="F663" s="1177"/>
      <c r="G663" s="388"/>
      <c r="H663" s="1177" t="s">
        <v>4</v>
      </c>
      <c r="I663" s="1177"/>
      <c r="J663" s="1177"/>
      <c r="K663" s="1177"/>
      <c r="L663" s="1178"/>
    </row>
    <row r="664" spans="1:12" ht="15.75" thickBot="1">
      <c r="A664" s="388"/>
      <c r="B664" s="13"/>
      <c r="C664" s="388"/>
      <c r="D664" s="388"/>
      <c r="E664" s="388"/>
      <c r="F664" s="388"/>
      <c r="G664" s="388"/>
      <c r="H664" s="388"/>
      <c r="I664" s="388"/>
      <c r="J664" s="388"/>
      <c r="K664" s="388"/>
      <c r="L664" s="14"/>
    </row>
    <row r="665" spans="1:12">
      <c r="A665" s="388"/>
      <c r="B665" s="74"/>
      <c r="C665" s="75"/>
      <c r="D665" s="75"/>
      <c r="E665" s="75"/>
      <c r="F665" s="76"/>
      <c r="G665" s="388"/>
      <c r="H665" s="78"/>
      <c r="I665" s="79"/>
      <c r="J665" s="79"/>
      <c r="K665" s="79"/>
      <c r="L665" s="80"/>
    </row>
    <row r="666" spans="1:12">
      <c r="A666" s="388"/>
      <c r="B666" s="13"/>
      <c r="C666" s="388"/>
      <c r="D666" s="388"/>
      <c r="E666" s="388"/>
      <c r="F666" s="14"/>
      <c r="G666" s="388"/>
      <c r="H666" s="584" t="s">
        <v>497</v>
      </c>
      <c r="I666" s="2"/>
      <c r="J666" s="2"/>
      <c r="K666" s="2"/>
      <c r="L666" s="81"/>
    </row>
    <row r="667" spans="1:12">
      <c r="A667" s="388"/>
      <c r="B667" s="423" t="s">
        <v>373</v>
      </c>
      <c r="C667" s="388"/>
      <c r="D667" s="388"/>
      <c r="E667" s="388"/>
      <c r="F667" s="14"/>
      <c r="G667" s="388"/>
      <c r="H667" s="425" t="s">
        <v>490</v>
      </c>
      <c r="I667" s="2"/>
      <c r="J667" s="2"/>
      <c r="K667" s="2"/>
      <c r="L667" s="81"/>
    </row>
    <row r="668" spans="1:12">
      <c r="A668" s="388"/>
      <c r="B668" s="13"/>
      <c r="C668" s="388"/>
      <c r="D668" s="388"/>
      <c r="E668" s="388"/>
      <c r="F668" s="14"/>
      <c r="G668" s="388"/>
      <c r="H668" s="77"/>
      <c r="I668" s="2"/>
      <c r="J668" s="2"/>
      <c r="K668" s="2"/>
      <c r="L668" s="81"/>
    </row>
    <row r="669" spans="1:12" ht="15.75" thickBot="1">
      <c r="A669" s="388"/>
      <c r="B669" s="25"/>
      <c r="C669" s="23"/>
      <c r="D669" s="23"/>
      <c r="E669" s="23"/>
      <c r="F669" s="24"/>
      <c r="G669" s="388"/>
      <c r="H669" s="77"/>
      <c r="I669" s="2"/>
      <c r="J669" s="2"/>
      <c r="K669" s="2"/>
      <c r="L669" s="81"/>
    </row>
    <row r="670" spans="1:12" ht="30" customHeight="1">
      <c r="A670" s="388"/>
      <c r="B670" s="1143" t="s">
        <v>112</v>
      </c>
      <c r="C670" s="1144"/>
      <c r="D670" s="1144"/>
      <c r="E670" s="1144"/>
      <c r="F670" s="1144"/>
      <c r="G670" s="1145"/>
      <c r="H670" s="1146" t="str">
        <f>'04-221Master'!B27</f>
        <v>SUKRUTH YELLAMBOTLA</v>
      </c>
      <c r="I670" s="1147"/>
      <c r="J670" s="1147"/>
      <c r="K670" s="1147"/>
      <c r="L670" s="1147"/>
    </row>
    <row r="671" spans="1:12" ht="30" customHeight="1">
      <c r="A671" s="388"/>
      <c r="B671" s="1148"/>
      <c r="C671" s="1149"/>
      <c r="D671" s="1149"/>
      <c r="E671" s="1149"/>
      <c r="F671" s="1149"/>
      <c r="G671" s="1149"/>
      <c r="H671" s="1150" t="str">
        <f>'04-221Master'!G27</f>
        <v xml:space="preserve">H No 6-311/1/B/1,Sri krishna nagar,Qutubullapur,Suchitra,Hyderabad </v>
      </c>
      <c r="I671" s="1150"/>
      <c r="J671" s="1150"/>
      <c r="K671" s="1150"/>
      <c r="L671" s="1150"/>
    </row>
    <row r="672" spans="1:12" ht="30" customHeight="1">
      <c r="A672" s="388"/>
      <c r="B672" s="1152" t="s">
        <v>113</v>
      </c>
      <c r="C672" s="1153"/>
      <c r="D672" s="1153"/>
      <c r="E672" s="1153"/>
      <c r="F672" s="1153"/>
      <c r="G672" s="1153"/>
      <c r="H672" s="1154">
        <f>'04-221Master'!AY27</f>
        <v>31</v>
      </c>
      <c r="I672" s="1155"/>
      <c r="J672" s="1155"/>
      <c r="K672" s="1155"/>
      <c r="L672" s="1156"/>
    </row>
    <row r="673" spans="1:12" ht="30" customHeight="1">
      <c r="A673" s="388"/>
      <c r="B673" s="1143" t="s">
        <v>114</v>
      </c>
      <c r="C673" s="1144"/>
      <c r="D673" s="1144"/>
      <c r="E673" s="1144"/>
      <c r="F673" s="1144"/>
      <c r="G673" s="1144"/>
      <c r="H673" s="1146" t="str">
        <f>'04-221Master'!F27</f>
        <v>SENIOR APPLICATION CONSULTANT</v>
      </c>
      <c r="I673" s="1147"/>
      <c r="J673" s="1147"/>
      <c r="K673" s="1147"/>
      <c r="L673" s="1151"/>
    </row>
    <row r="674" spans="1:12" ht="30" customHeight="1">
      <c r="A674" s="388"/>
      <c r="B674" s="1143" t="s">
        <v>115</v>
      </c>
      <c r="C674" s="1144"/>
      <c r="D674" s="1144"/>
      <c r="E674" s="1144"/>
      <c r="F674" s="1144"/>
      <c r="G674" s="1144"/>
      <c r="H674" s="1157">
        <f>'04-221Master'!N27</f>
        <v>44509</v>
      </c>
      <c r="I674" s="1158"/>
      <c r="J674" s="1158"/>
      <c r="K674" s="1158"/>
      <c r="L674" s="1159"/>
    </row>
    <row r="675" spans="1:12" ht="30" customHeight="1">
      <c r="A675" s="388"/>
      <c r="B675" s="399" t="s">
        <v>116</v>
      </c>
      <c r="C675" s="87"/>
      <c r="D675" s="87"/>
      <c r="E675" s="87"/>
      <c r="F675" s="87"/>
      <c r="G675" s="87"/>
      <c r="H675" s="589"/>
      <c r="I675" s="89"/>
      <c r="J675" s="389" t="str">
        <f>'04-221Master'!T27</f>
        <v>N/A</v>
      </c>
      <c r="K675" s="587"/>
      <c r="L675" s="588"/>
    </row>
    <row r="676" spans="1:12" ht="30" customHeight="1">
      <c r="A676" s="388"/>
      <c r="B676" s="399" t="s">
        <v>117</v>
      </c>
      <c r="C676" s="87"/>
      <c r="D676" s="87"/>
      <c r="E676" s="87"/>
      <c r="F676" s="87"/>
      <c r="G676" s="429"/>
      <c r="H676" s="92"/>
      <c r="I676" s="93"/>
      <c r="J676" s="389" t="str">
        <f>'04-221Master'!S27</f>
        <v>100627572976</v>
      </c>
      <c r="K676" s="93"/>
      <c r="L676" s="94"/>
    </row>
    <row r="677" spans="1:12" ht="30" customHeight="1">
      <c r="A677" s="388"/>
      <c r="B677" s="1160" t="s">
        <v>118</v>
      </c>
      <c r="C677" s="1161"/>
      <c r="D677" s="1161"/>
      <c r="E677" s="1161"/>
      <c r="F677" s="1161"/>
      <c r="G677" s="1161"/>
      <c r="H677" s="1154">
        <f>'04-221Master'!Y27</f>
        <v>35786</v>
      </c>
      <c r="I677" s="1155"/>
      <c r="J677" s="1155"/>
      <c r="K677" s="1155"/>
      <c r="L677" s="1156"/>
    </row>
    <row r="678" spans="1:12" ht="30" customHeight="1">
      <c r="A678" s="388"/>
      <c r="B678" s="1143" t="s">
        <v>119</v>
      </c>
      <c r="C678" s="1144"/>
      <c r="D678" s="1144"/>
      <c r="E678" s="1144"/>
      <c r="F678" s="1144"/>
      <c r="G678" s="1144"/>
      <c r="H678" s="1162">
        <f>'04-221Master'!D10</f>
        <v>44652</v>
      </c>
      <c r="I678" s="1147"/>
      <c r="J678" s="1147"/>
      <c r="K678" s="1147"/>
      <c r="L678" s="1151"/>
    </row>
    <row r="679" spans="1:12" ht="30" customHeight="1">
      <c r="A679" s="388"/>
      <c r="B679" s="1143" t="s">
        <v>120</v>
      </c>
      <c r="C679" s="1144"/>
      <c r="D679" s="1144"/>
      <c r="E679" s="1144"/>
      <c r="F679" s="1144"/>
      <c r="G679" s="1144"/>
      <c r="H679" s="1147" t="s">
        <v>121</v>
      </c>
      <c r="I679" s="1147"/>
      <c r="J679" s="1147"/>
      <c r="K679" s="1147"/>
      <c r="L679" s="1151"/>
    </row>
    <row r="680" spans="1:12" ht="30" customHeight="1">
      <c r="A680" s="388"/>
      <c r="B680" s="399" t="s">
        <v>122</v>
      </c>
      <c r="C680" s="87"/>
      <c r="D680" s="87"/>
      <c r="E680" s="87"/>
      <c r="F680" s="87"/>
      <c r="G680" s="429"/>
      <c r="H680" s="589"/>
      <c r="I680" s="587"/>
      <c r="J680" s="96">
        <f>'04-221Master'!W27</f>
        <v>30</v>
      </c>
      <c r="K680" s="587"/>
      <c r="L680" s="588"/>
    </row>
    <row r="681" spans="1:12" ht="30" customHeight="1">
      <c r="A681" s="388"/>
      <c r="B681" s="399" t="s">
        <v>123</v>
      </c>
      <c r="C681" s="87"/>
      <c r="D681" s="87"/>
      <c r="E681" s="87"/>
      <c r="F681" s="87"/>
      <c r="G681" s="429"/>
      <c r="H681" s="589"/>
      <c r="I681" s="587"/>
      <c r="J681" s="587" t="s">
        <v>37</v>
      </c>
      <c r="K681" s="587"/>
      <c r="L681" s="588"/>
    </row>
    <row r="682" spans="1:12" ht="30" customHeight="1">
      <c r="A682" s="388"/>
      <c r="B682" s="399" t="s">
        <v>124</v>
      </c>
      <c r="C682" s="87"/>
      <c r="D682" s="87"/>
      <c r="E682" s="87"/>
      <c r="F682" s="87"/>
      <c r="G682" s="429"/>
      <c r="H682" s="589"/>
      <c r="I682" s="587"/>
      <c r="J682" s="96">
        <v>0</v>
      </c>
      <c r="K682" s="587"/>
      <c r="L682" s="588"/>
    </row>
    <row r="683" spans="1:12" ht="30" customHeight="1">
      <c r="A683" s="388"/>
      <c r="B683" s="399" t="s">
        <v>125</v>
      </c>
      <c r="C683" s="87"/>
      <c r="D683" s="87"/>
      <c r="E683" s="87"/>
      <c r="F683" s="87"/>
      <c r="G683" s="429"/>
      <c r="H683" s="589"/>
      <c r="I683" s="587"/>
      <c r="J683" s="587">
        <v>0</v>
      </c>
      <c r="K683" s="587"/>
      <c r="L683" s="588"/>
    </row>
    <row r="684" spans="1:12" ht="30" customHeight="1">
      <c r="A684" s="388"/>
      <c r="B684" s="399" t="s">
        <v>126</v>
      </c>
      <c r="C684" s="87"/>
      <c r="D684" s="87"/>
      <c r="E684" s="87"/>
      <c r="F684" s="87"/>
      <c r="G684" s="429"/>
      <c r="H684" s="589"/>
      <c r="I684" s="587"/>
      <c r="J684" s="604">
        <f>'04-221Master'!AM27</f>
        <v>40275.69296</v>
      </c>
      <c r="K684" s="587"/>
      <c r="L684" s="588" t="s">
        <v>585</v>
      </c>
    </row>
    <row r="685" spans="1:12" ht="30" customHeight="1">
      <c r="A685" s="388"/>
      <c r="B685" s="399" t="s">
        <v>127</v>
      </c>
      <c r="C685" s="87"/>
      <c r="D685" s="585" t="s">
        <v>32</v>
      </c>
      <c r="E685" s="586">
        <f>'04-221Master'!AO27</f>
        <v>1800</v>
      </c>
      <c r="F685" s="585" t="s">
        <v>31</v>
      </c>
      <c r="G685" s="586">
        <f>'04-221Master'!AN27</f>
        <v>0</v>
      </c>
      <c r="H685" s="585" t="s">
        <v>33</v>
      </c>
      <c r="I685" s="586">
        <f>'04-221Master'!AP27</f>
        <v>200</v>
      </c>
      <c r="J685" s="585" t="s">
        <v>34</v>
      </c>
      <c r="K685" s="586">
        <f>'04-221Master'!AQ27</f>
        <v>0</v>
      </c>
      <c r="L685" s="103">
        <f>'04-221Master'!AR27</f>
        <v>252</v>
      </c>
    </row>
    <row r="686" spans="1:12" ht="30" customHeight="1">
      <c r="A686" s="388"/>
      <c r="B686" s="399" t="s">
        <v>128</v>
      </c>
      <c r="C686" s="87"/>
      <c r="D686" s="87"/>
      <c r="E686" s="87"/>
      <c r="F686" s="87"/>
      <c r="G686" s="429"/>
      <c r="H686" s="589"/>
      <c r="I686" s="587"/>
      <c r="J686" s="96">
        <f>J684-E685-I685-K685-L685</f>
        <v>38023.69296</v>
      </c>
      <c r="K686" s="587"/>
      <c r="L686" s="588"/>
    </row>
    <row r="687" spans="1:12">
      <c r="A687" s="388"/>
      <c r="B687" s="400" t="s">
        <v>129</v>
      </c>
      <c r="C687" s="401"/>
      <c r="D687" s="401"/>
      <c r="E687" s="401"/>
      <c r="F687" s="401"/>
      <c r="G687" s="402"/>
      <c r="H687" s="403"/>
      <c r="I687" s="404"/>
      <c r="J687" s="404"/>
      <c r="K687" s="404"/>
      <c r="L687" s="98"/>
    </row>
    <row r="688" spans="1:12">
      <c r="A688" s="388"/>
      <c r="B688" s="426" t="s">
        <v>130</v>
      </c>
      <c r="C688" s="2"/>
      <c r="D688" s="2"/>
      <c r="E688" s="2"/>
      <c r="F688" s="2"/>
      <c r="G688" s="427"/>
      <c r="H688" s="71"/>
      <c r="I688" s="388"/>
      <c r="J688" s="388"/>
      <c r="K688" s="388"/>
      <c r="L688" s="14"/>
    </row>
    <row r="689" spans="1:12">
      <c r="A689" s="388"/>
      <c r="B689" s="13"/>
      <c r="C689" s="388"/>
      <c r="D689" s="388"/>
      <c r="E689" s="388"/>
      <c r="F689" s="388"/>
      <c r="G689" s="388"/>
      <c r="H689" s="388"/>
      <c r="I689" s="388"/>
      <c r="J689" s="388"/>
      <c r="K689" s="388"/>
      <c r="L689" s="14"/>
    </row>
    <row r="690" spans="1:12" ht="15.75" thickBot="1">
      <c r="A690" s="388"/>
      <c r="B690" s="25"/>
      <c r="C690" s="23"/>
      <c r="D690" s="23"/>
      <c r="E690" s="23"/>
      <c r="F690" s="23"/>
      <c r="G690" s="23"/>
      <c r="H690" s="23"/>
      <c r="I690" s="23"/>
      <c r="J690" s="23"/>
      <c r="K690" s="23"/>
      <c r="L690" s="24"/>
    </row>
    <row r="691" spans="1:12">
      <c r="A691" s="388"/>
      <c r="B691" s="388"/>
      <c r="C691" s="388"/>
      <c r="D691" s="388"/>
      <c r="E691" s="388"/>
      <c r="F691" s="388"/>
      <c r="G691" s="388"/>
      <c r="H691" s="388"/>
      <c r="I691" s="388"/>
      <c r="J691" s="388"/>
      <c r="K691" s="388"/>
      <c r="L691" s="388"/>
    </row>
    <row r="692" spans="1:12">
      <c r="A692" s="388"/>
      <c r="B692" s="388"/>
      <c r="C692" s="388"/>
      <c r="D692" s="388"/>
      <c r="E692" s="388"/>
      <c r="F692" s="388"/>
      <c r="G692" s="388"/>
      <c r="H692" s="388"/>
      <c r="I692" s="388"/>
      <c r="J692" s="388"/>
      <c r="K692" s="388"/>
      <c r="L692" s="388"/>
    </row>
    <row r="693" spans="1:12">
      <c r="A693" s="388"/>
      <c r="B693" s="388"/>
      <c r="C693" s="388"/>
      <c r="D693" s="388"/>
      <c r="E693" s="388"/>
      <c r="F693" s="388"/>
      <c r="G693" s="388"/>
      <c r="H693" s="388"/>
      <c r="I693" s="388"/>
      <c r="J693" s="388"/>
      <c r="K693" s="388"/>
      <c r="L693" s="388"/>
    </row>
    <row r="694" spans="1:12">
      <c r="A694" s="388"/>
      <c r="B694" s="388"/>
      <c r="C694" s="388"/>
      <c r="D694" s="388"/>
      <c r="E694" s="388"/>
      <c r="F694" s="388"/>
      <c r="G694" s="388"/>
      <c r="H694" s="388"/>
      <c r="I694" s="388"/>
      <c r="J694" s="388"/>
      <c r="K694" s="388"/>
      <c r="L694" s="388"/>
    </row>
    <row r="695" spans="1:12">
      <c r="A695" s="388"/>
      <c r="B695" s="388"/>
      <c r="C695" s="388"/>
      <c r="D695" s="388"/>
      <c r="E695" s="388"/>
      <c r="F695" s="388"/>
      <c r="G695" s="388"/>
      <c r="H695" s="388"/>
      <c r="I695" s="388"/>
      <c r="J695" s="388"/>
      <c r="K695" s="388"/>
      <c r="L695" s="388"/>
    </row>
    <row r="696" spans="1:12">
      <c r="A696" s="388"/>
      <c r="B696" s="388"/>
      <c r="C696" s="388"/>
      <c r="D696" s="388"/>
      <c r="E696" s="388"/>
      <c r="F696" s="388"/>
      <c r="G696" s="388"/>
      <c r="H696" s="388"/>
      <c r="I696" s="388"/>
      <c r="J696" s="388"/>
      <c r="K696" s="388"/>
      <c r="L696" s="388"/>
    </row>
    <row r="697" spans="1:12">
      <c r="A697" s="388"/>
      <c r="B697" s="388"/>
      <c r="C697" s="388"/>
      <c r="D697" s="388"/>
      <c r="E697" s="388"/>
      <c r="F697" s="388"/>
      <c r="G697" s="388"/>
      <c r="H697" s="388"/>
      <c r="I697" s="388"/>
      <c r="J697" s="388"/>
      <c r="K697" s="388"/>
      <c r="L697" s="388"/>
    </row>
    <row r="698" spans="1:12">
      <c r="A698" s="388"/>
      <c r="B698" s="388"/>
      <c r="C698" s="388"/>
      <c r="D698" s="388"/>
      <c r="E698" s="388"/>
      <c r="F698" s="388"/>
      <c r="G698" s="388"/>
      <c r="H698" s="388"/>
      <c r="I698" s="388"/>
      <c r="J698" s="388"/>
      <c r="K698" s="388"/>
      <c r="L698" s="388"/>
    </row>
    <row r="699" spans="1:12">
      <c r="A699" s="388"/>
      <c r="B699" s="388"/>
      <c r="C699" s="388"/>
      <c r="D699" s="388"/>
      <c r="E699" s="388"/>
      <c r="F699" s="388"/>
      <c r="G699" s="388"/>
      <c r="H699" s="388"/>
      <c r="I699" s="388"/>
      <c r="J699" s="388"/>
      <c r="K699" s="388"/>
      <c r="L699" s="388"/>
    </row>
    <row r="700" spans="1:12">
      <c r="A700" s="388"/>
      <c r="B700" s="388"/>
      <c r="C700" s="388"/>
      <c r="D700" s="388"/>
      <c r="E700" s="388"/>
      <c r="F700" s="388"/>
      <c r="G700" s="388"/>
      <c r="H700" s="388"/>
      <c r="I700" s="388"/>
      <c r="J700" s="388"/>
      <c r="K700" s="388"/>
      <c r="L700" s="388"/>
    </row>
    <row r="701" spans="1:12" ht="15.75" thickBot="1">
      <c r="A701" s="388"/>
      <c r="B701" s="388"/>
      <c r="C701" s="388"/>
      <c r="D701" s="388"/>
      <c r="E701" s="388"/>
      <c r="F701" s="388"/>
      <c r="G701" s="388"/>
      <c r="H701" s="388"/>
      <c r="I701" s="388"/>
      <c r="J701" s="388"/>
      <c r="K701" s="388"/>
      <c r="L701" s="388"/>
    </row>
    <row r="702" spans="1:12" ht="32.25">
      <c r="A702" s="388"/>
      <c r="B702" s="1163" t="s">
        <v>590</v>
      </c>
      <c r="C702" s="1164"/>
      <c r="D702" s="1164"/>
      <c r="E702" s="1164"/>
      <c r="F702" s="1164"/>
      <c r="G702" s="1164"/>
      <c r="H702" s="1164"/>
      <c r="I702" s="1164"/>
      <c r="J702" s="1164"/>
      <c r="K702" s="1164"/>
      <c r="L702" s="1165"/>
    </row>
    <row r="703" spans="1:12" ht="23.25">
      <c r="A703" s="388"/>
      <c r="B703" s="1166" t="s">
        <v>107</v>
      </c>
      <c r="C703" s="1167"/>
      <c r="D703" s="1167"/>
      <c r="E703" s="1167"/>
      <c r="F703" s="1167"/>
      <c r="G703" s="1167"/>
      <c r="H703" s="1167"/>
      <c r="I703" s="1167"/>
      <c r="J703" s="1167"/>
      <c r="K703" s="1167"/>
      <c r="L703" s="1168"/>
    </row>
    <row r="704" spans="1:12" ht="16.5" thickBot="1">
      <c r="A704" s="388"/>
      <c r="B704" s="1169" t="s">
        <v>591</v>
      </c>
      <c r="C704" s="1170"/>
      <c r="D704" s="1170"/>
      <c r="E704" s="1170"/>
      <c r="F704" s="1170"/>
      <c r="G704" s="1170"/>
      <c r="H704" s="1170"/>
      <c r="I704" s="1170"/>
      <c r="J704" s="1170"/>
      <c r="K704" s="1170"/>
      <c r="L704" s="1171"/>
    </row>
    <row r="705" spans="1:12">
      <c r="A705" s="388"/>
      <c r="B705" s="1172" t="s">
        <v>108</v>
      </c>
      <c r="C705" s="1173"/>
      <c r="D705" s="1173"/>
      <c r="E705" s="1173"/>
      <c r="F705" s="1173"/>
      <c r="G705" s="388"/>
      <c r="H705" s="1174" t="s">
        <v>109</v>
      </c>
      <c r="I705" s="1174"/>
      <c r="J705" s="1174"/>
      <c r="K705" s="1174"/>
      <c r="L705" s="1175"/>
    </row>
    <row r="706" spans="1:12" ht="15.75" thickBot="1">
      <c r="A706" s="388"/>
      <c r="B706" s="1172"/>
      <c r="C706" s="1173"/>
      <c r="D706" s="1173"/>
      <c r="E706" s="1173"/>
      <c r="F706" s="1173"/>
      <c r="G706" s="388"/>
      <c r="H706" s="1174"/>
      <c r="I706" s="1174"/>
      <c r="J706" s="1174"/>
      <c r="K706" s="1174"/>
      <c r="L706" s="1175"/>
    </row>
    <row r="707" spans="1:12">
      <c r="A707" s="388"/>
      <c r="B707" s="74"/>
      <c r="C707" s="75"/>
      <c r="D707" s="75"/>
      <c r="E707" s="75"/>
      <c r="F707" s="76"/>
      <c r="G707" s="388"/>
      <c r="H707" s="74"/>
      <c r="I707" s="75"/>
      <c r="J707" s="75"/>
      <c r="K707" s="75"/>
      <c r="L707" s="76"/>
    </row>
    <row r="708" spans="1:12">
      <c r="A708" s="388"/>
      <c r="B708" s="419" t="s">
        <v>382</v>
      </c>
      <c r="C708" s="388"/>
      <c r="D708" s="388"/>
      <c r="E708" s="388"/>
      <c r="F708" s="14"/>
      <c r="G708" s="388"/>
      <c r="H708" s="419" t="s">
        <v>382</v>
      </c>
      <c r="I708" s="388"/>
      <c r="J708" s="388"/>
      <c r="K708" s="388"/>
      <c r="L708" s="14"/>
    </row>
    <row r="709" spans="1:12">
      <c r="A709" s="388"/>
      <c r="B709" s="421" t="s">
        <v>383</v>
      </c>
      <c r="C709" s="388"/>
      <c r="D709" s="388"/>
      <c r="E709" s="388"/>
      <c r="F709" s="14"/>
      <c r="G709" s="388"/>
      <c r="H709" s="421" t="s">
        <v>383</v>
      </c>
      <c r="I709" s="388"/>
      <c r="J709" s="388"/>
      <c r="K709" s="388"/>
      <c r="L709" s="14"/>
    </row>
    <row r="710" spans="1:12">
      <c r="A710" s="388"/>
      <c r="B710" s="77"/>
      <c r="C710" s="388"/>
      <c r="D710" s="388"/>
      <c r="E710" s="388"/>
      <c r="F710" s="14"/>
      <c r="G710" s="388"/>
      <c r="H710" s="77"/>
      <c r="I710" s="388"/>
      <c r="J710" s="388"/>
      <c r="K710" s="388"/>
      <c r="L710" s="14"/>
    </row>
    <row r="711" spans="1:12" ht="15.75" thickBot="1">
      <c r="A711" s="388"/>
      <c r="B711" s="25"/>
      <c r="C711" s="23"/>
      <c r="D711" s="23"/>
      <c r="E711" s="23"/>
      <c r="F711" s="24"/>
      <c r="G711" s="388"/>
      <c r="H711" s="25"/>
      <c r="I711" s="23"/>
      <c r="J711" s="23"/>
      <c r="K711" s="23"/>
      <c r="L711" s="24"/>
    </row>
    <row r="712" spans="1:12" ht="27" customHeight="1">
      <c r="A712" s="388"/>
      <c r="B712" s="13"/>
      <c r="C712" s="388"/>
      <c r="D712" s="388"/>
      <c r="E712" s="388"/>
      <c r="F712" s="388"/>
      <c r="G712" s="388"/>
      <c r="H712" s="388"/>
      <c r="I712" s="388"/>
      <c r="J712" s="388" t="s">
        <v>110</v>
      </c>
      <c r="K712" s="388"/>
      <c r="L712" s="14"/>
    </row>
    <row r="713" spans="1:12" ht="27" customHeight="1">
      <c r="A713" s="388"/>
      <c r="B713" s="1176" t="s">
        <v>111</v>
      </c>
      <c r="C713" s="1177"/>
      <c r="D713" s="1177"/>
      <c r="E713" s="1177"/>
      <c r="F713" s="1177"/>
      <c r="G713" s="388"/>
      <c r="H713" s="1177" t="s">
        <v>4</v>
      </c>
      <c r="I713" s="1177"/>
      <c r="J713" s="1177"/>
      <c r="K713" s="1177"/>
      <c r="L713" s="1178"/>
    </row>
    <row r="714" spans="1:12" ht="27" customHeight="1" thickBot="1">
      <c r="A714" s="388"/>
      <c r="B714" s="13"/>
      <c r="C714" s="388"/>
      <c r="D714" s="388"/>
      <c r="E714" s="388"/>
      <c r="F714" s="388"/>
      <c r="G714" s="388"/>
      <c r="H714" s="388"/>
      <c r="I714" s="388"/>
      <c r="J714" s="388"/>
      <c r="K714" s="388"/>
      <c r="L714" s="14"/>
    </row>
    <row r="715" spans="1:12" ht="27" customHeight="1">
      <c r="A715" s="388"/>
      <c r="B715" s="74"/>
      <c r="C715" s="75"/>
      <c r="D715" s="75"/>
      <c r="E715" s="75"/>
      <c r="F715" s="76"/>
      <c r="G715" s="388"/>
      <c r="H715" s="78"/>
      <c r="I715" s="79"/>
      <c r="J715" s="79"/>
      <c r="K715" s="79"/>
      <c r="L715" s="80"/>
    </row>
    <row r="716" spans="1:12" ht="27" customHeight="1">
      <c r="A716" s="388"/>
      <c r="B716" s="13"/>
      <c r="C716" s="388"/>
      <c r="D716" s="388"/>
      <c r="E716" s="388"/>
      <c r="F716" s="14"/>
      <c r="G716" s="388"/>
      <c r="H716" s="606" t="s">
        <v>497</v>
      </c>
      <c r="I716" s="2"/>
      <c r="J716" s="2"/>
      <c r="K716" s="2"/>
      <c r="L716" s="81"/>
    </row>
    <row r="717" spans="1:12" ht="27" customHeight="1">
      <c r="A717" s="388"/>
      <c r="B717" s="423" t="s">
        <v>373</v>
      </c>
      <c r="C717" s="388"/>
      <c r="D717" s="388"/>
      <c r="E717" s="388"/>
      <c r="F717" s="14"/>
      <c r="G717" s="388"/>
      <c r="H717" s="425" t="s">
        <v>490</v>
      </c>
      <c r="I717" s="2"/>
      <c r="J717" s="2"/>
      <c r="K717" s="2"/>
      <c r="L717" s="81"/>
    </row>
    <row r="718" spans="1:12" ht="27" customHeight="1">
      <c r="A718" s="388"/>
      <c r="B718" s="13"/>
      <c r="C718" s="388"/>
      <c r="D718" s="388"/>
      <c r="E718" s="388"/>
      <c r="F718" s="14"/>
      <c r="G718" s="388"/>
      <c r="H718" s="77"/>
      <c r="I718" s="2"/>
      <c r="J718" s="2"/>
      <c r="K718" s="2"/>
      <c r="L718" s="81"/>
    </row>
    <row r="719" spans="1:12" ht="27" customHeight="1" thickBot="1">
      <c r="A719" s="388"/>
      <c r="B719" s="25"/>
      <c r="C719" s="23"/>
      <c r="D719" s="23"/>
      <c r="E719" s="23"/>
      <c r="F719" s="24"/>
      <c r="G719" s="388"/>
      <c r="H719" s="77"/>
      <c r="I719" s="2"/>
      <c r="J719" s="2"/>
      <c r="K719" s="2"/>
      <c r="L719" s="81"/>
    </row>
    <row r="720" spans="1:12" ht="27" customHeight="1">
      <c r="A720" s="388"/>
      <c r="B720" s="1143" t="s">
        <v>112</v>
      </c>
      <c r="C720" s="1144"/>
      <c r="D720" s="1144"/>
      <c r="E720" s="1144"/>
      <c r="F720" s="1144"/>
      <c r="G720" s="1145"/>
      <c r="H720" s="1146" t="str">
        <f>'04-221Master'!B28</f>
        <v>Ajay Singh</v>
      </c>
      <c r="I720" s="1147"/>
      <c r="J720" s="1147"/>
      <c r="K720" s="1147"/>
      <c r="L720" s="1147"/>
    </row>
    <row r="721" spans="1:12" ht="27" customHeight="1">
      <c r="A721" s="388"/>
      <c r="B721" s="1148"/>
      <c r="C721" s="1149"/>
      <c r="D721" s="1149"/>
      <c r="E721" s="1149"/>
      <c r="F721" s="1149"/>
      <c r="G721" s="1149"/>
      <c r="H721" s="1150" t="str">
        <f>'04-221Master'!G28</f>
        <v>EM-36,Indus Town,Phase II,Ratanpur,Missrod,Bhopal,Madhya pradesh 462047</v>
      </c>
      <c r="I721" s="1150"/>
      <c r="J721" s="1150"/>
      <c r="K721" s="1150"/>
      <c r="L721" s="1150"/>
    </row>
    <row r="722" spans="1:12" ht="27" customHeight="1">
      <c r="A722" s="388"/>
      <c r="B722" s="1152" t="s">
        <v>113</v>
      </c>
      <c r="C722" s="1153"/>
      <c r="D722" s="1153"/>
      <c r="E722" s="1153"/>
      <c r="F722" s="1153"/>
      <c r="G722" s="1153"/>
      <c r="H722" s="1154">
        <v>32</v>
      </c>
      <c r="I722" s="1155"/>
      <c r="J722" s="1155"/>
      <c r="K722" s="1155"/>
      <c r="L722" s="1156"/>
    </row>
    <row r="723" spans="1:12" ht="27" customHeight="1">
      <c r="A723" s="388"/>
      <c r="B723" s="1143" t="s">
        <v>114</v>
      </c>
      <c r="C723" s="1144"/>
      <c r="D723" s="1144"/>
      <c r="E723" s="1144"/>
      <c r="F723" s="1144"/>
      <c r="G723" s="1144"/>
      <c r="H723" s="1146" t="str">
        <f>'04-221Master'!F28</f>
        <v>Sr.Cloud Network Engineer</v>
      </c>
      <c r="I723" s="1147"/>
      <c r="J723" s="1147"/>
      <c r="K723" s="1147"/>
      <c r="L723" s="1151"/>
    </row>
    <row r="724" spans="1:12" ht="27" customHeight="1">
      <c r="A724" s="388"/>
      <c r="B724" s="1143" t="s">
        <v>115</v>
      </c>
      <c r="C724" s="1144"/>
      <c r="D724" s="1144"/>
      <c r="E724" s="1144"/>
      <c r="F724" s="1144"/>
      <c r="G724" s="1144"/>
      <c r="H724" s="1157">
        <f>'04-221Master'!N28</f>
        <v>44538</v>
      </c>
      <c r="I724" s="1158"/>
      <c r="J724" s="1158"/>
      <c r="K724" s="1158"/>
      <c r="L724" s="1159"/>
    </row>
    <row r="725" spans="1:12" ht="27" customHeight="1">
      <c r="A725" s="388"/>
      <c r="B725" s="399" t="s">
        <v>116</v>
      </c>
      <c r="C725" s="87"/>
      <c r="D725" s="87"/>
      <c r="E725" s="87"/>
      <c r="F725" s="87"/>
      <c r="G725" s="87"/>
      <c r="H725" s="612"/>
      <c r="I725" s="89"/>
      <c r="J725" s="389">
        <f>'04-221Master'!T67</f>
        <v>0</v>
      </c>
      <c r="K725" s="610"/>
      <c r="L725" s="611"/>
    </row>
    <row r="726" spans="1:12" ht="27" customHeight="1">
      <c r="A726" s="388"/>
      <c r="B726" s="399" t="s">
        <v>117</v>
      </c>
      <c r="C726" s="87"/>
      <c r="D726" s="87"/>
      <c r="E726" s="87"/>
      <c r="F726" s="87"/>
      <c r="G726" s="429"/>
      <c r="H726" s="92"/>
      <c r="I726" s="93"/>
      <c r="J726" s="389" t="str">
        <f>'04-221Master'!S28</f>
        <v>101265633203</v>
      </c>
      <c r="K726" s="93"/>
      <c r="L726" s="94"/>
    </row>
    <row r="727" spans="1:12" ht="27" customHeight="1">
      <c r="A727" s="388"/>
      <c r="B727" s="1160" t="s">
        <v>118</v>
      </c>
      <c r="C727" s="1161"/>
      <c r="D727" s="1161"/>
      <c r="E727" s="1161"/>
      <c r="F727" s="1161"/>
      <c r="G727" s="1161"/>
      <c r="H727" s="1154">
        <f>'04-221Master'!Y28</f>
        <v>128477</v>
      </c>
      <c r="I727" s="1155"/>
      <c r="J727" s="1155"/>
      <c r="K727" s="1155"/>
      <c r="L727" s="1156"/>
    </row>
    <row r="728" spans="1:12" ht="27" customHeight="1">
      <c r="A728" s="388"/>
      <c r="B728" s="1143" t="s">
        <v>119</v>
      </c>
      <c r="C728" s="1144"/>
      <c r="D728" s="1144"/>
      <c r="E728" s="1144"/>
      <c r="F728" s="1144"/>
      <c r="G728" s="1144"/>
      <c r="H728" s="1162">
        <f>'04-221Master'!D10</f>
        <v>44652</v>
      </c>
      <c r="I728" s="1147"/>
      <c r="J728" s="1147"/>
      <c r="K728" s="1147"/>
      <c r="L728" s="1151"/>
    </row>
    <row r="729" spans="1:12" ht="27" customHeight="1">
      <c r="A729" s="388"/>
      <c r="B729" s="1143" t="s">
        <v>120</v>
      </c>
      <c r="C729" s="1144"/>
      <c r="D729" s="1144"/>
      <c r="E729" s="1144"/>
      <c r="F729" s="1144"/>
      <c r="G729" s="1144"/>
      <c r="H729" s="1147" t="s">
        <v>121</v>
      </c>
      <c r="I729" s="1147"/>
      <c r="J729" s="1147"/>
      <c r="K729" s="1147"/>
      <c r="L729" s="1151"/>
    </row>
    <row r="730" spans="1:12" ht="27" customHeight="1">
      <c r="A730" s="388"/>
      <c r="B730" s="399" t="s">
        <v>122</v>
      </c>
      <c r="C730" s="87"/>
      <c r="D730" s="87"/>
      <c r="E730" s="87"/>
      <c r="F730" s="87"/>
      <c r="G730" s="429"/>
      <c r="H730" s="612"/>
      <c r="I730" s="610"/>
      <c r="J730" s="96">
        <f>'04-221Master'!W28</f>
        <v>30</v>
      </c>
      <c r="K730" s="610"/>
      <c r="L730" s="611"/>
    </row>
    <row r="731" spans="1:12" ht="27" customHeight="1">
      <c r="A731" s="388"/>
      <c r="B731" s="399" t="s">
        <v>123</v>
      </c>
      <c r="C731" s="87"/>
      <c r="D731" s="87"/>
      <c r="E731" s="87"/>
      <c r="F731" s="87"/>
      <c r="G731" s="429"/>
      <c r="H731" s="612"/>
      <c r="I731" s="610"/>
      <c r="J731" s="610" t="s">
        <v>37</v>
      </c>
      <c r="K731" s="610"/>
      <c r="L731" s="611"/>
    </row>
    <row r="732" spans="1:12" ht="27" customHeight="1">
      <c r="A732" s="388"/>
      <c r="B732" s="399" t="s">
        <v>124</v>
      </c>
      <c r="C732" s="87"/>
      <c r="D732" s="87"/>
      <c r="E732" s="87"/>
      <c r="F732" s="87"/>
      <c r="G732" s="429"/>
      <c r="H732" s="612"/>
      <c r="I732" s="610"/>
      <c r="J732" s="96">
        <v>0</v>
      </c>
      <c r="K732" s="610"/>
      <c r="L732" s="611"/>
    </row>
    <row r="733" spans="1:12" ht="27" customHeight="1">
      <c r="A733" s="388"/>
      <c r="B733" s="399" t="s">
        <v>125</v>
      </c>
      <c r="C733" s="87"/>
      <c r="D733" s="87"/>
      <c r="E733" s="87"/>
      <c r="F733" s="87"/>
      <c r="G733" s="429"/>
      <c r="H733" s="612"/>
      <c r="I733" s="610"/>
      <c r="J733" s="610">
        <v>0</v>
      </c>
      <c r="K733" s="610"/>
      <c r="L733" s="611"/>
    </row>
    <row r="734" spans="1:12" ht="27" customHeight="1">
      <c r="A734" s="388"/>
      <c r="B734" s="399" t="s">
        <v>126</v>
      </c>
      <c r="C734" s="87"/>
      <c r="D734" s="87"/>
      <c r="E734" s="87"/>
      <c r="F734" s="87"/>
      <c r="G734" s="429"/>
      <c r="H734" s="612"/>
      <c r="I734" s="610"/>
      <c r="J734" s="604">
        <f>'04-221Master'!AM28</f>
        <v>140276.30522000001</v>
      </c>
      <c r="K734" s="610"/>
      <c r="L734" s="611" t="s">
        <v>585</v>
      </c>
    </row>
    <row r="735" spans="1:12" ht="27" customHeight="1">
      <c r="A735" s="388"/>
      <c r="B735" s="399" t="s">
        <v>127</v>
      </c>
      <c r="C735" s="87"/>
      <c r="D735" s="608" t="s">
        <v>32</v>
      </c>
      <c r="E735" s="609">
        <f>'04-221Master'!AO28</f>
        <v>1800</v>
      </c>
      <c r="F735" s="608" t="s">
        <v>31</v>
      </c>
      <c r="G735" s="609">
        <f>'04-221Master'!AN67</f>
        <v>0</v>
      </c>
      <c r="H735" s="608" t="s">
        <v>33</v>
      </c>
      <c r="I735" s="609">
        <f>'04-221Master'!AP28</f>
        <v>200</v>
      </c>
      <c r="J735" s="608" t="s">
        <v>34</v>
      </c>
      <c r="K735" s="609">
        <f>'04-221Master'!AQ28</f>
        <v>0</v>
      </c>
      <c r="L735" s="103">
        <f>'04-221Master'!AR28</f>
        <v>283</v>
      </c>
    </row>
    <row r="736" spans="1:12" ht="27" customHeight="1">
      <c r="A736" s="388"/>
      <c r="B736" s="399" t="s">
        <v>128</v>
      </c>
      <c r="C736" s="87"/>
      <c r="D736" s="87"/>
      <c r="E736" s="87"/>
      <c r="F736" s="87"/>
      <c r="G736" s="429"/>
      <c r="H736" s="612"/>
      <c r="I736" s="610"/>
      <c r="J736" s="96">
        <f>J734-E735-I735-K735-L735</f>
        <v>137993.30522000001</v>
      </c>
      <c r="K736" s="610"/>
      <c r="L736" s="611"/>
    </row>
    <row r="737" spans="1:12" ht="27" customHeight="1">
      <c r="A737" s="388"/>
      <c r="B737" s="400" t="s">
        <v>129</v>
      </c>
      <c r="C737" s="401"/>
      <c r="D737" s="401"/>
      <c r="E737" s="401"/>
      <c r="F737" s="401"/>
      <c r="G737" s="402"/>
      <c r="H737" s="403"/>
      <c r="I737" s="404"/>
      <c r="J737" s="404"/>
      <c r="K737" s="404"/>
      <c r="L737" s="98"/>
    </row>
    <row r="738" spans="1:12" ht="27" customHeight="1">
      <c r="A738" s="388"/>
      <c r="B738" s="426" t="s">
        <v>130</v>
      </c>
      <c r="C738" s="2"/>
      <c r="D738" s="2"/>
      <c r="E738" s="2"/>
      <c r="F738" s="2"/>
      <c r="G738" s="427"/>
      <c r="H738" s="71"/>
      <c r="I738" s="388"/>
      <c r="J738" s="388"/>
      <c r="K738" s="388"/>
      <c r="L738" s="14"/>
    </row>
    <row r="739" spans="1:12" ht="27" customHeight="1">
      <c r="A739" s="388"/>
      <c r="B739" s="13"/>
      <c r="C739" s="388"/>
      <c r="D739" s="388"/>
      <c r="E739" s="388"/>
      <c r="F739" s="388"/>
      <c r="G739" s="388"/>
      <c r="H739" s="388"/>
      <c r="I739" s="388"/>
      <c r="J739" s="388"/>
      <c r="K739" s="388"/>
      <c r="L739" s="14"/>
    </row>
    <row r="740" spans="1:12" ht="27" customHeight="1" thickBot="1">
      <c r="A740" s="388"/>
      <c r="B740" s="25"/>
      <c r="C740" s="23"/>
      <c r="D740" s="23"/>
      <c r="E740" s="23"/>
      <c r="F740" s="23"/>
      <c r="G740" s="23"/>
      <c r="H740" s="23"/>
      <c r="I740" s="23"/>
      <c r="J740" s="23"/>
      <c r="K740" s="23"/>
      <c r="L740" s="24"/>
    </row>
    <row r="741" spans="1:12">
      <c r="A741" s="388"/>
      <c r="B741" s="388"/>
      <c r="C741" s="388"/>
      <c r="D741" s="388"/>
      <c r="E741" s="388"/>
      <c r="F741" s="388"/>
      <c r="G741" s="388"/>
      <c r="H741" s="388"/>
      <c r="I741" s="388"/>
      <c r="J741" s="388"/>
      <c r="K741" s="388"/>
      <c r="L741" s="388"/>
    </row>
    <row r="742" spans="1:12">
      <c r="A742" s="388"/>
      <c r="B742" s="388"/>
      <c r="C742" s="388"/>
      <c r="D742" s="388"/>
      <c r="E742" s="388"/>
      <c r="F742" s="388"/>
      <c r="G742" s="388"/>
      <c r="H742" s="388"/>
      <c r="I742" s="388"/>
      <c r="J742" s="388"/>
      <c r="K742" s="388"/>
      <c r="L742" s="388"/>
    </row>
    <row r="743" spans="1:12">
      <c r="A743" s="388"/>
      <c r="B743" s="388"/>
      <c r="C743" s="388"/>
      <c r="D743" s="388"/>
      <c r="E743" s="388"/>
      <c r="F743" s="388"/>
      <c r="G743" s="388"/>
      <c r="H743" s="388"/>
      <c r="I743" s="388"/>
      <c r="J743" s="388"/>
      <c r="K743" s="388"/>
      <c r="L743" s="388"/>
    </row>
    <row r="744" spans="1:12">
      <c r="A744" s="388"/>
      <c r="B744" s="388"/>
      <c r="C744" s="388"/>
      <c r="D744" s="388"/>
      <c r="E744" s="388"/>
      <c r="F744" s="388"/>
      <c r="G744" s="388"/>
      <c r="H744" s="388"/>
      <c r="I744" s="388"/>
      <c r="J744" s="388"/>
      <c r="K744" s="388"/>
      <c r="L744" s="388"/>
    </row>
    <row r="745" spans="1:12">
      <c r="A745" s="388"/>
      <c r="B745" s="388"/>
      <c r="C745" s="388"/>
      <c r="D745" s="388"/>
      <c r="E745" s="388"/>
      <c r="F745" s="388"/>
      <c r="G745" s="388"/>
      <c r="H745" s="388"/>
      <c r="I745" s="388"/>
      <c r="J745" s="388"/>
      <c r="K745" s="388"/>
      <c r="L745" s="388"/>
    </row>
    <row r="746" spans="1:12">
      <c r="A746" s="388"/>
      <c r="B746" s="388"/>
      <c r="C746" s="388"/>
      <c r="D746" s="388"/>
      <c r="E746" s="388"/>
      <c r="F746" s="388"/>
      <c r="G746" s="388"/>
      <c r="H746" s="388"/>
      <c r="I746" s="388"/>
      <c r="J746" s="388"/>
      <c r="K746" s="388"/>
      <c r="L746" s="388"/>
    </row>
    <row r="747" spans="1:12">
      <c r="A747" s="388"/>
      <c r="B747" s="388"/>
      <c r="C747" s="388"/>
      <c r="D747" s="388"/>
      <c r="E747" s="388"/>
      <c r="F747" s="388"/>
      <c r="G747" s="388"/>
      <c r="H747" s="388"/>
      <c r="I747" s="388"/>
      <c r="J747" s="388"/>
      <c r="K747" s="388"/>
      <c r="L747" s="388"/>
    </row>
    <row r="748" spans="1:12">
      <c r="A748" s="388"/>
      <c r="B748" s="388"/>
      <c r="C748" s="388"/>
      <c r="D748" s="388"/>
      <c r="E748" s="388"/>
      <c r="F748" s="388"/>
      <c r="G748" s="388"/>
      <c r="H748" s="388"/>
      <c r="I748" s="388"/>
      <c r="J748" s="388"/>
      <c r="K748" s="388"/>
      <c r="L748" s="388"/>
    </row>
    <row r="749" spans="1:12">
      <c r="A749" s="388"/>
      <c r="B749" s="388"/>
      <c r="C749" s="388"/>
      <c r="D749" s="388"/>
      <c r="E749" s="388"/>
      <c r="F749" s="388"/>
      <c r="G749" s="388"/>
      <c r="H749" s="388"/>
      <c r="I749" s="388"/>
      <c r="J749" s="388"/>
      <c r="K749" s="388"/>
      <c r="L749" s="388"/>
    </row>
    <row r="750" spans="1:12">
      <c r="A750" s="388"/>
      <c r="B750" s="388"/>
      <c r="C750" s="388"/>
      <c r="D750" s="388"/>
      <c r="E750" s="388"/>
      <c r="F750" s="388"/>
      <c r="G750" s="388"/>
      <c r="H750" s="388"/>
      <c r="I750" s="388"/>
      <c r="J750" s="388"/>
      <c r="K750" s="388"/>
      <c r="L750" s="388"/>
    </row>
    <row r="751" spans="1:12" ht="15.75" thickBot="1">
      <c r="A751" s="388"/>
      <c r="B751" s="388"/>
      <c r="C751" s="388"/>
      <c r="D751" s="388"/>
      <c r="E751" s="388"/>
      <c r="F751" s="388"/>
      <c r="G751" s="388"/>
      <c r="H751" s="388"/>
      <c r="I751" s="388"/>
      <c r="J751" s="388"/>
      <c r="K751" s="388"/>
      <c r="L751" s="388"/>
    </row>
    <row r="752" spans="1:12" ht="32.25">
      <c r="A752" s="388"/>
      <c r="B752" s="1163" t="s">
        <v>590</v>
      </c>
      <c r="C752" s="1164"/>
      <c r="D752" s="1164"/>
      <c r="E752" s="1164"/>
      <c r="F752" s="1164"/>
      <c r="G752" s="1164"/>
      <c r="H752" s="1164"/>
      <c r="I752" s="1164"/>
      <c r="J752" s="1164"/>
      <c r="K752" s="1164"/>
      <c r="L752" s="1165"/>
    </row>
    <row r="753" spans="1:12" ht="23.25">
      <c r="A753" s="388"/>
      <c r="B753" s="1166" t="s">
        <v>107</v>
      </c>
      <c r="C753" s="1167"/>
      <c r="D753" s="1167"/>
      <c r="E753" s="1167"/>
      <c r="F753" s="1167"/>
      <c r="G753" s="1167"/>
      <c r="H753" s="1167"/>
      <c r="I753" s="1167"/>
      <c r="J753" s="1167"/>
      <c r="K753" s="1167"/>
      <c r="L753" s="1168"/>
    </row>
    <row r="754" spans="1:12" ht="16.5" thickBot="1">
      <c r="A754" s="388"/>
      <c r="B754" s="1169" t="s">
        <v>591</v>
      </c>
      <c r="C754" s="1170"/>
      <c r="D754" s="1170"/>
      <c r="E754" s="1170"/>
      <c r="F754" s="1170"/>
      <c r="G754" s="1170"/>
      <c r="H754" s="1170"/>
      <c r="I754" s="1170"/>
      <c r="J754" s="1170"/>
      <c r="K754" s="1170"/>
      <c r="L754" s="1171"/>
    </row>
    <row r="755" spans="1:12" ht="20.25" customHeight="1">
      <c r="A755" s="388"/>
      <c r="B755" s="1172" t="s">
        <v>108</v>
      </c>
      <c r="C755" s="1173"/>
      <c r="D755" s="1173"/>
      <c r="E755" s="1173"/>
      <c r="F755" s="1173"/>
      <c r="G755" s="388"/>
      <c r="H755" s="1174" t="s">
        <v>109</v>
      </c>
      <c r="I755" s="1174"/>
      <c r="J755" s="1174"/>
      <c r="K755" s="1174"/>
      <c r="L755" s="1175"/>
    </row>
    <row r="756" spans="1:12" ht="20.25" customHeight="1" thickBot="1">
      <c r="A756" s="388"/>
      <c r="B756" s="1172"/>
      <c r="C756" s="1173"/>
      <c r="D756" s="1173"/>
      <c r="E756" s="1173"/>
      <c r="F756" s="1173"/>
      <c r="G756" s="388"/>
      <c r="H756" s="1174"/>
      <c r="I756" s="1174"/>
      <c r="J756" s="1174"/>
      <c r="K756" s="1174"/>
      <c r="L756" s="1175"/>
    </row>
    <row r="757" spans="1:12" ht="20.25" customHeight="1">
      <c r="A757" s="388"/>
      <c r="B757" s="74"/>
      <c r="C757" s="75"/>
      <c r="D757" s="75"/>
      <c r="E757" s="75"/>
      <c r="F757" s="76"/>
      <c r="G757" s="388"/>
      <c r="H757" s="74"/>
      <c r="I757" s="75"/>
      <c r="J757" s="75"/>
      <c r="K757" s="75"/>
      <c r="L757" s="76"/>
    </row>
    <row r="758" spans="1:12" ht="20.25" customHeight="1">
      <c r="A758" s="388"/>
      <c r="B758" s="419" t="s">
        <v>382</v>
      </c>
      <c r="C758" s="388"/>
      <c r="D758" s="388"/>
      <c r="E758" s="388"/>
      <c r="F758" s="14"/>
      <c r="G758" s="388"/>
      <c r="H758" s="419" t="s">
        <v>382</v>
      </c>
      <c r="I758" s="388"/>
      <c r="J758" s="388"/>
      <c r="K758" s="388"/>
      <c r="L758" s="14"/>
    </row>
    <row r="759" spans="1:12" ht="20.25" customHeight="1">
      <c r="A759" s="388"/>
      <c r="B759" s="421" t="s">
        <v>383</v>
      </c>
      <c r="C759" s="388"/>
      <c r="D759" s="388"/>
      <c r="E759" s="388"/>
      <c r="F759" s="14"/>
      <c r="G759" s="388"/>
      <c r="H759" s="421" t="s">
        <v>383</v>
      </c>
      <c r="I759" s="388"/>
      <c r="J759" s="388"/>
      <c r="K759" s="388"/>
      <c r="L759" s="14"/>
    </row>
    <row r="760" spans="1:12" ht="20.25" customHeight="1">
      <c r="A760" s="388"/>
      <c r="B760" s="77"/>
      <c r="C760" s="388"/>
      <c r="D760" s="388"/>
      <c r="E760" s="388"/>
      <c r="F760" s="14"/>
      <c r="G760" s="388"/>
      <c r="H760" s="77"/>
      <c r="I760" s="388"/>
      <c r="J760" s="388"/>
      <c r="K760" s="388"/>
      <c r="L760" s="14"/>
    </row>
    <row r="761" spans="1:12" ht="20.25" customHeight="1" thickBot="1">
      <c r="A761" s="388"/>
      <c r="B761" s="25"/>
      <c r="C761" s="23"/>
      <c r="D761" s="23"/>
      <c r="E761" s="23"/>
      <c r="F761" s="24"/>
      <c r="G761" s="388"/>
      <c r="H761" s="25"/>
      <c r="I761" s="23"/>
      <c r="J761" s="23"/>
      <c r="K761" s="23"/>
      <c r="L761" s="24"/>
    </row>
    <row r="762" spans="1:12" ht="20.25" customHeight="1">
      <c r="A762" s="388"/>
      <c r="B762" s="13"/>
      <c r="C762" s="388"/>
      <c r="D762" s="388"/>
      <c r="E762" s="388"/>
      <c r="F762" s="388"/>
      <c r="G762" s="388"/>
      <c r="H762" s="388"/>
      <c r="I762" s="388"/>
      <c r="J762" s="388" t="s">
        <v>110</v>
      </c>
      <c r="K762" s="388"/>
      <c r="L762" s="14"/>
    </row>
    <row r="763" spans="1:12" ht="20.25" customHeight="1">
      <c r="A763" s="388"/>
      <c r="B763" s="1176" t="s">
        <v>111</v>
      </c>
      <c r="C763" s="1177"/>
      <c r="D763" s="1177"/>
      <c r="E763" s="1177"/>
      <c r="F763" s="1177"/>
      <c r="G763" s="388"/>
      <c r="H763" s="1177" t="s">
        <v>4</v>
      </c>
      <c r="I763" s="1177"/>
      <c r="J763" s="1177"/>
      <c r="K763" s="1177"/>
      <c r="L763" s="1178"/>
    </row>
    <row r="764" spans="1:12" ht="20.25" customHeight="1" thickBot="1">
      <c r="A764" s="388"/>
      <c r="B764" s="13"/>
      <c r="C764" s="388"/>
      <c r="D764" s="388"/>
      <c r="E764" s="388"/>
      <c r="F764" s="388"/>
      <c r="G764" s="388"/>
      <c r="H764" s="388"/>
      <c r="I764" s="388"/>
      <c r="J764" s="388"/>
      <c r="K764" s="388"/>
      <c r="L764" s="14"/>
    </row>
    <row r="765" spans="1:12" ht="20.25" customHeight="1">
      <c r="A765" s="388"/>
      <c r="B765" s="74"/>
      <c r="C765" s="75"/>
      <c r="D765" s="75"/>
      <c r="E765" s="75"/>
      <c r="F765" s="76"/>
      <c r="G765" s="388"/>
      <c r="H765" s="78"/>
      <c r="I765" s="79"/>
      <c r="J765" s="79"/>
      <c r="K765" s="79"/>
      <c r="L765" s="80"/>
    </row>
    <row r="766" spans="1:12" ht="20.25" customHeight="1">
      <c r="A766" s="388"/>
      <c r="B766" s="13"/>
      <c r="C766" s="388"/>
      <c r="D766" s="388"/>
      <c r="E766" s="388"/>
      <c r="F766" s="14"/>
      <c r="G766" s="388"/>
      <c r="H766" s="680" t="s">
        <v>497</v>
      </c>
      <c r="I766" s="2"/>
      <c r="J766" s="2"/>
      <c r="K766" s="2"/>
      <c r="L766" s="81"/>
    </row>
    <row r="767" spans="1:12" ht="25.5" customHeight="1">
      <c r="A767" s="388"/>
      <c r="B767" s="423" t="s">
        <v>373</v>
      </c>
      <c r="C767" s="388"/>
      <c r="D767" s="388"/>
      <c r="E767" s="388"/>
      <c r="F767" s="14"/>
      <c r="G767" s="388"/>
      <c r="H767" s="425" t="s">
        <v>490</v>
      </c>
      <c r="I767" s="2"/>
      <c r="J767" s="2"/>
      <c r="K767" s="2"/>
      <c r="L767" s="81"/>
    </row>
    <row r="768" spans="1:12" ht="25.5" customHeight="1">
      <c r="A768" s="388"/>
      <c r="B768" s="13"/>
      <c r="C768" s="388"/>
      <c r="D768" s="388"/>
      <c r="E768" s="388"/>
      <c r="F768" s="14"/>
      <c r="G768" s="388"/>
      <c r="H768" s="77"/>
      <c r="I768" s="2"/>
      <c r="J768" s="2"/>
      <c r="K768" s="2"/>
      <c r="L768" s="81"/>
    </row>
    <row r="769" spans="1:12" ht="25.5" customHeight="1" thickBot="1">
      <c r="A769" s="388"/>
      <c r="B769" s="25"/>
      <c r="C769" s="23"/>
      <c r="D769" s="23"/>
      <c r="E769" s="23"/>
      <c r="F769" s="24"/>
      <c r="G769" s="388"/>
      <c r="H769" s="77"/>
      <c r="I769" s="2"/>
      <c r="J769" s="2"/>
      <c r="K769" s="2"/>
      <c r="L769" s="81"/>
    </row>
    <row r="770" spans="1:12" ht="25.5" customHeight="1">
      <c r="A770" s="388"/>
      <c r="B770" s="1143" t="s">
        <v>112</v>
      </c>
      <c r="C770" s="1144"/>
      <c r="D770" s="1144"/>
      <c r="E770" s="1144"/>
      <c r="F770" s="1144"/>
      <c r="G770" s="1145"/>
      <c r="H770" s="1146" t="str">
        <f>'04-221Master'!B29</f>
        <v> Rajesh Dhumal</v>
      </c>
      <c r="I770" s="1147"/>
      <c r="J770" s="1147"/>
      <c r="K770" s="1147"/>
      <c r="L770" s="1147"/>
    </row>
    <row r="771" spans="1:12" ht="25.5" customHeight="1">
      <c r="A771" s="388"/>
      <c r="B771" s="1148"/>
      <c r="C771" s="1149"/>
      <c r="D771" s="1149"/>
      <c r="E771" s="1149"/>
      <c r="F771" s="1149"/>
      <c r="G771" s="1149"/>
      <c r="H771" s="1150" t="str">
        <f>'04-221Master'!G29</f>
        <v>Deshpande Galli, Kholeshwar Collage Samor, Ambejogai, Bid, Maharashtra 431517</v>
      </c>
      <c r="I771" s="1150"/>
      <c r="J771" s="1150"/>
      <c r="K771" s="1150"/>
      <c r="L771" s="1150"/>
    </row>
    <row r="772" spans="1:12" ht="25.5" customHeight="1">
      <c r="A772" s="388"/>
      <c r="B772" s="1152" t="s">
        <v>113</v>
      </c>
      <c r="C772" s="1153"/>
      <c r="D772" s="1153"/>
      <c r="E772" s="1153"/>
      <c r="F772" s="1153"/>
      <c r="G772" s="1153"/>
      <c r="H772" s="1154">
        <v>33</v>
      </c>
      <c r="I772" s="1155"/>
      <c r="J772" s="1155"/>
      <c r="K772" s="1155"/>
      <c r="L772" s="1156"/>
    </row>
    <row r="773" spans="1:12" ht="25.5" customHeight="1">
      <c r="A773" s="388"/>
      <c r="B773" s="1143" t="s">
        <v>114</v>
      </c>
      <c r="C773" s="1144"/>
      <c r="D773" s="1144"/>
      <c r="E773" s="1144"/>
      <c r="F773" s="1144"/>
      <c r="G773" s="1144"/>
      <c r="H773" s="1146" t="str">
        <f>'04-221Master'!F29</f>
        <v>Senior network security analyst.</v>
      </c>
      <c r="I773" s="1147"/>
      <c r="J773" s="1147"/>
      <c r="K773" s="1147"/>
      <c r="L773" s="1151"/>
    </row>
    <row r="774" spans="1:12" ht="25.5" customHeight="1">
      <c r="A774" s="388"/>
      <c r="B774" s="1143" t="s">
        <v>115</v>
      </c>
      <c r="C774" s="1144"/>
      <c r="D774" s="1144"/>
      <c r="E774" s="1144"/>
      <c r="F774" s="1144"/>
      <c r="G774" s="1144"/>
      <c r="H774" s="1157">
        <f>'04-221Master'!N29</f>
        <v>44579</v>
      </c>
      <c r="I774" s="1158"/>
      <c r="J774" s="1158"/>
      <c r="K774" s="1158"/>
      <c r="L774" s="1159"/>
    </row>
    <row r="775" spans="1:12" ht="25.5" customHeight="1">
      <c r="A775" s="388"/>
      <c r="B775" s="399" t="s">
        <v>116</v>
      </c>
      <c r="C775" s="87"/>
      <c r="D775" s="87"/>
      <c r="E775" s="87"/>
      <c r="F775" s="87"/>
      <c r="G775" s="87"/>
      <c r="H775" s="686"/>
      <c r="I775" s="89"/>
      <c r="J775" s="389">
        <f>'04-221Master'!Y29</f>
        <v>74716</v>
      </c>
      <c r="K775" s="684"/>
      <c r="L775" s="685"/>
    </row>
    <row r="776" spans="1:12" ht="25.5" customHeight="1">
      <c r="A776" s="388"/>
      <c r="B776" s="399" t="s">
        <v>117</v>
      </c>
      <c r="C776" s="87"/>
      <c r="D776" s="87"/>
      <c r="E776" s="87"/>
      <c r="F776" s="87"/>
      <c r="G776" s="429"/>
      <c r="H776" s="92"/>
      <c r="I776" s="93"/>
      <c r="J776" s="389" t="str">
        <f>'04-221Master'!S29</f>
        <v>100637149311</v>
      </c>
      <c r="K776" s="93"/>
      <c r="L776" s="94"/>
    </row>
    <row r="777" spans="1:12" ht="25.5" customHeight="1">
      <c r="A777" s="388"/>
      <c r="B777" s="1160" t="s">
        <v>118</v>
      </c>
      <c r="C777" s="1161"/>
      <c r="D777" s="1161"/>
      <c r="E777" s="1161"/>
      <c r="F777" s="1161"/>
      <c r="G777" s="1161"/>
      <c r="H777" s="1154">
        <f>'04-221Master'!Y29</f>
        <v>74716</v>
      </c>
      <c r="I777" s="1155"/>
      <c r="J777" s="1155"/>
      <c r="K777" s="1155"/>
      <c r="L777" s="1156"/>
    </row>
    <row r="778" spans="1:12" ht="25.5" customHeight="1">
      <c r="A778" s="388"/>
      <c r="B778" s="1143" t="s">
        <v>119</v>
      </c>
      <c r="C778" s="1144"/>
      <c r="D778" s="1144"/>
      <c r="E778" s="1144"/>
      <c r="F778" s="1144"/>
      <c r="G778" s="1144"/>
      <c r="H778" s="1162">
        <f>'04-221Master'!D10</f>
        <v>44652</v>
      </c>
      <c r="I778" s="1147"/>
      <c r="J778" s="1147"/>
      <c r="K778" s="1147"/>
      <c r="L778" s="1151"/>
    </row>
    <row r="779" spans="1:12" ht="25.5" customHeight="1">
      <c r="A779" s="388"/>
      <c r="B779" s="1143" t="s">
        <v>120</v>
      </c>
      <c r="C779" s="1144"/>
      <c r="D779" s="1144"/>
      <c r="E779" s="1144"/>
      <c r="F779" s="1144"/>
      <c r="G779" s="1144"/>
      <c r="H779" s="1147" t="s">
        <v>121</v>
      </c>
      <c r="I779" s="1147"/>
      <c r="J779" s="1147"/>
      <c r="K779" s="1147"/>
      <c r="L779" s="1151"/>
    </row>
    <row r="780" spans="1:12" ht="25.5" customHeight="1">
      <c r="A780" s="388"/>
      <c r="B780" s="399" t="s">
        <v>122</v>
      </c>
      <c r="C780" s="87"/>
      <c r="D780" s="87"/>
      <c r="E780" s="87"/>
      <c r="F780" s="87"/>
      <c r="G780" s="429"/>
      <c r="H780" s="686"/>
      <c r="I780" s="684"/>
      <c r="J780" s="96">
        <f>'04-221Master'!W29</f>
        <v>30</v>
      </c>
      <c r="K780" s="684"/>
      <c r="L780" s="685"/>
    </row>
    <row r="781" spans="1:12" ht="25.5" customHeight="1">
      <c r="A781" s="388"/>
      <c r="B781" s="399" t="s">
        <v>123</v>
      </c>
      <c r="C781" s="87"/>
      <c r="D781" s="87"/>
      <c r="E781" s="87"/>
      <c r="F781" s="87"/>
      <c r="G781" s="429"/>
      <c r="H781" s="686"/>
      <c r="I781" s="684"/>
      <c r="J781" s="684" t="s">
        <v>37</v>
      </c>
      <c r="K781" s="684"/>
      <c r="L781" s="685"/>
    </row>
    <row r="782" spans="1:12" ht="25.5" customHeight="1">
      <c r="A782" s="388"/>
      <c r="B782" s="399" t="s">
        <v>124</v>
      </c>
      <c r="C782" s="87"/>
      <c r="D782" s="87"/>
      <c r="E782" s="87"/>
      <c r="F782" s="87"/>
      <c r="G782" s="429"/>
      <c r="H782" s="686"/>
      <c r="I782" s="684"/>
      <c r="J782" s="96">
        <v>0</v>
      </c>
      <c r="K782" s="684"/>
      <c r="L782" s="685"/>
    </row>
    <row r="783" spans="1:12" ht="25.5" customHeight="1">
      <c r="A783" s="388"/>
      <c r="B783" s="399" t="s">
        <v>125</v>
      </c>
      <c r="C783" s="87"/>
      <c r="D783" s="87"/>
      <c r="E783" s="87"/>
      <c r="F783" s="87"/>
      <c r="G783" s="429"/>
      <c r="H783" s="686"/>
      <c r="I783" s="684"/>
      <c r="J783" s="684">
        <v>0</v>
      </c>
      <c r="K783" s="684"/>
      <c r="L783" s="685"/>
    </row>
    <row r="784" spans="1:12" ht="25.5" customHeight="1">
      <c r="A784" s="388"/>
      <c r="B784" s="399" t="s">
        <v>126</v>
      </c>
      <c r="C784" s="87"/>
      <c r="D784" s="87"/>
      <c r="E784" s="87"/>
      <c r="F784" s="87"/>
      <c r="G784" s="429"/>
      <c r="H784" s="686"/>
      <c r="I784" s="684"/>
      <c r="J784" s="604">
        <f>'04-221Master'!AM29</f>
        <v>82275.712759999995</v>
      </c>
      <c r="K784" s="684"/>
      <c r="L784" s="685" t="s">
        <v>585</v>
      </c>
    </row>
    <row r="785" spans="1:12" ht="25.5" customHeight="1">
      <c r="A785" s="388"/>
      <c r="B785" s="399" t="s">
        <v>127</v>
      </c>
      <c r="C785" s="87"/>
      <c r="D785" s="682" t="s">
        <v>32</v>
      </c>
      <c r="E785" s="683">
        <f>'04-221Master'!AO29</f>
        <v>1800</v>
      </c>
      <c r="F785" s="682" t="s">
        <v>31</v>
      </c>
      <c r="G785" s="683">
        <f>'04-221Master'!AN117</f>
        <v>0</v>
      </c>
      <c r="H785" s="682" t="s">
        <v>33</v>
      </c>
      <c r="I785" s="683">
        <f>'04-221Master'!AP29</f>
        <v>200</v>
      </c>
      <c r="J785" s="682" t="s">
        <v>34</v>
      </c>
      <c r="K785" s="683">
        <f>'04-221Master'!AQ29</f>
        <v>0</v>
      </c>
      <c r="L785" s="103">
        <f>'04-221Master'!AR29</f>
        <v>283</v>
      </c>
    </row>
    <row r="786" spans="1:12" ht="25.5" customHeight="1">
      <c r="A786" s="388"/>
      <c r="B786" s="399" t="s">
        <v>128</v>
      </c>
      <c r="C786" s="87"/>
      <c r="D786" s="87"/>
      <c r="E786" s="87"/>
      <c r="F786" s="87"/>
      <c r="G786" s="429"/>
      <c r="H786" s="686"/>
      <c r="I786" s="684"/>
      <c r="J786" s="96">
        <f>J784-E785-I785-K785-L785</f>
        <v>79992.712759999995</v>
      </c>
      <c r="K786" s="684"/>
      <c r="L786" s="685"/>
    </row>
    <row r="787" spans="1:12" ht="25.5" customHeight="1">
      <c r="A787" s="388"/>
      <c r="B787" s="400" t="s">
        <v>129</v>
      </c>
      <c r="C787" s="401"/>
      <c r="D787" s="401"/>
      <c r="E787" s="401"/>
      <c r="F787" s="401"/>
      <c r="G787" s="402"/>
      <c r="H787" s="403"/>
      <c r="I787" s="404"/>
      <c r="J787" s="404"/>
      <c r="K787" s="404"/>
      <c r="L787" s="98"/>
    </row>
    <row r="788" spans="1:12" ht="25.5" customHeight="1">
      <c r="A788" s="388"/>
      <c r="B788" s="426" t="s">
        <v>130</v>
      </c>
      <c r="C788" s="2"/>
      <c r="D788" s="2"/>
      <c r="E788" s="2"/>
      <c r="F788" s="2"/>
      <c r="G788" s="427"/>
      <c r="H788" s="71"/>
      <c r="I788" s="388"/>
      <c r="J788" s="388"/>
      <c r="K788" s="388"/>
      <c r="L788" s="14"/>
    </row>
    <row r="789" spans="1:12" ht="25.5" customHeight="1">
      <c r="A789" s="388"/>
      <c r="B789" s="13"/>
      <c r="C789" s="388"/>
      <c r="D789" s="388"/>
      <c r="E789" s="388"/>
      <c r="F789" s="388"/>
      <c r="G789" s="388"/>
      <c r="H789" s="388"/>
      <c r="I789" s="388"/>
      <c r="J789" s="388"/>
      <c r="K789" s="388"/>
      <c r="L789" s="14"/>
    </row>
    <row r="790" spans="1:12" ht="25.5" customHeight="1" thickBot="1">
      <c r="A790" s="388"/>
      <c r="B790" s="25"/>
      <c r="C790" s="23"/>
      <c r="D790" s="23"/>
      <c r="E790" s="23"/>
      <c r="F790" s="23"/>
      <c r="G790" s="23"/>
      <c r="H790" s="23"/>
      <c r="I790" s="23"/>
      <c r="J790" s="23"/>
      <c r="K790" s="23"/>
      <c r="L790" s="24"/>
    </row>
    <row r="791" spans="1:12">
      <c r="A791" s="388"/>
      <c r="B791" s="388"/>
      <c r="C791" s="388"/>
      <c r="D791" s="388"/>
      <c r="E791" s="388"/>
      <c r="F791" s="388"/>
      <c r="G791" s="388"/>
      <c r="H791" s="388"/>
      <c r="I791" s="388"/>
      <c r="J791" s="388"/>
      <c r="K791" s="388"/>
      <c r="L791" s="388"/>
    </row>
    <row r="792" spans="1:12">
      <c r="A792" s="388"/>
      <c r="B792" s="388"/>
      <c r="C792" s="388"/>
      <c r="D792" s="388"/>
      <c r="E792" s="388"/>
      <c r="F792" s="388"/>
      <c r="G792" s="388"/>
      <c r="H792" s="388"/>
      <c r="I792" s="388"/>
      <c r="J792" s="388"/>
      <c r="K792" s="388"/>
      <c r="L792" s="388"/>
    </row>
    <row r="793" spans="1:12">
      <c r="A793" s="388"/>
      <c r="B793" s="388"/>
      <c r="C793" s="388"/>
      <c r="D793" s="388"/>
      <c r="E793" s="388"/>
      <c r="F793" s="388"/>
      <c r="G793" s="388"/>
      <c r="H793" s="388"/>
      <c r="I793" s="388"/>
      <c r="J793" s="388"/>
      <c r="K793" s="388"/>
      <c r="L793" s="388"/>
    </row>
    <row r="794" spans="1:12">
      <c r="A794" s="388"/>
      <c r="B794" s="388"/>
      <c r="C794" s="388"/>
      <c r="D794" s="388"/>
      <c r="E794" s="388"/>
      <c r="F794" s="388"/>
      <c r="G794" s="388"/>
      <c r="H794" s="388"/>
      <c r="I794" s="388"/>
      <c r="J794" s="388"/>
      <c r="K794" s="388"/>
      <c r="L794" s="388"/>
    </row>
    <row r="795" spans="1:12">
      <c r="A795" s="388"/>
      <c r="B795" s="388"/>
      <c r="C795" s="388"/>
      <c r="D795" s="388"/>
      <c r="E795" s="388"/>
      <c r="F795" s="388"/>
      <c r="G795" s="388"/>
      <c r="H795" s="388"/>
      <c r="I795" s="388"/>
      <c r="J795" s="388"/>
      <c r="K795" s="388"/>
      <c r="L795" s="388"/>
    </row>
    <row r="796" spans="1:12">
      <c r="A796" s="388"/>
      <c r="B796" s="388"/>
      <c r="C796" s="388"/>
      <c r="D796" s="388"/>
      <c r="E796" s="388"/>
      <c r="F796" s="388"/>
      <c r="G796" s="388"/>
      <c r="H796" s="388"/>
      <c r="I796" s="388"/>
      <c r="J796" s="388"/>
      <c r="K796" s="388"/>
      <c r="L796" s="388"/>
    </row>
    <row r="797" spans="1:12" s="852" customFormat="1"/>
    <row r="798" spans="1:12" s="852" customFormat="1"/>
    <row r="799" spans="1:12" s="852" customFormat="1"/>
    <row r="800" spans="1:12" s="852" customFormat="1"/>
    <row r="801" spans="1:12" ht="15.75" thickBot="1">
      <c r="A801" s="388"/>
      <c r="B801" s="388"/>
      <c r="C801" s="388"/>
      <c r="D801" s="388"/>
      <c r="E801" s="388"/>
      <c r="F801" s="388"/>
      <c r="G801" s="388"/>
      <c r="H801" s="388"/>
      <c r="I801" s="388"/>
      <c r="J801" s="388"/>
      <c r="K801" s="388"/>
      <c r="L801" s="388"/>
    </row>
    <row r="802" spans="1:12" ht="32.25">
      <c r="A802" s="388"/>
      <c r="B802" s="1163" t="s">
        <v>590</v>
      </c>
      <c r="C802" s="1164"/>
      <c r="D802" s="1164"/>
      <c r="E802" s="1164"/>
      <c r="F802" s="1164"/>
      <c r="G802" s="1164"/>
      <c r="H802" s="1164"/>
      <c r="I802" s="1164"/>
      <c r="J802" s="1164"/>
      <c r="K802" s="1164"/>
      <c r="L802" s="1165"/>
    </row>
    <row r="803" spans="1:12" ht="23.25">
      <c r="A803" s="388"/>
      <c r="B803" s="1166" t="s">
        <v>107</v>
      </c>
      <c r="C803" s="1167"/>
      <c r="D803" s="1167"/>
      <c r="E803" s="1167"/>
      <c r="F803" s="1167"/>
      <c r="G803" s="1167"/>
      <c r="H803" s="1167"/>
      <c r="I803" s="1167"/>
      <c r="J803" s="1167"/>
      <c r="K803" s="1167"/>
      <c r="L803" s="1168"/>
    </row>
    <row r="804" spans="1:12" ht="24" customHeight="1" thickBot="1">
      <c r="A804" s="388"/>
      <c r="B804" s="1169" t="s">
        <v>591</v>
      </c>
      <c r="C804" s="1170"/>
      <c r="D804" s="1170"/>
      <c r="E804" s="1170"/>
      <c r="F804" s="1170"/>
      <c r="G804" s="1170"/>
      <c r="H804" s="1170"/>
      <c r="I804" s="1170"/>
      <c r="J804" s="1170"/>
      <c r="K804" s="1170"/>
      <c r="L804" s="1171"/>
    </row>
    <row r="805" spans="1:12" ht="24" customHeight="1">
      <c r="A805" s="388"/>
      <c r="B805" s="1172" t="s">
        <v>108</v>
      </c>
      <c r="C805" s="1173"/>
      <c r="D805" s="1173"/>
      <c r="E805" s="1173"/>
      <c r="F805" s="1173"/>
      <c r="G805" s="388"/>
      <c r="H805" s="1174" t="s">
        <v>109</v>
      </c>
      <c r="I805" s="1174"/>
      <c r="J805" s="1174"/>
      <c r="K805" s="1174"/>
      <c r="L805" s="1175"/>
    </row>
    <row r="806" spans="1:12" ht="24" customHeight="1" thickBot="1">
      <c r="A806" s="388"/>
      <c r="B806" s="1172"/>
      <c r="C806" s="1173"/>
      <c r="D806" s="1173"/>
      <c r="E806" s="1173"/>
      <c r="F806" s="1173"/>
      <c r="G806" s="388"/>
      <c r="H806" s="1174"/>
      <c r="I806" s="1174"/>
      <c r="J806" s="1174"/>
      <c r="K806" s="1174"/>
      <c r="L806" s="1175"/>
    </row>
    <row r="807" spans="1:12" ht="24" customHeight="1">
      <c r="A807" s="388"/>
      <c r="B807" s="74"/>
      <c r="C807" s="75"/>
      <c r="D807" s="75"/>
      <c r="E807" s="75"/>
      <c r="F807" s="76"/>
      <c r="G807" s="388"/>
      <c r="H807" s="74"/>
      <c r="I807" s="75"/>
      <c r="J807" s="75"/>
      <c r="K807" s="75"/>
      <c r="L807" s="76"/>
    </row>
    <row r="808" spans="1:12" ht="24" customHeight="1">
      <c r="A808" s="388"/>
      <c r="B808" s="419" t="s">
        <v>382</v>
      </c>
      <c r="C808" s="388"/>
      <c r="D808" s="388"/>
      <c r="E808" s="388"/>
      <c r="F808" s="14"/>
      <c r="G808" s="388"/>
      <c r="H808" s="419" t="s">
        <v>382</v>
      </c>
      <c r="I808" s="388"/>
      <c r="J808" s="388"/>
      <c r="K808" s="388"/>
      <c r="L808" s="14"/>
    </row>
    <row r="809" spans="1:12" ht="24" customHeight="1">
      <c r="A809" s="388"/>
      <c r="B809" s="421" t="s">
        <v>383</v>
      </c>
      <c r="C809" s="388"/>
      <c r="D809" s="388"/>
      <c r="E809" s="388"/>
      <c r="F809" s="14"/>
      <c r="G809" s="388"/>
      <c r="H809" s="421" t="s">
        <v>383</v>
      </c>
      <c r="I809" s="388"/>
      <c r="J809" s="388"/>
      <c r="K809" s="388"/>
      <c r="L809" s="14"/>
    </row>
    <row r="810" spans="1:12" ht="24" customHeight="1">
      <c r="A810" s="388"/>
      <c r="B810" s="77"/>
      <c r="C810" s="388"/>
      <c r="D810" s="388"/>
      <c r="E810" s="388"/>
      <c r="F810" s="14"/>
      <c r="G810" s="388"/>
      <c r="H810" s="77"/>
      <c r="I810" s="388"/>
      <c r="J810" s="388"/>
      <c r="K810" s="388"/>
      <c r="L810" s="14"/>
    </row>
    <row r="811" spans="1:12" ht="24" customHeight="1" thickBot="1">
      <c r="A811" s="388"/>
      <c r="B811" s="25"/>
      <c r="C811" s="23"/>
      <c r="D811" s="23"/>
      <c r="E811" s="23"/>
      <c r="F811" s="24"/>
      <c r="G811" s="388"/>
      <c r="H811" s="25"/>
      <c r="I811" s="23"/>
      <c r="J811" s="23"/>
      <c r="K811" s="23"/>
      <c r="L811" s="24"/>
    </row>
    <row r="812" spans="1:12" ht="24" customHeight="1">
      <c r="A812" s="388"/>
      <c r="B812" s="13"/>
      <c r="C812" s="388"/>
      <c r="D812" s="388"/>
      <c r="E812" s="388"/>
      <c r="F812" s="388"/>
      <c r="G812" s="388"/>
      <c r="H812" s="388"/>
      <c r="I812" s="388"/>
      <c r="J812" s="388" t="s">
        <v>110</v>
      </c>
      <c r="K812" s="388"/>
      <c r="L812" s="14"/>
    </row>
    <row r="813" spans="1:12" ht="24" customHeight="1">
      <c r="A813" s="388"/>
      <c r="B813" s="1176" t="s">
        <v>111</v>
      </c>
      <c r="C813" s="1177"/>
      <c r="D813" s="1177"/>
      <c r="E813" s="1177"/>
      <c r="F813" s="1177"/>
      <c r="G813" s="388"/>
      <c r="H813" s="1177" t="s">
        <v>4</v>
      </c>
      <c r="I813" s="1177"/>
      <c r="J813" s="1177"/>
      <c r="K813" s="1177"/>
      <c r="L813" s="1178"/>
    </row>
    <row r="814" spans="1:12" ht="24" customHeight="1" thickBot="1">
      <c r="A814" s="388"/>
      <c r="B814" s="13"/>
      <c r="C814" s="388"/>
      <c r="D814" s="388"/>
      <c r="E814" s="388"/>
      <c r="F814" s="388"/>
      <c r="G814" s="388"/>
      <c r="H814" s="388"/>
      <c r="I814" s="388"/>
      <c r="J814" s="388"/>
      <c r="K814" s="388"/>
      <c r="L814" s="14"/>
    </row>
    <row r="815" spans="1:12" ht="24" customHeight="1">
      <c r="A815" s="388"/>
      <c r="B815" s="74"/>
      <c r="C815" s="75"/>
      <c r="D815" s="75"/>
      <c r="E815" s="75"/>
      <c r="F815" s="76"/>
      <c r="G815" s="388"/>
      <c r="H815" s="78"/>
      <c r="I815" s="79"/>
      <c r="J815" s="79"/>
      <c r="K815" s="79"/>
      <c r="L815" s="80"/>
    </row>
    <row r="816" spans="1:12" ht="24" customHeight="1">
      <c r="A816" s="388"/>
      <c r="B816" s="13"/>
      <c r="C816" s="388"/>
      <c r="D816" s="388"/>
      <c r="E816" s="388"/>
      <c r="F816" s="14"/>
      <c r="G816" s="388"/>
      <c r="H816" s="680" t="s">
        <v>497</v>
      </c>
      <c r="I816" s="2"/>
      <c r="J816" s="2"/>
      <c r="K816" s="2"/>
      <c r="L816" s="81"/>
    </row>
    <row r="817" spans="1:12" ht="24" customHeight="1">
      <c r="A817" s="388"/>
      <c r="B817" s="423" t="s">
        <v>373</v>
      </c>
      <c r="C817" s="388"/>
      <c r="D817" s="388"/>
      <c r="E817" s="388"/>
      <c r="F817" s="14"/>
      <c r="G817" s="388"/>
      <c r="H817" s="425" t="s">
        <v>490</v>
      </c>
      <c r="I817" s="2"/>
      <c r="J817" s="2"/>
      <c r="K817" s="2"/>
      <c r="L817" s="81"/>
    </row>
    <row r="818" spans="1:12" ht="24" customHeight="1">
      <c r="A818" s="388"/>
      <c r="B818" s="13"/>
      <c r="C818" s="388"/>
      <c r="D818" s="388"/>
      <c r="E818" s="388"/>
      <c r="F818" s="14"/>
      <c r="G818" s="388"/>
      <c r="H818" s="77"/>
      <c r="I818" s="2"/>
      <c r="J818" s="2"/>
      <c r="K818" s="2"/>
      <c r="L818" s="81"/>
    </row>
    <row r="819" spans="1:12" ht="24" customHeight="1" thickBot="1">
      <c r="A819" s="388"/>
      <c r="B819" s="25"/>
      <c r="C819" s="23"/>
      <c r="D819" s="23"/>
      <c r="E819" s="23"/>
      <c r="F819" s="24"/>
      <c r="G819" s="388"/>
      <c r="H819" s="77"/>
      <c r="I819" s="2"/>
      <c r="J819" s="2"/>
      <c r="K819" s="2"/>
      <c r="L819" s="81"/>
    </row>
    <row r="820" spans="1:12" ht="24" customHeight="1">
      <c r="A820" s="388"/>
      <c r="B820" s="1143" t="s">
        <v>112</v>
      </c>
      <c r="C820" s="1144"/>
      <c r="D820" s="1144"/>
      <c r="E820" s="1144"/>
      <c r="F820" s="1144"/>
      <c r="G820" s="1145"/>
      <c r="H820" s="1146" t="str">
        <f>'04-221Master'!B30</f>
        <v>Ajay Pal Singh</v>
      </c>
      <c r="I820" s="1147"/>
      <c r="J820" s="1147"/>
      <c r="K820" s="1147"/>
      <c r="L820" s="1147"/>
    </row>
    <row r="821" spans="1:12" ht="24" customHeight="1">
      <c r="A821" s="388"/>
      <c r="B821" s="1148"/>
      <c r="C821" s="1149"/>
      <c r="D821" s="1149"/>
      <c r="E821" s="1149"/>
      <c r="F821" s="1149"/>
      <c r="G821" s="1149"/>
      <c r="H821" s="1150" t="str">
        <f>'04-221Master'!G30</f>
        <v>H No 32,Jalalpur-Raghunadhpur,Murad nagar,Gaziyabad,UP 201206</v>
      </c>
      <c r="I821" s="1150"/>
      <c r="J821" s="1150"/>
      <c r="K821" s="1150"/>
      <c r="L821" s="1150"/>
    </row>
    <row r="822" spans="1:12" ht="24" customHeight="1">
      <c r="A822" s="388"/>
      <c r="B822" s="1152" t="s">
        <v>113</v>
      </c>
      <c r="C822" s="1153"/>
      <c r="D822" s="1153"/>
      <c r="E822" s="1153"/>
      <c r="F822" s="1153"/>
      <c r="G822" s="1153"/>
      <c r="H822" s="1154">
        <v>34</v>
      </c>
      <c r="I822" s="1155"/>
      <c r="J822" s="1155"/>
      <c r="K822" s="1155"/>
      <c r="L822" s="1156"/>
    </row>
    <row r="823" spans="1:12" ht="24" customHeight="1">
      <c r="A823" s="388"/>
      <c r="B823" s="1143" t="s">
        <v>114</v>
      </c>
      <c r="C823" s="1144"/>
      <c r="D823" s="1144"/>
      <c r="E823" s="1144"/>
      <c r="F823" s="1144"/>
      <c r="G823" s="1144"/>
      <c r="H823" s="1146" t="str">
        <f>'04-221Master'!F30</f>
        <v>Network security consultant</v>
      </c>
      <c r="I823" s="1147"/>
      <c r="J823" s="1147"/>
      <c r="K823" s="1147"/>
      <c r="L823" s="1151"/>
    </row>
    <row r="824" spans="1:12" ht="24" customHeight="1">
      <c r="A824" s="388"/>
      <c r="B824" s="1143" t="s">
        <v>115</v>
      </c>
      <c r="C824" s="1144"/>
      <c r="D824" s="1144"/>
      <c r="E824" s="1144"/>
      <c r="F824" s="1144"/>
      <c r="G824" s="1144"/>
      <c r="H824" s="1157">
        <f>'04-221Master'!N30</f>
        <v>44601</v>
      </c>
      <c r="I824" s="1158"/>
      <c r="J824" s="1158"/>
      <c r="K824" s="1158"/>
      <c r="L824" s="1159"/>
    </row>
    <row r="825" spans="1:12" ht="24" customHeight="1">
      <c r="A825" s="388"/>
      <c r="B825" s="399" t="s">
        <v>116</v>
      </c>
      <c r="C825" s="87"/>
      <c r="D825" s="87"/>
      <c r="E825" s="87"/>
      <c r="F825" s="87"/>
      <c r="G825" s="87"/>
      <c r="H825" s="686"/>
      <c r="I825" s="89"/>
      <c r="J825" s="389">
        <f>'04-221Master'!T167</f>
        <v>0</v>
      </c>
      <c r="K825" s="684"/>
      <c r="L825" s="685"/>
    </row>
    <row r="826" spans="1:12" ht="24" customHeight="1">
      <c r="A826" s="388"/>
      <c r="B826" s="399" t="s">
        <v>117</v>
      </c>
      <c r="C826" s="87"/>
      <c r="D826" s="87"/>
      <c r="E826" s="87"/>
      <c r="F826" s="87"/>
      <c r="G826" s="429"/>
      <c r="H826" s="92"/>
      <c r="I826" s="93"/>
      <c r="J826" s="389" t="str">
        <f>'04-221Master'!S30</f>
        <v>100897320115</v>
      </c>
      <c r="K826" s="93"/>
      <c r="L826" s="94"/>
    </row>
    <row r="827" spans="1:12" ht="33" customHeight="1">
      <c r="A827" s="388"/>
      <c r="B827" s="1160" t="s">
        <v>118</v>
      </c>
      <c r="C827" s="1161"/>
      <c r="D827" s="1161"/>
      <c r="E827" s="1161"/>
      <c r="F827" s="1161"/>
      <c r="G827" s="1161"/>
      <c r="H827" s="1154">
        <f>'04-221Master'!Y30</f>
        <v>71009</v>
      </c>
      <c r="I827" s="1155"/>
      <c r="J827" s="1155"/>
      <c r="K827" s="1155"/>
      <c r="L827" s="1156"/>
    </row>
    <row r="828" spans="1:12" ht="24" customHeight="1">
      <c r="A828" s="388"/>
      <c r="B828" s="1143" t="s">
        <v>119</v>
      </c>
      <c r="C828" s="1144"/>
      <c r="D828" s="1144"/>
      <c r="E828" s="1144"/>
      <c r="F828" s="1144"/>
      <c r="G828" s="1144"/>
      <c r="H828" s="1162">
        <f>'04-221Master'!D10</f>
        <v>44652</v>
      </c>
      <c r="I828" s="1147"/>
      <c r="J828" s="1147"/>
      <c r="K828" s="1147"/>
      <c r="L828" s="1151"/>
    </row>
    <row r="829" spans="1:12" ht="24" customHeight="1">
      <c r="A829" s="388"/>
      <c r="B829" s="1143" t="s">
        <v>120</v>
      </c>
      <c r="C829" s="1144"/>
      <c r="D829" s="1144"/>
      <c r="E829" s="1144"/>
      <c r="F829" s="1144"/>
      <c r="G829" s="1144"/>
      <c r="H829" s="1147" t="s">
        <v>121</v>
      </c>
      <c r="I829" s="1147"/>
      <c r="J829" s="1147"/>
      <c r="K829" s="1147"/>
      <c r="L829" s="1151"/>
    </row>
    <row r="830" spans="1:12" ht="24" customHeight="1">
      <c r="A830" s="388"/>
      <c r="B830" s="399" t="s">
        <v>122</v>
      </c>
      <c r="C830" s="87"/>
      <c r="D830" s="87"/>
      <c r="E830" s="87"/>
      <c r="F830" s="87"/>
      <c r="G830" s="429"/>
      <c r="H830" s="686"/>
      <c r="I830" s="684"/>
      <c r="J830" s="96">
        <f>'04-221Master'!W30</f>
        <v>30</v>
      </c>
      <c r="K830" s="684"/>
      <c r="L830" s="685"/>
    </row>
    <row r="831" spans="1:12" ht="24" customHeight="1">
      <c r="A831" s="388"/>
      <c r="B831" s="399" t="s">
        <v>123</v>
      </c>
      <c r="C831" s="87"/>
      <c r="D831" s="87"/>
      <c r="E831" s="87"/>
      <c r="F831" s="87"/>
      <c r="G831" s="429"/>
      <c r="H831" s="686"/>
      <c r="I831" s="684"/>
      <c r="J831" s="684" t="s">
        <v>37</v>
      </c>
      <c r="K831" s="684"/>
      <c r="L831" s="685"/>
    </row>
    <row r="832" spans="1:12" ht="24" customHeight="1">
      <c r="A832" s="388"/>
      <c r="B832" s="399" t="s">
        <v>124</v>
      </c>
      <c r="C832" s="87"/>
      <c r="D832" s="87"/>
      <c r="E832" s="87"/>
      <c r="F832" s="87"/>
      <c r="G832" s="429"/>
      <c r="H832" s="686"/>
      <c r="I832" s="684"/>
      <c r="J832" s="96">
        <v>0</v>
      </c>
      <c r="K832" s="684"/>
      <c r="L832" s="685"/>
    </row>
    <row r="833" spans="1:12" ht="24" customHeight="1">
      <c r="A833" s="388"/>
      <c r="B833" s="399" t="s">
        <v>125</v>
      </c>
      <c r="C833" s="87"/>
      <c r="D833" s="87"/>
      <c r="E833" s="87"/>
      <c r="F833" s="87"/>
      <c r="G833" s="429"/>
      <c r="H833" s="686"/>
      <c r="I833" s="684"/>
      <c r="J833" s="684">
        <v>0</v>
      </c>
      <c r="K833" s="684"/>
      <c r="L833" s="685"/>
    </row>
    <row r="834" spans="1:12" ht="24" customHeight="1">
      <c r="A834" s="388"/>
      <c r="B834" s="399" t="s">
        <v>126</v>
      </c>
      <c r="C834" s="87"/>
      <c r="D834" s="87"/>
      <c r="E834" s="87"/>
      <c r="F834" s="87"/>
      <c r="G834" s="429"/>
      <c r="H834" s="686"/>
      <c r="I834" s="684"/>
      <c r="J834" s="604">
        <f>'04-221Master'!AM30</f>
        <v>78276.37874</v>
      </c>
      <c r="K834" s="684"/>
      <c r="L834" s="685" t="s">
        <v>585</v>
      </c>
    </row>
    <row r="835" spans="1:12" ht="24" customHeight="1">
      <c r="A835" s="388"/>
      <c r="B835" s="399" t="s">
        <v>127</v>
      </c>
      <c r="C835" s="87"/>
      <c r="D835" s="682" t="s">
        <v>32</v>
      </c>
      <c r="E835" s="683">
        <f>'04-221Master'!AO30</f>
        <v>1800</v>
      </c>
      <c r="F835" s="682" t="s">
        <v>31</v>
      </c>
      <c r="G835" s="683">
        <f>'04-221Master'!AN167</f>
        <v>0</v>
      </c>
      <c r="H835" s="682" t="s">
        <v>33</v>
      </c>
      <c r="I835" s="683">
        <f>'04-221Master'!AP30</f>
        <v>200</v>
      </c>
      <c r="J835" s="682" t="s">
        <v>34</v>
      </c>
      <c r="K835" s="683">
        <f>'04-221Master'!AQ30</f>
        <v>0</v>
      </c>
      <c r="L835" s="103">
        <f>'04-221Master'!AR30</f>
        <v>283</v>
      </c>
    </row>
    <row r="836" spans="1:12" ht="24" customHeight="1">
      <c r="A836" s="388"/>
      <c r="B836" s="399" t="s">
        <v>128</v>
      </c>
      <c r="C836" s="87"/>
      <c r="D836" s="87"/>
      <c r="E836" s="87"/>
      <c r="F836" s="87"/>
      <c r="G836" s="429"/>
      <c r="H836" s="686"/>
      <c r="I836" s="684"/>
      <c r="J836" s="96">
        <f>J834-E835-I835-K835-L835</f>
        <v>75993.37874</v>
      </c>
      <c r="K836" s="684"/>
      <c r="L836" s="685"/>
    </row>
    <row r="837" spans="1:12" ht="24" customHeight="1">
      <c r="A837" s="388"/>
      <c r="B837" s="400" t="s">
        <v>129</v>
      </c>
      <c r="C837" s="401"/>
      <c r="D837" s="401"/>
      <c r="E837" s="401"/>
      <c r="F837" s="401"/>
      <c r="G837" s="402"/>
      <c r="H837" s="403"/>
      <c r="I837" s="404"/>
      <c r="J837" s="404"/>
      <c r="K837" s="404"/>
      <c r="L837" s="98"/>
    </row>
    <row r="838" spans="1:12" ht="24" customHeight="1">
      <c r="A838" s="388"/>
      <c r="B838" s="426" t="s">
        <v>130</v>
      </c>
      <c r="C838" s="2"/>
      <c r="D838" s="2"/>
      <c r="E838" s="2"/>
      <c r="F838" s="2"/>
      <c r="G838" s="427"/>
      <c r="H838" s="71"/>
      <c r="I838" s="388"/>
      <c r="J838" s="388"/>
      <c r="K838" s="388"/>
      <c r="L838" s="14"/>
    </row>
    <row r="839" spans="1:12" ht="24" customHeight="1">
      <c r="A839" s="388"/>
      <c r="B839" s="13"/>
      <c r="C839" s="388"/>
      <c r="D839" s="388"/>
      <c r="E839" s="388"/>
      <c r="F839" s="388"/>
      <c r="G839" s="388"/>
      <c r="H839" s="388"/>
      <c r="I839" s="388"/>
      <c r="J839" s="388"/>
      <c r="K839" s="388"/>
      <c r="L839" s="14"/>
    </row>
    <row r="840" spans="1:12" ht="24" customHeight="1" thickBot="1">
      <c r="A840" s="388"/>
      <c r="B840" s="25"/>
      <c r="C840" s="23"/>
      <c r="D840" s="23"/>
      <c r="E840" s="23"/>
      <c r="F840" s="23"/>
      <c r="G840" s="23"/>
      <c r="H840" s="23"/>
      <c r="I840" s="23"/>
      <c r="J840" s="23"/>
      <c r="K840" s="23"/>
      <c r="L840" s="24"/>
    </row>
    <row r="841" spans="1:12">
      <c r="A841" s="388"/>
      <c r="B841" s="388"/>
      <c r="C841" s="388"/>
      <c r="D841" s="388"/>
      <c r="E841" s="388"/>
      <c r="F841" s="388"/>
      <c r="G841" s="388"/>
      <c r="H841" s="388"/>
      <c r="I841" s="388"/>
      <c r="J841" s="388"/>
      <c r="K841" s="388"/>
      <c r="L841" s="388"/>
    </row>
    <row r="842" spans="1:12">
      <c r="A842" s="388"/>
      <c r="B842" s="388"/>
      <c r="C842" s="388"/>
      <c r="D842" s="388"/>
      <c r="E842" s="388"/>
      <c r="F842" s="388"/>
      <c r="G842" s="388"/>
      <c r="H842" s="388"/>
      <c r="I842" s="388"/>
      <c r="J842" s="388"/>
      <c r="K842" s="388"/>
      <c r="L842" s="388"/>
    </row>
    <row r="843" spans="1:12">
      <c r="A843" s="388"/>
      <c r="B843" s="388"/>
      <c r="C843" s="388"/>
      <c r="D843" s="388"/>
      <c r="E843" s="388"/>
      <c r="F843" s="388"/>
      <c r="G843" s="388"/>
      <c r="H843" s="388"/>
      <c r="I843" s="388"/>
      <c r="J843" s="388"/>
      <c r="K843" s="388"/>
      <c r="L843" s="388"/>
    </row>
    <row r="844" spans="1:12">
      <c r="A844" s="388"/>
      <c r="B844" s="388"/>
      <c r="C844" s="388"/>
      <c r="D844" s="388"/>
      <c r="E844" s="388"/>
      <c r="F844" s="388"/>
      <c r="G844" s="388"/>
      <c r="H844" s="388"/>
      <c r="I844" s="388"/>
      <c r="J844" s="388"/>
      <c r="K844" s="388"/>
      <c r="L844" s="388"/>
    </row>
    <row r="845" spans="1:12">
      <c r="A845" s="388"/>
      <c r="B845" s="388"/>
      <c r="C845" s="388"/>
      <c r="D845" s="388"/>
      <c r="E845" s="388"/>
      <c r="F845" s="388"/>
      <c r="G845" s="388"/>
      <c r="H845" s="388"/>
      <c r="I845" s="388"/>
      <c r="J845" s="388"/>
      <c r="K845" s="388"/>
      <c r="L845" s="388"/>
    </row>
    <row r="846" spans="1:12">
      <c r="A846" s="388"/>
      <c r="B846" s="388"/>
      <c r="C846" s="388"/>
      <c r="D846" s="388"/>
      <c r="E846" s="388"/>
      <c r="F846" s="388"/>
      <c r="G846" s="388"/>
      <c r="H846" s="388"/>
      <c r="I846" s="388"/>
      <c r="J846" s="388"/>
      <c r="K846" s="388"/>
      <c r="L846" s="388"/>
    </row>
    <row r="847" spans="1:12">
      <c r="A847" s="388"/>
      <c r="B847" s="388"/>
      <c r="C847" s="388"/>
      <c r="D847" s="388"/>
      <c r="E847" s="388"/>
      <c r="F847" s="388"/>
      <c r="G847" s="388"/>
      <c r="H847" s="388"/>
      <c r="I847" s="388"/>
      <c r="J847" s="388"/>
      <c r="K847" s="388"/>
      <c r="L847" s="388"/>
    </row>
    <row r="848" spans="1:12">
      <c r="A848" s="388"/>
      <c r="B848" s="388"/>
      <c r="C848" s="388"/>
      <c r="D848" s="388"/>
      <c r="E848" s="388"/>
      <c r="F848" s="388"/>
      <c r="G848" s="388"/>
      <c r="H848" s="388"/>
      <c r="I848" s="388"/>
      <c r="J848" s="388"/>
      <c r="K848" s="388"/>
      <c r="L848" s="388"/>
    </row>
    <row r="849" spans="1:12">
      <c r="A849" s="388"/>
      <c r="B849" s="388"/>
      <c r="C849" s="388"/>
      <c r="D849" s="388"/>
      <c r="E849" s="388"/>
      <c r="F849" s="388"/>
      <c r="G849" s="388"/>
      <c r="H849" s="388"/>
      <c r="I849" s="388"/>
      <c r="J849" s="388"/>
      <c r="K849" s="388"/>
      <c r="L849" s="388"/>
    </row>
    <row r="850" spans="1:12">
      <c r="A850" s="388"/>
      <c r="B850" s="388"/>
      <c r="C850" s="388"/>
      <c r="D850" s="388"/>
      <c r="E850" s="388"/>
      <c r="F850" s="388"/>
      <c r="G850" s="388"/>
      <c r="H850" s="388"/>
      <c r="I850" s="388"/>
      <c r="J850" s="388"/>
      <c r="K850" s="388"/>
      <c r="L850" s="388"/>
    </row>
    <row r="851" spans="1:12" ht="15.75" thickBot="1">
      <c r="A851" s="388"/>
      <c r="B851" s="388"/>
      <c r="C851" s="388"/>
      <c r="D851" s="388"/>
      <c r="E851" s="388"/>
      <c r="F851" s="388"/>
      <c r="G851" s="388"/>
      <c r="H851" s="388"/>
      <c r="I851" s="388"/>
      <c r="J851" s="388"/>
      <c r="K851" s="388"/>
      <c r="L851" s="388"/>
    </row>
    <row r="852" spans="1:12" ht="32.25">
      <c r="A852" s="388"/>
      <c r="B852" s="1163" t="s">
        <v>590</v>
      </c>
      <c r="C852" s="1164"/>
      <c r="D852" s="1164"/>
      <c r="E852" s="1164"/>
      <c r="F852" s="1164"/>
      <c r="G852" s="1164"/>
      <c r="H852" s="1164"/>
      <c r="I852" s="1164"/>
      <c r="J852" s="1164"/>
      <c r="K852" s="1164"/>
      <c r="L852" s="1165"/>
    </row>
    <row r="853" spans="1:12" ht="23.25">
      <c r="A853" s="388"/>
      <c r="B853" s="1166" t="s">
        <v>107</v>
      </c>
      <c r="C853" s="1167"/>
      <c r="D853" s="1167"/>
      <c r="E853" s="1167"/>
      <c r="F853" s="1167"/>
      <c r="G853" s="1167"/>
      <c r="H853" s="1167"/>
      <c r="I853" s="1167"/>
      <c r="J853" s="1167"/>
      <c r="K853" s="1167"/>
      <c r="L853" s="1168"/>
    </row>
    <row r="854" spans="1:12" ht="16.5" thickBot="1">
      <c r="A854" s="388"/>
      <c r="B854" s="1169" t="s">
        <v>591</v>
      </c>
      <c r="C854" s="1170"/>
      <c r="D854" s="1170"/>
      <c r="E854" s="1170"/>
      <c r="F854" s="1170"/>
      <c r="G854" s="1170"/>
      <c r="H854" s="1170"/>
      <c r="I854" s="1170"/>
      <c r="J854" s="1170"/>
      <c r="K854" s="1170"/>
      <c r="L854" s="1171"/>
    </row>
    <row r="855" spans="1:12">
      <c r="A855" s="388"/>
      <c r="B855" s="1172" t="s">
        <v>108</v>
      </c>
      <c r="C855" s="1173"/>
      <c r="D855" s="1173"/>
      <c r="E855" s="1173"/>
      <c r="F855" s="1173"/>
      <c r="G855" s="388"/>
      <c r="H855" s="1174" t="s">
        <v>109</v>
      </c>
      <c r="I855" s="1174"/>
      <c r="J855" s="1174"/>
      <c r="K855" s="1174"/>
      <c r="L855" s="1175"/>
    </row>
    <row r="856" spans="1:12" ht="15.75" thickBot="1">
      <c r="A856" s="388"/>
      <c r="B856" s="1172"/>
      <c r="C856" s="1173"/>
      <c r="D856" s="1173"/>
      <c r="E856" s="1173"/>
      <c r="F856" s="1173"/>
      <c r="G856" s="388"/>
      <c r="H856" s="1174"/>
      <c r="I856" s="1174"/>
      <c r="J856" s="1174"/>
      <c r="K856" s="1174"/>
      <c r="L856" s="1175"/>
    </row>
    <row r="857" spans="1:12" ht="27" customHeight="1">
      <c r="A857" s="388"/>
      <c r="B857" s="74"/>
      <c r="C857" s="75"/>
      <c r="D857" s="75"/>
      <c r="E857" s="75"/>
      <c r="F857" s="76"/>
      <c r="G857" s="388"/>
      <c r="H857" s="74"/>
      <c r="I857" s="75"/>
      <c r="J857" s="75"/>
      <c r="K857" s="75"/>
      <c r="L857" s="76"/>
    </row>
    <row r="858" spans="1:12" ht="27" customHeight="1">
      <c r="A858" s="388"/>
      <c r="B858" s="419" t="s">
        <v>382</v>
      </c>
      <c r="C858" s="388"/>
      <c r="D858" s="388"/>
      <c r="E858" s="388"/>
      <c r="F858" s="14"/>
      <c r="G858" s="388"/>
      <c r="H858" s="419" t="s">
        <v>382</v>
      </c>
      <c r="I858" s="388"/>
      <c r="J858" s="388"/>
      <c r="K858" s="388"/>
      <c r="L858" s="14"/>
    </row>
    <row r="859" spans="1:12" ht="27" customHeight="1">
      <c r="A859" s="388"/>
      <c r="B859" s="421" t="s">
        <v>383</v>
      </c>
      <c r="C859" s="388"/>
      <c r="D859" s="388"/>
      <c r="E859" s="388"/>
      <c r="F859" s="14"/>
      <c r="G859" s="388"/>
      <c r="H859" s="421" t="s">
        <v>383</v>
      </c>
      <c r="I859" s="388"/>
      <c r="J859" s="388"/>
      <c r="K859" s="388"/>
      <c r="L859" s="14"/>
    </row>
    <row r="860" spans="1:12" ht="27" customHeight="1">
      <c r="A860" s="388"/>
      <c r="B860" s="77"/>
      <c r="C860" s="388"/>
      <c r="D860" s="388"/>
      <c r="E860" s="388"/>
      <c r="F860" s="14"/>
      <c r="G860" s="388"/>
      <c r="H860" s="77"/>
      <c r="I860" s="388"/>
      <c r="J860" s="388"/>
      <c r="K860" s="388"/>
      <c r="L860" s="14"/>
    </row>
    <row r="861" spans="1:12" ht="27" customHeight="1" thickBot="1">
      <c r="A861" s="388"/>
      <c r="B861" s="25"/>
      <c r="C861" s="23"/>
      <c r="D861" s="23"/>
      <c r="E861" s="23"/>
      <c r="F861" s="24"/>
      <c r="G861" s="388"/>
      <c r="H861" s="25"/>
      <c r="I861" s="23"/>
      <c r="J861" s="23"/>
      <c r="K861" s="23"/>
      <c r="L861" s="24"/>
    </row>
    <row r="862" spans="1:12" ht="27" customHeight="1">
      <c r="A862" s="388"/>
      <c r="B862" s="13"/>
      <c r="C862" s="388"/>
      <c r="D862" s="388"/>
      <c r="E862" s="388"/>
      <c r="F862" s="388"/>
      <c r="G862" s="388"/>
      <c r="H862" s="388"/>
      <c r="I862" s="388"/>
      <c r="J862" s="388" t="s">
        <v>110</v>
      </c>
      <c r="K862" s="388"/>
      <c r="L862" s="14"/>
    </row>
    <row r="863" spans="1:12" ht="27" customHeight="1">
      <c r="A863" s="388"/>
      <c r="B863" s="1176" t="s">
        <v>111</v>
      </c>
      <c r="C863" s="1177"/>
      <c r="D863" s="1177"/>
      <c r="E863" s="1177"/>
      <c r="F863" s="1177"/>
      <c r="G863" s="388"/>
      <c r="H863" s="1177" t="s">
        <v>4</v>
      </c>
      <c r="I863" s="1177"/>
      <c r="J863" s="1177"/>
      <c r="K863" s="1177"/>
      <c r="L863" s="1178"/>
    </row>
    <row r="864" spans="1:12" ht="27" customHeight="1" thickBot="1">
      <c r="A864" s="388"/>
      <c r="B864" s="13"/>
      <c r="C864" s="388"/>
      <c r="D864" s="388"/>
      <c r="E864" s="388"/>
      <c r="F864" s="388"/>
      <c r="G864" s="388"/>
      <c r="H864" s="388"/>
      <c r="I864" s="388"/>
      <c r="J864" s="388"/>
      <c r="K864" s="388"/>
      <c r="L864" s="14"/>
    </row>
    <row r="865" spans="1:12" ht="27" customHeight="1">
      <c r="A865" s="388"/>
      <c r="B865" s="74"/>
      <c r="C865" s="75"/>
      <c r="D865" s="75"/>
      <c r="E865" s="75"/>
      <c r="F865" s="76"/>
      <c r="G865" s="388"/>
      <c r="H865" s="78"/>
      <c r="I865" s="79"/>
      <c r="J865" s="79"/>
      <c r="K865" s="79"/>
      <c r="L865" s="80"/>
    </row>
    <row r="866" spans="1:12" ht="27" customHeight="1">
      <c r="A866" s="388"/>
      <c r="B866" s="13"/>
      <c r="C866" s="388"/>
      <c r="D866" s="388"/>
      <c r="E866" s="388"/>
      <c r="F866" s="14"/>
      <c r="G866" s="388"/>
      <c r="H866" s="680" t="s">
        <v>497</v>
      </c>
      <c r="I866" s="2"/>
      <c r="J866" s="2"/>
      <c r="K866" s="2"/>
      <c r="L866" s="81"/>
    </row>
    <row r="867" spans="1:12" ht="27" customHeight="1">
      <c r="A867" s="388"/>
      <c r="B867" s="423" t="s">
        <v>373</v>
      </c>
      <c r="C867" s="388"/>
      <c r="D867" s="388"/>
      <c r="E867" s="388"/>
      <c r="F867" s="14"/>
      <c r="G867" s="388"/>
      <c r="H867" s="425" t="s">
        <v>490</v>
      </c>
      <c r="I867" s="2"/>
      <c r="J867" s="2"/>
      <c r="K867" s="2"/>
      <c r="L867" s="81"/>
    </row>
    <row r="868" spans="1:12" ht="27" customHeight="1">
      <c r="A868" s="388"/>
      <c r="B868" s="13"/>
      <c r="C868" s="388"/>
      <c r="D868" s="388"/>
      <c r="E868" s="388"/>
      <c r="F868" s="14"/>
      <c r="G868" s="388"/>
      <c r="H868" s="77"/>
      <c r="I868" s="2"/>
      <c r="J868" s="2"/>
      <c r="K868" s="2"/>
      <c r="L868" s="81"/>
    </row>
    <row r="869" spans="1:12" ht="27" customHeight="1" thickBot="1">
      <c r="A869" s="388"/>
      <c r="B869" s="25"/>
      <c r="C869" s="23"/>
      <c r="D869" s="23"/>
      <c r="E869" s="23"/>
      <c r="F869" s="24"/>
      <c r="G869" s="388"/>
      <c r="H869" s="77"/>
      <c r="I869" s="2"/>
      <c r="J869" s="2"/>
      <c r="K869" s="2"/>
      <c r="L869" s="81"/>
    </row>
    <row r="870" spans="1:12" ht="27" customHeight="1">
      <c r="A870" s="388"/>
      <c r="B870" s="1143" t="s">
        <v>112</v>
      </c>
      <c r="C870" s="1144"/>
      <c r="D870" s="1144"/>
      <c r="E870" s="1144"/>
      <c r="F870" s="1144"/>
      <c r="G870" s="1145"/>
      <c r="H870" s="1146" t="str">
        <f>'04-221Master'!B31</f>
        <v>PAVANKUMAR</v>
      </c>
      <c r="I870" s="1147"/>
      <c r="J870" s="1147"/>
      <c r="K870" s="1147"/>
      <c r="L870" s="1147"/>
    </row>
    <row r="871" spans="1:12" ht="27" customHeight="1">
      <c r="A871" s="388"/>
      <c r="B871" s="1148"/>
      <c r="C871" s="1149"/>
      <c r="D871" s="1149"/>
      <c r="E871" s="1149"/>
      <c r="F871" s="1149"/>
      <c r="G871" s="1149"/>
      <c r="H871" s="1150" t="str">
        <f>'04-221Master'!G31</f>
        <v>7-8/1, palmakole(V), shamshabad(M), RR Dist,509325</v>
      </c>
      <c r="I871" s="1150"/>
      <c r="J871" s="1150"/>
      <c r="K871" s="1150"/>
      <c r="L871" s="1150"/>
    </row>
    <row r="872" spans="1:12" ht="27" customHeight="1">
      <c r="A872" s="388"/>
      <c r="B872" s="1152" t="s">
        <v>113</v>
      </c>
      <c r="C872" s="1153"/>
      <c r="D872" s="1153"/>
      <c r="E872" s="1153"/>
      <c r="F872" s="1153"/>
      <c r="G872" s="1153"/>
      <c r="H872" s="1154">
        <v>35</v>
      </c>
      <c r="I872" s="1155"/>
      <c r="J872" s="1155"/>
      <c r="K872" s="1155"/>
      <c r="L872" s="1156"/>
    </row>
    <row r="873" spans="1:12" ht="27" customHeight="1">
      <c r="A873" s="388"/>
      <c r="B873" s="1143" t="s">
        <v>114</v>
      </c>
      <c r="C873" s="1144"/>
      <c r="D873" s="1144"/>
      <c r="E873" s="1144"/>
      <c r="F873" s="1144"/>
      <c r="G873" s="1144"/>
      <c r="H873" s="1146" t="str">
        <f>'04-221Master'!F31</f>
        <v>SAP Basis consultant</v>
      </c>
      <c r="I873" s="1147"/>
      <c r="J873" s="1147"/>
      <c r="K873" s="1147"/>
      <c r="L873" s="1151"/>
    </row>
    <row r="874" spans="1:12" ht="27" customHeight="1">
      <c r="A874" s="388"/>
      <c r="B874" s="1143" t="s">
        <v>115</v>
      </c>
      <c r="C874" s="1144"/>
      <c r="D874" s="1144"/>
      <c r="E874" s="1144"/>
      <c r="F874" s="1144"/>
      <c r="G874" s="1144"/>
      <c r="H874" s="1157">
        <f>'04-221Master'!N31</f>
        <v>44602</v>
      </c>
      <c r="I874" s="1158"/>
      <c r="J874" s="1158"/>
      <c r="K874" s="1158"/>
      <c r="L874" s="1159"/>
    </row>
    <row r="875" spans="1:12" ht="27" customHeight="1">
      <c r="A875" s="388"/>
      <c r="B875" s="399" t="s">
        <v>116</v>
      </c>
      <c r="C875" s="87"/>
      <c r="D875" s="87"/>
      <c r="E875" s="87"/>
      <c r="F875" s="87"/>
      <c r="G875" s="87"/>
      <c r="H875" s="686"/>
      <c r="I875" s="89"/>
      <c r="J875" s="389">
        <f>'04-221Master'!T217</f>
        <v>0</v>
      </c>
      <c r="K875" s="684"/>
      <c r="L875" s="685"/>
    </row>
    <row r="876" spans="1:12" ht="27" customHeight="1">
      <c r="A876" s="388"/>
      <c r="B876" s="399" t="s">
        <v>117</v>
      </c>
      <c r="C876" s="87"/>
      <c r="D876" s="87"/>
      <c r="E876" s="87"/>
      <c r="F876" s="87"/>
      <c r="G876" s="429"/>
      <c r="H876" s="92"/>
      <c r="I876" s="93"/>
      <c r="J876" s="389" t="str">
        <f>'04-221Master'!S31</f>
        <v>101593987074</v>
      </c>
      <c r="K876" s="93"/>
      <c r="L876" s="94"/>
    </row>
    <row r="877" spans="1:12" ht="27" customHeight="1">
      <c r="A877" s="388"/>
      <c r="B877" s="1160" t="s">
        <v>118</v>
      </c>
      <c r="C877" s="1161"/>
      <c r="D877" s="1161"/>
      <c r="E877" s="1161"/>
      <c r="F877" s="1161"/>
      <c r="G877" s="1161"/>
      <c r="H877" s="1154">
        <f>'04-221Master'!Y31</f>
        <v>38567</v>
      </c>
      <c r="I877" s="1155"/>
      <c r="J877" s="1155"/>
      <c r="K877" s="1155"/>
      <c r="L877" s="1156"/>
    </row>
    <row r="878" spans="1:12" ht="27" customHeight="1">
      <c r="A878" s="388"/>
      <c r="B878" s="1143" t="s">
        <v>119</v>
      </c>
      <c r="C878" s="1144"/>
      <c r="D878" s="1144"/>
      <c r="E878" s="1144"/>
      <c r="F878" s="1144"/>
      <c r="G878" s="1144"/>
      <c r="H878" s="1162">
        <f>'04-221Master'!D10</f>
        <v>44652</v>
      </c>
      <c r="I878" s="1147"/>
      <c r="J878" s="1147"/>
      <c r="K878" s="1147"/>
      <c r="L878" s="1151"/>
    </row>
    <row r="879" spans="1:12" ht="27" customHeight="1">
      <c r="A879" s="388"/>
      <c r="B879" s="1143" t="s">
        <v>120</v>
      </c>
      <c r="C879" s="1144"/>
      <c r="D879" s="1144"/>
      <c r="E879" s="1144"/>
      <c r="F879" s="1144"/>
      <c r="G879" s="1144"/>
      <c r="H879" s="1147" t="s">
        <v>121</v>
      </c>
      <c r="I879" s="1147"/>
      <c r="J879" s="1147"/>
      <c r="K879" s="1147"/>
      <c r="L879" s="1151"/>
    </row>
    <row r="880" spans="1:12" ht="27" customHeight="1">
      <c r="A880" s="388"/>
      <c r="B880" s="399" t="s">
        <v>122</v>
      </c>
      <c r="C880" s="87"/>
      <c r="D880" s="87"/>
      <c r="E880" s="87"/>
      <c r="F880" s="87"/>
      <c r="G880" s="429"/>
      <c r="H880" s="686"/>
      <c r="I880" s="684"/>
      <c r="J880" s="96">
        <f>'04-221Master'!W31</f>
        <v>30</v>
      </c>
      <c r="K880" s="684"/>
      <c r="L880" s="685"/>
    </row>
    <row r="881" spans="1:12" ht="27" customHeight="1">
      <c r="A881" s="388"/>
      <c r="B881" s="399" t="s">
        <v>123</v>
      </c>
      <c r="C881" s="87"/>
      <c r="D881" s="87"/>
      <c r="E881" s="87"/>
      <c r="F881" s="87"/>
      <c r="G881" s="429"/>
      <c r="H881" s="686"/>
      <c r="I881" s="684"/>
      <c r="J881" s="684" t="s">
        <v>37</v>
      </c>
      <c r="K881" s="684"/>
      <c r="L881" s="685"/>
    </row>
    <row r="882" spans="1:12" ht="27" customHeight="1">
      <c r="A882" s="388"/>
      <c r="B882" s="399" t="s">
        <v>124</v>
      </c>
      <c r="C882" s="87"/>
      <c r="D882" s="87"/>
      <c r="E882" s="87"/>
      <c r="F882" s="87"/>
      <c r="G882" s="429"/>
      <c r="H882" s="686"/>
      <c r="I882" s="684"/>
      <c r="J882" s="96">
        <v>0</v>
      </c>
      <c r="K882" s="684"/>
      <c r="L882" s="685"/>
    </row>
    <row r="883" spans="1:12" ht="27" customHeight="1">
      <c r="A883" s="388"/>
      <c r="B883" s="399" t="s">
        <v>125</v>
      </c>
      <c r="C883" s="87"/>
      <c r="D883" s="87"/>
      <c r="E883" s="87"/>
      <c r="F883" s="87"/>
      <c r="G883" s="429"/>
      <c r="H883" s="686"/>
      <c r="I883" s="684"/>
      <c r="J883" s="684">
        <v>0</v>
      </c>
      <c r="K883" s="684"/>
      <c r="L883" s="685"/>
    </row>
    <row r="884" spans="1:12" ht="27" customHeight="1">
      <c r="A884" s="388"/>
      <c r="B884" s="399" t="s">
        <v>126</v>
      </c>
      <c r="C884" s="87"/>
      <c r="D884" s="87"/>
      <c r="E884" s="87"/>
      <c r="F884" s="87"/>
      <c r="G884" s="429"/>
      <c r="H884" s="686"/>
      <c r="I884" s="684"/>
      <c r="J884" s="604">
        <f>'04-221Master'!AM31</f>
        <v>43276.002619999992</v>
      </c>
      <c r="K884" s="684"/>
      <c r="L884" s="685" t="s">
        <v>585</v>
      </c>
    </row>
    <row r="885" spans="1:12" ht="27" customHeight="1">
      <c r="A885" s="388"/>
      <c r="B885" s="399" t="s">
        <v>127</v>
      </c>
      <c r="C885" s="87"/>
      <c r="D885" s="682" t="s">
        <v>32</v>
      </c>
      <c r="E885" s="683">
        <f>'04-221Master'!AO31</f>
        <v>1800</v>
      </c>
      <c r="F885" s="682" t="s">
        <v>31</v>
      </c>
      <c r="G885" s="683">
        <f>'04-221Master'!AN217</f>
        <v>0</v>
      </c>
      <c r="H885" s="682" t="s">
        <v>33</v>
      </c>
      <c r="I885" s="683">
        <f>'04-221Master'!AP31</f>
        <v>200</v>
      </c>
      <c r="J885" s="682" t="s">
        <v>34</v>
      </c>
      <c r="K885" s="683">
        <f>'04-221Master'!AQ31</f>
        <v>0</v>
      </c>
      <c r="L885" s="103">
        <f>'04-221Master'!AR31</f>
        <v>283</v>
      </c>
    </row>
    <row r="886" spans="1:12" ht="27" customHeight="1">
      <c r="A886" s="388"/>
      <c r="B886" s="399" t="s">
        <v>128</v>
      </c>
      <c r="C886" s="87"/>
      <c r="D886" s="87"/>
      <c r="E886" s="87"/>
      <c r="F886" s="87"/>
      <c r="G886" s="429"/>
      <c r="H886" s="686"/>
      <c r="I886" s="684"/>
      <c r="J886" s="96">
        <f>J884-E885-I885-K885-L885</f>
        <v>40993.002619999992</v>
      </c>
      <c r="K886" s="684"/>
      <c r="L886" s="685"/>
    </row>
    <row r="887" spans="1:12" ht="27" customHeight="1">
      <c r="A887" s="388"/>
      <c r="B887" s="400" t="s">
        <v>129</v>
      </c>
      <c r="C887" s="401"/>
      <c r="D887" s="401"/>
      <c r="E887" s="401"/>
      <c r="F887" s="401"/>
      <c r="G887" s="402"/>
      <c r="H887" s="403"/>
      <c r="I887" s="404"/>
      <c r="J887" s="404"/>
      <c r="K887" s="404"/>
      <c r="L887" s="98"/>
    </row>
    <row r="888" spans="1:12" ht="27" customHeight="1">
      <c r="A888" s="388"/>
      <c r="B888" s="426" t="s">
        <v>130</v>
      </c>
      <c r="C888" s="2"/>
      <c r="D888" s="2"/>
      <c r="E888" s="2"/>
      <c r="F888" s="2"/>
      <c r="G888" s="427"/>
      <c r="H888" s="71"/>
      <c r="I888" s="388"/>
      <c r="J888" s="388"/>
      <c r="K888" s="388"/>
      <c r="L888" s="14"/>
    </row>
    <row r="889" spans="1:12" ht="27" customHeight="1">
      <c r="A889" s="388"/>
      <c r="B889" s="13"/>
      <c r="C889" s="388"/>
      <c r="D889" s="388"/>
      <c r="E889" s="388"/>
      <c r="F889" s="388"/>
      <c r="G889" s="388"/>
      <c r="H889" s="388"/>
      <c r="I889" s="388"/>
      <c r="J889" s="388"/>
      <c r="K889" s="388"/>
      <c r="L889" s="14"/>
    </row>
    <row r="890" spans="1:12" ht="27" customHeight="1" thickBot="1">
      <c r="A890" s="388"/>
      <c r="B890" s="25"/>
      <c r="C890" s="23"/>
      <c r="D890" s="23"/>
      <c r="E890" s="23"/>
      <c r="F890" s="23"/>
      <c r="G890" s="23"/>
      <c r="H890" s="23"/>
      <c r="I890" s="23"/>
      <c r="J890" s="23"/>
      <c r="K890" s="23"/>
      <c r="L890" s="24"/>
    </row>
    <row r="891" spans="1:12" s="9" customFormat="1"/>
    <row r="892" spans="1:12" s="9" customFormat="1"/>
    <row r="893" spans="1:12" s="9" customFormat="1"/>
    <row r="894" spans="1:12" s="9" customFormat="1"/>
    <row r="895" spans="1:12" s="9" customFormat="1"/>
    <row r="896" spans="1:12" s="9" customFormat="1"/>
    <row r="897" spans="1:12" ht="31.15" customHeight="1">
      <c r="A897" s="388"/>
      <c r="B897" s="388"/>
      <c r="C897" s="388"/>
      <c r="D897" s="388"/>
      <c r="E897" s="388"/>
      <c r="F897" s="388"/>
      <c r="G897" s="388"/>
      <c r="H897" s="388"/>
      <c r="I897" s="388"/>
      <c r="J897" s="388"/>
      <c r="K897" s="388"/>
      <c r="L897" s="388"/>
    </row>
    <row r="898" spans="1:12" ht="31.15" customHeight="1">
      <c r="A898" s="388"/>
      <c r="B898" s="388"/>
      <c r="C898" s="388"/>
      <c r="D898" s="388"/>
      <c r="E898" s="388"/>
      <c r="F898" s="388"/>
      <c r="G898" s="388"/>
      <c r="H898" s="388"/>
      <c r="I898" s="388"/>
      <c r="J898" s="388"/>
      <c r="K898" s="388"/>
      <c r="L898" s="388"/>
    </row>
    <row r="899" spans="1:12" ht="31.15" customHeight="1">
      <c r="A899" s="388"/>
      <c r="B899" s="388"/>
      <c r="C899" s="388"/>
      <c r="D899" s="388"/>
      <c r="E899" s="388"/>
      <c r="F899" s="388"/>
      <c r="G899" s="388"/>
      <c r="H899" s="388"/>
      <c r="I899" s="388"/>
      <c r="J899" s="388"/>
      <c r="K899" s="388"/>
      <c r="L899" s="388"/>
    </row>
    <row r="900" spans="1:12" ht="31.15" customHeight="1">
      <c r="A900" s="388"/>
      <c r="B900" s="388"/>
      <c r="C900" s="388"/>
      <c r="D900" s="388"/>
      <c r="E900" s="388"/>
      <c r="F900" s="388"/>
      <c r="G900" s="388"/>
      <c r="H900" s="388"/>
      <c r="I900" s="388"/>
      <c r="J900" s="388"/>
      <c r="K900" s="388"/>
      <c r="L900" s="388"/>
    </row>
    <row r="901" spans="1:12" ht="31.15" customHeight="1">
      <c r="A901" s="388"/>
      <c r="B901" s="388"/>
      <c r="C901" s="388"/>
      <c r="D901" s="388"/>
      <c r="E901" s="388"/>
      <c r="F901" s="388"/>
      <c r="G901" s="388"/>
      <c r="H901" s="388"/>
      <c r="I901" s="388"/>
      <c r="J901" s="388"/>
      <c r="K901" s="388"/>
      <c r="L901" s="388"/>
    </row>
    <row r="902" spans="1:12" ht="31.15" customHeight="1">
      <c r="A902" s="388"/>
      <c r="B902" s="388"/>
      <c r="C902" s="388"/>
      <c r="D902" s="388"/>
      <c r="E902" s="388"/>
      <c r="F902" s="388"/>
      <c r="G902" s="388"/>
      <c r="H902" s="388"/>
      <c r="I902" s="388"/>
      <c r="J902" s="388"/>
      <c r="K902" s="388"/>
      <c r="L902" s="388"/>
    </row>
    <row r="903" spans="1:12" ht="31.15" customHeight="1" thickBot="1">
      <c r="A903" s="388"/>
      <c r="B903" s="388"/>
      <c r="C903" s="388"/>
      <c r="D903" s="388"/>
      <c r="E903" s="388"/>
      <c r="F903" s="388"/>
      <c r="G903" s="388"/>
      <c r="H903" s="388"/>
      <c r="I903" s="388"/>
      <c r="J903" s="388"/>
      <c r="K903" s="388"/>
      <c r="L903" s="388"/>
    </row>
    <row r="904" spans="1:12" ht="31.15" customHeight="1">
      <c r="A904" s="388"/>
      <c r="B904" s="1163" t="s">
        <v>590</v>
      </c>
      <c r="C904" s="1164"/>
      <c r="D904" s="1164"/>
      <c r="E904" s="1164"/>
      <c r="F904" s="1164"/>
      <c r="G904" s="1164"/>
      <c r="H904" s="1164"/>
      <c r="I904" s="1164"/>
      <c r="J904" s="1164"/>
      <c r="K904" s="1164"/>
      <c r="L904" s="1165"/>
    </row>
    <row r="905" spans="1:12" ht="31.15" customHeight="1">
      <c r="A905" s="388"/>
      <c r="B905" s="1166" t="s">
        <v>107</v>
      </c>
      <c r="C905" s="1167"/>
      <c r="D905" s="1167"/>
      <c r="E905" s="1167"/>
      <c r="F905" s="1167"/>
      <c r="G905" s="1167"/>
      <c r="H905" s="1167"/>
      <c r="I905" s="1167"/>
      <c r="J905" s="1167"/>
      <c r="K905" s="1167"/>
      <c r="L905" s="1168"/>
    </row>
    <row r="906" spans="1:12" ht="31.15" customHeight="1" thickBot="1">
      <c r="A906" s="388"/>
      <c r="B906" s="1169" t="s">
        <v>591</v>
      </c>
      <c r="C906" s="1170"/>
      <c r="D906" s="1170"/>
      <c r="E906" s="1170"/>
      <c r="F906" s="1170"/>
      <c r="G906" s="1170"/>
      <c r="H906" s="1170"/>
      <c r="I906" s="1170"/>
      <c r="J906" s="1170"/>
      <c r="K906" s="1170"/>
      <c r="L906" s="1171"/>
    </row>
    <row r="907" spans="1:12" ht="31.15" customHeight="1">
      <c r="A907" s="388"/>
      <c r="B907" s="1172" t="s">
        <v>108</v>
      </c>
      <c r="C907" s="1173"/>
      <c r="D907" s="1173"/>
      <c r="E907" s="1173"/>
      <c r="F907" s="1173"/>
      <c r="G907" s="388"/>
      <c r="H907" s="1174" t="s">
        <v>109</v>
      </c>
      <c r="I907" s="1174"/>
      <c r="J907" s="1174"/>
      <c r="K907" s="1174"/>
      <c r="L907" s="1175"/>
    </row>
    <row r="908" spans="1:12" ht="31.15" customHeight="1" thickBot="1">
      <c r="A908" s="388"/>
      <c r="B908" s="1172"/>
      <c r="C908" s="1173"/>
      <c r="D908" s="1173"/>
      <c r="E908" s="1173"/>
      <c r="F908" s="1173"/>
      <c r="G908" s="388"/>
      <c r="H908" s="1174"/>
      <c r="I908" s="1174"/>
      <c r="J908" s="1174"/>
      <c r="K908" s="1174"/>
      <c r="L908" s="1175"/>
    </row>
    <row r="909" spans="1:12" ht="31.15" customHeight="1">
      <c r="A909" s="388"/>
      <c r="B909" s="74"/>
      <c r="C909" s="75"/>
      <c r="D909" s="75"/>
      <c r="E909" s="75"/>
      <c r="F909" s="76"/>
      <c r="G909" s="388"/>
      <c r="H909" s="74"/>
      <c r="I909" s="75"/>
      <c r="J909" s="75"/>
      <c r="K909" s="75"/>
      <c r="L909" s="76"/>
    </row>
    <row r="910" spans="1:12" ht="31.15" customHeight="1">
      <c r="A910" s="388"/>
      <c r="B910" s="419" t="s">
        <v>382</v>
      </c>
      <c r="C910" s="388"/>
      <c r="D910" s="388"/>
      <c r="E910" s="388"/>
      <c r="F910" s="14"/>
      <c r="G910" s="388"/>
      <c r="H910" s="419" t="s">
        <v>382</v>
      </c>
      <c r="I910" s="388"/>
      <c r="J910" s="388"/>
      <c r="K910" s="388"/>
      <c r="L910" s="14"/>
    </row>
    <row r="911" spans="1:12" ht="31.15" customHeight="1">
      <c r="A911" s="388"/>
      <c r="B911" s="421" t="s">
        <v>383</v>
      </c>
      <c r="C911" s="388"/>
      <c r="D911" s="388"/>
      <c r="E911" s="388"/>
      <c r="F911" s="14"/>
      <c r="G911" s="388"/>
      <c r="H911" s="421" t="s">
        <v>383</v>
      </c>
      <c r="I911" s="388"/>
      <c r="J911" s="388"/>
      <c r="K911" s="388"/>
      <c r="L911" s="14"/>
    </row>
    <row r="912" spans="1:12" ht="31.15" customHeight="1">
      <c r="A912" s="388"/>
      <c r="B912" s="77"/>
      <c r="C912" s="388"/>
      <c r="D912" s="388"/>
      <c r="E912" s="388"/>
      <c r="F912" s="14"/>
      <c r="G912" s="388"/>
      <c r="H912" s="77"/>
      <c r="I912" s="388"/>
      <c r="J912" s="388"/>
      <c r="K912" s="388"/>
      <c r="L912" s="14"/>
    </row>
    <row r="913" spans="1:12" ht="31.15" customHeight="1" thickBot="1">
      <c r="A913" s="388"/>
      <c r="B913" s="25"/>
      <c r="C913" s="23"/>
      <c r="D913" s="23"/>
      <c r="E913" s="23"/>
      <c r="F913" s="24"/>
      <c r="G913" s="388"/>
      <c r="H913" s="25"/>
      <c r="I913" s="23"/>
      <c r="J913" s="23"/>
      <c r="K913" s="23"/>
      <c r="L913" s="24"/>
    </row>
    <row r="914" spans="1:12" ht="31.15" customHeight="1">
      <c r="A914" s="388"/>
      <c r="B914" s="13"/>
      <c r="C914" s="388"/>
      <c r="D914" s="388"/>
      <c r="E914" s="388"/>
      <c r="F914" s="388"/>
      <c r="G914" s="388"/>
      <c r="H914" s="388"/>
      <c r="I914" s="388"/>
      <c r="J914" s="388" t="s">
        <v>110</v>
      </c>
      <c r="K914" s="388"/>
      <c r="L914" s="14"/>
    </row>
    <row r="915" spans="1:12" ht="31.15" customHeight="1">
      <c r="A915" s="388"/>
      <c r="B915" s="1176" t="s">
        <v>111</v>
      </c>
      <c r="C915" s="1177"/>
      <c r="D915" s="1177"/>
      <c r="E915" s="1177"/>
      <c r="F915" s="1177"/>
      <c r="G915" s="388"/>
      <c r="H915" s="1177" t="s">
        <v>4</v>
      </c>
      <c r="I915" s="1177"/>
      <c r="J915" s="1177"/>
      <c r="K915" s="1177"/>
      <c r="L915" s="1178"/>
    </row>
    <row r="916" spans="1:12" ht="31.15" customHeight="1" thickBot="1">
      <c r="A916" s="388"/>
      <c r="B916" s="13"/>
      <c r="C916" s="388"/>
      <c r="D916" s="388"/>
      <c r="E916" s="388"/>
      <c r="F916" s="388"/>
      <c r="G916" s="388"/>
      <c r="H916" s="388"/>
      <c r="I916" s="388"/>
      <c r="J916" s="388"/>
      <c r="K916" s="388"/>
      <c r="L916" s="14"/>
    </row>
    <row r="917" spans="1:12" ht="31.15" customHeight="1">
      <c r="A917" s="388"/>
      <c r="B917" s="74"/>
      <c r="C917" s="75"/>
      <c r="D917" s="75"/>
      <c r="E917" s="75"/>
      <c r="F917" s="76"/>
      <c r="G917" s="388"/>
      <c r="H917" s="78"/>
      <c r="I917" s="79"/>
      <c r="J917" s="79"/>
      <c r="K917" s="79"/>
      <c r="L917" s="80"/>
    </row>
    <row r="918" spans="1:12" ht="31.15" customHeight="1">
      <c r="A918" s="388"/>
      <c r="B918" s="13"/>
      <c r="C918" s="388"/>
      <c r="D918" s="388"/>
      <c r="E918" s="388"/>
      <c r="F918" s="14"/>
      <c r="G918" s="388"/>
      <c r="H918" s="680" t="s">
        <v>497</v>
      </c>
      <c r="I918" s="2"/>
      <c r="J918" s="2"/>
      <c r="K918" s="2"/>
      <c r="L918" s="81"/>
    </row>
    <row r="919" spans="1:12" ht="31.15" customHeight="1">
      <c r="A919" s="388"/>
      <c r="B919" s="423" t="s">
        <v>373</v>
      </c>
      <c r="C919" s="388"/>
      <c r="D919" s="388"/>
      <c r="E919" s="388"/>
      <c r="F919" s="14"/>
      <c r="G919" s="388"/>
      <c r="H919" s="425" t="s">
        <v>490</v>
      </c>
      <c r="I919" s="2"/>
      <c r="J919" s="2"/>
      <c r="K919" s="2"/>
      <c r="L919" s="81"/>
    </row>
    <row r="920" spans="1:12" ht="31.15" customHeight="1">
      <c r="A920" s="388"/>
      <c r="B920" s="13"/>
      <c r="C920" s="388"/>
      <c r="D920" s="388"/>
      <c r="E920" s="388"/>
      <c r="F920" s="14"/>
      <c r="G920" s="388"/>
      <c r="H920" s="77"/>
      <c r="I920" s="2"/>
      <c r="J920" s="2"/>
      <c r="K920" s="2"/>
      <c r="L920" s="81"/>
    </row>
    <row r="921" spans="1:12" ht="31.15" customHeight="1" thickBot="1">
      <c r="A921" s="388"/>
      <c r="B921" s="25"/>
      <c r="C921" s="23"/>
      <c r="D921" s="23"/>
      <c r="E921" s="23"/>
      <c r="F921" s="24"/>
      <c r="G921" s="388"/>
      <c r="H921" s="77"/>
      <c r="I921" s="2"/>
      <c r="J921" s="2"/>
      <c r="K921" s="2"/>
      <c r="L921" s="81"/>
    </row>
    <row r="922" spans="1:12" ht="31.15" customHeight="1">
      <c r="A922" s="388"/>
      <c r="B922" s="1143" t="s">
        <v>112</v>
      </c>
      <c r="C922" s="1144"/>
      <c r="D922" s="1144"/>
      <c r="E922" s="1144"/>
      <c r="F922" s="1144"/>
      <c r="G922" s="1145"/>
      <c r="H922" s="1146" t="str">
        <f>'04-221Master'!B32</f>
        <v>Rahul Suryawanshi</v>
      </c>
      <c r="I922" s="1147"/>
      <c r="J922" s="1147"/>
      <c r="K922" s="1147"/>
      <c r="L922" s="1147"/>
    </row>
    <row r="923" spans="1:12" ht="31.15" customHeight="1">
      <c r="A923" s="388"/>
      <c r="B923" s="1148"/>
      <c r="C923" s="1149"/>
      <c r="D923" s="1149"/>
      <c r="E923" s="1149"/>
      <c r="F923" s="1149"/>
      <c r="G923" s="1149"/>
      <c r="H923" s="1150" t="str">
        <f>'04-221Master'!G32</f>
        <v>H No 53,Near Durga mandir,at po sarra,gram sarra,tahsil multai dist bethul,Madhya pradesh 460661</v>
      </c>
      <c r="I923" s="1150"/>
      <c r="J923" s="1150"/>
      <c r="K923" s="1150"/>
      <c r="L923" s="1150"/>
    </row>
    <row r="924" spans="1:12" ht="31.15" customHeight="1">
      <c r="A924" s="388"/>
      <c r="B924" s="1152" t="s">
        <v>113</v>
      </c>
      <c r="C924" s="1153"/>
      <c r="D924" s="1153"/>
      <c r="E924" s="1153"/>
      <c r="F924" s="1153"/>
      <c r="G924" s="1153"/>
      <c r="H924" s="1154">
        <v>36</v>
      </c>
      <c r="I924" s="1155"/>
      <c r="J924" s="1155"/>
      <c r="K924" s="1155"/>
      <c r="L924" s="1156"/>
    </row>
    <row r="925" spans="1:12" ht="31.15" customHeight="1">
      <c r="A925" s="388"/>
      <c r="B925" s="1143" t="s">
        <v>114</v>
      </c>
      <c r="C925" s="1144"/>
      <c r="D925" s="1144"/>
      <c r="E925" s="1144"/>
      <c r="F925" s="1144"/>
      <c r="G925" s="1144"/>
      <c r="H925" s="1146" t="str">
        <f>'04-221Master'!G32</f>
        <v>H No 53,Near Durga mandir,at po sarra,gram sarra,tahsil multai dist bethul,Madhya pradesh 460661</v>
      </c>
      <c r="I925" s="1147"/>
      <c r="J925" s="1147"/>
      <c r="K925" s="1147"/>
      <c r="L925" s="1151"/>
    </row>
    <row r="926" spans="1:12" ht="31.15" customHeight="1">
      <c r="A926" s="388"/>
      <c r="B926" s="1143" t="s">
        <v>115</v>
      </c>
      <c r="C926" s="1144"/>
      <c r="D926" s="1144"/>
      <c r="E926" s="1144"/>
      <c r="F926" s="1144"/>
      <c r="G926" s="1144"/>
      <c r="H926" s="1157">
        <f>'04-221Master'!N32</f>
        <v>44624</v>
      </c>
      <c r="I926" s="1158"/>
      <c r="J926" s="1158"/>
      <c r="K926" s="1158"/>
      <c r="L926" s="1159"/>
    </row>
    <row r="927" spans="1:12" ht="31.15" customHeight="1">
      <c r="A927" s="388"/>
      <c r="B927" s="399" t="s">
        <v>116</v>
      </c>
      <c r="C927" s="87"/>
      <c r="D927" s="87"/>
      <c r="E927" s="87"/>
      <c r="F927" s="87"/>
      <c r="G927" s="87"/>
      <c r="H927" s="793"/>
      <c r="I927" s="89"/>
      <c r="J927" s="389">
        <f>'04-221Master'!T318</f>
        <v>0</v>
      </c>
      <c r="K927" s="789"/>
      <c r="L927" s="792"/>
    </row>
    <row r="928" spans="1:12" ht="31.15" customHeight="1">
      <c r="A928" s="388"/>
      <c r="B928" s="399" t="s">
        <v>117</v>
      </c>
      <c r="C928" s="87"/>
      <c r="D928" s="87"/>
      <c r="E928" s="87"/>
      <c r="F928" s="87"/>
      <c r="G928" s="429"/>
      <c r="H928" s="92"/>
      <c r="I928" s="93"/>
      <c r="J928" s="389">
        <f>'04-221Master'!S32</f>
        <v>101274942480</v>
      </c>
      <c r="K928" s="93"/>
      <c r="L928" s="94"/>
    </row>
    <row r="929" spans="1:12" ht="31.15" customHeight="1">
      <c r="A929" s="388"/>
      <c r="B929" s="1160" t="s">
        <v>118</v>
      </c>
      <c r="C929" s="1161"/>
      <c r="D929" s="1161"/>
      <c r="E929" s="1161"/>
      <c r="F929" s="1161"/>
      <c r="G929" s="1161"/>
      <c r="H929" s="1154">
        <f>'04-221Master'!Y32</f>
        <v>80278</v>
      </c>
      <c r="I929" s="1155"/>
      <c r="J929" s="1155"/>
      <c r="K929" s="1155"/>
      <c r="L929" s="1156"/>
    </row>
    <row r="930" spans="1:12" ht="31.15" customHeight="1">
      <c r="A930" s="388"/>
      <c r="B930" s="1143" t="s">
        <v>119</v>
      </c>
      <c r="C930" s="1144"/>
      <c r="D930" s="1144"/>
      <c r="E930" s="1144"/>
      <c r="F930" s="1144"/>
      <c r="G930" s="1144"/>
      <c r="H930" s="1162">
        <f>'04-221Master'!D10</f>
        <v>44652</v>
      </c>
      <c r="I930" s="1147"/>
      <c r="J930" s="1147"/>
      <c r="K930" s="1147"/>
      <c r="L930" s="1151"/>
    </row>
    <row r="931" spans="1:12" ht="31.15" customHeight="1">
      <c r="A931" s="388"/>
      <c r="B931" s="1143" t="s">
        <v>120</v>
      </c>
      <c r="C931" s="1144"/>
      <c r="D931" s="1144"/>
      <c r="E931" s="1144"/>
      <c r="F931" s="1144"/>
      <c r="G931" s="1144"/>
      <c r="H931" s="1147" t="s">
        <v>121</v>
      </c>
      <c r="I931" s="1147"/>
      <c r="J931" s="1147"/>
      <c r="K931" s="1147"/>
      <c r="L931" s="1151"/>
    </row>
    <row r="932" spans="1:12" ht="31.15" customHeight="1">
      <c r="A932" s="388"/>
      <c r="B932" s="399" t="s">
        <v>122</v>
      </c>
      <c r="C932" s="87"/>
      <c r="D932" s="87"/>
      <c r="E932" s="87"/>
      <c r="F932" s="87"/>
      <c r="G932" s="429"/>
      <c r="H932" s="793"/>
      <c r="I932" s="789"/>
      <c r="J932" s="96">
        <f>'04-221Master'!W32</f>
        <v>30</v>
      </c>
      <c r="K932" s="789"/>
      <c r="L932" s="792"/>
    </row>
    <row r="933" spans="1:12" ht="31.15" customHeight="1">
      <c r="A933" s="388"/>
      <c r="B933" s="399" t="s">
        <v>123</v>
      </c>
      <c r="C933" s="87"/>
      <c r="D933" s="87"/>
      <c r="E933" s="87"/>
      <c r="F933" s="87"/>
      <c r="G933" s="429"/>
      <c r="H933" s="793"/>
      <c r="I933" s="789"/>
      <c r="J933" s="789" t="s">
        <v>37</v>
      </c>
      <c r="K933" s="789"/>
      <c r="L933" s="792"/>
    </row>
    <row r="934" spans="1:12" ht="31.15" customHeight="1">
      <c r="A934" s="388"/>
      <c r="B934" s="399" t="s">
        <v>124</v>
      </c>
      <c r="C934" s="87"/>
      <c r="D934" s="87"/>
      <c r="E934" s="87"/>
      <c r="F934" s="87"/>
      <c r="G934" s="429"/>
      <c r="H934" s="793"/>
      <c r="I934" s="789"/>
      <c r="J934" s="96">
        <v>0</v>
      </c>
      <c r="K934" s="789"/>
      <c r="L934" s="792"/>
    </row>
    <row r="935" spans="1:12" ht="31.15" customHeight="1">
      <c r="A935" s="388"/>
      <c r="B935" s="399" t="s">
        <v>125</v>
      </c>
      <c r="C935" s="87"/>
      <c r="D935" s="87"/>
      <c r="E935" s="87"/>
      <c r="F935" s="87"/>
      <c r="G935" s="429"/>
      <c r="H935" s="793"/>
      <c r="I935" s="789"/>
      <c r="J935" s="789">
        <v>0</v>
      </c>
      <c r="K935" s="789"/>
      <c r="L935" s="792"/>
    </row>
    <row r="936" spans="1:12" ht="31.15" customHeight="1">
      <c r="A936" s="388"/>
      <c r="B936" s="399" t="s">
        <v>126</v>
      </c>
      <c r="C936" s="87"/>
      <c r="D936" s="87"/>
      <c r="E936" s="87"/>
      <c r="F936" s="87"/>
      <c r="G936" s="429"/>
      <c r="H936" s="793"/>
      <c r="I936" s="789"/>
      <c r="J936" s="604">
        <f>'04-221Master'!AM32</f>
        <v>88276.332079999993</v>
      </c>
      <c r="K936" s="789"/>
      <c r="L936" s="792" t="s">
        <v>585</v>
      </c>
    </row>
    <row r="937" spans="1:12" ht="31.15" customHeight="1">
      <c r="A937" s="388"/>
      <c r="B937" s="399" t="s">
        <v>127</v>
      </c>
      <c r="C937" s="87"/>
      <c r="D937" s="788" t="s">
        <v>32</v>
      </c>
      <c r="E937" s="790">
        <f>'04-221Master'!AO32</f>
        <v>1800</v>
      </c>
      <c r="F937" s="788" t="s">
        <v>31</v>
      </c>
      <c r="G937" s="790">
        <f>'04-221Master'!AN318</f>
        <v>0</v>
      </c>
      <c r="H937" s="788" t="s">
        <v>33</v>
      </c>
      <c r="I937" s="790">
        <f>'04-221Master'!AP32</f>
        <v>200</v>
      </c>
      <c r="J937" s="788" t="s">
        <v>34</v>
      </c>
      <c r="K937" s="790">
        <f>'04-221Master'!AQ32</f>
        <v>0</v>
      </c>
      <c r="L937" s="103">
        <f>'04-221Master'!AR32</f>
        <v>283</v>
      </c>
    </row>
    <row r="938" spans="1:12" ht="31.15" customHeight="1">
      <c r="A938" s="388"/>
      <c r="B938" s="399" t="s">
        <v>128</v>
      </c>
      <c r="C938" s="87"/>
      <c r="D938" s="87"/>
      <c r="E938" s="87"/>
      <c r="F938" s="87"/>
      <c r="G938" s="429"/>
      <c r="H938" s="793"/>
      <c r="I938" s="789"/>
      <c r="J938" s="96">
        <f>J936-E937-I937-K937-L937</f>
        <v>85993.332079999993</v>
      </c>
      <c r="K938" s="789"/>
      <c r="L938" s="792"/>
    </row>
    <row r="939" spans="1:12" ht="31.15" customHeight="1">
      <c r="A939" s="388"/>
      <c r="B939" s="400" t="s">
        <v>129</v>
      </c>
      <c r="C939" s="401"/>
      <c r="D939" s="401"/>
      <c r="E939" s="401"/>
      <c r="F939" s="401"/>
      <c r="G939" s="402"/>
      <c r="H939" s="403"/>
      <c r="I939" s="404"/>
      <c r="J939" s="404"/>
      <c r="K939" s="404"/>
      <c r="L939" s="98"/>
    </row>
    <row r="940" spans="1:12" ht="31.15" customHeight="1">
      <c r="A940" s="388"/>
      <c r="B940" s="426" t="s">
        <v>130</v>
      </c>
      <c r="C940" s="2"/>
      <c r="D940" s="2"/>
      <c r="E940" s="2"/>
      <c r="F940" s="2"/>
      <c r="G940" s="427"/>
      <c r="H940" s="71"/>
      <c r="I940" s="388"/>
      <c r="J940" s="388"/>
      <c r="K940" s="388"/>
      <c r="L940" s="14"/>
    </row>
    <row r="941" spans="1:12" ht="31.15" customHeight="1">
      <c r="A941" s="388"/>
      <c r="B941" s="13"/>
      <c r="C941" s="388"/>
      <c r="D941" s="388"/>
      <c r="E941" s="388"/>
      <c r="F941" s="388"/>
      <c r="G941" s="388"/>
      <c r="H941" s="388"/>
      <c r="I941" s="388"/>
      <c r="J941" s="388"/>
      <c r="K941" s="388"/>
      <c r="L941" s="14"/>
    </row>
    <row r="942" spans="1:12" ht="31.15" customHeight="1" thickBot="1">
      <c r="A942" s="388"/>
      <c r="B942" s="25"/>
      <c r="C942" s="23"/>
      <c r="D942" s="23"/>
      <c r="E942" s="23"/>
      <c r="F942" s="23"/>
      <c r="G942" s="23"/>
      <c r="H942" s="23"/>
      <c r="I942" s="23"/>
      <c r="J942" s="23"/>
      <c r="K942" s="23"/>
      <c r="L942" s="24"/>
    </row>
    <row r="943" spans="1:12">
      <c r="A943" s="388"/>
      <c r="B943" s="388"/>
      <c r="C943" s="388"/>
      <c r="D943" s="388"/>
      <c r="E943" s="388"/>
      <c r="F943" s="388"/>
      <c r="G943" s="388"/>
      <c r="H943" s="388"/>
      <c r="I943" s="388"/>
      <c r="J943" s="388"/>
      <c r="K943" s="388"/>
      <c r="L943" s="388"/>
    </row>
    <row r="944" spans="1:12">
      <c r="A944" s="388"/>
      <c r="B944" s="388"/>
      <c r="C944" s="388"/>
      <c r="D944" s="388"/>
      <c r="E944" s="388"/>
      <c r="F944" s="388"/>
      <c r="G944" s="388"/>
      <c r="H944" s="388"/>
      <c r="I944" s="388"/>
      <c r="J944" s="388"/>
      <c r="K944" s="388"/>
      <c r="L944" s="388"/>
    </row>
    <row r="945" spans="1:12">
      <c r="A945" s="388"/>
      <c r="B945" s="388"/>
      <c r="C945" s="388"/>
      <c r="D945" s="388"/>
      <c r="E945" s="388"/>
      <c r="F945" s="388"/>
      <c r="G945" s="388"/>
      <c r="H945" s="388"/>
      <c r="I945" s="388"/>
      <c r="J945" s="388"/>
      <c r="K945" s="388"/>
      <c r="L945" s="388"/>
    </row>
    <row r="946" spans="1:12">
      <c r="A946" s="388"/>
      <c r="B946" s="388"/>
      <c r="C946" s="388"/>
      <c r="D946" s="388"/>
      <c r="E946" s="388"/>
      <c r="F946" s="388"/>
      <c r="G946" s="388"/>
      <c r="H946" s="388"/>
      <c r="I946" s="388"/>
      <c r="J946" s="388"/>
      <c r="K946" s="388"/>
      <c r="L946" s="388"/>
    </row>
    <row r="947" spans="1:12">
      <c r="A947" s="388"/>
      <c r="B947" s="388"/>
      <c r="C947" s="388"/>
      <c r="D947" s="388"/>
      <c r="E947" s="388"/>
      <c r="F947" s="388"/>
      <c r="G947" s="388"/>
      <c r="H947" s="388"/>
      <c r="I947" s="388"/>
      <c r="J947" s="388"/>
      <c r="K947" s="388"/>
      <c r="L947" s="388"/>
    </row>
    <row r="948" spans="1:12">
      <c r="A948" s="388"/>
      <c r="B948" s="388"/>
      <c r="C948" s="388"/>
      <c r="D948" s="388"/>
      <c r="E948" s="388"/>
      <c r="F948" s="388"/>
      <c r="G948" s="388"/>
      <c r="H948" s="388"/>
      <c r="I948" s="388"/>
      <c r="J948" s="388"/>
      <c r="K948" s="388"/>
      <c r="L948" s="388"/>
    </row>
    <row r="949" spans="1:12">
      <c r="A949" s="388"/>
      <c r="B949" s="388"/>
      <c r="C949" s="388"/>
      <c r="D949" s="388"/>
      <c r="E949" s="388"/>
      <c r="F949" s="388"/>
      <c r="G949" s="388"/>
      <c r="H949" s="388"/>
      <c r="I949" s="388"/>
      <c r="J949" s="388"/>
      <c r="K949" s="388"/>
      <c r="L949" s="388"/>
    </row>
    <row r="950" spans="1:12">
      <c r="A950" s="388"/>
      <c r="B950" s="388"/>
      <c r="C950" s="388"/>
      <c r="D950" s="388"/>
      <c r="E950" s="388"/>
      <c r="F950" s="388"/>
      <c r="G950" s="388"/>
      <c r="H950" s="388"/>
      <c r="I950" s="388"/>
      <c r="J950" s="388"/>
      <c r="K950" s="388"/>
      <c r="L950" s="388"/>
    </row>
    <row r="951" spans="1:12">
      <c r="A951" s="9"/>
      <c r="B951" s="9"/>
      <c r="C951" s="9"/>
      <c r="D951" s="9"/>
      <c r="E951" s="9"/>
      <c r="F951" s="9"/>
      <c r="G951" s="9"/>
      <c r="H951" s="9"/>
      <c r="I951" s="9"/>
      <c r="J951" s="9"/>
      <c r="K951" s="9"/>
      <c r="L951" s="9"/>
    </row>
    <row r="952" spans="1:12">
      <c r="A952" s="9"/>
      <c r="B952" s="9"/>
      <c r="C952" s="9"/>
      <c r="D952" s="9"/>
      <c r="E952" s="9"/>
      <c r="F952" s="9"/>
      <c r="G952" s="9"/>
      <c r="H952" s="9"/>
      <c r="I952" s="9"/>
      <c r="J952" s="9"/>
      <c r="K952" s="9"/>
      <c r="L952" s="9"/>
    </row>
    <row r="953" spans="1:12">
      <c r="A953" s="9"/>
      <c r="B953" s="9"/>
      <c r="C953" s="9"/>
      <c r="D953" s="9"/>
      <c r="E953" s="9"/>
      <c r="F953" s="9"/>
      <c r="G953" s="9"/>
      <c r="H953" s="9"/>
      <c r="I953" s="9"/>
      <c r="J953" s="9"/>
      <c r="K953" s="9"/>
      <c r="L953" s="9"/>
    </row>
    <row r="954" spans="1:12">
      <c r="A954" s="9"/>
      <c r="B954" s="9"/>
      <c r="C954" s="9"/>
      <c r="D954" s="9"/>
      <c r="E954" s="9"/>
      <c r="F954" s="9"/>
      <c r="G954" s="9"/>
      <c r="H954" s="9"/>
      <c r="I954" s="9"/>
      <c r="J954" s="9"/>
      <c r="K954" s="9"/>
      <c r="L954" s="9"/>
    </row>
    <row r="955" spans="1:12" ht="15.75" thickBot="1">
      <c r="A955" s="388"/>
      <c r="B955" s="388"/>
      <c r="C955" s="388"/>
      <c r="D955" s="388"/>
      <c r="E955" s="388"/>
      <c r="F955" s="388"/>
      <c r="G955" s="388"/>
      <c r="H955" s="388"/>
      <c r="I955" s="388"/>
      <c r="J955" s="388"/>
      <c r="K955" s="388"/>
      <c r="L955" s="388"/>
    </row>
    <row r="956" spans="1:12" ht="32.25">
      <c r="A956" s="388"/>
      <c r="B956" s="1163" t="s">
        <v>590</v>
      </c>
      <c r="C956" s="1164"/>
      <c r="D956" s="1164"/>
      <c r="E956" s="1164"/>
      <c r="F956" s="1164"/>
      <c r="G956" s="1164"/>
      <c r="H956" s="1164"/>
      <c r="I956" s="1164"/>
      <c r="J956" s="1164"/>
      <c r="K956" s="1164"/>
      <c r="L956" s="1165"/>
    </row>
    <row r="957" spans="1:12" ht="23.25">
      <c r="A957" s="388"/>
      <c r="B957" s="1166" t="s">
        <v>107</v>
      </c>
      <c r="C957" s="1167"/>
      <c r="D957" s="1167"/>
      <c r="E957" s="1167"/>
      <c r="F957" s="1167"/>
      <c r="G957" s="1167"/>
      <c r="H957" s="1167"/>
      <c r="I957" s="1167"/>
      <c r="J957" s="1167"/>
      <c r="K957" s="1167"/>
      <c r="L957" s="1168"/>
    </row>
    <row r="958" spans="1:12" ht="16.5" thickBot="1">
      <c r="A958" s="388"/>
      <c r="B958" s="1169" t="s">
        <v>591</v>
      </c>
      <c r="C958" s="1170"/>
      <c r="D958" s="1170"/>
      <c r="E958" s="1170"/>
      <c r="F958" s="1170"/>
      <c r="G958" s="1170"/>
      <c r="H958" s="1170"/>
      <c r="I958" s="1170"/>
      <c r="J958" s="1170"/>
      <c r="K958" s="1170"/>
      <c r="L958" s="1171"/>
    </row>
    <row r="959" spans="1:12">
      <c r="A959" s="388"/>
      <c r="B959" s="1172" t="s">
        <v>108</v>
      </c>
      <c r="C959" s="1173"/>
      <c r="D959" s="1173"/>
      <c r="E959" s="1173"/>
      <c r="F959" s="1173"/>
      <c r="G959" s="388"/>
      <c r="H959" s="1174" t="s">
        <v>109</v>
      </c>
      <c r="I959" s="1174"/>
      <c r="J959" s="1174"/>
      <c r="K959" s="1174"/>
      <c r="L959" s="1175"/>
    </row>
    <row r="960" spans="1:12" ht="30.6" customHeight="1" thickBot="1">
      <c r="A960" s="388"/>
      <c r="B960" s="1172"/>
      <c r="C960" s="1173"/>
      <c r="D960" s="1173"/>
      <c r="E960" s="1173"/>
      <c r="F960" s="1173"/>
      <c r="G960" s="388"/>
      <c r="H960" s="1174"/>
      <c r="I960" s="1174"/>
      <c r="J960" s="1174"/>
      <c r="K960" s="1174"/>
      <c r="L960" s="1175"/>
    </row>
    <row r="961" spans="1:12" ht="30.6" customHeight="1">
      <c r="A961" s="388"/>
      <c r="B961" s="74"/>
      <c r="C961" s="75"/>
      <c r="D961" s="75"/>
      <c r="E961" s="75"/>
      <c r="F961" s="76"/>
      <c r="G961" s="388"/>
      <c r="H961" s="74"/>
      <c r="I961" s="75"/>
      <c r="J961" s="75"/>
      <c r="K961" s="75"/>
      <c r="L961" s="76"/>
    </row>
    <row r="962" spans="1:12" ht="30.6" customHeight="1">
      <c r="A962" s="388"/>
      <c r="B962" s="419" t="s">
        <v>382</v>
      </c>
      <c r="C962" s="388"/>
      <c r="D962" s="388"/>
      <c r="E962" s="388"/>
      <c r="F962" s="14"/>
      <c r="G962" s="388"/>
      <c r="H962" s="419" t="s">
        <v>382</v>
      </c>
      <c r="I962" s="388"/>
      <c r="J962" s="388"/>
      <c r="K962" s="388"/>
      <c r="L962" s="14"/>
    </row>
    <row r="963" spans="1:12" ht="30.6" customHeight="1">
      <c r="A963" s="388"/>
      <c r="B963" s="421" t="s">
        <v>383</v>
      </c>
      <c r="C963" s="388"/>
      <c r="D963" s="388"/>
      <c r="E963" s="388"/>
      <c r="F963" s="14"/>
      <c r="G963" s="388"/>
      <c r="H963" s="421" t="s">
        <v>383</v>
      </c>
      <c r="I963" s="388"/>
      <c r="J963" s="388"/>
      <c r="K963" s="388"/>
      <c r="L963" s="14"/>
    </row>
    <row r="964" spans="1:12" ht="30.6" customHeight="1">
      <c r="A964" s="388"/>
      <c r="B964" s="77"/>
      <c r="C964" s="388"/>
      <c r="D964" s="388"/>
      <c r="E964" s="388"/>
      <c r="F964" s="14"/>
      <c r="G964" s="388"/>
      <c r="H964" s="77"/>
      <c r="I964" s="388"/>
      <c r="J964" s="388"/>
      <c r="K964" s="388"/>
      <c r="L964" s="14"/>
    </row>
    <row r="965" spans="1:12" ht="30.6" customHeight="1" thickBot="1">
      <c r="A965" s="388"/>
      <c r="B965" s="25"/>
      <c r="C965" s="23"/>
      <c r="D965" s="23"/>
      <c r="E965" s="23"/>
      <c r="F965" s="24"/>
      <c r="G965" s="388"/>
      <c r="H965" s="25"/>
      <c r="I965" s="23"/>
      <c r="J965" s="23"/>
      <c r="K965" s="23"/>
      <c r="L965" s="24"/>
    </row>
    <row r="966" spans="1:12" ht="30.6" customHeight="1">
      <c r="A966" s="388"/>
      <c r="B966" s="13"/>
      <c r="C966" s="388"/>
      <c r="D966" s="388"/>
      <c r="E966" s="388"/>
      <c r="F966" s="388"/>
      <c r="G966" s="388"/>
      <c r="H966" s="388"/>
      <c r="I966" s="388"/>
      <c r="J966" s="388" t="s">
        <v>110</v>
      </c>
      <c r="K966" s="388"/>
      <c r="L966" s="14"/>
    </row>
    <row r="967" spans="1:12" ht="30.6" customHeight="1">
      <c r="A967" s="388"/>
      <c r="B967" s="1176" t="s">
        <v>111</v>
      </c>
      <c r="C967" s="1177"/>
      <c r="D967" s="1177"/>
      <c r="E967" s="1177"/>
      <c r="F967" s="1177"/>
      <c r="G967" s="388"/>
      <c r="H967" s="1177" t="s">
        <v>4</v>
      </c>
      <c r="I967" s="1177"/>
      <c r="J967" s="1177"/>
      <c r="K967" s="1177"/>
      <c r="L967" s="1178"/>
    </row>
    <row r="968" spans="1:12" ht="30.6" customHeight="1" thickBot="1">
      <c r="A968" s="388"/>
      <c r="B968" s="13"/>
      <c r="C968" s="388"/>
      <c r="D968" s="388"/>
      <c r="E968" s="388"/>
      <c r="F968" s="388"/>
      <c r="G968" s="388"/>
      <c r="H968" s="388"/>
      <c r="I968" s="388"/>
      <c r="J968" s="388"/>
      <c r="K968" s="388"/>
      <c r="L968" s="14"/>
    </row>
    <row r="969" spans="1:12" ht="30.6" customHeight="1">
      <c r="A969" s="388"/>
      <c r="B969" s="74"/>
      <c r="C969" s="75"/>
      <c r="D969" s="75"/>
      <c r="E969" s="75"/>
      <c r="F969" s="76"/>
      <c r="G969" s="388"/>
      <c r="H969" s="78"/>
      <c r="I969" s="79"/>
      <c r="J969" s="79"/>
      <c r="K969" s="79"/>
      <c r="L969" s="80"/>
    </row>
    <row r="970" spans="1:12" ht="30.6" customHeight="1">
      <c r="A970" s="388"/>
      <c r="B970" s="13"/>
      <c r="C970" s="388"/>
      <c r="D970" s="388"/>
      <c r="E970" s="388"/>
      <c r="F970" s="14"/>
      <c r="G970" s="388"/>
      <c r="H970" s="680" t="s">
        <v>497</v>
      </c>
      <c r="I970" s="2"/>
      <c r="J970" s="2"/>
      <c r="K970" s="2"/>
      <c r="L970" s="81"/>
    </row>
    <row r="971" spans="1:12" ht="30.6" customHeight="1">
      <c r="A971" s="388"/>
      <c r="B971" s="423" t="s">
        <v>373</v>
      </c>
      <c r="C971" s="388"/>
      <c r="D971" s="388"/>
      <c r="E971" s="388"/>
      <c r="F971" s="14"/>
      <c r="G971" s="388"/>
      <c r="H971" s="425" t="s">
        <v>490</v>
      </c>
      <c r="I971" s="2"/>
      <c r="J971" s="2"/>
      <c r="K971" s="2"/>
      <c r="L971" s="81"/>
    </row>
    <row r="972" spans="1:12" ht="30.6" customHeight="1">
      <c r="A972" s="388"/>
      <c r="B972" s="13"/>
      <c r="C972" s="388"/>
      <c r="D972" s="388"/>
      <c r="E972" s="388"/>
      <c r="F972" s="14"/>
      <c r="G972" s="388"/>
      <c r="H972" s="77"/>
      <c r="I972" s="2"/>
      <c r="J972" s="2"/>
      <c r="K972" s="2"/>
      <c r="L972" s="81"/>
    </row>
    <row r="973" spans="1:12" ht="30.6" customHeight="1" thickBot="1">
      <c r="A973" s="388"/>
      <c r="B973" s="25"/>
      <c r="C973" s="23"/>
      <c r="D973" s="23"/>
      <c r="E973" s="23"/>
      <c r="F973" s="24"/>
      <c r="G973" s="388"/>
      <c r="H973" s="77"/>
      <c r="I973" s="2"/>
      <c r="J973" s="2"/>
      <c r="K973" s="2"/>
      <c r="L973" s="81"/>
    </row>
    <row r="974" spans="1:12" ht="30.6" customHeight="1">
      <c r="A974" s="388"/>
      <c r="B974" s="1143" t="s">
        <v>112</v>
      </c>
      <c r="C974" s="1144"/>
      <c r="D974" s="1144"/>
      <c r="E974" s="1144"/>
      <c r="F974" s="1144"/>
      <c r="G974" s="1145"/>
      <c r="H974" s="1146" t="str">
        <f>'04-221Master'!B33</f>
        <v xml:space="preserve">Shantanu Patankar </v>
      </c>
      <c r="I974" s="1147"/>
      <c r="J974" s="1147"/>
      <c r="K974" s="1147"/>
      <c r="L974" s="1147"/>
    </row>
    <row r="975" spans="1:12" ht="30.6" customHeight="1">
      <c r="A975" s="388"/>
      <c r="B975" s="1148"/>
      <c r="C975" s="1149"/>
      <c r="D975" s="1149"/>
      <c r="E975" s="1149"/>
      <c r="F975" s="1149"/>
      <c r="G975" s="1149"/>
      <c r="H975" s="1150" t="str">
        <f>'04-221Master'!G33</f>
        <v>Patankar house,kuntharwada,at post patan,taluq patan,dist satare,maharastra 415206</v>
      </c>
      <c r="I975" s="1150"/>
      <c r="J975" s="1150"/>
      <c r="K975" s="1150"/>
      <c r="L975" s="1150"/>
    </row>
    <row r="976" spans="1:12" ht="30.6" customHeight="1">
      <c r="A976" s="388"/>
      <c r="B976" s="1152" t="s">
        <v>113</v>
      </c>
      <c r="C976" s="1153"/>
      <c r="D976" s="1153"/>
      <c r="E976" s="1153"/>
      <c r="F976" s="1153"/>
      <c r="G976" s="1153"/>
      <c r="H976" s="1154">
        <v>37</v>
      </c>
      <c r="I976" s="1155"/>
      <c r="J976" s="1155"/>
      <c r="K976" s="1155"/>
      <c r="L976" s="1156"/>
    </row>
    <row r="977" spans="1:12" ht="30.6" customHeight="1">
      <c r="A977" s="388"/>
      <c r="B977" s="1143" t="s">
        <v>114</v>
      </c>
      <c r="C977" s="1144"/>
      <c r="D977" s="1144"/>
      <c r="E977" s="1144"/>
      <c r="F977" s="1144"/>
      <c r="G977" s="1144"/>
      <c r="H977" s="1146" t="str">
        <f>'04-221Master'!F33</f>
        <v>Network security consultant</v>
      </c>
      <c r="I977" s="1147"/>
      <c r="J977" s="1147"/>
      <c r="K977" s="1147"/>
      <c r="L977" s="1151"/>
    </row>
    <row r="978" spans="1:12" ht="30.6" customHeight="1">
      <c r="A978" s="388"/>
      <c r="B978" s="1143" t="s">
        <v>115</v>
      </c>
      <c r="C978" s="1144"/>
      <c r="D978" s="1144"/>
      <c r="E978" s="1144"/>
      <c r="F978" s="1144"/>
      <c r="G978" s="1144"/>
      <c r="H978" s="1157">
        <f>'04-221Master'!N33</f>
        <v>44629</v>
      </c>
      <c r="I978" s="1158"/>
      <c r="J978" s="1158"/>
      <c r="K978" s="1158"/>
      <c r="L978" s="1159"/>
    </row>
    <row r="979" spans="1:12" ht="30.6" customHeight="1">
      <c r="A979" s="388"/>
      <c r="B979" s="399" t="s">
        <v>116</v>
      </c>
      <c r="C979" s="87"/>
      <c r="D979" s="87"/>
      <c r="E979" s="87"/>
      <c r="F979" s="87"/>
      <c r="G979" s="87"/>
      <c r="H979" s="793"/>
      <c r="I979" s="89"/>
      <c r="J979" s="389">
        <f>'04-221Master'!T370</f>
        <v>0</v>
      </c>
      <c r="K979" s="789"/>
      <c r="L979" s="792"/>
    </row>
    <row r="980" spans="1:12" ht="30.6" customHeight="1">
      <c r="A980" s="388"/>
      <c r="B980" s="399" t="s">
        <v>117</v>
      </c>
      <c r="C980" s="87"/>
      <c r="D980" s="87"/>
      <c r="E980" s="87"/>
      <c r="F980" s="87"/>
      <c r="G980" s="429"/>
      <c r="H980" s="92"/>
      <c r="I980" s="93"/>
      <c r="J980" s="389" t="str">
        <f>'04-221Master'!S33</f>
        <v>100894664218</v>
      </c>
      <c r="K980" s="93"/>
      <c r="L980" s="94"/>
    </row>
    <row r="981" spans="1:12" ht="30.6" customHeight="1">
      <c r="A981" s="388"/>
      <c r="B981" s="1160" t="s">
        <v>118</v>
      </c>
      <c r="C981" s="1161"/>
      <c r="D981" s="1161"/>
      <c r="E981" s="1161"/>
      <c r="F981" s="1161"/>
      <c r="G981" s="1161"/>
      <c r="H981" s="1154">
        <f>'04-221Master'!Y33</f>
        <v>112719</v>
      </c>
      <c r="I981" s="1155"/>
      <c r="J981" s="1155"/>
      <c r="K981" s="1155"/>
      <c r="L981" s="1156"/>
    </row>
    <row r="982" spans="1:12" ht="30.6" customHeight="1">
      <c r="A982" s="388"/>
      <c r="B982" s="1143" t="s">
        <v>119</v>
      </c>
      <c r="C982" s="1144"/>
      <c r="D982" s="1144"/>
      <c r="E982" s="1144"/>
      <c r="F982" s="1144"/>
      <c r="G982" s="1144"/>
      <c r="H982" s="1162">
        <f>'04-221Master'!D10</f>
        <v>44652</v>
      </c>
      <c r="I982" s="1147"/>
      <c r="J982" s="1147"/>
      <c r="K982" s="1147"/>
      <c r="L982" s="1151"/>
    </row>
    <row r="983" spans="1:12" ht="30.6" customHeight="1">
      <c r="A983" s="388"/>
      <c r="B983" s="1143" t="s">
        <v>120</v>
      </c>
      <c r="C983" s="1144"/>
      <c r="D983" s="1144"/>
      <c r="E983" s="1144"/>
      <c r="F983" s="1144"/>
      <c r="G983" s="1144"/>
      <c r="H983" s="1147" t="s">
        <v>121</v>
      </c>
      <c r="I983" s="1147"/>
      <c r="J983" s="1147"/>
      <c r="K983" s="1147"/>
      <c r="L983" s="1151"/>
    </row>
    <row r="984" spans="1:12" ht="30.6" customHeight="1">
      <c r="A984" s="388"/>
      <c r="B984" s="399" t="s">
        <v>122</v>
      </c>
      <c r="C984" s="87"/>
      <c r="D984" s="87"/>
      <c r="E984" s="87"/>
      <c r="F984" s="87"/>
      <c r="G984" s="429"/>
      <c r="H984" s="793"/>
      <c r="I984" s="789"/>
      <c r="J984" s="96">
        <f>'04-221Master'!W33</f>
        <v>30</v>
      </c>
      <c r="K984" s="789"/>
      <c r="L984" s="792"/>
    </row>
    <row r="985" spans="1:12" ht="30.6" customHeight="1">
      <c r="A985" s="388"/>
      <c r="B985" s="399" t="s">
        <v>123</v>
      </c>
      <c r="C985" s="87"/>
      <c r="D985" s="87"/>
      <c r="E985" s="87"/>
      <c r="F985" s="87"/>
      <c r="G985" s="429"/>
      <c r="H985" s="793"/>
      <c r="I985" s="789"/>
      <c r="J985" s="789" t="s">
        <v>37</v>
      </c>
      <c r="K985" s="789"/>
      <c r="L985" s="792"/>
    </row>
    <row r="986" spans="1:12" ht="30.6" customHeight="1">
      <c r="A986" s="388"/>
      <c r="B986" s="399" t="s">
        <v>124</v>
      </c>
      <c r="C986" s="87"/>
      <c r="D986" s="87"/>
      <c r="E986" s="87"/>
      <c r="F986" s="87"/>
      <c r="G986" s="429"/>
      <c r="H986" s="793"/>
      <c r="I986" s="789"/>
      <c r="J986" s="96">
        <v>0</v>
      </c>
      <c r="K986" s="789"/>
      <c r="L986" s="792"/>
    </row>
    <row r="987" spans="1:12" ht="30.6" customHeight="1">
      <c r="A987" s="388"/>
      <c r="B987" s="399" t="s">
        <v>125</v>
      </c>
      <c r="C987" s="87"/>
      <c r="D987" s="87"/>
      <c r="E987" s="87"/>
      <c r="F987" s="87"/>
      <c r="G987" s="429"/>
      <c r="H987" s="793"/>
      <c r="I987" s="789"/>
      <c r="J987" s="789">
        <v>0</v>
      </c>
      <c r="K987" s="789"/>
      <c r="L987" s="792"/>
    </row>
    <row r="988" spans="1:12" ht="30.6" customHeight="1">
      <c r="A988" s="388"/>
      <c r="B988" s="399" t="s">
        <v>126</v>
      </c>
      <c r="C988" s="87"/>
      <c r="D988" s="87"/>
      <c r="E988" s="87"/>
      <c r="F988" s="87"/>
      <c r="G988" s="429"/>
      <c r="H988" s="793"/>
      <c r="I988" s="789"/>
      <c r="J988" s="604">
        <f>'04-221Master'!AM33</f>
        <v>123275.62934</v>
      </c>
      <c r="K988" s="789"/>
      <c r="L988" s="792" t="s">
        <v>585</v>
      </c>
    </row>
    <row r="989" spans="1:12" ht="30.6" customHeight="1">
      <c r="A989" s="388"/>
      <c r="B989" s="399" t="s">
        <v>127</v>
      </c>
      <c r="C989" s="87"/>
      <c r="D989" s="788" t="s">
        <v>32</v>
      </c>
      <c r="E989" s="790">
        <f>'04-221Master'!AO33</f>
        <v>1800</v>
      </c>
      <c r="F989" s="788" t="s">
        <v>31</v>
      </c>
      <c r="G989" s="790">
        <f>'04-221Master'!AN370</f>
        <v>0</v>
      </c>
      <c r="H989" s="788" t="s">
        <v>33</v>
      </c>
      <c r="I989" s="790">
        <f>'04-221Master'!AP33</f>
        <v>200</v>
      </c>
      <c r="J989" s="788" t="s">
        <v>34</v>
      </c>
      <c r="K989" s="790">
        <f>'04-221Master'!AQ33</f>
        <v>0</v>
      </c>
      <c r="L989" s="103">
        <f>'04-221Master'!AR33</f>
        <v>283</v>
      </c>
    </row>
    <row r="990" spans="1:12" ht="30.6" customHeight="1">
      <c r="A990" s="388"/>
      <c r="B990" s="399" t="s">
        <v>128</v>
      </c>
      <c r="C990" s="87"/>
      <c r="D990" s="87"/>
      <c r="E990" s="87"/>
      <c r="F990" s="87"/>
      <c r="G990" s="429"/>
      <c r="H990" s="793"/>
      <c r="I990" s="789"/>
      <c r="J990" s="96">
        <f>J988-E989-I989-K989-L989</f>
        <v>120992.62934</v>
      </c>
      <c r="K990" s="789"/>
      <c r="L990" s="792"/>
    </row>
    <row r="991" spans="1:12" ht="30.6" customHeight="1">
      <c r="A991" s="388"/>
      <c r="B991" s="400" t="s">
        <v>129</v>
      </c>
      <c r="C991" s="401"/>
      <c r="D991" s="401"/>
      <c r="E991" s="401"/>
      <c r="F991" s="401"/>
      <c r="G991" s="402"/>
      <c r="H991" s="403"/>
      <c r="I991" s="404"/>
      <c r="J991" s="404"/>
      <c r="K991" s="404"/>
      <c r="L991" s="98"/>
    </row>
    <row r="992" spans="1:12" ht="30.6" customHeight="1">
      <c r="A992" s="388"/>
      <c r="B992" s="426" t="s">
        <v>130</v>
      </c>
      <c r="C992" s="2"/>
      <c r="D992" s="2"/>
      <c r="E992" s="2"/>
      <c r="F992" s="2"/>
      <c r="G992" s="427"/>
      <c r="H992" s="71"/>
      <c r="I992" s="388"/>
      <c r="J992" s="388"/>
      <c r="K992" s="388"/>
      <c r="L992" s="14"/>
    </row>
    <row r="993" spans="1:12" ht="30.6" customHeight="1">
      <c r="A993" s="388"/>
      <c r="B993" s="13"/>
      <c r="C993" s="388"/>
      <c r="D993" s="388"/>
      <c r="E993" s="388"/>
      <c r="F993" s="388"/>
      <c r="G993" s="388"/>
      <c r="H993" s="388"/>
      <c r="I993" s="388"/>
      <c r="J993" s="388"/>
      <c r="K993" s="388"/>
      <c r="L993" s="14"/>
    </row>
    <row r="994" spans="1:12" ht="30.6" customHeight="1" thickBot="1">
      <c r="A994" s="388"/>
      <c r="B994" s="25"/>
      <c r="C994" s="23"/>
      <c r="D994" s="23"/>
      <c r="E994" s="23"/>
      <c r="F994" s="23"/>
      <c r="G994" s="23"/>
      <c r="H994" s="23"/>
      <c r="I994" s="23"/>
      <c r="J994" s="23"/>
      <c r="K994" s="23"/>
      <c r="L994" s="24"/>
    </row>
    <row r="995" spans="1:12">
      <c r="A995" s="388"/>
      <c r="B995" s="388"/>
      <c r="C995" s="388"/>
      <c r="D995" s="388"/>
      <c r="E995" s="388"/>
      <c r="F995" s="388"/>
      <c r="G995" s="388"/>
      <c r="H995" s="388"/>
      <c r="I995" s="388"/>
      <c r="J995" s="388"/>
      <c r="K995" s="388"/>
      <c r="L995" s="388"/>
    </row>
    <row r="996" spans="1:12">
      <c r="A996" s="388"/>
      <c r="B996" s="388"/>
      <c r="C996" s="388"/>
      <c r="D996" s="388"/>
      <c r="E996" s="388"/>
      <c r="F996" s="388"/>
      <c r="G996" s="388"/>
      <c r="H996" s="388"/>
      <c r="I996" s="388"/>
      <c r="J996" s="388"/>
      <c r="K996" s="388"/>
      <c r="L996" s="388"/>
    </row>
    <row r="997" spans="1:12">
      <c r="A997" s="388"/>
      <c r="B997" s="388"/>
      <c r="C997" s="388"/>
      <c r="D997" s="388"/>
      <c r="E997" s="388"/>
      <c r="F997" s="388"/>
      <c r="G997" s="388"/>
      <c r="H997" s="388"/>
      <c r="I997" s="388"/>
      <c r="J997" s="388"/>
      <c r="K997" s="388"/>
      <c r="L997" s="388"/>
    </row>
    <row r="998" spans="1:12">
      <c r="A998" s="388"/>
      <c r="B998" s="388"/>
      <c r="C998" s="388"/>
      <c r="D998" s="388"/>
      <c r="E998" s="388"/>
      <c r="F998" s="388"/>
      <c r="G998" s="388"/>
      <c r="H998" s="388"/>
      <c r="I998" s="388"/>
      <c r="J998" s="388"/>
      <c r="K998" s="388"/>
      <c r="L998" s="388"/>
    </row>
    <row r="999" spans="1:12">
      <c r="A999" s="388"/>
      <c r="B999" s="388"/>
      <c r="C999" s="388"/>
      <c r="D999" s="388"/>
      <c r="E999" s="388"/>
      <c r="F999" s="388"/>
      <c r="G999" s="388"/>
      <c r="H999" s="388"/>
      <c r="I999" s="388"/>
      <c r="J999" s="388"/>
      <c r="K999" s="388"/>
      <c r="L999" s="388"/>
    </row>
    <row r="1000" spans="1:12">
      <c r="A1000" s="388"/>
      <c r="B1000" s="388"/>
      <c r="C1000" s="388"/>
      <c r="D1000" s="388"/>
      <c r="E1000" s="388"/>
      <c r="F1000" s="388"/>
      <c r="G1000" s="388"/>
      <c r="H1000" s="388"/>
      <c r="I1000" s="388"/>
      <c r="J1000" s="388"/>
      <c r="K1000" s="388"/>
      <c r="L1000" s="388"/>
    </row>
    <row r="1001" spans="1:12">
      <c r="A1001" s="388"/>
      <c r="B1001" s="388"/>
      <c r="C1001" s="388"/>
      <c r="D1001" s="388"/>
      <c r="E1001" s="388"/>
      <c r="F1001" s="388"/>
      <c r="G1001" s="388"/>
      <c r="H1001" s="388"/>
      <c r="I1001" s="388"/>
      <c r="J1001" s="388"/>
      <c r="K1001" s="388"/>
      <c r="L1001" s="388"/>
    </row>
    <row r="1002" spans="1:12">
      <c r="A1002" s="388"/>
      <c r="B1002" s="388"/>
      <c r="C1002" s="388"/>
      <c r="D1002" s="388"/>
      <c r="E1002" s="388"/>
      <c r="F1002" s="388"/>
      <c r="G1002" s="388"/>
      <c r="H1002" s="388"/>
      <c r="I1002" s="388"/>
      <c r="J1002" s="388"/>
      <c r="K1002" s="388"/>
      <c r="L1002" s="388"/>
    </row>
    <row r="1003" spans="1:12">
      <c r="A1003" s="388"/>
      <c r="B1003" s="388"/>
      <c r="C1003" s="388"/>
      <c r="D1003" s="388"/>
      <c r="E1003" s="388"/>
      <c r="F1003" s="388"/>
      <c r="G1003" s="388"/>
      <c r="H1003" s="388"/>
      <c r="I1003" s="388"/>
      <c r="J1003" s="388"/>
      <c r="K1003" s="388"/>
      <c r="L1003" s="388"/>
    </row>
    <row r="1004" spans="1:12">
      <c r="A1004" s="388"/>
      <c r="B1004" s="388"/>
      <c r="C1004" s="388"/>
      <c r="D1004" s="388"/>
      <c r="E1004" s="388"/>
      <c r="F1004" s="388"/>
      <c r="G1004" s="388"/>
      <c r="H1004" s="388"/>
      <c r="I1004" s="388"/>
      <c r="J1004" s="388"/>
      <c r="K1004" s="388"/>
      <c r="L1004" s="388"/>
    </row>
    <row r="1005" spans="1:12" ht="15.75" thickBot="1">
      <c r="A1005" s="388"/>
      <c r="B1005" s="388"/>
      <c r="C1005" s="388"/>
      <c r="D1005" s="388"/>
      <c r="E1005" s="388"/>
      <c r="F1005" s="388"/>
      <c r="G1005" s="388"/>
      <c r="H1005" s="388"/>
      <c r="I1005" s="388"/>
      <c r="J1005" s="388"/>
      <c r="K1005" s="388"/>
      <c r="L1005" s="388"/>
    </row>
    <row r="1006" spans="1:12" ht="32.25">
      <c r="A1006" s="388"/>
      <c r="B1006" s="1163" t="s">
        <v>590</v>
      </c>
      <c r="C1006" s="1164"/>
      <c r="D1006" s="1164"/>
      <c r="E1006" s="1164"/>
      <c r="F1006" s="1164"/>
      <c r="G1006" s="1164"/>
      <c r="H1006" s="1164"/>
      <c r="I1006" s="1164"/>
      <c r="J1006" s="1164"/>
      <c r="K1006" s="1164"/>
      <c r="L1006" s="1165"/>
    </row>
    <row r="1007" spans="1:12" ht="23.25">
      <c r="A1007" s="388"/>
      <c r="B1007" s="1166" t="s">
        <v>107</v>
      </c>
      <c r="C1007" s="1167"/>
      <c r="D1007" s="1167"/>
      <c r="E1007" s="1167"/>
      <c r="F1007" s="1167"/>
      <c r="G1007" s="1167"/>
      <c r="H1007" s="1167"/>
      <c r="I1007" s="1167"/>
      <c r="J1007" s="1167"/>
      <c r="K1007" s="1167"/>
      <c r="L1007" s="1168"/>
    </row>
    <row r="1008" spans="1:12" ht="16.5" thickBot="1">
      <c r="A1008" s="388"/>
      <c r="B1008" s="1169" t="s">
        <v>591</v>
      </c>
      <c r="C1008" s="1170"/>
      <c r="D1008" s="1170"/>
      <c r="E1008" s="1170"/>
      <c r="F1008" s="1170"/>
      <c r="G1008" s="1170"/>
      <c r="H1008" s="1170"/>
      <c r="I1008" s="1170"/>
      <c r="J1008" s="1170"/>
      <c r="K1008" s="1170"/>
      <c r="L1008" s="1171"/>
    </row>
    <row r="1009" spans="1:12" ht="28.15" customHeight="1">
      <c r="A1009" s="388"/>
      <c r="B1009" s="1172" t="s">
        <v>108</v>
      </c>
      <c r="C1009" s="1173"/>
      <c r="D1009" s="1173"/>
      <c r="E1009" s="1173"/>
      <c r="F1009" s="1173"/>
      <c r="G1009" s="388"/>
      <c r="H1009" s="1174" t="s">
        <v>109</v>
      </c>
      <c r="I1009" s="1174"/>
      <c r="J1009" s="1174"/>
      <c r="K1009" s="1174"/>
      <c r="L1009" s="1175"/>
    </row>
    <row r="1010" spans="1:12" ht="28.15" customHeight="1" thickBot="1">
      <c r="A1010" s="388"/>
      <c r="B1010" s="1172"/>
      <c r="C1010" s="1173"/>
      <c r="D1010" s="1173"/>
      <c r="E1010" s="1173"/>
      <c r="F1010" s="1173"/>
      <c r="G1010" s="388"/>
      <c r="H1010" s="1174"/>
      <c r="I1010" s="1174"/>
      <c r="J1010" s="1174"/>
      <c r="K1010" s="1174"/>
      <c r="L1010" s="1175"/>
    </row>
    <row r="1011" spans="1:12" ht="28.15" customHeight="1">
      <c r="A1011" s="388"/>
      <c r="B1011" s="74"/>
      <c r="C1011" s="75"/>
      <c r="D1011" s="75"/>
      <c r="E1011" s="75"/>
      <c r="F1011" s="76"/>
      <c r="G1011" s="388"/>
      <c r="H1011" s="74"/>
      <c r="I1011" s="75"/>
      <c r="J1011" s="75"/>
      <c r="K1011" s="75"/>
      <c r="L1011" s="76"/>
    </row>
    <row r="1012" spans="1:12" ht="28.15" customHeight="1">
      <c r="A1012" s="388"/>
      <c r="B1012" s="419" t="s">
        <v>382</v>
      </c>
      <c r="C1012" s="388"/>
      <c r="D1012" s="388"/>
      <c r="E1012" s="388"/>
      <c r="F1012" s="14"/>
      <c r="G1012" s="388"/>
      <c r="H1012" s="419" t="s">
        <v>382</v>
      </c>
      <c r="I1012" s="388"/>
      <c r="J1012" s="388"/>
      <c r="K1012" s="388"/>
      <c r="L1012" s="14"/>
    </row>
    <row r="1013" spans="1:12" ht="28.15" customHeight="1">
      <c r="A1013" s="388"/>
      <c r="B1013" s="421" t="s">
        <v>383</v>
      </c>
      <c r="C1013" s="388"/>
      <c r="D1013" s="388"/>
      <c r="E1013" s="388"/>
      <c r="F1013" s="14"/>
      <c r="G1013" s="388"/>
      <c r="H1013" s="421" t="s">
        <v>383</v>
      </c>
      <c r="I1013" s="388"/>
      <c r="J1013" s="388"/>
      <c r="K1013" s="388"/>
      <c r="L1013" s="14"/>
    </row>
    <row r="1014" spans="1:12" ht="28.15" customHeight="1">
      <c r="A1014" s="388"/>
      <c r="B1014" s="77"/>
      <c r="C1014" s="388"/>
      <c r="D1014" s="388"/>
      <c r="E1014" s="388"/>
      <c r="F1014" s="14"/>
      <c r="G1014" s="388"/>
      <c r="H1014" s="77"/>
      <c r="I1014" s="388"/>
      <c r="J1014" s="388"/>
      <c r="K1014" s="388"/>
      <c r="L1014" s="14"/>
    </row>
    <row r="1015" spans="1:12" ht="28.15" customHeight="1" thickBot="1">
      <c r="A1015" s="388"/>
      <c r="B1015" s="25"/>
      <c r="C1015" s="23"/>
      <c r="D1015" s="23"/>
      <c r="E1015" s="23"/>
      <c r="F1015" s="24"/>
      <c r="G1015" s="388"/>
      <c r="H1015" s="25"/>
      <c r="I1015" s="23"/>
      <c r="J1015" s="23"/>
      <c r="K1015" s="23"/>
      <c r="L1015" s="24"/>
    </row>
    <row r="1016" spans="1:12" ht="28.15" customHeight="1">
      <c r="A1016" s="388"/>
      <c r="B1016" s="13"/>
      <c r="C1016" s="388"/>
      <c r="D1016" s="388"/>
      <c r="E1016" s="388"/>
      <c r="F1016" s="388"/>
      <c r="G1016" s="388"/>
      <c r="H1016" s="388"/>
      <c r="I1016" s="388"/>
      <c r="J1016" s="388" t="s">
        <v>110</v>
      </c>
      <c r="K1016" s="388"/>
      <c r="L1016" s="14"/>
    </row>
    <row r="1017" spans="1:12" ht="28.15" customHeight="1">
      <c r="A1017" s="388"/>
      <c r="B1017" s="1176" t="s">
        <v>111</v>
      </c>
      <c r="C1017" s="1177"/>
      <c r="D1017" s="1177"/>
      <c r="E1017" s="1177"/>
      <c r="F1017" s="1177"/>
      <c r="G1017" s="388"/>
      <c r="H1017" s="1177" t="s">
        <v>4</v>
      </c>
      <c r="I1017" s="1177"/>
      <c r="J1017" s="1177"/>
      <c r="K1017" s="1177"/>
      <c r="L1017" s="1178"/>
    </row>
    <row r="1018" spans="1:12" ht="28.15" customHeight="1" thickBot="1">
      <c r="A1018" s="388"/>
      <c r="B1018" s="13"/>
      <c r="C1018" s="388"/>
      <c r="D1018" s="388"/>
      <c r="E1018" s="388"/>
      <c r="F1018" s="388"/>
      <c r="G1018" s="388"/>
      <c r="H1018" s="388"/>
      <c r="I1018" s="388"/>
      <c r="J1018" s="388"/>
      <c r="K1018" s="388"/>
      <c r="L1018" s="14"/>
    </row>
    <row r="1019" spans="1:12" ht="28.15" customHeight="1">
      <c r="A1019" s="388"/>
      <c r="B1019" s="74"/>
      <c r="C1019" s="75"/>
      <c r="D1019" s="75"/>
      <c r="E1019" s="75"/>
      <c r="F1019" s="76"/>
      <c r="G1019" s="388"/>
      <c r="H1019" s="78"/>
      <c r="I1019" s="79"/>
      <c r="J1019" s="79"/>
      <c r="K1019" s="79"/>
      <c r="L1019" s="80"/>
    </row>
    <row r="1020" spans="1:12" ht="28.15" customHeight="1">
      <c r="A1020" s="388"/>
      <c r="B1020" s="13"/>
      <c r="C1020" s="388"/>
      <c r="D1020" s="388"/>
      <c r="E1020" s="388"/>
      <c r="F1020" s="14"/>
      <c r="G1020" s="388"/>
      <c r="H1020" s="680" t="s">
        <v>497</v>
      </c>
      <c r="I1020" s="2"/>
      <c r="J1020" s="2"/>
      <c r="K1020" s="2"/>
      <c r="L1020" s="81"/>
    </row>
    <row r="1021" spans="1:12" ht="28.15" customHeight="1">
      <c r="A1021" s="388"/>
      <c r="B1021" s="423" t="s">
        <v>373</v>
      </c>
      <c r="C1021" s="388"/>
      <c r="D1021" s="388"/>
      <c r="E1021" s="388"/>
      <c r="F1021" s="14"/>
      <c r="G1021" s="388"/>
      <c r="H1021" s="425" t="s">
        <v>490</v>
      </c>
      <c r="I1021" s="2"/>
      <c r="J1021" s="2"/>
      <c r="K1021" s="2"/>
      <c r="L1021" s="81"/>
    </row>
    <row r="1022" spans="1:12" ht="28.15" customHeight="1">
      <c r="A1022" s="388"/>
      <c r="B1022" s="13"/>
      <c r="C1022" s="388"/>
      <c r="D1022" s="388"/>
      <c r="E1022" s="388"/>
      <c r="F1022" s="14"/>
      <c r="G1022" s="388"/>
      <c r="H1022" s="77"/>
      <c r="I1022" s="2"/>
      <c r="J1022" s="2"/>
      <c r="K1022" s="2"/>
      <c r="L1022" s="81"/>
    </row>
    <row r="1023" spans="1:12" ht="28.15" customHeight="1" thickBot="1">
      <c r="A1023" s="388"/>
      <c r="B1023" s="25"/>
      <c r="C1023" s="23"/>
      <c r="D1023" s="23"/>
      <c r="E1023" s="23"/>
      <c r="F1023" s="24"/>
      <c r="G1023" s="388"/>
      <c r="H1023" s="77"/>
      <c r="I1023" s="2"/>
      <c r="J1023" s="2"/>
      <c r="K1023" s="2"/>
      <c r="L1023" s="81"/>
    </row>
    <row r="1024" spans="1:12" ht="28.15" customHeight="1">
      <c r="A1024" s="388"/>
      <c r="B1024" s="1143" t="s">
        <v>112</v>
      </c>
      <c r="C1024" s="1144"/>
      <c r="D1024" s="1144"/>
      <c r="E1024" s="1144"/>
      <c r="F1024" s="1144"/>
      <c r="G1024" s="1145"/>
      <c r="H1024" s="1146" t="str">
        <f>'04-221Master'!B34</f>
        <v>Varalakshmi Vijay</v>
      </c>
      <c r="I1024" s="1147"/>
      <c r="J1024" s="1147"/>
      <c r="K1024" s="1147"/>
      <c r="L1024" s="1147"/>
    </row>
    <row r="1025" spans="1:12" ht="28.15" customHeight="1">
      <c r="A1025" s="388"/>
      <c r="B1025" s="1148"/>
      <c r="C1025" s="1149"/>
      <c r="D1025" s="1149"/>
      <c r="E1025" s="1149"/>
      <c r="F1025" s="1149"/>
      <c r="G1025" s="1149"/>
      <c r="H1025" s="1150" t="str">
        <f>'04-221Master'!G34</f>
        <v>902,Link view appts,sethia complex-2, opp MG road,Motilal nagar,Road no.3,Goregaon west,Mumbai,Maharastra 400104</v>
      </c>
      <c r="I1025" s="1150"/>
      <c r="J1025" s="1150"/>
      <c r="K1025" s="1150"/>
      <c r="L1025" s="1150"/>
    </row>
    <row r="1026" spans="1:12" ht="28.15" customHeight="1">
      <c r="A1026" s="388"/>
      <c r="B1026" s="1152" t="s">
        <v>113</v>
      </c>
      <c r="C1026" s="1153"/>
      <c r="D1026" s="1153"/>
      <c r="E1026" s="1153"/>
      <c r="F1026" s="1153"/>
      <c r="G1026" s="1153"/>
      <c r="H1026" s="1154">
        <v>38</v>
      </c>
      <c r="I1026" s="1155"/>
      <c r="J1026" s="1155"/>
      <c r="K1026" s="1155"/>
      <c r="L1026" s="1156"/>
    </row>
    <row r="1027" spans="1:12" ht="28.15" customHeight="1">
      <c r="A1027" s="388"/>
      <c r="B1027" s="1143" t="s">
        <v>114</v>
      </c>
      <c r="C1027" s="1144"/>
      <c r="D1027" s="1144"/>
      <c r="E1027" s="1144"/>
      <c r="F1027" s="1144"/>
      <c r="G1027" s="1144"/>
      <c r="H1027" s="1146" t="str">
        <f>'04-221Master'!F34</f>
        <v>Network security consultant</v>
      </c>
      <c r="I1027" s="1147"/>
      <c r="J1027" s="1147"/>
      <c r="K1027" s="1147"/>
      <c r="L1027" s="1151"/>
    </row>
    <row r="1028" spans="1:12" ht="28.15" customHeight="1">
      <c r="A1028" s="388"/>
      <c r="B1028" s="1143" t="s">
        <v>115</v>
      </c>
      <c r="C1028" s="1144"/>
      <c r="D1028" s="1144"/>
      <c r="E1028" s="1144"/>
      <c r="F1028" s="1144"/>
      <c r="G1028" s="1144"/>
      <c r="H1028" s="1157">
        <f>'04-221Master'!N34</f>
        <v>44641</v>
      </c>
      <c r="I1028" s="1158"/>
      <c r="J1028" s="1158"/>
      <c r="K1028" s="1158"/>
      <c r="L1028" s="1159"/>
    </row>
    <row r="1029" spans="1:12" ht="28.15" customHeight="1">
      <c r="A1029" s="388"/>
      <c r="B1029" s="399" t="s">
        <v>116</v>
      </c>
      <c r="C1029" s="87"/>
      <c r="D1029" s="87"/>
      <c r="E1029" s="87"/>
      <c r="F1029" s="87"/>
      <c r="G1029" s="87"/>
      <c r="H1029" s="793"/>
      <c r="I1029" s="89"/>
      <c r="J1029" s="389">
        <f>'04-221Master'!T420</f>
        <v>0</v>
      </c>
      <c r="K1029" s="789"/>
      <c r="L1029" s="792"/>
    </row>
    <row r="1030" spans="1:12" ht="28.15" customHeight="1">
      <c r="A1030" s="388"/>
      <c r="B1030" s="399" t="s">
        <v>117</v>
      </c>
      <c r="C1030" s="87"/>
      <c r="D1030" s="87"/>
      <c r="E1030" s="87"/>
      <c r="F1030" s="87"/>
      <c r="G1030" s="429"/>
      <c r="H1030" s="92"/>
      <c r="I1030" s="93"/>
      <c r="J1030" s="389" t="str">
        <f>'04-221Master'!S34</f>
        <v>101804644758</v>
      </c>
      <c r="K1030" s="93"/>
      <c r="L1030" s="94"/>
    </row>
    <row r="1031" spans="1:12" ht="28.15" customHeight="1">
      <c r="A1031" s="388"/>
      <c r="B1031" s="1160" t="s">
        <v>118</v>
      </c>
      <c r="C1031" s="1161"/>
      <c r="D1031" s="1161"/>
      <c r="E1031" s="1161"/>
      <c r="F1031" s="1161"/>
      <c r="G1031" s="1161"/>
      <c r="H1031" s="1154">
        <f>'04-221Master'!Y34</f>
        <v>66374</v>
      </c>
      <c r="I1031" s="1155"/>
      <c r="J1031" s="1155"/>
      <c r="K1031" s="1155"/>
      <c r="L1031" s="1156"/>
    </row>
    <row r="1032" spans="1:12" ht="28.15" customHeight="1">
      <c r="A1032" s="388"/>
      <c r="B1032" s="1143" t="s">
        <v>119</v>
      </c>
      <c r="C1032" s="1144"/>
      <c r="D1032" s="1144"/>
      <c r="E1032" s="1144"/>
      <c r="F1032" s="1144"/>
      <c r="G1032" s="1144"/>
      <c r="H1032" s="1162">
        <f>'04-221Master'!D10</f>
        <v>44652</v>
      </c>
      <c r="I1032" s="1147"/>
      <c r="J1032" s="1147"/>
      <c r="K1032" s="1147"/>
      <c r="L1032" s="1151"/>
    </row>
    <row r="1033" spans="1:12" ht="28.15" customHeight="1">
      <c r="A1033" s="388"/>
      <c r="B1033" s="1143" t="s">
        <v>120</v>
      </c>
      <c r="C1033" s="1144"/>
      <c r="D1033" s="1144"/>
      <c r="E1033" s="1144"/>
      <c r="F1033" s="1144"/>
      <c r="G1033" s="1144"/>
      <c r="H1033" s="1147" t="s">
        <v>121</v>
      </c>
      <c r="I1033" s="1147"/>
      <c r="J1033" s="1147"/>
      <c r="K1033" s="1147"/>
      <c r="L1033" s="1151"/>
    </row>
    <row r="1034" spans="1:12" ht="28.15" customHeight="1">
      <c r="A1034" s="388"/>
      <c r="B1034" s="399" t="s">
        <v>122</v>
      </c>
      <c r="C1034" s="87"/>
      <c r="D1034" s="87"/>
      <c r="E1034" s="87"/>
      <c r="F1034" s="87"/>
      <c r="G1034" s="429"/>
      <c r="H1034" s="793"/>
      <c r="I1034" s="789"/>
      <c r="J1034" s="96">
        <f>'04-221Master'!W34</f>
        <v>30</v>
      </c>
      <c r="K1034" s="789"/>
      <c r="L1034" s="792"/>
    </row>
    <row r="1035" spans="1:12" ht="28.15" customHeight="1">
      <c r="A1035" s="388"/>
      <c r="B1035" s="399" t="s">
        <v>123</v>
      </c>
      <c r="C1035" s="87"/>
      <c r="D1035" s="87"/>
      <c r="E1035" s="87"/>
      <c r="F1035" s="87"/>
      <c r="G1035" s="429"/>
      <c r="H1035" s="793"/>
      <c r="I1035" s="789"/>
      <c r="J1035" s="789" t="s">
        <v>37</v>
      </c>
      <c r="K1035" s="789"/>
      <c r="L1035" s="792"/>
    </row>
    <row r="1036" spans="1:12" ht="28.15" customHeight="1">
      <c r="A1036" s="388"/>
      <c r="B1036" s="399" t="s">
        <v>124</v>
      </c>
      <c r="C1036" s="87"/>
      <c r="D1036" s="87"/>
      <c r="E1036" s="87"/>
      <c r="F1036" s="87"/>
      <c r="G1036" s="429"/>
      <c r="H1036" s="793"/>
      <c r="I1036" s="789"/>
      <c r="J1036" s="96">
        <v>0</v>
      </c>
      <c r="K1036" s="789"/>
      <c r="L1036" s="792"/>
    </row>
    <row r="1037" spans="1:12" ht="28.15" customHeight="1">
      <c r="A1037" s="388"/>
      <c r="B1037" s="399" t="s">
        <v>125</v>
      </c>
      <c r="C1037" s="87"/>
      <c r="D1037" s="87"/>
      <c r="E1037" s="87"/>
      <c r="F1037" s="87"/>
      <c r="G1037" s="429"/>
      <c r="H1037" s="793"/>
      <c r="I1037" s="789"/>
      <c r="J1037" s="789">
        <v>0</v>
      </c>
      <c r="K1037" s="789"/>
      <c r="L1037" s="792"/>
    </row>
    <row r="1038" spans="1:12" ht="28.15" customHeight="1">
      <c r="A1038" s="388"/>
      <c r="B1038" s="399" t="s">
        <v>126</v>
      </c>
      <c r="C1038" s="87"/>
      <c r="D1038" s="87"/>
      <c r="E1038" s="87"/>
      <c r="F1038" s="87"/>
      <c r="G1038" s="429"/>
      <c r="H1038" s="793"/>
      <c r="I1038" s="789"/>
      <c r="J1038" s="604">
        <f>'04-221Master'!AM34</f>
        <v>73275.862639999992</v>
      </c>
      <c r="K1038" s="789"/>
      <c r="L1038" s="792" t="s">
        <v>585</v>
      </c>
    </row>
    <row r="1039" spans="1:12" ht="28.15" customHeight="1">
      <c r="A1039" s="388"/>
      <c r="B1039" s="399" t="s">
        <v>127</v>
      </c>
      <c r="C1039" s="87"/>
      <c r="D1039" s="788" t="s">
        <v>32</v>
      </c>
      <c r="E1039" s="790">
        <f>'04-221Master'!AO34</f>
        <v>1800</v>
      </c>
      <c r="F1039" s="788" t="s">
        <v>31</v>
      </c>
      <c r="G1039" s="790">
        <f>'04-221Master'!AN420</f>
        <v>0</v>
      </c>
      <c r="H1039" s="788" t="s">
        <v>33</v>
      </c>
      <c r="I1039" s="790">
        <f>'04-221Master'!AP34</f>
        <v>200</v>
      </c>
      <c r="J1039" s="788" t="s">
        <v>34</v>
      </c>
      <c r="K1039" s="790">
        <f>'04-221Master'!AQ34</f>
        <v>0</v>
      </c>
      <c r="L1039" s="103">
        <f>'04-221Master'!AR34</f>
        <v>283</v>
      </c>
    </row>
    <row r="1040" spans="1:12" ht="28.15" customHeight="1">
      <c r="A1040" s="388"/>
      <c r="B1040" s="399" t="s">
        <v>128</v>
      </c>
      <c r="C1040" s="87"/>
      <c r="D1040" s="87"/>
      <c r="E1040" s="87"/>
      <c r="F1040" s="87"/>
      <c r="G1040" s="429"/>
      <c r="H1040" s="793"/>
      <c r="I1040" s="789"/>
      <c r="J1040" s="96">
        <f>J1038-E1039-I1039-K1039-L1039</f>
        <v>70992.862639999992</v>
      </c>
      <c r="K1040" s="789"/>
      <c r="L1040" s="792"/>
    </row>
    <row r="1041" spans="1:12" ht="28.15" customHeight="1">
      <c r="A1041" s="388"/>
      <c r="B1041" s="400" t="s">
        <v>129</v>
      </c>
      <c r="C1041" s="401"/>
      <c r="D1041" s="401"/>
      <c r="E1041" s="401"/>
      <c r="F1041" s="401"/>
      <c r="G1041" s="402"/>
      <c r="H1041" s="403"/>
      <c r="I1041" s="404"/>
      <c r="J1041" s="404"/>
      <c r="K1041" s="404"/>
      <c r="L1041" s="98"/>
    </row>
    <row r="1042" spans="1:12" ht="28.15" customHeight="1">
      <c r="A1042" s="388"/>
      <c r="B1042" s="426" t="s">
        <v>130</v>
      </c>
      <c r="C1042" s="2"/>
      <c r="D1042" s="2"/>
      <c r="E1042" s="2"/>
      <c r="F1042" s="2"/>
      <c r="G1042" s="427"/>
      <c r="H1042" s="71"/>
      <c r="I1042" s="388"/>
      <c r="J1042" s="388"/>
      <c r="K1042" s="388"/>
      <c r="L1042" s="14"/>
    </row>
    <row r="1043" spans="1:12" ht="28.15" customHeight="1">
      <c r="A1043" s="388"/>
      <c r="B1043" s="13"/>
      <c r="C1043" s="388"/>
      <c r="D1043" s="388"/>
      <c r="E1043" s="388"/>
      <c r="F1043" s="388"/>
      <c r="G1043" s="388"/>
      <c r="H1043" s="388"/>
      <c r="I1043" s="388"/>
      <c r="J1043" s="388"/>
      <c r="K1043" s="388"/>
      <c r="L1043" s="14"/>
    </row>
    <row r="1044" spans="1:12" ht="28.15" customHeight="1" thickBot="1">
      <c r="A1044" s="388"/>
      <c r="B1044" s="25"/>
      <c r="C1044" s="23"/>
      <c r="D1044" s="23"/>
      <c r="E1044" s="23"/>
      <c r="F1044" s="23"/>
      <c r="G1044" s="23"/>
      <c r="H1044" s="23"/>
      <c r="I1044" s="23"/>
      <c r="J1044" s="23"/>
      <c r="K1044" s="23"/>
      <c r="L1044" s="24"/>
    </row>
    <row r="1045" spans="1:12">
      <c r="A1045" s="388"/>
      <c r="B1045" s="388"/>
      <c r="C1045" s="388"/>
      <c r="D1045" s="388"/>
      <c r="E1045" s="388"/>
      <c r="F1045" s="388"/>
      <c r="G1045" s="388"/>
      <c r="H1045" s="388"/>
      <c r="I1045" s="388"/>
      <c r="J1045" s="388"/>
      <c r="K1045" s="388"/>
      <c r="L1045" s="388"/>
    </row>
    <row r="1046" spans="1:12">
      <c r="A1046" s="388"/>
      <c r="B1046" s="388"/>
      <c r="C1046" s="388"/>
      <c r="D1046" s="388"/>
      <c r="E1046" s="388"/>
      <c r="F1046" s="388"/>
      <c r="G1046" s="388"/>
      <c r="H1046" s="388"/>
      <c r="I1046" s="388"/>
      <c r="J1046" s="388"/>
      <c r="K1046" s="388"/>
      <c r="L1046" s="388"/>
    </row>
    <row r="1047" spans="1:12">
      <c r="A1047" s="388"/>
      <c r="B1047" s="388"/>
      <c r="C1047" s="388"/>
      <c r="D1047" s="388"/>
      <c r="E1047" s="388"/>
      <c r="F1047" s="388"/>
      <c r="G1047" s="388"/>
      <c r="H1047" s="388"/>
      <c r="I1047" s="388"/>
      <c r="J1047" s="388"/>
      <c r="K1047" s="388"/>
      <c r="L1047" s="388"/>
    </row>
    <row r="1048" spans="1:12">
      <c r="A1048" s="388"/>
      <c r="B1048" s="388"/>
      <c r="C1048" s="388"/>
      <c r="D1048" s="388"/>
      <c r="E1048" s="388"/>
      <c r="F1048" s="388"/>
      <c r="G1048" s="388"/>
      <c r="H1048" s="388"/>
      <c r="I1048" s="388"/>
      <c r="J1048" s="388"/>
      <c r="K1048" s="388"/>
      <c r="L1048" s="388"/>
    </row>
    <row r="1049" spans="1:12">
      <c r="A1049" s="388"/>
      <c r="B1049" s="388"/>
      <c r="C1049" s="388"/>
      <c r="D1049" s="388"/>
      <c r="E1049" s="388"/>
      <c r="F1049" s="388"/>
      <c r="G1049" s="388"/>
      <c r="H1049" s="388"/>
      <c r="I1049" s="388"/>
      <c r="J1049" s="388"/>
      <c r="K1049" s="388"/>
      <c r="L1049" s="388"/>
    </row>
    <row r="1050" spans="1:12">
      <c r="A1050" s="388"/>
      <c r="B1050" s="388"/>
      <c r="C1050" s="388"/>
      <c r="D1050" s="388"/>
      <c r="E1050" s="388"/>
      <c r="F1050" s="388"/>
      <c r="G1050" s="388"/>
      <c r="H1050" s="388"/>
      <c r="I1050" s="388"/>
      <c r="J1050" s="388"/>
      <c r="K1050" s="388"/>
      <c r="L1050" s="388"/>
    </row>
    <row r="1051" spans="1:12" s="852" customFormat="1"/>
    <row r="1052" spans="1:12" s="852" customFormat="1"/>
    <row r="1053" spans="1:12" s="852" customFormat="1"/>
    <row r="1054" spans="1:12" s="852" customFormat="1"/>
    <row r="1055" spans="1:12" s="852" customFormat="1"/>
    <row r="1056" spans="1:12" s="852" customFormat="1" ht="15.75" thickBot="1"/>
    <row r="1057" spans="1:12" ht="32.25">
      <c r="A1057" s="388"/>
      <c r="B1057" s="1163" t="s">
        <v>590</v>
      </c>
      <c r="C1057" s="1164"/>
      <c r="D1057" s="1164"/>
      <c r="E1057" s="1164"/>
      <c r="F1057" s="1164"/>
      <c r="G1057" s="1164"/>
      <c r="H1057" s="1164"/>
      <c r="I1057" s="1164"/>
      <c r="J1057" s="1164"/>
      <c r="K1057" s="1164"/>
      <c r="L1057" s="1165"/>
    </row>
    <row r="1058" spans="1:12" ht="23.25">
      <c r="A1058" s="388"/>
      <c r="B1058" s="1166" t="s">
        <v>107</v>
      </c>
      <c r="C1058" s="1167"/>
      <c r="D1058" s="1167"/>
      <c r="E1058" s="1167"/>
      <c r="F1058" s="1167"/>
      <c r="G1058" s="1167"/>
      <c r="H1058" s="1167"/>
      <c r="I1058" s="1167"/>
      <c r="J1058" s="1167"/>
      <c r="K1058" s="1167"/>
      <c r="L1058" s="1168"/>
    </row>
    <row r="1059" spans="1:12" ht="27.75" customHeight="1" thickBot="1">
      <c r="A1059" s="388"/>
      <c r="B1059" s="1169" t="s">
        <v>591</v>
      </c>
      <c r="C1059" s="1170"/>
      <c r="D1059" s="1170"/>
      <c r="E1059" s="1170"/>
      <c r="F1059" s="1170"/>
      <c r="G1059" s="1170"/>
      <c r="H1059" s="1170"/>
      <c r="I1059" s="1170"/>
      <c r="J1059" s="1170"/>
      <c r="K1059" s="1170"/>
      <c r="L1059" s="1171"/>
    </row>
    <row r="1060" spans="1:12" ht="27.75" customHeight="1">
      <c r="A1060" s="388"/>
      <c r="B1060" s="1172" t="s">
        <v>108</v>
      </c>
      <c r="C1060" s="1173"/>
      <c r="D1060" s="1173"/>
      <c r="E1060" s="1173"/>
      <c r="F1060" s="1173"/>
      <c r="G1060" s="388"/>
      <c r="H1060" s="1174" t="s">
        <v>109</v>
      </c>
      <c r="I1060" s="1174"/>
      <c r="J1060" s="1174"/>
      <c r="K1060" s="1174"/>
      <c r="L1060" s="1175"/>
    </row>
    <row r="1061" spans="1:12" ht="27.75" customHeight="1" thickBot="1">
      <c r="A1061" s="388"/>
      <c r="B1061" s="1172"/>
      <c r="C1061" s="1173"/>
      <c r="D1061" s="1173"/>
      <c r="E1061" s="1173"/>
      <c r="F1061" s="1173"/>
      <c r="G1061" s="388"/>
      <c r="H1061" s="1174"/>
      <c r="I1061" s="1174"/>
      <c r="J1061" s="1174"/>
      <c r="K1061" s="1174"/>
      <c r="L1061" s="1175"/>
    </row>
    <row r="1062" spans="1:12" ht="27.75" customHeight="1">
      <c r="A1062" s="388"/>
      <c r="B1062" s="74"/>
      <c r="C1062" s="75"/>
      <c r="D1062" s="75"/>
      <c r="E1062" s="75"/>
      <c r="F1062" s="76"/>
      <c r="G1062" s="388"/>
      <c r="H1062" s="74"/>
      <c r="I1062" s="75"/>
      <c r="J1062" s="75"/>
      <c r="K1062" s="75"/>
      <c r="L1062" s="76"/>
    </row>
    <row r="1063" spans="1:12" ht="27.75" customHeight="1">
      <c r="A1063" s="388"/>
      <c r="B1063" s="419" t="s">
        <v>382</v>
      </c>
      <c r="C1063" s="388"/>
      <c r="D1063" s="388"/>
      <c r="E1063" s="388"/>
      <c r="F1063" s="14"/>
      <c r="G1063" s="388"/>
      <c r="H1063" s="419" t="s">
        <v>382</v>
      </c>
      <c r="I1063" s="388"/>
      <c r="J1063" s="388"/>
      <c r="K1063" s="388"/>
      <c r="L1063" s="14"/>
    </row>
    <row r="1064" spans="1:12" ht="27.75" customHeight="1">
      <c r="A1064" s="388"/>
      <c r="B1064" s="421" t="s">
        <v>383</v>
      </c>
      <c r="C1064" s="388"/>
      <c r="D1064" s="388"/>
      <c r="E1064" s="388"/>
      <c r="F1064" s="14"/>
      <c r="G1064" s="388"/>
      <c r="H1064" s="421" t="s">
        <v>383</v>
      </c>
      <c r="I1064" s="388"/>
      <c r="J1064" s="388"/>
      <c r="K1064" s="388"/>
      <c r="L1064" s="14"/>
    </row>
    <row r="1065" spans="1:12" ht="27.75" customHeight="1">
      <c r="A1065" s="388"/>
      <c r="B1065" s="77"/>
      <c r="C1065" s="388"/>
      <c r="D1065" s="388"/>
      <c r="E1065" s="388"/>
      <c r="F1065" s="14"/>
      <c r="G1065" s="388"/>
      <c r="H1065" s="77"/>
      <c r="I1065" s="388"/>
      <c r="J1065" s="388"/>
      <c r="K1065" s="388"/>
      <c r="L1065" s="14"/>
    </row>
    <row r="1066" spans="1:12" ht="27.75" customHeight="1" thickBot="1">
      <c r="A1066" s="388"/>
      <c r="B1066" s="25"/>
      <c r="C1066" s="23"/>
      <c r="D1066" s="23"/>
      <c r="E1066" s="23"/>
      <c r="F1066" s="24"/>
      <c r="G1066" s="388"/>
      <c r="H1066" s="25"/>
      <c r="I1066" s="23"/>
      <c r="J1066" s="23"/>
      <c r="K1066" s="23"/>
      <c r="L1066" s="24"/>
    </row>
    <row r="1067" spans="1:12" ht="27.75" customHeight="1">
      <c r="A1067" s="388"/>
      <c r="B1067" s="13"/>
      <c r="C1067" s="388"/>
      <c r="D1067" s="388"/>
      <c r="E1067" s="388"/>
      <c r="F1067" s="388"/>
      <c r="G1067" s="388"/>
      <c r="H1067" s="388"/>
      <c r="I1067" s="388"/>
      <c r="J1067" s="388" t="s">
        <v>110</v>
      </c>
      <c r="K1067" s="388"/>
      <c r="L1067" s="14"/>
    </row>
    <row r="1068" spans="1:12" ht="27.75" customHeight="1">
      <c r="A1068" s="388"/>
      <c r="B1068" s="1176" t="s">
        <v>111</v>
      </c>
      <c r="C1068" s="1177"/>
      <c r="D1068" s="1177"/>
      <c r="E1068" s="1177"/>
      <c r="F1068" s="1177"/>
      <c r="G1068" s="388"/>
      <c r="H1068" s="1177" t="s">
        <v>4</v>
      </c>
      <c r="I1068" s="1177"/>
      <c r="J1068" s="1177"/>
      <c r="K1068" s="1177"/>
      <c r="L1068" s="1178"/>
    </row>
    <row r="1069" spans="1:12" ht="27.75" customHeight="1" thickBot="1">
      <c r="A1069" s="388"/>
      <c r="B1069" s="13"/>
      <c r="C1069" s="388"/>
      <c r="D1069" s="388"/>
      <c r="E1069" s="388"/>
      <c r="F1069" s="388"/>
      <c r="G1069" s="388"/>
      <c r="H1069" s="388"/>
      <c r="I1069" s="388"/>
      <c r="J1069" s="388"/>
      <c r="K1069" s="388"/>
      <c r="L1069" s="14"/>
    </row>
    <row r="1070" spans="1:12" ht="27.75" customHeight="1">
      <c r="A1070" s="388"/>
      <c r="B1070" s="74"/>
      <c r="C1070" s="75"/>
      <c r="D1070" s="75"/>
      <c r="E1070" s="75"/>
      <c r="F1070" s="76"/>
      <c r="G1070" s="388"/>
      <c r="H1070" s="78"/>
      <c r="I1070" s="79"/>
      <c r="J1070" s="79"/>
      <c r="K1070" s="79"/>
      <c r="L1070" s="80"/>
    </row>
    <row r="1071" spans="1:12" ht="27.75" customHeight="1">
      <c r="A1071" s="388"/>
      <c r="B1071" s="13"/>
      <c r="C1071" s="388"/>
      <c r="D1071" s="388"/>
      <c r="E1071" s="388"/>
      <c r="F1071" s="14"/>
      <c r="G1071" s="388"/>
      <c r="H1071" s="680" t="s">
        <v>497</v>
      </c>
      <c r="I1071" s="2"/>
      <c r="J1071" s="2"/>
      <c r="K1071" s="2"/>
      <c r="L1071" s="81"/>
    </row>
    <row r="1072" spans="1:12" ht="27.75" customHeight="1">
      <c r="A1072" s="388"/>
      <c r="B1072" s="423" t="s">
        <v>373</v>
      </c>
      <c r="C1072" s="388"/>
      <c r="D1072" s="388"/>
      <c r="E1072" s="388"/>
      <c r="F1072" s="14"/>
      <c r="G1072" s="388"/>
      <c r="H1072" s="425" t="s">
        <v>490</v>
      </c>
      <c r="I1072" s="2"/>
      <c r="J1072" s="2"/>
      <c r="K1072" s="2"/>
      <c r="L1072" s="81"/>
    </row>
    <row r="1073" spans="1:12" ht="27.75" customHeight="1">
      <c r="A1073" s="388"/>
      <c r="B1073" s="13"/>
      <c r="C1073" s="388"/>
      <c r="D1073" s="388"/>
      <c r="E1073" s="388"/>
      <c r="F1073" s="14"/>
      <c r="G1073" s="388"/>
      <c r="H1073" s="77"/>
      <c r="I1073" s="2"/>
      <c r="J1073" s="2"/>
      <c r="K1073" s="2"/>
      <c r="L1073" s="81"/>
    </row>
    <row r="1074" spans="1:12" ht="27.75" customHeight="1" thickBot="1">
      <c r="A1074" s="388"/>
      <c r="B1074" s="25"/>
      <c r="C1074" s="23"/>
      <c r="D1074" s="23"/>
      <c r="E1074" s="23"/>
      <c r="F1074" s="24"/>
      <c r="G1074" s="388"/>
      <c r="H1074" s="77"/>
      <c r="I1074" s="2"/>
      <c r="J1074" s="2"/>
      <c r="K1074" s="2"/>
      <c r="L1074" s="81"/>
    </row>
    <row r="1075" spans="1:12" ht="27.75" customHeight="1">
      <c r="A1075" s="388"/>
      <c r="B1075" s="1143" t="s">
        <v>112</v>
      </c>
      <c r="C1075" s="1144"/>
      <c r="D1075" s="1144"/>
      <c r="E1075" s="1144"/>
      <c r="F1075" s="1144"/>
      <c r="G1075" s="1145"/>
      <c r="H1075" s="1146" t="str">
        <f>'04-221Master'!B35</f>
        <v xml:space="preserve">OMPRAKASH PURI </v>
      </c>
      <c r="I1075" s="1147"/>
      <c r="J1075" s="1147"/>
      <c r="K1075" s="1147"/>
      <c r="L1075" s="1147"/>
    </row>
    <row r="1076" spans="1:12" ht="27.75" customHeight="1">
      <c r="A1076" s="388"/>
      <c r="B1076" s="1148"/>
      <c r="C1076" s="1149"/>
      <c r="D1076" s="1149"/>
      <c r="E1076" s="1149"/>
      <c r="F1076" s="1149"/>
      <c r="G1076" s="1149"/>
      <c r="H1076" s="1150" t="str">
        <f>'04-221Master'!G35</f>
        <v>LIG-162,2nd floor,7th phase,KPHB,Near basket ball ground,Hyderabad,TS 500085</v>
      </c>
      <c r="I1076" s="1150"/>
      <c r="J1076" s="1150"/>
      <c r="K1076" s="1150"/>
      <c r="L1076" s="1150"/>
    </row>
    <row r="1077" spans="1:12" ht="27.75" customHeight="1">
      <c r="A1077" s="388"/>
      <c r="B1077" s="1152" t="s">
        <v>113</v>
      </c>
      <c r="C1077" s="1153"/>
      <c r="D1077" s="1153"/>
      <c r="E1077" s="1153"/>
      <c r="F1077" s="1153"/>
      <c r="G1077" s="1153"/>
      <c r="H1077" s="1154">
        <v>39</v>
      </c>
      <c r="I1077" s="1155"/>
      <c r="J1077" s="1155"/>
      <c r="K1077" s="1155"/>
      <c r="L1077" s="1156"/>
    </row>
    <row r="1078" spans="1:12" ht="27.75" customHeight="1">
      <c r="A1078" s="388"/>
      <c r="B1078" s="1143" t="s">
        <v>114</v>
      </c>
      <c r="C1078" s="1144"/>
      <c r="D1078" s="1144"/>
      <c r="E1078" s="1144"/>
      <c r="F1078" s="1144"/>
      <c r="G1078" s="1144"/>
      <c r="H1078" s="1146" t="str">
        <f>'04-221Master'!F35</f>
        <v>CONSULTANT</v>
      </c>
      <c r="I1078" s="1147"/>
      <c r="J1078" s="1147"/>
      <c r="K1078" s="1147"/>
      <c r="L1078" s="1151"/>
    </row>
    <row r="1079" spans="1:12" ht="27.75" customHeight="1">
      <c r="A1079" s="388"/>
      <c r="B1079" s="1143" t="s">
        <v>115</v>
      </c>
      <c r="C1079" s="1144"/>
      <c r="D1079" s="1144"/>
      <c r="E1079" s="1144"/>
      <c r="F1079" s="1144"/>
      <c r="G1079" s="1144"/>
      <c r="H1079" s="1157">
        <f>'04-221Master'!N35</f>
        <v>44652</v>
      </c>
      <c r="I1079" s="1158"/>
      <c r="J1079" s="1158"/>
      <c r="K1079" s="1158"/>
      <c r="L1079" s="1159"/>
    </row>
    <row r="1080" spans="1:12" ht="27.75" customHeight="1">
      <c r="A1080" s="388"/>
      <c r="B1080" s="399" t="s">
        <v>116</v>
      </c>
      <c r="C1080" s="87"/>
      <c r="D1080" s="87"/>
      <c r="E1080" s="87"/>
      <c r="F1080" s="87"/>
      <c r="G1080" s="87"/>
      <c r="H1080" s="869"/>
      <c r="I1080" s="89"/>
      <c r="J1080" s="389">
        <f>'04-221Master'!T471</f>
        <v>0</v>
      </c>
      <c r="K1080" s="866"/>
      <c r="L1080" s="868"/>
    </row>
    <row r="1081" spans="1:12" ht="27.75" customHeight="1">
      <c r="A1081" s="388"/>
      <c r="B1081" s="399" t="s">
        <v>117</v>
      </c>
      <c r="C1081" s="87"/>
      <c r="D1081" s="87"/>
      <c r="E1081" s="87"/>
      <c r="F1081" s="87"/>
      <c r="G1081" s="429"/>
      <c r="H1081" s="92"/>
      <c r="I1081" s="93"/>
      <c r="J1081" s="389" t="str">
        <f>'04-221Master'!S35</f>
        <v>100260928334</v>
      </c>
      <c r="K1081" s="93"/>
      <c r="L1081" s="94"/>
    </row>
    <row r="1082" spans="1:12" ht="27.75" customHeight="1">
      <c r="A1082" s="388"/>
      <c r="B1082" s="1160" t="s">
        <v>118</v>
      </c>
      <c r="C1082" s="1161"/>
      <c r="D1082" s="1161"/>
      <c r="E1082" s="1161"/>
      <c r="F1082" s="1161"/>
      <c r="G1082" s="1161"/>
      <c r="H1082" s="1154">
        <f>'04-221Master'!Y35</f>
        <v>108085</v>
      </c>
      <c r="I1082" s="1155"/>
      <c r="J1082" s="1155"/>
      <c r="K1082" s="1155"/>
      <c r="L1082" s="1156"/>
    </row>
    <row r="1083" spans="1:12" ht="27.75" customHeight="1">
      <c r="A1083" s="388"/>
      <c r="B1083" s="1143" t="s">
        <v>119</v>
      </c>
      <c r="C1083" s="1144"/>
      <c r="D1083" s="1144"/>
      <c r="E1083" s="1144"/>
      <c r="F1083" s="1144"/>
      <c r="G1083" s="1144"/>
      <c r="H1083" s="1162">
        <f>'04-221Master'!D10</f>
        <v>44652</v>
      </c>
      <c r="I1083" s="1147"/>
      <c r="J1083" s="1147"/>
      <c r="K1083" s="1147"/>
      <c r="L1083" s="1151"/>
    </row>
    <row r="1084" spans="1:12" ht="27.75" customHeight="1">
      <c r="A1084" s="388"/>
      <c r="B1084" s="1143" t="s">
        <v>120</v>
      </c>
      <c r="C1084" s="1144"/>
      <c r="D1084" s="1144"/>
      <c r="E1084" s="1144"/>
      <c r="F1084" s="1144"/>
      <c r="G1084" s="1144"/>
      <c r="H1084" s="1147" t="s">
        <v>121</v>
      </c>
      <c r="I1084" s="1147"/>
      <c r="J1084" s="1147"/>
      <c r="K1084" s="1147"/>
      <c r="L1084" s="1151"/>
    </row>
    <row r="1085" spans="1:12" ht="27.75" customHeight="1">
      <c r="A1085" s="388"/>
      <c r="B1085" s="399" t="s">
        <v>122</v>
      </c>
      <c r="C1085" s="87"/>
      <c r="D1085" s="87"/>
      <c r="E1085" s="87"/>
      <c r="F1085" s="87"/>
      <c r="G1085" s="429"/>
      <c r="H1085" s="869"/>
      <c r="I1085" s="866"/>
      <c r="J1085" s="96">
        <f>'04-221Master'!W35</f>
        <v>30</v>
      </c>
      <c r="K1085" s="866"/>
      <c r="L1085" s="868"/>
    </row>
    <row r="1086" spans="1:12" ht="27.75" customHeight="1">
      <c r="A1086" s="388"/>
      <c r="B1086" s="399" t="s">
        <v>123</v>
      </c>
      <c r="C1086" s="87"/>
      <c r="D1086" s="87"/>
      <c r="E1086" s="87"/>
      <c r="F1086" s="87"/>
      <c r="G1086" s="429"/>
      <c r="H1086" s="869"/>
      <c r="I1086" s="866"/>
      <c r="J1086" s="866" t="s">
        <v>37</v>
      </c>
      <c r="K1086" s="866"/>
      <c r="L1086" s="868"/>
    </row>
    <row r="1087" spans="1:12" ht="27.75" customHeight="1">
      <c r="A1087" s="388"/>
      <c r="B1087" s="399" t="s">
        <v>124</v>
      </c>
      <c r="C1087" s="87"/>
      <c r="D1087" s="87"/>
      <c r="E1087" s="87"/>
      <c r="F1087" s="87"/>
      <c r="G1087" s="429"/>
      <c r="H1087" s="869"/>
      <c r="I1087" s="866"/>
      <c r="J1087" s="96">
        <v>0</v>
      </c>
      <c r="K1087" s="866"/>
      <c r="L1087" s="868"/>
    </row>
    <row r="1088" spans="1:12" ht="27.75" customHeight="1">
      <c r="A1088" s="388"/>
      <c r="B1088" s="399" t="s">
        <v>125</v>
      </c>
      <c r="C1088" s="87"/>
      <c r="D1088" s="87"/>
      <c r="E1088" s="87"/>
      <c r="F1088" s="87"/>
      <c r="G1088" s="429"/>
      <c r="H1088" s="869"/>
      <c r="I1088" s="866"/>
      <c r="J1088" s="866">
        <v>0</v>
      </c>
      <c r="K1088" s="866"/>
      <c r="L1088" s="868"/>
    </row>
    <row r="1089" spans="1:12" ht="27.75" customHeight="1">
      <c r="A1089" s="388"/>
      <c r="B1089" s="399" t="s">
        <v>126</v>
      </c>
      <c r="C1089" s="87"/>
      <c r="D1089" s="87"/>
      <c r="E1089" s="87"/>
      <c r="F1089" s="87"/>
      <c r="G1089" s="429"/>
      <c r="H1089" s="869"/>
      <c r="I1089" s="866"/>
      <c r="J1089" s="604">
        <f>'04-221Master'!AM35</f>
        <v>118276.1921</v>
      </c>
      <c r="K1089" s="866"/>
      <c r="L1089" s="868" t="s">
        <v>585</v>
      </c>
    </row>
    <row r="1090" spans="1:12" ht="27.75" customHeight="1">
      <c r="A1090" s="388"/>
      <c r="B1090" s="399" t="s">
        <v>127</v>
      </c>
      <c r="C1090" s="87"/>
      <c r="D1090" s="864" t="s">
        <v>32</v>
      </c>
      <c r="E1090" s="865">
        <f>'04-221Master'!AO35</f>
        <v>1800</v>
      </c>
      <c r="F1090" s="864" t="s">
        <v>31</v>
      </c>
      <c r="G1090" s="865">
        <f>'04-221Master'!AN471</f>
        <v>0</v>
      </c>
      <c r="H1090" s="864" t="s">
        <v>33</v>
      </c>
      <c r="I1090" s="865">
        <f>'04-221Master'!AP35</f>
        <v>200</v>
      </c>
      <c r="J1090" s="864" t="s">
        <v>34</v>
      </c>
      <c r="K1090" s="865">
        <f>'04-221Master'!AQ35</f>
        <v>0</v>
      </c>
      <c r="L1090" s="103">
        <f>'04-221Master'!AR35</f>
        <v>0</v>
      </c>
    </row>
    <row r="1091" spans="1:12" ht="27.75" customHeight="1">
      <c r="A1091" s="388"/>
      <c r="B1091" s="399" t="s">
        <v>128</v>
      </c>
      <c r="C1091" s="87"/>
      <c r="D1091" s="87"/>
      <c r="E1091" s="87"/>
      <c r="F1091" s="87"/>
      <c r="G1091" s="429"/>
      <c r="H1091" s="869"/>
      <c r="I1091" s="866"/>
      <c r="J1091" s="96">
        <f>J1089-E1090-I1090-K1090-L1090</f>
        <v>116276.1921</v>
      </c>
      <c r="K1091" s="866"/>
      <c r="L1091" s="868"/>
    </row>
    <row r="1092" spans="1:12" ht="27.75" customHeight="1">
      <c r="A1092" s="388"/>
      <c r="B1092" s="400" t="s">
        <v>129</v>
      </c>
      <c r="C1092" s="401"/>
      <c r="D1092" s="401"/>
      <c r="E1092" s="401"/>
      <c r="F1092" s="401"/>
      <c r="G1092" s="402"/>
      <c r="H1092" s="403"/>
      <c r="I1092" s="404"/>
      <c r="J1092" s="404"/>
      <c r="K1092" s="404"/>
      <c r="L1092" s="98"/>
    </row>
    <row r="1093" spans="1:12" ht="27.75" customHeight="1">
      <c r="A1093" s="388"/>
      <c r="B1093" s="426" t="s">
        <v>130</v>
      </c>
      <c r="C1093" s="2"/>
      <c r="D1093" s="2"/>
      <c r="E1093" s="2"/>
      <c r="F1093" s="2"/>
      <c r="G1093" s="427"/>
      <c r="H1093" s="71"/>
      <c r="I1093" s="388"/>
      <c r="J1093" s="388"/>
      <c r="K1093" s="388"/>
      <c r="L1093" s="14"/>
    </row>
    <row r="1094" spans="1:12">
      <c r="A1094" s="388"/>
      <c r="B1094" s="13"/>
      <c r="C1094" s="388"/>
      <c r="D1094" s="388"/>
      <c r="E1094" s="388"/>
      <c r="F1094" s="388"/>
      <c r="G1094" s="388"/>
      <c r="H1094" s="388"/>
      <c r="I1094" s="388"/>
      <c r="J1094" s="388"/>
      <c r="K1094" s="388"/>
      <c r="L1094" s="14"/>
    </row>
    <row r="1095" spans="1:12" ht="15.75" thickBot="1">
      <c r="A1095" s="388"/>
      <c r="B1095" s="25"/>
      <c r="C1095" s="23"/>
      <c r="D1095" s="23"/>
      <c r="E1095" s="23"/>
      <c r="F1095" s="23"/>
      <c r="G1095" s="23"/>
      <c r="H1095" s="23"/>
      <c r="I1095" s="23"/>
      <c r="J1095" s="23"/>
      <c r="K1095" s="23"/>
      <c r="L1095" s="24"/>
    </row>
    <row r="1096" spans="1:12">
      <c r="A1096" s="388"/>
      <c r="B1096" s="388"/>
      <c r="C1096" s="388"/>
      <c r="D1096" s="388"/>
      <c r="E1096" s="388"/>
      <c r="F1096" s="388"/>
      <c r="G1096" s="388"/>
      <c r="H1096" s="388"/>
      <c r="I1096" s="388"/>
      <c r="J1096" s="388"/>
      <c r="K1096" s="388"/>
      <c r="L1096" s="388"/>
    </row>
    <row r="1097" spans="1:12">
      <c r="A1097" s="388"/>
      <c r="B1097" s="388"/>
      <c r="C1097" s="388"/>
      <c r="D1097" s="388"/>
      <c r="E1097" s="388"/>
      <c r="F1097" s="388"/>
      <c r="G1097" s="388"/>
      <c r="H1097" s="388"/>
      <c r="I1097" s="388"/>
      <c r="J1097" s="388"/>
      <c r="K1097" s="388"/>
      <c r="L1097" s="388"/>
    </row>
    <row r="1098" spans="1:12">
      <c r="A1098" s="388"/>
      <c r="B1098" s="388"/>
      <c r="C1098" s="388"/>
      <c r="D1098" s="388"/>
      <c r="E1098" s="388"/>
      <c r="F1098" s="388"/>
      <c r="G1098" s="388"/>
      <c r="H1098" s="388"/>
      <c r="I1098" s="388"/>
      <c r="J1098" s="388"/>
      <c r="K1098" s="388"/>
      <c r="L1098" s="388"/>
    </row>
    <row r="1099" spans="1:12">
      <c r="A1099" s="388"/>
      <c r="B1099" s="388"/>
      <c r="C1099" s="388"/>
      <c r="D1099" s="388"/>
      <c r="E1099" s="388"/>
      <c r="F1099" s="388"/>
      <c r="G1099" s="388"/>
      <c r="H1099" s="388"/>
      <c r="I1099" s="388"/>
      <c r="J1099" s="388"/>
      <c r="K1099" s="388"/>
      <c r="L1099" s="388"/>
    </row>
    <row r="1100" spans="1:12">
      <c r="A1100" s="388"/>
      <c r="B1100" s="388"/>
      <c r="C1100" s="388"/>
      <c r="D1100" s="388"/>
      <c r="E1100" s="388"/>
      <c r="F1100" s="388"/>
      <c r="G1100" s="388"/>
      <c r="H1100" s="388"/>
      <c r="I1100" s="388"/>
      <c r="J1100" s="388"/>
      <c r="K1100" s="388"/>
      <c r="L1100" s="388"/>
    </row>
    <row r="1101" spans="1:12">
      <c r="A1101" s="388"/>
      <c r="B1101" s="388"/>
      <c r="C1101" s="388"/>
      <c r="D1101" s="388"/>
      <c r="E1101" s="388"/>
      <c r="F1101" s="388"/>
      <c r="G1101" s="388"/>
      <c r="H1101" s="388"/>
      <c r="I1101" s="388"/>
      <c r="J1101" s="388"/>
      <c r="K1101" s="388"/>
      <c r="L1101" s="388"/>
    </row>
    <row r="1102" spans="1:12">
      <c r="A1102" s="388"/>
      <c r="B1102" s="388"/>
      <c r="C1102" s="388"/>
      <c r="D1102" s="388"/>
      <c r="E1102" s="388"/>
      <c r="F1102" s="388"/>
      <c r="G1102" s="388"/>
      <c r="H1102" s="388"/>
      <c r="I1102" s="388"/>
      <c r="J1102" s="388"/>
      <c r="K1102" s="388"/>
      <c r="L1102" s="388"/>
    </row>
    <row r="1103" spans="1:12">
      <c r="A1103" s="388"/>
      <c r="B1103" s="388"/>
      <c r="C1103" s="388"/>
      <c r="D1103" s="388"/>
      <c r="E1103" s="388"/>
      <c r="F1103" s="388"/>
      <c r="G1103" s="388"/>
      <c r="H1103" s="388"/>
      <c r="I1103" s="388"/>
      <c r="J1103" s="388"/>
      <c r="K1103" s="388"/>
      <c r="L1103" s="388"/>
    </row>
    <row r="1104" spans="1:12">
      <c r="A1104" s="388"/>
      <c r="B1104" s="388"/>
      <c r="C1104" s="388"/>
      <c r="D1104" s="388"/>
      <c r="E1104" s="388"/>
      <c r="F1104" s="388"/>
      <c r="G1104" s="388"/>
      <c r="H1104" s="388"/>
      <c r="I1104" s="388"/>
      <c r="J1104" s="388"/>
      <c r="K1104" s="388"/>
      <c r="L1104" s="388"/>
    </row>
    <row r="1105" spans="1:12">
      <c r="A1105" s="388"/>
      <c r="B1105" s="388"/>
      <c r="C1105" s="388"/>
      <c r="D1105" s="388"/>
      <c r="E1105" s="388"/>
      <c r="F1105" s="388"/>
      <c r="G1105" s="388"/>
      <c r="H1105" s="388"/>
      <c r="I1105" s="388"/>
      <c r="J1105" s="388"/>
      <c r="K1105" s="388"/>
      <c r="L1105" s="388"/>
    </row>
    <row r="1106" spans="1:12" ht="15.75" thickBot="1">
      <c r="A1106" s="388"/>
      <c r="B1106" s="388"/>
      <c r="C1106" s="388"/>
      <c r="D1106" s="388"/>
      <c r="E1106" s="388"/>
      <c r="F1106" s="388"/>
      <c r="G1106" s="388"/>
      <c r="H1106" s="388"/>
      <c r="I1106" s="388"/>
      <c r="J1106" s="388"/>
      <c r="K1106" s="388"/>
      <c r="L1106" s="388"/>
    </row>
    <row r="1107" spans="1:12" ht="32.25">
      <c r="A1107" s="388"/>
      <c r="B1107" s="1163" t="s">
        <v>590</v>
      </c>
      <c r="C1107" s="1164"/>
      <c r="D1107" s="1164"/>
      <c r="E1107" s="1164"/>
      <c r="F1107" s="1164"/>
      <c r="G1107" s="1164"/>
      <c r="H1107" s="1164"/>
      <c r="I1107" s="1164"/>
      <c r="J1107" s="1164"/>
      <c r="K1107" s="1164"/>
      <c r="L1107" s="1165"/>
    </row>
    <row r="1108" spans="1:12" ht="23.25">
      <c r="A1108" s="388"/>
      <c r="B1108" s="1166" t="s">
        <v>107</v>
      </c>
      <c r="C1108" s="1167"/>
      <c r="D1108" s="1167"/>
      <c r="E1108" s="1167"/>
      <c r="F1108" s="1167"/>
      <c r="G1108" s="1167"/>
      <c r="H1108" s="1167"/>
      <c r="I1108" s="1167"/>
      <c r="J1108" s="1167"/>
      <c r="K1108" s="1167"/>
      <c r="L1108" s="1168"/>
    </row>
    <row r="1109" spans="1:12" ht="16.5" thickBot="1">
      <c r="A1109" s="388"/>
      <c r="B1109" s="1169" t="s">
        <v>591</v>
      </c>
      <c r="C1109" s="1170"/>
      <c r="D1109" s="1170"/>
      <c r="E1109" s="1170"/>
      <c r="F1109" s="1170"/>
      <c r="G1109" s="1170"/>
      <c r="H1109" s="1170"/>
      <c r="I1109" s="1170"/>
      <c r="J1109" s="1170"/>
      <c r="K1109" s="1170"/>
      <c r="L1109" s="1171"/>
    </row>
    <row r="1110" spans="1:12">
      <c r="A1110" s="388"/>
      <c r="B1110" s="1172" t="s">
        <v>108</v>
      </c>
      <c r="C1110" s="1173"/>
      <c r="D1110" s="1173"/>
      <c r="E1110" s="1173"/>
      <c r="F1110" s="1173"/>
      <c r="G1110" s="388"/>
      <c r="H1110" s="1174" t="s">
        <v>109</v>
      </c>
      <c r="I1110" s="1174"/>
      <c r="J1110" s="1174"/>
      <c r="K1110" s="1174"/>
      <c r="L1110" s="1175"/>
    </row>
    <row r="1111" spans="1:12" ht="24" customHeight="1" thickBot="1">
      <c r="A1111" s="388"/>
      <c r="B1111" s="1172"/>
      <c r="C1111" s="1173"/>
      <c r="D1111" s="1173"/>
      <c r="E1111" s="1173"/>
      <c r="F1111" s="1173"/>
      <c r="G1111" s="388"/>
      <c r="H1111" s="1174"/>
      <c r="I1111" s="1174"/>
      <c r="J1111" s="1174"/>
      <c r="K1111" s="1174"/>
      <c r="L1111" s="1175"/>
    </row>
    <row r="1112" spans="1:12" ht="24" customHeight="1">
      <c r="A1112" s="388"/>
      <c r="B1112" s="74"/>
      <c r="C1112" s="75"/>
      <c r="D1112" s="75"/>
      <c r="E1112" s="75"/>
      <c r="F1112" s="76"/>
      <c r="G1112" s="388"/>
      <c r="H1112" s="74"/>
      <c r="I1112" s="75"/>
      <c r="J1112" s="75"/>
      <c r="K1112" s="75"/>
      <c r="L1112" s="76"/>
    </row>
    <row r="1113" spans="1:12" ht="24" customHeight="1">
      <c r="A1113" s="388"/>
      <c r="B1113" s="419" t="s">
        <v>382</v>
      </c>
      <c r="C1113" s="388"/>
      <c r="D1113" s="388"/>
      <c r="E1113" s="388"/>
      <c r="F1113" s="14"/>
      <c r="G1113" s="388"/>
      <c r="H1113" s="419" t="s">
        <v>382</v>
      </c>
      <c r="I1113" s="388"/>
      <c r="J1113" s="388"/>
      <c r="K1113" s="388"/>
      <c r="L1113" s="14"/>
    </row>
    <row r="1114" spans="1:12" ht="24" customHeight="1">
      <c r="A1114" s="388"/>
      <c r="B1114" s="421" t="s">
        <v>383</v>
      </c>
      <c r="C1114" s="388"/>
      <c r="D1114" s="388"/>
      <c r="E1114" s="388"/>
      <c r="F1114" s="14"/>
      <c r="G1114" s="388"/>
      <c r="H1114" s="421" t="s">
        <v>383</v>
      </c>
      <c r="I1114" s="388"/>
      <c r="J1114" s="388"/>
      <c r="K1114" s="388"/>
      <c r="L1114" s="14"/>
    </row>
    <row r="1115" spans="1:12" ht="24" customHeight="1">
      <c r="A1115" s="388"/>
      <c r="B1115" s="77"/>
      <c r="C1115" s="388"/>
      <c r="D1115" s="388"/>
      <c r="E1115" s="388"/>
      <c r="F1115" s="14"/>
      <c r="G1115" s="388"/>
      <c r="H1115" s="77"/>
      <c r="I1115" s="388"/>
      <c r="J1115" s="388"/>
      <c r="K1115" s="388"/>
      <c r="L1115" s="14"/>
    </row>
    <row r="1116" spans="1:12" ht="24" customHeight="1" thickBot="1">
      <c r="A1116" s="388"/>
      <c r="B1116" s="25"/>
      <c r="C1116" s="23"/>
      <c r="D1116" s="23"/>
      <c r="E1116" s="23"/>
      <c r="F1116" s="24"/>
      <c r="G1116" s="388"/>
      <c r="H1116" s="25"/>
      <c r="I1116" s="23"/>
      <c r="J1116" s="23"/>
      <c r="K1116" s="23"/>
      <c r="L1116" s="24"/>
    </row>
    <row r="1117" spans="1:12" ht="24" customHeight="1">
      <c r="A1117" s="388"/>
      <c r="B1117" s="13"/>
      <c r="C1117" s="388"/>
      <c r="D1117" s="388"/>
      <c r="E1117" s="388"/>
      <c r="F1117" s="388"/>
      <c r="G1117" s="388"/>
      <c r="H1117" s="388"/>
      <c r="I1117" s="388"/>
      <c r="J1117" s="388" t="s">
        <v>110</v>
      </c>
      <c r="K1117" s="388"/>
      <c r="L1117" s="14"/>
    </row>
    <row r="1118" spans="1:12" ht="24" customHeight="1">
      <c r="A1118" s="388"/>
      <c r="B1118" s="1176" t="s">
        <v>111</v>
      </c>
      <c r="C1118" s="1177"/>
      <c r="D1118" s="1177"/>
      <c r="E1118" s="1177"/>
      <c r="F1118" s="1177"/>
      <c r="G1118" s="388"/>
      <c r="H1118" s="1177" t="s">
        <v>4</v>
      </c>
      <c r="I1118" s="1177"/>
      <c r="J1118" s="1177"/>
      <c r="K1118" s="1177"/>
      <c r="L1118" s="1178"/>
    </row>
    <row r="1119" spans="1:12" ht="24" customHeight="1" thickBot="1">
      <c r="A1119" s="388"/>
      <c r="B1119" s="13"/>
      <c r="C1119" s="388"/>
      <c r="D1119" s="388"/>
      <c r="E1119" s="388"/>
      <c r="F1119" s="388"/>
      <c r="G1119" s="388"/>
      <c r="H1119" s="388"/>
      <c r="I1119" s="388"/>
      <c r="J1119" s="388"/>
      <c r="K1119" s="388"/>
      <c r="L1119" s="14"/>
    </row>
    <row r="1120" spans="1:12" ht="24" customHeight="1">
      <c r="A1120" s="388"/>
      <c r="B1120" s="74"/>
      <c r="C1120" s="75"/>
      <c r="D1120" s="75"/>
      <c r="E1120" s="75"/>
      <c r="F1120" s="76"/>
      <c r="G1120" s="388"/>
      <c r="H1120" s="78"/>
      <c r="I1120" s="79"/>
      <c r="J1120" s="79"/>
      <c r="K1120" s="79"/>
      <c r="L1120" s="80"/>
    </row>
    <row r="1121" spans="1:12" ht="24" customHeight="1">
      <c r="A1121" s="388"/>
      <c r="B1121" s="13"/>
      <c r="C1121" s="388"/>
      <c r="D1121" s="388"/>
      <c r="E1121" s="388"/>
      <c r="F1121" s="14"/>
      <c r="G1121" s="388"/>
      <c r="H1121" s="680" t="s">
        <v>497</v>
      </c>
      <c r="I1121" s="2"/>
      <c r="J1121" s="2"/>
      <c r="K1121" s="2"/>
      <c r="L1121" s="81"/>
    </row>
    <row r="1122" spans="1:12" ht="24" customHeight="1">
      <c r="A1122" s="388"/>
      <c r="B1122" s="423" t="s">
        <v>373</v>
      </c>
      <c r="C1122" s="388"/>
      <c r="D1122" s="388"/>
      <c r="E1122" s="388"/>
      <c r="F1122" s="14"/>
      <c r="G1122" s="388"/>
      <c r="H1122" s="425" t="s">
        <v>490</v>
      </c>
      <c r="I1122" s="2"/>
      <c r="J1122" s="2"/>
      <c r="K1122" s="2"/>
      <c r="L1122" s="81"/>
    </row>
    <row r="1123" spans="1:12" ht="24" customHeight="1">
      <c r="A1123" s="388"/>
      <c r="B1123" s="13"/>
      <c r="C1123" s="388"/>
      <c r="D1123" s="388"/>
      <c r="E1123" s="388"/>
      <c r="F1123" s="14"/>
      <c r="G1123" s="388"/>
      <c r="H1123" s="77"/>
      <c r="I1123" s="2"/>
      <c r="J1123" s="2"/>
      <c r="K1123" s="2"/>
      <c r="L1123" s="81"/>
    </row>
    <row r="1124" spans="1:12" ht="24" customHeight="1" thickBot="1">
      <c r="A1124" s="388"/>
      <c r="B1124" s="25"/>
      <c r="C1124" s="23"/>
      <c r="D1124" s="23"/>
      <c r="E1124" s="23"/>
      <c r="F1124" s="24"/>
      <c r="G1124" s="388"/>
      <c r="H1124" s="77"/>
      <c r="I1124" s="2"/>
      <c r="J1124" s="2"/>
      <c r="K1124" s="2"/>
      <c r="L1124" s="81"/>
    </row>
    <row r="1125" spans="1:12" ht="24" customHeight="1">
      <c r="A1125" s="388"/>
      <c r="B1125" s="1143" t="s">
        <v>112</v>
      </c>
      <c r="C1125" s="1144"/>
      <c r="D1125" s="1144"/>
      <c r="E1125" s="1144"/>
      <c r="F1125" s="1144"/>
      <c r="G1125" s="1145"/>
      <c r="H1125" s="1146" t="str">
        <f>'04-221Master'!B36</f>
        <v xml:space="preserve">DiptiRanjan Dikhit </v>
      </c>
      <c r="I1125" s="1147"/>
      <c r="J1125" s="1147"/>
      <c r="K1125" s="1147"/>
      <c r="L1125" s="1147"/>
    </row>
    <row r="1126" spans="1:12" ht="24" customHeight="1">
      <c r="A1126" s="388"/>
      <c r="B1126" s="1148"/>
      <c r="C1126" s="1149"/>
      <c r="D1126" s="1149"/>
      <c r="E1126" s="1149"/>
      <c r="F1126" s="1149"/>
      <c r="G1126" s="1149"/>
      <c r="H1126" s="1150" t="str">
        <f>'04-221Master'!G36</f>
        <v>At-Sanakanjiya nuva sahi,IV Irrigation Market colony,Gate No.2,PO Satyardhi,near sakhi gopi bus stand,Puri,Odissa 752014</v>
      </c>
      <c r="I1126" s="1150"/>
      <c r="J1126" s="1150"/>
      <c r="K1126" s="1150"/>
      <c r="L1126" s="1150"/>
    </row>
    <row r="1127" spans="1:12" ht="34.5" customHeight="1">
      <c r="A1127" s="388"/>
      <c r="B1127" s="1152" t="s">
        <v>113</v>
      </c>
      <c r="C1127" s="1153"/>
      <c r="D1127" s="1153"/>
      <c r="E1127" s="1153"/>
      <c r="F1127" s="1153"/>
      <c r="G1127" s="1153"/>
      <c r="H1127" s="1154">
        <v>40</v>
      </c>
      <c r="I1127" s="1155"/>
      <c r="J1127" s="1155"/>
      <c r="K1127" s="1155"/>
      <c r="L1127" s="1156"/>
    </row>
    <row r="1128" spans="1:12" ht="24" customHeight="1">
      <c r="A1128" s="388"/>
      <c r="B1128" s="1143" t="s">
        <v>114</v>
      </c>
      <c r="C1128" s="1144"/>
      <c r="D1128" s="1144"/>
      <c r="E1128" s="1144"/>
      <c r="F1128" s="1144"/>
      <c r="G1128" s="1144"/>
      <c r="H1128" s="1146" t="str">
        <f>'04-221Master'!F36</f>
        <v>Network  Security Engineer</v>
      </c>
      <c r="I1128" s="1147"/>
      <c r="J1128" s="1147"/>
      <c r="K1128" s="1147"/>
      <c r="L1128" s="1151"/>
    </row>
    <row r="1129" spans="1:12" ht="24" customHeight="1">
      <c r="A1129" s="388"/>
      <c r="B1129" s="1143" t="s">
        <v>115</v>
      </c>
      <c r="C1129" s="1144"/>
      <c r="D1129" s="1144"/>
      <c r="E1129" s="1144"/>
      <c r="F1129" s="1144"/>
      <c r="G1129" s="1144"/>
      <c r="H1129" s="1157">
        <f>'04-221Master'!N36</f>
        <v>44655</v>
      </c>
      <c r="I1129" s="1158"/>
      <c r="J1129" s="1158"/>
      <c r="K1129" s="1158"/>
      <c r="L1129" s="1159"/>
    </row>
    <row r="1130" spans="1:12" ht="24" customHeight="1">
      <c r="A1130" s="388"/>
      <c r="B1130" s="399" t="s">
        <v>116</v>
      </c>
      <c r="C1130" s="87"/>
      <c r="D1130" s="87"/>
      <c r="E1130" s="87"/>
      <c r="F1130" s="87"/>
      <c r="G1130" s="87"/>
      <c r="H1130" s="869"/>
      <c r="I1130" s="89"/>
      <c r="J1130" s="389">
        <f>'04-221Master'!T521</f>
        <v>0</v>
      </c>
      <c r="K1130" s="866"/>
      <c r="L1130" s="868"/>
    </row>
    <row r="1131" spans="1:12" ht="24" customHeight="1">
      <c r="A1131" s="388"/>
      <c r="B1131" s="399" t="s">
        <v>117</v>
      </c>
      <c r="C1131" s="87"/>
      <c r="D1131" s="87"/>
      <c r="E1131" s="87"/>
      <c r="F1131" s="87"/>
      <c r="G1131" s="429"/>
      <c r="H1131" s="92"/>
      <c r="I1131" s="93"/>
      <c r="J1131" s="389" t="str">
        <f>'04-221Master'!S36</f>
        <v>101345259957</v>
      </c>
      <c r="K1131" s="93"/>
      <c r="L1131" s="94"/>
    </row>
    <row r="1132" spans="1:12" ht="28.5" customHeight="1">
      <c r="A1132" s="388"/>
      <c r="B1132" s="1160" t="s">
        <v>118</v>
      </c>
      <c r="C1132" s="1161"/>
      <c r="D1132" s="1161"/>
      <c r="E1132" s="1161"/>
      <c r="F1132" s="1161"/>
      <c r="G1132" s="1161"/>
      <c r="H1132" s="1154">
        <f>'04-221Master'!Y36</f>
        <v>62667</v>
      </c>
      <c r="I1132" s="1155"/>
      <c r="J1132" s="1155"/>
      <c r="K1132" s="1155"/>
      <c r="L1132" s="1156"/>
    </row>
    <row r="1133" spans="1:12" ht="24" customHeight="1">
      <c r="A1133" s="388"/>
      <c r="B1133" s="1143" t="s">
        <v>119</v>
      </c>
      <c r="C1133" s="1144"/>
      <c r="D1133" s="1144"/>
      <c r="E1133" s="1144"/>
      <c r="F1133" s="1144"/>
      <c r="G1133" s="1144"/>
      <c r="H1133" s="1162">
        <f>'04-221Master'!D10</f>
        <v>44652</v>
      </c>
      <c r="I1133" s="1147"/>
      <c r="J1133" s="1147"/>
      <c r="K1133" s="1147"/>
      <c r="L1133" s="1151"/>
    </row>
    <row r="1134" spans="1:12" ht="24" customHeight="1">
      <c r="A1134" s="388"/>
      <c r="B1134" s="1143" t="s">
        <v>120</v>
      </c>
      <c r="C1134" s="1144"/>
      <c r="D1134" s="1144"/>
      <c r="E1134" s="1144"/>
      <c r="F1134" s="1144"/>
      <c r="G1134" s="1144"/>
      <c r="H1134" s="1147" t="s">
        <v>121</v>
      </c>
      <c r="I1134" s="1147"/>
      <c r="J1134" s="1147"/>
      <c r="K1134" s="1147"/>
      <c r="L1134" s="1151"/>
    </row>
    <row r="1135" spans="1:12" ht="24" customHeight="1">
      <c r="A1135" s="388"/>
      <c r="B1135" s="399" t="s">
        <v>122</v>
      </c>
      <c r="C1135" s="87"/>
      <c r="D1135" s="87"/>
      <c r="E1135" s="87"/>
      <c r="F1135" s="87"/>
      <c r="G1135" s="429"/>
      <c r="H1135" s="869"/>
      <c r="I1135" s="866"/>
      <c r="J1135" s="96">
        <f>'04-221Master'!W521</f>
        <v>0</v>
      </c>
      <c r="K1135" s="866"/>
      <c r="L1135" s="868"/>
    </row>
    <row r="1136" spans="1:12" ht="24" customHeight="1">
      <c r="A1136" s="388"/>
      <c r="B1136" s="399" t="s">
        <v>123</v>
      </c>
      <c r="C1136" s="87"/>
      <c r="D1136" s="87"/>
      <c r="E1136" s="87"/>
      <c r="F1136" s="87"/>
      <c r="G1136" s="429"/>
      <c r="H1136" s="869"/>
      <c r="I1136" s="866"/>
      <c r="J1136" s="866" t="s">
        <v>37</v>
      </c>
      <c r="K1136" s="866"/>
      <c r="L1136" s="868"/>
    </row>
    <row r="1137" spans="1:12" ht="24" customHeight="1">
      <c r="A1137" s="388"/>
      <c r="B1137" s="399" t="s">
        <v>124</v>
      </c>
      <c r="C1137" s="87"/>
      <c r="D1137" s="87"/>
      <c r="E1137" s="87"/>
      <c r="F1137" s="87"/>
      <c r="G1137" s="429"/>
      <c r="H1137" s="869"/>
      <c r="I1137" s="866"/>
      <c r="J1137" s="96">
        <v>0</v>
      </c>
      <c r="K1137" s="866"/>
      <c r="L1137" s="868"/>
    </row>
    <row r="1138" spans="1:12" ht="24" customHeight="1">
      <c r="A1138" s="388"/>
      <c r="B1138" s="399" t="s">
        <v>125</v>
      </c>
      <c r="C1138" s="87"/>
      <c r="D1138" s="87"/>
      <c r="E1138" s="87"/>
      <c r="F1138" s="87"/>
      <c r="G1138" s="429"/>
      <c r="H1138" s="869"/>
      <c r="I1138" s="866"/>
      <c r="J1138" s="866">
        <v>0</v>
      </c>
      <c r="K1138" s="866"/>
      <c r="L1138" s="868"/>
    </row>
    <row r="1139" spans="1:12" ht="24" customHeight="1">
      <c r="A1139" s="388"/>
      <c r="B1139" s="399" t="s">
        <v>126</v>
      </c>
      <c r="C1139" s="87"/>
      <c r="D1139" s="87"/>
      <c r="E1139" s="87"/>
      <c r="F1139" s="87"/>
      <c r="G1139" s="429"/>
      <c r="H1139" s="869"/>
      <c r="I1139" s="866"/>
      <c r="J1139" s="604">
        <f>'04-221Master'!AM36</f>
        <v>62515.636657999996</v>
      </c>
      <c r="K1139" s="866"/>
      <c r="L1139" s="868" t="s">
        <v>585</v>
      </c>
    </row>
    <row r="1140" spans="1:12" ht="24" customHeight="1">
      <c r="A1140" s="388"/>
      <c r="B1140" s="399" t="s">
        <v>127</v>
      </c>
      <c r="C1140" s="87"/>
      <c r="D1140" s="864" t="s">
        <v>32</v>
      </c>
      <c r="E1140" s="865">
        <f>'04-221Master'!AO36</f>
        <v>1800</v>
      </c>
      <c r="F1140" s="864" t="s">
        <v>31</v>
      </c>
      <c r="G1140" s="865">
        <f>'04-221Master'!AN521</f>
        <v>0</v>
      </c>
      <c r="H1140" s="864" t="s">
        <v>33</v>
      </c>
      <c r="I1140" s="865">
        <f>'04-221Master'!AP36</f>
        <v>200</v>
      </c>
      <c r="J1140" s="864" t="s">
        <v>34</v>
      </c>
      <c r="K1140" s="865">
        <f>'04-221Master'!AQ36</f>
        <v>0</v>
      </c>
      <c r="L1140" s="103">
        <f>'04-221Master'!AR36</f>
        <v>0</v>
      </c>
    </row>
    <row r="1141" spans="1:12" ht="24" customHeight="1">
      <c r="A1141" s="388"/>
      <c r="B1141" s="399" t="s">
        <v>128</v>
      </c>
      <c r="C1141" s="87"/>
      <c r="D1141" s="87"/>
      <c r="E1141" s="87"/>
      <c r="F1141" s="87"/>
      <c r="G1141" s="429"/>
      <c r="H1141" s="869"/>
      <c r="I1141" s="866"/>
      <c r="J1141" s="96">
        <f>J1139-E1140-I1140-K1140-L1140</f>
        <v>60515.636657999996</v>
      </c>
      <c r="K1141" s="866"/>
      <c r="L1141" s="868"/>
    </row>
    <row r="1142" spans="1:12" ht="24" customHeight="1">
      <c r="A1142" s="388"/>
      <c r="B1142" s="400" t="s">
        <v>129</v>
      </c>
      <c r="C1142" s="401"/>
      <c r="D1142" s="401"/>
      <c r="E1142" s="401"/>
      <c r="F1142" s="401"/>
      <c r="G1142" s="402"/>
      <c r="H1142" s="403"/>
      <c r="I1142" s="404"/>
      <c r="J1142" s="404"/>
      <c r="K1142" s="404"/>
      <c r="L1142" s="98"/>
    </row>
    <row r="1143" spans="1:12" ht="24" customHeight="1">
      <c r="A1143" s="388"/>
      <c r="B1143" s="426" t="s">
        <v>130</v>
      </c>
      <c r="C1143" s="2"/>
      <c r="D1143" s="2"/>
      <c r="E1143" s="2"/>
      <c r="F1143" s="2"/>
      <c r="G1143" s="427"/>
      <c r="H1143" s="71"/>
      <c r="I1143" s="388"/>
      <c r="J1143" s="388"/>
      <c r="K1143" s="388"/>
      <c r="L1143" s="14"/>
    </row>
    <row r="1144" spans="1:12">
      <c r="A1144" s="388"/>
      <c r="B1144" s="13"/>
      <c r="C1144" s="388"/>
      <c r="D1144" s="388"/>
      <c r="E1144" s="388"/>
      <c r="F1144" s="388"/>
      <c r="G1144" s="388"/>
      <c r="H1144" s="388"/>
      <c r="I1144" s="388"/>
      <c r="J1144" s="388"/>
      <c r="K1144" s="388"/>
      <c r="L1144" s="14"/>
    </row>
    <row r="1145" spans="1:12" ht="15.75" thickBot="1">
      <c r="A1145" s="388"/>
      <c r="B1145" s="25"/>
      <c r="C1145" s="23"/>
      <c r="D1145" s="23"/>
      <c r="E1145" s="23"/>
      <c r="F1145" s="23"/>
      <c r="G1145" s="23"/>
      <c r="H1145" s="23"/>
      <c r="I1145" s="23"/>
      <c r="J1145" s="23"/>
      <c r="K1145" s="23"/>
      <c r="L1145" s="24"/>
    </row>
    <row r="1146" spans="1:12">
      <c r="A1146" s="388"/>
      <c r="B1146" s="388"/>
      <c r="C1146" s="388"/>
      <c r="D1146" s="388"/>
      <c r="E1146" s="388"/>
      <c r="F1146" s="388"/>
      <c r="G1146" s="388"/>
      <c r="H1146" s="388"/>
      <c r="I1146" s="388"/>
      <c r="J1146" s="388"/>
      <c r="K1146" s="388"/>
      <c r="L1146" s="388"/>
    </row>
    <row r="1147" spans="1:12">
      <c r="A1147" s="388"/>
      <c r="B1147" s="388"/>
      <c r="C1147" s="388"/>
      <c r="D1147" s="388"/>
      <c r="E1147" s="388"/>
      <c r="F1147" s="388"/>
      <c r="G1147" s="388"/>
      <c r="H1147" s="388"/>
      <c r="I1147" s="388"/>
      <c r="J1147" s="388"/>
      <c r="K1147" s="388"/>
      <c r="L1147" s="388"/>
    </row>
    <row r="1148" spans="1:12">
      <c r="A1148" s="388"/>
      <c r="B1148" s="388"/>
      <c r="C1148" s="388"/>
      <c r="D1148" s="388"/>
      <c r="E1148" s="388"/>
      <c r="F1148" s="388"/>
      <c r="G1148" s="388"/>
      <c r="H1148" s="388"/>
      <c r="I1148" s="388"/>
      <c r="J1148" s="388"/>
      <c r="K1148" s="388"/>
      <c r="L1148" s="388"/>
    </row>
    <row r="1149" spans="1:12">
      <c r="A1149" s="388"/>
      <c r="B1149" s="388"/>
      <c r="C1149" s="388"/>
      <c r="D1149" s="388"/>
      <c r="E1149" s="388"/>
      <c r="F1149" s="388"/>
      <c r="G1149" s="388"/>
      <c r="H1149" s="388"/>
      <c r="I1149" s="388"/>
      <c r="J1149" s="388"/>
      <c r="K1149" s="388"/>
      <c r="L1149" s="388"/>
    </row>
    <row r="1150" spans="1:12">
      <c r="A1150" s="388"/>
      <c r="B1150" s="388"/>
      <c r="C1150" s="388"/>
      <c r="D1150" s="388"/>
      <c r="E1150" s="388"/>
      <c r="F1150" s="388"/>
      <c r="G1150" s="388"/>
      <c r="H1150" s="388"/>
      <c r="I1150" s="388"/>
      <c r="J1150" s="388"/>
      <c r="K1150" s="388"/>
      <c r="L1150" s="388"/>
    </row>
    <row r="1151" spans="1:12">
      <c r="A1151" s="388"/>
      <c r="B1151" s="388"/>
      <c r="C1151" s="388"/>
      <c r="D1151" s="388"/>
      <c r="E1151" s="388"/>
      <c r="F1151" s="388"/>
      <c r="G1151" s="388"/>
      <c r="H1151" s="388"/>
      <c r="I1151" s="388"/>
      <c r="J1151" s="388"/>
      <c r="K1151" s="388"/>
      <c r="L1151" s="388"/>
    </row>
    <row r="1152" spans="1:12">
      <c r="A1152" s="388"/>
      <c r="B1152" s="388"/>
      <c r="C1152" s="388"/>
      <c r="D1152" s="388"/>
      <c r="E1152" s="388"/>
      <c r="F1152" s="388"/>
      <c r="G1152" s="388"/>
      <c r="H1152" s="388"/>
      <c r="I1152" s="388"/>
      <c r="J1152" s="388"/>
      <c r="K1152" s="388"/>
      <c r="L1152" s="388"/>
    </row>
    <row r="1153" spans="1:12">
      <c r="A1153" s="388"/>
      <c r="B1153" s="388"/>
      <c r="C1153" s="388"/>
      <c r="D1153" s="388"/>
      <c r="E1153" s="388"/>
      <c r="F1153" s="388"/>
      <c r="G1153" s="388"/>
      <c r="H1153" s="388"/>
      <c r="I1153" s="388"/>
      <c r="J1153" s="388"/>
      <c r="K1153" s="388"/>
      <c r="L1153" s="388"/>
    </row>
    <row r="1154" spans="1:12">
      <c r="A1154" s="9"/>
      <c r="B1154" s="9"/>
      <c r="C1154" s="9"/>
      <c r="D1154" s="9"/>
      <c r="E1154" s="9"/>
      <c r="F1154" s="9"/>
      <c r="G1154" s="9"/>
      <c r="H1154" s="9"/>
      <c r="I1154" s="9"/>
      <c r="J1154" s="9"/>
      <c r="K1154" s="9"/>
      <c r="L1154" s="9"/>
    </row>
    <row r="1155" spans="1:12">
      <c r="A1155" s="9"/>
      <c r="B1155" s="9"/>
      <c r="C1155" s="9"/>
      <c r="D1155" s="9"/>
      <c r="E1155" s="9"/>
      <c r="F1155" s="9"/>
      <c r="G1155" s="9"/>
      <c r="H1155" s="9"/>
      <c r="I1155" s="9"/>
      <c r="J1155" s="9"/>
      <c r="K1155" s="9"/>
      <c r="L1155" s="9"/>
    </row>
    <row r="1156" spans="1:12">
      <c r="A1156" s="9"/>
      <c r="B1156" s="9"/>
      <c r="C1156" s="9"/>
      <c r="D1156" s="9"/>
      <c r="E1156" s="9"/>
      <c r="F1156" s="9"/>
      <c r="G1156" s="9"/>
      <c r="H1156" s="9"/>
      <c r="I1156" s="9"/>
      <c r="J1156" s="9"/>
      <c r="K1156" s="9"/>
      <c r="L1156" s="9"/>
    </row>
    <row r="1157" spans="1:12">
      <c r="A1157" s="9"/>
      <c r="B1157" s="9"/>
      <c r="C1157" s="9"/>
      <c r="D1157" s="9"/>
      <c r="E1157" s="9"/>
      <c r="F1157" s="9"/>
      <c r="G1157" s="9"/>
      <c r="H1157" s="9"/>
      <c r="I1157" s="9"/>
      <c r="J1157" s="9"/>
      <c r="K1157" s="9"/>
      <c r="L1157" s="9"/>
    </row>
    <row r="1158" spans="1:12" ht="15.75" thickBot="1">
      <c r="A1158" s="388"/>
      <c r="B1158" s="388"/>
      <c r="C1158" s="388"/>
      <c r="D1158" s="388"/>
      <c r="E1158" s="388"/>
      <c r="F1158" s="388"/>
      <c r="G1158" s="388"/>
      <c r="H1158" s="388"/>
      <c r="I1158" s="388"/>
      <c r="J1158" s="388"/>
      <c r="K1158" s="388"/>
      <c r="L1158" s="388"/>
    </row>
    <row r="1159" spans="1:12" ht="32.25">
      <c r="A1159" s="388"/>
      <c r="B1159" s="1163" t="s">
        <v>590</v>
      </c>
      <c r="C1159" s="1164"/>
      <c r="D1159" s="1164"/>
      <c r="E1159" s="1164"/>
      <c r="F1159" s="1164"/>
      <c r="G1159" s="1164"/>
      <c r="H1159" s="1164"/>
      <c r="I1159" s="1164"/>
      <c r="J1159" s="1164"/>
      <c r="K1159" s="1164"/>
      <c r="L1159" s="1165"/>
    </row>
    <row r="1160" spans="1:12" ht="23.25">
      <c r="A1160" s="388"/>
      <c r="B1160" s="1166" t="s">
        <v>107</v>
      </c>
      <c r="C1160" s="1167"/>
      <c r="D1160" s="1167"/>
      <c r="E1160" s="1167"/>
      <c r="F1160" s="1167"/>
      <c r="G1160" s="1167"/>
      <c r="H1160" s="1167"/>
      <c r="I1160" s="1167"/>
      <c r="J1160" s="1167"/>
      <c r="K1160" s="1167"/>
      <c r="L1160" s="1168"/>
    </row>
    <row r="1161" spans="1:12" ht="16.5" thickBot="1">
      <c r="A1161" s="388"/>
      <c r="B1161" s="1169" t="s">
        <v>591</v>
      </c>
      <c r="C1161" s="1170"/>
      <c r="D1161" s="1170"/>
      <c r="E1161" s="1170"/>
      <c r="F1161" s="1170"/>
      <c r="G1161" s="1170"/>
      <c r="H1161" s="1170"/>
      <c r="I1161" s="1170"/>
      <c r="J1161" s="1170"/>
      <c r="K1161" s="1170"/>
      <c r="L1161" s="1171"/>
    </row>
    <row r="1162" spans="1:12">
      <c r="A1162" s="388"/>
      <c r="B1162" s="1172" t="s">
        <v>108</v>
      </c>
      <c r="C1162" s="1173"/>
      <c r="D1162" s="1173"/>
      <c r="E1162" s="1173"/>
      <c r="F1162" s="1173"/>
      <c r="G1162" s="388"/>
      <c r="H1162" s="1174" t="s">
        <v>109</v>
      </c>
      <c r="I1162" s="1174"/>
      <c r="J1162" s="1174"/>
      <c r="K1162" s="1174"/>
      <c r="L1162" s="1175"/>
    </row>
    <row r="1163" spans="1:12" ht="15.75" thickBot="1">
      <c r="A1163" s="388"/>
      <c r="B1163" s="1172"/>
      <c r="C1163" s="1173"/>
      <c r="D1163" s="1173"/>
      <c r="E1163" s="1173"/>
      <c r="F1163" s="1173"/>
      <c r="G1163" s="388"/>
      <c r="H1163" s="1174"/>
      <c r="I1163" s="1174"/>
      <c r="J1163" s="1174"/>
      <c r="K1163" s="1174"/>
      <c r="L1163" s="1175"/>
    </row>
    <row r="1164" spans="1:12">
      <c r="A1164" s="388"/>
      <c r="B1164" s="74"/>
      <c r="C1164" s="75"/>
      <c r="D1164" s="75"/>
      <c r="E1164" s="75"/>
      <c r="F1164" s="76"/>
      <c r="G1164" s="388"/>
      <c r="H1164" s="74"/>
      <c r="I1164" s="75"/>
      <c r="J1164" s="75"/>
      <c r="K1164" s="75"/>
      <c r="L1164" s="76"/>
    </row>
    <row r="1165" spans="1:12">
      <c r="A1165" s="388"/>
      <c r="B1165" s="419" t="s">
        <v>382</v>
      </c>
      <c r="C1165" s="388"/>
      <c r="D1165" s="388"/>
      <c r="E1165" s="388"/>
      <c r="F1165" s="14"/>
      <c r="G1165" s="388"/>
      <c r="H1165" s="419" t="s">
        <v>382</v>
      </c>
      <c r="I1165" s="388"/>
      <c r="J1165" s="388"/>
      <c r="K1165" s="388"/>
      <c r="L1165" s="14"/>
    </row>
    <row r="1166" spans="1:12">
      <c r="A1166" s="388"/>
      <c r="B1166" s="421" t="s">
        <v>383</v>
      </c>
      <c r="C1166" s="388"/>
      <c r="D1166" s="388"/>
      <c r="E1166" s="388"/>
      <c r="F1166" s="14"/>
      <c r="G1166" s="388"/>
      <c r="H1166" s="421" t="s">
        <v>383</v>
      </c>
      <c r="I1166" s="388"/>
      <c r="J1166" s="388"/>
      <c r="K1166" s="388"/>
      <c r="L1166" s="14"/>
    </row>
    <row r="1167" spans="1:12">
      <c r="A1167" s="388"/>
      <c r="B1167" s="77"/>
      <c r="C1167" s="388"/>
      <c r="D1167" s="388"/>
      <c r="E1167" s="388"/>
      <c r="F1167" s="14"/>
      <c r="G1167" s="388"/>
      <c r="H1167" s="77"/>
      <c r="I1167" s="388"/>
      <c r="J1167" s="388"/>
      <c r="K1167" s="388"/>
      <c r="L1167" s="14"/>
    </row>
    <row r="1168" spans="1:12" ht="15.75" thickBot="1">
      <c r="A1168" s="388"/>
      <c r="B1168" s="25"/>
      <c r="C1168" s="23"/>
      <c r="D1168" s="23"/>
      <c r="E1168" s="23"/>
      <c r="F1168" s="24"/>
      <c r="G1168" s="388"/>
      <c r="H1168" s="25"/>
      <c r="I1168" s="23"/>
      <c r="J1168" s="23"/>
      <c r="K1168" s="23"/>
      <c r="L1168" s="24"/>
    </row>
    <row r="1169" spans="1:12">
      <c r="A1169" s="388"/>
      <c r="B1169" s="13"/>
      <c r="C1169" s="388"/>
      <c r="D1169" s="388"/>
      <c r="E1169" s="388"/>
      <c r="F1169" s="388"/>
      <c r="G1169" s="388"/>
      <c r="H1169" s="388"/>
      <c r="I1169" s="388"/>
      <c r="J1169" s="388" t="s">
        <v>110</v>
      </c>
      <c r="K1169" s="388"/>
      <c r="L1169" s="14"/>
    </row>
    <row r="1170" spans="1:12">
      <c r="A1170" s="388"/>
      <c r="B1170" s="1176" t="s">
        <v>111</v>
      </c>
      <c r="C1170" s="1177"/>
      <c r="D1170" s="1177"/>
      <c r="E1170" s="1177"/>
      <c r="F1170" s="1177"/>
      <c r="G1170" s="388"/>
      <c r="H1170" s="1177" t="s">
        <v>4</v>
      </c>
      <c r="I1170" s="1177"/>
      <c r="J1170" s="1177"/>
      <c r="K1170" s="1177"/>
      <c r="L1170" s="1178"/>
    </row>
    <row r="1171" spans="1:12" ht="15.75" thickBot="1">
      <c r="A1171" s="388"/>
      <c r="B1171" s="13"/>
      <c r="C1171" s="388"/>
      <c r="D1171" s="388"/>
      <c r="E1171" s="388"/>
      <c r="F1171" s="388"/>
      <c r="G1171" s="388"/>
      <c r="H1171" s="388"/>
      <c r="I1171" s="388"/>
      <c r="J1171" s="388"/>
      <c r="K1171" s="388"/>
      <c r="L1171" s="14"/>
    </row>
    <row r="1172" spans="1:12">
      <c r="A1172" s="388"/>
      <c r="B1172" s="74"/>
      <c r="C1172" s="75"/>
      <c r="D1172" s="75"/>
      <c r="E1172" s="75"/>
      <c r="F1172" s="76"/>
      <c r="G1172" s="388"/>
      <c r="H1172" s="78"/>
      <c r="I1172" s="79"/>
      <c r="J1172" s="79"/>
      <c r="K1172" s="79"/>
      <c r="L1172" s="80"/>
    </row>
    <row r="1173" spans="1:12">
      <c r="A1173" s="388"/>
      <c r="B1173" s="13"/>
      <c r="C1173" s="388"/>
      <c r="D1173" s="388"/>
      <c r="E1173" s="388"/>
      <c r="F1173" s="14"/>
      <c r="G1173" s="388"/>
      <c r="H1173" s="680" t="s">
        <v>497</v>
      </c>
      <c r="I1173" s="2"/>
      <c r="J1173" s="2"/>
      <c r="K1173" s="2"/>
      <c r="L1173" s="81"/>
    </row>
    <row r="1174" spans="1:12">
      <c r="A1174" s="388"/>
      <c r="B1174" s="423" t="s">
        <v>373</v>
      </c>
      <c r="C1174" s="388"/>
      <c r="D1174" s="388"/>
      <c r="E1174" s="388"/>
      <c r="F1174" s="14"/>
      <c r="G1174" s="388"/>
      <c r="H1174" s="425" t="s">
        <v>490</v>
      </c>
      <c r="I1174" s="2"/>
      <c r="J1174" s="2"/>
      <c r="K1174" s="2"/>
      <c r="L1174" s="81"/>
    </row>
    <row r="1175" spans="1:12">
      <c r="A1175" s="388"/>
      <c r="B1175" s="13"/>
      <c r="C1175" s="388"/>
      <c r="D1175" s="388"/>
      <c r="E1175" s="388"/>
      <c r="F1175" s="14"/>
      <c r="G1175" s="388"/>
      <c r="H1175" s="77"/>
      <c r="I1175" s="2"/>
      <c r="J1175" s="2"/>
      <c r="K1175" s="2"/>
      <c r="L1175" s="81"/>
    </row>
    <row r="1176" spans="1:12" ht="15.75" thickBot="1">
      <c r="A1176" s="388"/>
      <c r="B1176" s="25"/>
      <c r="C1176" s="23"/>
      <c r="D1176" s="23"/>
      <c r="E1176" s="23"/>
      <c r="F1176" s="24"/>
      <c r="G1176" s="388"/>
      <c r="H1176" s="77"/>
      <c r="I1176" s="2"/>
      <c r="J1176" s="2"/>
      <c r="K1176" s="2"/>
      <c r="L1176" s="81"/>
    </row>
    <row r="1177" spans="1:12">
      <c r="A1177" s="388"/>
      <c r="B1177" s="1143" t="s">
        <v>112</v>
      </c>
      <c r="C1177" s="1144"/>
      <c r="D1177" s="1144"/>
      <c r="E1177" s="1144"/>
      <c r="F1177" s="1144"/>
      <c r="G1177" s="1145"/>
      <c r="H1177" s="1146">
        <f>'04-221Master'!B524</f>
        <v>0</v>
      </c>
      <c r="I1177" s="1147"/>
      <c r="J1177" s="1147"/>
      <c r="K1177" s="1147"/>
      <c r="L1177" s="1147"/>
    </row>
    <row r="1178" spans="1:12">
      <c r="A1178" s="388"/>
      <c r="B1178" s="1148"/>
      <c r="C1178" s="1149"/>
      <c r="D1178" s="1149"/>
      <c r="E1178" s="1149"/>
      <c r="F1178" s="1149"/>
      <c r="G1178" s="1149"/>
      <c r="H1178" s="1150">
        <f>'04-221Master'!G573</f>
        <v>0</v>
      </c>
      <c r="I1178" s="1150"/>
      <c r="J1178" s="1150"/>
      <c r="K1178" s="1150"/>
      <c r="L1178" s="1150"/>
    </row>
    <row r="1179" spans="1:12">
      <c r="A1179" s="388"/>
      <c r="B1179" s="1152" t="s">
        <v>113</v>
      </c>
      <c r="C1179" s="1153"/>
      <c r="D1179" s="1153"/>
      <c r="E1179" s="1153"/>
      <c r="F1179" s="1153"/>
      <c r="G1179" s="1153"/>
      <c r="H1179" s="1154">
        <f>'04-221Master'!AY573</f>
        <v>0</v>
      </c>
      <c r="I1179" s="1155"/>
      <c r="J1179" s="1155"/>
      <c r="K1179" s="1155"/>
      <c r="L1179" s="1156"/>
    </row>
    <row r="1180" spans="1:12">
      <c r="A1180" s="388"/>
      <c r="B1180" s="1143" t="s">
        <v>114</v>
      </c>
      <c r="C1180" s="1144"/>
      <c r="D1180" s="1144"/>
      <c r="E1180" s="1144"/>
      <c r="F1180" s="1144"/>
      <c r="G1180" s="1144"/>
      <c r="H1180" s="1146">
        <f>'04-221Master'!F573</f>
        <v>0</v>
      </c>
      <c r="I1180" s="1147"/>
      <c r="J1180" s="1147"/>
      <c r="K1180" s="1147"/>
      <c r="L1180" s="1151"/>
    </row>
    <row r="1181" spans="1:12">
      <c r="A1181" s="388"/>
      <c r="B1181" s="1143" t="s">
        <v>115</v>
      </c>
      <c r="C1181" s="1144"/>
      <c r="D1181" s="1144"/>
      <c r="E1181" s="1144"/>
      <c r="F1181" s="1144"/>
      <c r="G1181" s="1144"/>
      <c r="H1181" s="1157">
        <f>'04-221Master'!N573</f>
        <v>0</v>
      </c>
      <c r="I1181" s="1158"/>
      <c r="J1181" s="1158"/>
      <c r="K1181" s="1158"/>
      <c r="L1181" s="1159"/>
    </row>
    <row r="1182" spans="1:12">
      <c r="A1182" s="388"/>
      <c r="B1182" s="399" t="s">
        <v>116</v>
      </c>
      <c r="C1182" s="87"/>
      <c r="D1182" s="87"/>
      <c r="E1182" s="87"/>
      <c r="F1182" s="87"/>
      <c r="G1182" s="87"/>
      <c r="H1182" s="869"/>
      <c r="I1182" s="89"/>
      <c r="J1182" s="389">
        <f>'04-221Master'!T573</f>
        <v>0</v>
      </c>
      <c r="K1182" s="866"/>
      <c r="L1182" s="868"/>
    </row>
    <row r="1183" spans="1:12">
      <c r="A1183" s="388"/>
      <c r="B1183" s="399" t="s">
        <v>117</v>
      </c>
      <c r="C1183" s="87"/>
      <c r="D1183" s="87"/>
      <c r="E1183" s="87"/>
      <c r="F1183" s="87"/>
      <c r="G1183" s="429"/>
      <c r="H1183" s="92"/>
      <c r="I1183" s="93"/>
      <c r="J1183" s="389">
        <f>'04-221Master'!S573</f>
        <v>0</v>
      </c>
      <c r="K1183" s="93"/>
      <c r="L1183" s="94"/>
    </row>
    <row r="1184" spans="1:12">
      <c r="A1184" s="388"/>
      <c r="B1184" s="1160" t="s">
        <v>118</v>
      </c>
      <c r="C1184" s="1161"/>
      <c r="D1184" s="1161"/>
      <c r="E1184" s="1161"/>
      <c r="F1184" s="1161"/>
      <c r="G1184" s="1161"/>
      <c r="H1184" s="1154">
        <f>'04-221Master'!Y573</f>
        <v>0</v>
      </c>
      <c r="I1184" s="1155"/>
      <c r="J1184" s="1155"/>
      <c r="K1184" s="1155"/>
      <c r="L1184" s="1156"/>
    </row>
    <row r="1185" spans="1:12">
      <c r="A1185" s="388"/>
      <c r="B1185" s="1143" t="s">
        <v>119</v>
      </c>
      <c r="C1185" s="1144"/>
      <c r="D1185" s="1144"/>
      <c r="E1185" s="1144"/>
      <c r="F1185" s="1144"/>
      <c r="G1185" s="1144"/>
      <c r="H1185" s="1162">
        <f>'04-221Master'!D495</f>
        <v>0</v>
      </c>
      <c r="I1185" s="1147"/>
      <c r="J1185" s="1147"/>
      <c r="K1185" s="1147"/>
      <c r="L1185" s="1151"/>
    </row>
    <row r="1186" spans="1:12">
      <c r="A1186" s="388"/>
      <c r="B1186" s="1143" t="s">
        <v>120</v>
      </c>
      <c r="C1186" s="1144"/>
      <c r="D1186" s="1144"/>
      <c r="E1186" s="1144"/>
      <c r="F1186" s="1144"/>
      <c r="G1186" s="1144"/>
      <c r="H1186" s="1147" t="s">
        <v>121</v>
      </c>
      <c r="I1186" s="1147"/>
      <c r="J1186" s="1147"/>
      <c r="K1186" s="1147"/>
      <c r="L1186" s="1151"/>
    </row>
    <row r="1187" spans="1:12">
      <c r="A1187" s="388"/>
      <c r="B1187" s="399" t="s">
        <v>122</v>
      </c>
      <c r="C1187" s="87"/>
      <c r="D1187" s="87"/>
      <c r="E1187" s="87"/>
      <c r="F1187" s="87"/>
      <c r="G1187" s="429"/>
      <c r="H1187" s="869"/>
      <c r="I1187" s="866"/>
      <c r="J1187" s="96">
        <f>'04-221Master'!W573</f>
        <v>0</v>
      </c>
      <c r="K1187" s="866"/>
      <c r="L1187" s="868"/>
    </row>
    <row r="1188" spans="1:12">
      <c r="A1188" s="388"/>
      <c r="B1188" s="399" t="s">
        <v>123</v>
      </c>
      <c r="C1188" s="87"/>
      <c r="D1188" s="87"/>
      <c r="E1188" s="87"/>
      <c r="F1188" s="87"/>
      <c r="G1188" s="429"/>
      <c r="H1188" s="869"/>
      <c r="I1188" s="866"/>
      <c r="J1188" s="866" t="s">
        <v>37</v>
      </c>
      <c r="K1188" s="866"/>
      <c r="L1188" s="868"/>
    </row>
    <row r="1189" spans="1:12">
      <c r="A1189" s="388"/>
      <c r="B1189" s="399" t="s">
        <v>124</v>
      </c>
      <c r="C1189" s="87"/>
      <c r="D1189" s="87"/>
      <c r="E1189" s="87"/>
      <c r="F1189" s="87"/>
      <c r="G1189" s="429"/>
      <c r="H1189" s="869"/>
      <c r="I1189" s="866"/>
      <c r="J1189" s="96">
        <v>0</v>
      </c>
      <c r="K1189" s="866"/>
      <c r="L1189" s="868"/>
    </row>
    <row r="1190" spans="1:12">
      <c r="A1190" s="388"/>
      <c r="B1190" s="399" t="s">
        <v>125</v>
      </c>
      <c r="C1190" s="87"/>
      <c r="D1190" s="87"/>
      <c r="E1190" s="87"/>
      <c r="F1190" s="87"/>
      <c r="G1190" s="429"/>
      <c r="H1190" s="869"/>
      <c r="I1190" s="866"/>
      <c r="J1190" s="866">
        <v>0</v>
      </c>
      <c r="K1190" s="866"/>
      <c r="L1190" s="868"/>
    </row>
    <row r="1191" spans="1:12">
      <c r="A1191" s="388"/>
      <c r="B1191" s="399" t="s">
        <v>126</v>
      </c>
      <c r="C1191" s="87"/>
      <c r="D1191" s="87"/>
      <c r="E1191" s="87"/>
      <c r="F1191" s="87"/>
      <c r="G1191" s="429"/>
      <c r="H1191" s="869"/>
      <c r="I1191" s="866"/>
      <c r="J1191" s="604">
        <f>'04-221Master'!AM524</f>
        <v>0</v>
      </c>
      <c r="K1191" s="866"/>
      <c r="L1191" s="868" t="s">
        <v>585</v>
      </c>
    </row>
    <row r="1192" spans="1:12">
      <c r="A1192" s="388"/>
      <c r="B1192" s="399" t="s">
        <v>127</v>
      </c>
      <c r="C1192" s="87"/>
      <c r="D1192" s="864" t="s">
        <v>32</v>
      </c>
      <c r="E1192" s="865">
        <f>'04-221Master'!AO524</f>
        <v>0</v>
      </c>
      <c r="F1192" s="864" t="s">
        <v>31</v>
      </c>
      <c r="G1192" s="865">
        <f>'04-221Master'!AN573</f>
        <v>0</v>
      </c>
      <c r="H1192" s="864" t="s">
        <v>33</v>
      </c>
      <c r="I1192" s="865">
        <f>'04-221Master'!AP524</f>
        <v>0</v>
      </c>
      <c r="J1192" s="864" t="s">
        <v>34</v>
      </c>
      <c r="K1192" s="865">
        <f>'04-221Master'!AQ524</f>
        <v>0</v>
      </c>
      <c r="L1192" s="103">
        <f>'04-221Master'!AR524</f>
        <v>0</v>
      </c>
    </row>
    <row r="1193" spans="1:12">
      <c r="A1193" s="388"/>
      <c r="B1193" s="399" t="s">
        <v>128</v>
      </c>
      <c r="C1193" s="87"/>
      <c r="D1193" s="87"/>
      <c r="E1193" s="87"/>
      <c r="F1193" s="87"/>
      <c r="G1193" s="429"/>
      <c r="H1193" s="869"/>
      <c r="I1193" s="866"/>
      <c r="J1193" s="96">
        <f>J1191-E1192-I1192-K1192-L1192</f>
        <v>0</v>
      </c>
      <c r="K1193" s="866"/>
      <c r="L1193" s="868"/>
    </row>
    <row r="1194" spans="1:12">
      <c r="A1194" s="388"/>
      <c r="B1194" s="400" t="s">
        <v>129</v>
      </c>
      <c r="C1194" s="401"/>
      <c r="D1194" s="401"/>
      <c r="E1194" s="401"/>
      <c r="F1194" s="401"/>
      <c r="G1194" s="402"/>
      <c r="H1194" s="403"/>
      <c r="I1194" s="404"/>
      <c r="J1194" s="404"/>
      <c r="K1194" s="404"/>
      <c r="L1194" s="98"/>
    </row>
    <row r="1195" spans="1:12">
      <c r="A1195" s="388"/>
      <c r="B1195" s="426" t="s">
        <v>130</v>
      </c>
      <c r="C1195" s="2"/>
      <c r="D1195" s="2"/>
      <c r="E1195" s="2"/>
      <c r="F1195" s="2"/>
      <c r="G1195" s="427"/>
      <c r="H1195" s="71"/>
      <c r="I1195" s="388"/>
      <c r="J1195" s="388"/>
      <c r="K1195" s="388"/>
      <c r="L1195" s="14"/>
    </row>
    <row r="1196" spans="1:12">
      <c r="A1196" s="388"/>
      <c r="B1196" s="13"/>
      <c r="C1196" s="388"/>
      <c r="D1196" s="388"/>
      <c r="E1196" s="388"/>
      <c r="F1196" s="388"/>
      <c r="G1196" s="388"/>
      <c r="H1196" s="388"/>
      <c r="I1196" s="388"/>
      <c r="J1196" s="388"/>
      <c r="K1196" s="388"/>
      <c r="L1196" s="14"/>
    </row>
    <row r="1197" spans="1:12" ht="15.75" thickBot="1">
      <c r="A1197" s="388"/>
      <c r="B1197" s="25"/>
      <c r="C1197" s="23"/>
      <c r="D1197" s="23"/>
      <c r="E1197" s="23"/>
      <c r="F1197" s="23"/>
      <c r="G1197" s="23"/>
      <c r="H1197" s="23"/>
      <c r="I1197" s="23"/>
      <c r="J1197" s="23"/>
      <c r="K1197" s="23"/>
      <c r="L1197" s="24"/>
    </row>
    <row r="1198" spans="1:12">
      <c r="A1198" s="388"/>
      <c r="B1198" s="388"/>
      <c r="C1198" s="388"/>
      <c r="D1198" s="388"/>
      <c r="E1198" s="388"/>
      <c r="F1198" s="388"/>
      <c r="G1198" s="388"/>
      <c r="H1198" s="388"/>
      <c r="I1198" s="388"/>
      <c r="J1198" s="388"/>
      <c r="K1198" s="388"/>
      <c r="L1198" s="388"/>
    </row>
    <row r="1199" spans="1:12">
      <c r="A1199" s="388"/>
      <c r="B1199" s="388"/>
      <c r="C1199" s="388"/>
      <c r="D1199" s="388"/>
      <c r="E1199" s="388"/>
      <c r="F1199" s="388"/>
      <c r="G1199" s="388"/>
      <c r="H1199" s="388"/>
      <c r="I1199" s="388"/>
      <c r="J1199" s="388"/>
      <c r="K1199" s="388"/>
      <c r="L1199" s="388"/>
    </row>
    <row r="1200" spans="1:12">
      <c r="A1200" s="388"/>
      <c r="B1200" s="388"/>
      <c r="C1200" s="388"/>
      <c r="D1200" s="388"/>
      <c r="E1200" s="388"/>
      <c r="F1200" s="388"/>
      <c r="G1200" s="388"/>
      <c r="H1200" s="388"/>
      <c r="I1200" s="388"/>
      <c r="J1200" s="388"/>
      <c r="K1200" s="388"/>
      <c r="L1200" s="388"/>
    </row>
    <row r="1201" spans="1:12">
      <c r="A1201" s="388"/>
      <c r="B1201" s="388"/>
      <c r="C1201" s="388"/>
      <c r="D1201" s="388"/>
      <c r="E1201" s="388"/>
      <c r="F1201" s="388"/>
      <c r="G1201" s="388"/>
      <c r="H1201" s="388"/>
      <c r="I1201" s="388"/>
      <c r="J1201" s="388"/>
      <c r="K1201" s="388"/>
      <c r="L1201" s="388"/>
    </row>
    <row r="1202" spans="1:12">
      <c r="A1202" s="388"/>
      <c r="B1202" s="388"/>
      <c r="C1202" s="388"/>
      <c r="D1202" s="388"/>
      <c r="E1202" s="388"/>
      <c r="F1202" s="388"/>
      <c r="G1202" s="388"/>
      <c r="H1202" s="388"/>
      <c r="I1202" s="388"/>
      <c r="J1202" s="388"/>
      <c r="K1202" s="388"/>
      <c r="L1202" s="388"/>
    </row>
    <row r="1203" spans="1:12">
      <c r="A1203" s="388"/>
      <c r="B1203" s="388"/>
      <c r="C1203" s="388"/>
      <c r="D1203" s="388"/>
      <c r="E1203" s="388"/>
      <c r="F1203" s="388"/>
      <c r="G1203" s="388"/>
      <c r="H1203" s="388"/>
      <c r="I1203" s="388"/>
      <c r="J1203" s="388"/>
      <c r="K1203" s="388"/>
      <c r="L1203" s="388"/>
    </row>
    <row r="1204" spans="1:12">
      <c r="A1204" s="388"/>
      <c r="B1204" s="388"/>
      <c r="C1204" s="388"/>
      <c r="D1204" s="388"/>
      <c r="E1204" s="388"/>
      <c r="F1204" s="388"/>
      <c r="G1204" s="388"/>
      <c r="H1204" s="388"/>
      <c r="I1204" s="388"/>
      <c r="J1204" s="388"/>
      <c r="K1204" s="388"/>
      <c r="L1204" s="388"/>
    </row>
    <row r="1205" spans="1:12">
      <c r="A1205" s="388"/>
      <c r="B1205" s="388"/>
      <c r="C1205" s="388"/>
      <c r="D1205" s="388"/>
      <c r="E1205" s="388"/>
      <c r="F1205" s="388"/>
      <c r="G1205" s="388"/>
      <c r="H1205" s="388"/>
      <c r="I1205" s="388"/>
      <c r="J1205" s="388"/>
      <c r="K1205" s="388"/>
      <c r="L1205" s="388"/>
    </row>
    <row r="1206" spans="1:12">
      <c r="A1206" s="388"/>
      <c r="B1206" s="388"/>
      <c r="C1206" s="388"/>
      <c r="D1206" s="388"/>
      <c r="E1206" s="388"/>
      <c r="F1206" s="388"/>
      <c r="G1206" s="388"/>
      <c r="H1206" s="388"/>
      <c r="I1206" s="388"/>
      <c r="J1206" s="388"/>
      <c r="K1206" s="388"/>
      <c r="L1206" s="388"/>
    </row>
    <row r="1207" spans="1:12">
      <c r="A1207" s="388"/>
      <c r="B1207" s="388"/>
      <c r="C1207" s="388"/>
      <c r="D1207" s="388"/>
      <c r="E1207" s="388"/>
      <c r="F1207" s="388"/>
      <c r="G1207" s="388"/>
      <c r="H1207" s="388"/>
      <c r="I1207" s="388"/>
      <c r="J1207" s="388"/>
      <c r="K1207" s="388"/>
      <c r="L1207" s="388"/>
    </row>
    <row r="1208" spans="1:12" ht="15.75" thickBot="1">
      <c r="A1208" s="388"/>
      <c r="B1208" s="388"/>
      <c r="C1208" s="388"/>
      <c r="D1208" s="388"/>
      <c r="E1208" s="388"/>
      <c r="F1208" s="388"/>
      <c r="G1208" s="388"/>
      <c r="H1208" s="388"/>
      <c r="I1208" s="388"/>
      <c r="J1208" s="388"/>
      <c r="K1208" s="388"/>
      <c r="L1208" s="388"/>
    </row>
    <row r="1209" spans="1:12" ht="32.25">
      <c r="A1209" s="388"/>
      <c r="B1209" s="1163" t="s">
        <v>590</v>
      </c>
      <c r="C1209" s="1164"/>
      <c r="D1209" s="1164"/>
      <c r="E1209" s="1164"/>
      <c r="F1209" s="1164"/>
      <c r="G1209" s="1164"/>
      <c r="H1209" s="1164"/>
      <c r="I1209" s="1164"/>
      <c r="J1209" s="1164"/>
      <c r="K1209" s="1164"/>
      <c r="L1209" s="1165"/>
    </row>
    <row r="1210" spans="1:12" ht="23.25">
      <c r="A1210" s="388"/>
      <c r="B1210" s="1166" t="s">
        <v>107</v>
      </c>
      <c r="C1210" s="1167"/>
      <c r="D1210" s="1167"/>
      <c r="E1210" s="1167"/>
      <c r="F1210" s="1167"/>
      <c r="G1210" s="1167"/>
      <c r="H1210" s="1167"/>
      <c r="I1210" s="1167"/>
      <c r="J1210" s="1167"/>
      <c r="K1210" s="1167"/>
      <c r="L1210" s="1168"/>
    </row>
    <row r="1211" spans="1:12" ht="16.5" thickBot="1">
      <c r="A1211" s="388"/>
      <c r="B1211" s="1169" t="s">
        <v>591</v>
      </c>
      <c r="C1211" s="1170"/>
      <c r="D1211" s="1170"/>
      <c r="E1211" s="1170"/>
      <c r="F1211" s="1170"/>
      <c r="G1211" s="1170"/>
      <c r="H1211" s="1170"/>
      <c r="I1211" s="1170"/>
      <c r="J1211" s="1170"/>
      <c r="K1211" s="1170"/>
      <c r="L1211" s="1171"/>
    </row>
    <row r="1212" spans="1:12">
      <c r="A1212" s="388"/>
      <c r="B1212" s="1172" t="s">
        <v>108</v>
      </c>
      <c r="C1212" s="1173"/>
      <c r="D1212" s="1173"/>
      <c r="E1212" s="1173"/>
      <c r="F1212" s="1173"/>
      <c r="G1212" s="388"/>
      <c r="H1212" s="1174" t="s">
        <v>109</v>
      </c>
      <c r="I1212" s="1174"/>
      <c r="J1212" s="1174"/>
      <c r="K1212" s="1174"/>
      <c r="L1212" s="1175"/>
    </row>
    <row r="1213" spans="1:12" ht="15.75" thickBot="1">
      <c r="A1213" s="388"/>
      <c r="B1213" s="1172"/>
      <c r="C1213" s="1173"/>
      <c r="D1213" s="1173"/>
      <c r="E1213" s="1173"/>
      <c r="F1213" s="1173"/>
      <c r="G1213" s="388"/>
      <c r="H1213" s="1174"/>
      <c r="I1213" s="1174"/>
      <c r="J1213" s="1174"/>
      <c r="K1213" s="1174"/>
      <c r="L1213" s="1175"/>
    </row>
    <row r="1214" spans="1:12">
      <c r="A1214" s="388"/>
      <c r="B1214" s="74"/>
      <c r="C1214" s="75"/>
      <c r="D1214" s="75"/>
      <c r="E1214" s="75"/>
      <c r="F1214" s="76"/>
      <c r="G1214" s="388"/>
      <c r="H1214" s="74"/>
      <c r="I1214" s="75"/>
      <c r="J1214" s="75"/>
      <c r="K1214" s="75"/>
      <c r="L1214" s="76"/>
    </row>
    <row r="1215" spans="1:12">
      <c r="A1215" s="388"/>
      <c r="B1215" s="419" t="s">
        <v>382</v>
      </c>
      <c r="C1215" s="388"/>
      <c r="D1215" s="388"/>
      <c r="E1215" s="388"/>
      <c r="F1215" s="14"/>
      <c r="G1215" s="388"/>
      <c r="H1215" s="419" t="s">
        <v>382</v>
      </c>
      <c r="I1215" s="388"/>
      <c r="J1215" s="388"/>
      <c r="K1215" s="388"/>
      <c r="L1215" s="14"/>
    </row>
    <row r="1216" spans="1:12">
      <c r="A1216" s="388"/>
      <c r="B1216" s="421" t="s">
        <v>383</v>
      </c>
      <c r="C1216" s="388"/>
      <c r="D1216" s="388"/>
      <c r="E1216" s="388"/>
      <c r="F1216" s="14"/>
      <c r="G1216" s="388"/>
      <c r="H1216" s="421" t="s">
        <v>383</v>
      </c>
      <c r="I1216" s="388"/>
      <c r="J1216" s="388"/>
      <c r="K1216" s="388"/>
      <c r="L1216" s="14"/>
    </row>
    <row r="1217" spans="1:12">
      <c r="A1217" s="388"/>
      <c r="B1217" s="77"/>
      <c r="C1217" s="388"/>
      <c r="D1217" s="388"/>
      <c r="E1217" s="388"/>
      <c r="F1217" s="14"/>
      <c r="G1217" s="388"/>
      <c r="H1217" s="77"/>
      <c r="I1217" s="388"/>
      <c r="J1217" s="388"/>
      <c r="K1217" s="388"/>
      <c r="L1217" s="14"/>
    </row>
    <row r="1218" spans="1:12" ht="15.75" thickBot="1">
      <c r="A1218" s="388"/>
      <c r="B1218" s="25"/>
      <c r="C1218" s="23"/>
      <c r="D1218" s="23"/>
      <c r="E1218" s="23"/>
      <c r="F1218" s="24"/>
      <c r="G1218" s="388"/>
      <c r="H1218" s="25"/>
      <c r="I1218" s="23"/>
      <c r="J1218" s="23"/>
      <c r="K1218" s="23"/>
      <c r="L1218" s="24"/>
    </row>
    <row r="1219" spans="1:12">
      <c r="A1219" s="388"/>
      <c r="B1219" s="13"/>
      <c r="C1219" s="388"/>
      <c r="D1219" s="388"/>
      <c r="E1219" s="388"/>
      <c r="F1219" s="388"/>
      <c r="G1219" s="388"/>
      <c r="H1219" s="388"/>
      <c r="I1219" s="388"/>
      <c r="J1219" s="388" t="s">
        <v>110</v>
      </c>
      <c r="K1219" s="388"/>
      <c r="L1219" s="14"/>
    </row>
    <row r="1220" spans="1:12">
      <c r="A1220" s="388"/>
      <c r="B1220" s="1176" t="s">
        <v>111</v>
      </c>
      <c r="C1220" s="1177"/>
      <c r="D1220" s="1177"/>
      <c r="E1220" s="1177"/>
      <c r="F1220" s="1177"/>
      <c r="G1220" s="388"/>
      <c r="H1220" s="1177" t="s">
        <v>4</v>
      </c>
      <c r="I1220" s="1177"/>
      <c r="J1220" s="1177"/>
      <c r="K1220" s="1177"/>
      <c r="L1220" s="1178"/>
    </row>
    <row r="1221" spans="1:12" ht="15.75" thickBot="1">
      <c r="A1221" s="388"/>
      <c r="B1221" s="13"/>
      <c r="C1221" s="388"/>
      <c r="D1221" s="388"/>
      <c r="E1221" s="388"/>
      <c r="F1221" s="388"/>
      <c r="G1221" s="388"/>
      <c r="H1221" s="388"/>
      <c r="I1221" s="388"/>
      <c r="J1221" s="388"/>
      <c r="K1221" s="388"/>
      <c r="L1221" s="14"/>
    </row>
    <row r="1222" spans="1:12">
      <c r="A1222" s="388"/>
      <c r="B1222" s="74"/>
      <c r="C1222" s="75"/>
      <c r="D1222" s="75"/>
      <c r="E1222" s="75"/>
      <c r="F1222" s="76"/>
      <c r="G1222" s="388"/>
      <c r="H1222" s="78"/>
      <c r="I1222" s="79"/>
      <c r="J1222" s="79"/>
      <c r="K1222" s="79"/>
      <c r="L1222" s="80"/>
    </row>
    <row r="1223" spans="1:12">
      <c r="A1223" s="388"/>
      <c r="B1223" s="13"/>
      <c r="C1223" s="388"/>
      <c r="D1223" s="388"/>
      <c r="E1223" s="388"/>
      <c r="F1223" s="14"/>
      <c r="G1223" s="388"/>
      <c r="H1223" s="680" t="s">
        <v>497</v>
      </c>
      <c r="I1223" s="2"/>
      <c r="J1223" s="2"/>
      <c r="K1223" s="2"/>
      <c r="L1223" s="81"/>
    </row>
    <row r="1224" spans="1:12">
      <c r="A1224" s="388"/>
      <c r="B1224" s="423" t="s">
        <v>373</v>
      </c>
      <c r="C1224" s="388"/>
      <c r="D1224" s="388"/>
      <c r="E1224" s="388"/>
      <c r="F1224" s="14"/>
      <c r="G1224" s="388"/>
      <c r="H1224" s="425" t="s">
        <v>490</v>
      </c>
      <c r="I1224" s="2"/>
      <c r="J1224" s="2"/>
      <c r="K1224" s="2"/>
      <c r="L1224" s="81"/>
    </row>
    <row r="1225" spans="1:12">
      <c r="A1225" s="388"/>
      <c r="B1225" s="13"/>
      <c r="C1225" s="388"/>
      <c r="D1225" s="388"/>
      <c r="E1225" s="388"/>
      <c r="F1225" s="14"/>
      <c r="G1225" s="388"/>
      <c r="H1225" s="77"/>
      <c r="I1225" s="2"/>
      <c r="J1225" s="2"/>
      <c r="K1225" s="2"/>
      <c r="L1225" s="81"/>
    </row>
    <row r="1226" spans="1:12" ht="15.75" thickBot="1">
      <c r="A1226" s="388"/>
      <c r="B1226" s="25"/>
      <c r="C1226" s="23"/>
      <c r="D1226" s="23"/>
      <c r="E1226" s="23"/>
      <c r="F1226" s="24"/>
      <c r="G1226" s="388"/>
      <c r="H1226" s="77"/>
      <c r="I1226" s="2"/>
      <c r="J1226" s="2"/>
      <c r="K1226" s="2"/>
      <c r="L1226" s="81"/>
    </row>
    <row r="1227" spans="1:12">
      <c r="A1227" s="388"/>
      <c r="B1227" s="1143" t="s">
        <v>112</v>
      </c>
      <c r="C1227" s="1144"/>
      <c r="D1227" s="1144"/>
      <c r="E1227" s="1144"/>
      <c r="F1227" s="1144"/>
      <c r="G1227" s="1145"/>
      <c r="H1227" s="1146">
        <f>'04-221Master'!B574</f>
        <v>0</v>
      </c>
      <c r="I1227" s="1147"/>
      <c r="J1227" s="1147"/>
      <c r="K1227" s="1147"/>
      <c r="L1227" s="1147"/>
    </row>
    <row r="1228" spans="1:12">
      <c r="A1228" s="388"/>
      <c r="B1228" s="1148"/>
      <c r="C1228" s="1149"/>
      <c r="D1228" s="1149"/>
      <c r="E1228" s="1149"/>
      <c r="F1228" s="1149"/>
      <c r="G1228" s="1149"/>
      <c r="H1228" s="1150">
        <f>'04-221Master'!G623</f>
        <v>0</v>
      </c>
      <c r="I1228" s="1150"/>
      <c r="J1228" s="1150"/>
      <c r="K1228" s="1150"/>
      <c r="L1228" s="1150"/>
    </row>
    <row r="1229" spans="1:12">
      <c r="A1229" s="388"/>
      <c r="B1229" s="1152" t="s">
        <v>113</v>
      </c>
      <c r="C1229" s="1153"/>
      <c r="D1229" s="1153"/>
      <c r="E1229" s="1153"/>
      <c r="F1229" s="1153"/>
      <c r="G1229" s="1153"/>
      <c r="H1229" s="1154">
        <f>'04-221Master'!AY623</f>
        <v>0</v>
      </c>
      <c r="I1229" s="1155"/>
      <c r="J1229" s="1155"/>
      <c r="K1229" s="1155"/>
      <c r="L1229" s="1156"/>
    </row>
    <row r="1230" spans="1:12">
      <c r="A1230" s="388"/>
      <c r="B1230" s="1143" t="s">
        <v>114</v>
      </c>
      <c r="C1230" s="1144"/>
      <c r="D1230" s="1144"/>
      <c r="E1230" s="1144"/>
      <c r="F1230" s="1144"/>
      <c r="G1230" s="1144"/>
      <c r="H1230" s="1146">
        <f>'04-221Master'!F623</f>
        <v>0</v>
      </c>
      <c r="I1230" s="1147"/>
      <c r="J1230" s="1147"/>
      <c r="K1230" s="1147"/>
      <c r="L1230" s="1151"/>
    </row>
    <row r="1231" spans="1:12">
      <c r="A1231" s="388"/>
      <c r="B1231" s="1143" t="s">
        <v>115</v>
      </c>
      <c r="C1231" s="1144"/>
      <c r="D1231" s="1144"/>
      <c r="E1231" s="1144"/>
      <c r="F1231" s="1144"/>
      <c r="G1231" s="1144"/>
      <c r="H1231" s="1157">
        <f>'04-221Master'!N623</f>
        <v>0</v>
      </c>
      <c r="I1231" s="1158"/>
      <c r="J1231" s="1158"/>
      <c r="K1231" s="1158"/>
      <c r="L1231" s="1159"/>
    </row>
    <row r="1232" spans="1:12">
      <c r="A1232" s="388"/>
      <c r="B1232" s="399" t="s">
        <v>116</v>
      </c>
      <c r="C1232" s="87"/>
      <c r="D1232" s="87"/>
      <c r="E1232" s="87"/>
      <c r="F1232" s="87"/>
      <c r="G1232" s="87"/>
      <c r="H1232" s="869"/>
      <c r="I1232" s="89"/>
      <c r="J1232" s="389">
        <f>'04-221Master'!T623</f>
        <v>0</v>
      </c>
      <c r="K1232" s="866"/>
      <c r="L1232" s="868"/>
    </row>
    <row r="1233" spans="1:12">
      <c r="A1233" s="388"/>
      <c r="B1233" s="399" t="s">
        <v>117</v>
      </c>
      <c r="C1233" s="87"/>
      <c r="D1233" s="87"/>
      <c r="E1233" s="87"/>
      <c r="F1233" s="87"/>
      <c r="G1233" s="429"/>
      <c r="H1233" s="92"/>
      <c r="I1233" s="93"/>
      <c r="J1233" s="389">
        <f>'04-221Master'!S623</f>
        <v>0</v>
      </c>
      <c r="K1233" s="93"/>
      <c r="L1233" s="94"/>
    </row>
    <row r="1234" spans="1:12">
      <c r="A1234" s="388"/>
      <c r="B1234" s="1160" t="s">
        <v>118</v>
      </c>
      <c r="C1234" s="1161"/>
      <c r="D1234" s="1161"/>
      <c r="E1234" s="1161"/>
      <c r="F1234" s="1161"/>
      <c r="G1234" s="1161"/>
      <c r="H1234" s="1154">
        <f>'04-221Master'!Y623</f>
        <v>0</v>
      </c>
      <c r="I1234" s="1155"/>
      <c r="J1234" s="1155"/>
      <c r="K1234" s="1155"/>
      <c r="L1234" s="1156"/>
    </row>
    <row r="1235" spans="1:12">
      <c r="A1235" s="388"/>
      <c r="B1235" s="1143" t="s">
        <v>119</v>
      </c>
      <c r="C1235" s="1144"/>
      <c r="D1235" s="1144"/>
      <c r="E1235" s="1144"/>
      <c r="F1235" s="1144"/>
      <c r="G1235" s="1144"/>
      <c r="H1235" s="1162">
        <f>'04-221Master'!D545</f>
        <v>0</v>
      </c>
      <c r="I1235" s="1147"/>
      <c r="J1235" s="1147"/>
      <c r="K1235" s="1147"/>
      <c r="L1235" s="1151"/>
    </row>
    <row r="1236" spans="1:12">
      <c r="A1236" s="388"/>
      <c r="B1236" s="1143" t="s">
        <v>120</v>
      </c>
      <c r="C1236" s="1144"/>
      <c r="D1236" s="1144"/>
      <c r="E1236" s="1144"/>
      <c r="F1236" s="1144"/>
      <c r="G1236" s="1144"/>
      <c r="H1236" s="1147" t="s">
        <v>121</v>
      </c>
      <c r="I1236" s="1147"/>
      <c r="J1236" s="1147"/>
      <c r="K1236" s="1147"/>
      <c r="L1236" s="1151"/>
    </row>
    <row r="1237" spans="1:12">
      <c r="A1237" s="388"/>
      <c r="B1237" s="399" t="s">
        <v>122</v>
      </c>
      <c r="C1237" s="87"/>
      <c r="D1237" s="87"/>
      <c r="E1237" s="87"/>
      <c r="F1237" s="87"/>
      <c r="G1237" s="429"/>
      <c r="H1237" s="869"/>
      <c r="I1237" s="866"/>
      <c r="J1237" s="96">
        <f>'04-221Master'!W623</f>
        <v>0</v>
      </c>
      <c r="K1237" s="866"/>
      <c r="L1237" s="868"/>
    </row>
    <row r="1238" spans="1:12">
      <c r="A1238" s="388"/>
      <c r="B1238" s="399" t="s">
        <v>123</v>
      </c>
      <c r="C1238" s="87"/>
      <c r="D1238" s="87"/>
      <c r="E1238" s="87"/>
      <c r="F1238" s="87"/>
      <c r="G1238" s="429"/>
      <c r="H1238" s="869"/>
      <c r="I1238" s="866"/>
      <c r="J1238" s="866" t="s">
        <v>37</v>
      </c>
      <c r="K1238" s="866"/>
      <c r="L1238" s="868"/>
    </row>
    <row r="1239" spans="1:12">
      <c r="A1239" s="388"/>
      <c r="B1239" s="399" t="s">
        <v>124</v>
      </c>
      <c r="C1239" s="87"/>
      <c r="D1239" s="87"/>
      <c r="E1239" s="87"/>
      <c r="F1239" s="87"/>
      <c r="G1239" s="429"/>
      <c r="H1239" s="869"/>
      <c r="I1239" s="866"/>
      <c r="J1239" s="96">
        <v>0</v>
      </c>
      <c r="K1239" s="866"/>
      <c r="L1239" s="868"/>
    </row>
    <row r="1240" spans="1:12">
      <c r="A1240" s="388"/>
      <c r="B1240" s="399" t="s">
        <v>125</v>
      </c>
      <c r="C1240" s="87"/>
      <c r="D1240" s="87"/>
      <c r="E1240" s="87"/>
      <c r="F1240" s="87"/>
      <c r="G1240" s="429"/>
      <c r="H1240" s="869"/>
      <c r="I1240" s="866"/>
      <c r="J1240" s="866">
        <v>0</v>
      </c>
      <c r="K1240" s="866"/>
      <c r="L1240" s="868"/>
    </row>
    <row r="1241" spans="1:12">
      <c r="A1241" s="388"/>
      <c r="B1241" s="399" t="s">
        <v>126</v>
      </c>
      <c r="C1241" s="87"/>
      <c r="D1241" s="87"/>
      <c r="E1241" s="87"/>
      <c r="F1241" s="87"/>
      <c r="G1241" s="429"/>
      <c r="H1241" s="869"/>
      <c r="I1241" s="866"/>
      <c r="J1241" s="604">
        <f>'04-221Master'!AM574</f>
        <v>0</v>
      </c>
      <c r="K1241" s="866"/>
      <c r="L1241" s="868" t="s">
        <v>585</v>
      </c>
    </row>
    <row r="1242" spans="1:12">
      <c r="A1242" s="388"/>
      <c r="B1242" s="399" t="s">
        <v>127</v>
      </c>
      <c r="C1242" s="87"/>
      <c r="D1242" s="864" t="s">
        <v>32</v>
      </c>
      <c r="E1242" s="865">
        <f>'04-221Master'!AO574</f>
        <v>0</v>
      </c>
      <c r="F1242" s="864" t="s">
        <v>31</v>
      </c>
      <c r="G1242" s="865">
        <f>'04-221Master'!AN623</f>
        <v>0</v>
      </c>
      <c r="H1242" s="864" t="s">
        <v>33</v>
      </c>
      <c r="I1242" s="865">
        <f>'04-221Master'!AP574</f>
        <v>0</v>
      </c>
      <c r="J1242" s="864" t="s">
        <v>34</v>
      </c>
      <c r="K1242" s="865">
        <f>'04-221Master'!AQ574</f>
        <v>0</v>
      </c>
      <c r="L1242" s="103">
        <f>'04-221Master'!AR574</f>
        <v>0</v>
      </c>
    </row>
    <row r="1243" spans="1:12">
      <c r="A1243" s="388"/>
      <c r="B1243" s="399" t="s">
        <v>128</v>
      </c>
      <c r="C1243" s="87"/>
      <c r="D1243" s="87"/>
      <c r="E1243" s="87"/>
      <c r="F1243" s="87"/>
      <c r="G1243" s="429"/>
      <c r="H1243" s="869"/>
      <c r="I1243" s="866"/>
      <c r="J1243" s="96">
        <f>J1241-E1242-I1242-K1242-L1242</f>
        <v>0</v>
      </c>
      <c r="K1243" s="866"/>
      <c r="L1243" s="868"/>
    </row>
    <row r="1244" spans="1:12">
      <c r="A1244" s="388"/>
      <c r="B1244" s="400" t="s">
        <v>129</v>
      </c>
      <c r="C1244" s="401"/>
      <c r="D1244" s="401"/>
      <c r="E1244" s="401"/>
      <c r="F1244" s="401"/>
      <c r="G1244" s="402"/>
      <c r="H1244" s="403"/>
      <c r="I1244" s="404"/>
      <c r="J1244" s="404"/>
      <c r="K1244" s="404"/>
      <c r="L1244" s="98"/>
    </row>
    <row r="1245" spans="1:12">
      <c r="A1245" s="388"/>
      <c r="B1245" s="426" t="s">
        <v>130</v>
      </c>
      <c r="C1245" s="2"/>
      <c r="D1245" s="2"/>
      <c r="E1245" s="2"/>
      <c r="F1245" s="2"/>
      <c r="G1245" s="427"/>
      <c r="H1245" s="71"/>
      <c r="I1245" s="388"/>
      <c r="J1245" s="388"/>
      <c r="K1245" s="388"/>
      <c r="L1245" s="14"/>
    </row>
    <row r="1246" spans="1:12">
      <c r="A1246" s="388"/>
      <c r="B1246" s="13"/>
      <c r="C1246" s="388"/>
      <c r="D1246" s="388"/>
      <c r="E1246" s="388"/>
      <c r="F1246" s="388"/>
      <c r="G1246" s="388"/>
      <c r="H1246" s="388"/>
      <c r="I1246" s="388"/>
      <c r="J1246" s="388"/>
      <c r="K1246" s="388"/>
      <c r="L1246" s="14"/>
    </row>
    <row r="1247" spans="1:12" ht="15.75" thickBot="1">
      <c r="A1247" s="388"/>
      <c r="B1247" s="25"/>
      <c r="C1247" s="23"/>
      <c r="D1247" s="23"/>
      <c r="E1247" s="23"/>
      <c r="F1247" s="23"/>
      <c r="G1247" s="23"/>
      <c r="H1247" s="23"/>
      <c r="I1247" s="23"/>
      <c r="J1247" s="23"/>
      <c r="K1247" s="23"/>
      <c r="L1247" s="24"/>
    </row>
    <row r="1248" spans="1:12">
      <c r="A1248" s="388"/>
      <c r="B1248" s="388"/>
      <c r="C1248" s="388"/>
      <c r="D1248" s="388"/>
      <c r="E1248" s="388"/>
      <c r="F1248" s="388"/>
      <c r="G1248" s="388"/>
      <c r="H1248" s="388"/>
      <c r="I1248" s="388"/>
      <c r="J1248" s="388"/>
      <c r="K1248" s="388"/>
      <c r="L1248" s="388"/>
    </row>
    <row r="1249" spans="1:12">
      <c r="A1249" s="388"/>
      <c r="B1249" s="388"/>
      <c r="C1249" s="388"/>
      <c r="D1249" s="388"/>
      <c r="E1249" s="388"/>
      <c r="F1249" s="388"/>
      <c r="G1249" s="388"/>
      <c r="H1249" s="388"/>
      <c r="I1249" s="388"/>
      <c r="J1249" s="388"/>
      <c r="K1249" s="388"/>
      <c r="L1249" s="388"/>
    </row>
    <row r="1250" spans="1:12">
      <c r="A1250" s="388"/>
      <c r="B1250" s="388"/>
      <c r="C1250" s="388"/>
      <c r="D1250" s="388"/>
      <c r="E1250" s="388"/>
      <c r="F1250" s="388"/>
      <c r="G1250" s="388"/>
      <c r="H1250" s="388"/>
      <c r="I1250" s="388"/>
      <c r="J1250" s="388"/>
      <c r="K1250" s="388"/>
      <c r="L1250" s="388"/>
    </row>
    <row r="1251" spans="1:12">
      <c r="A1251" s="388"/>
      <c r="B1251" s="388"/>
      <c r="C1251" s="388"/>
      <c r="D1251" s="388"/>
      <c r="E1251" s="388"/>
      <c r="F1251" s="388"/>
      <c r="G1251" s="388"/>
      <c r="H1251" s="388"/>
      <c r="I1251" s="388"/>
      <c r="J1251" s="388"/>
      <c r="K1251" s="388"/>
      <c r="L1251" s="388"/>
    </row>
    <row r="1252" spans="1:12">
      <c r="A1252" s="388"/>
      <c r="B1252" s="388"/>
      <c r="C1252" s="388"/>
      <c r="D1252" s="388"/>
      <c r="E1252" s="388"/>
      <c r="F1252" s="388"/>
      <c r="G1252" s="388"/>
      <c r="H1252" s="388"/>
      <c r="I1252" s="388"/>
      <c r="J1252" s="388"/>
      <c r="K1252" s="388"/>
      <c r="L1252" s="388"/>
    </row>
    <row r="1253" spans="1:12">
      <c r="A1253" s="388"/>
      <c r="B1253" s="388"/>
      <c r="C1253" s="388"/>
      <c r="D1253" s="388"/>
      <c r="E1253" s="388"/>
      <c r="F1253" s="388"/>
      <c r="G1253" s="388"/>
      <c r="H1253" s="388"/>
      <c r="I1253" s="388"/>
      <c r="J1253" s="388"/>
      <c r="K1253" s="388"/>
      <c r="L1253" s="388"/>
    </row>
    <row r="1254" spans="1:12">
      <c r="A1254" s="388"/>
      <c r="B1254" s="388"/>
      <c r="C1254" s="388"/>
      <c r="D1254" s="388"/>
      <c r="E1254" s="388"/>
      <c r="F1254" s="388"/>
      <c r="G1254" s="388"/>
      <c r="H1254" s="388"/>
      <c r="I1254" s="388"/>
      <c r="J1254" s="388"/>
      <c r="K1254" s="388"/>
      <c r="L1254" s="388"/>
    </row>
  </sheetData>
  <mergeCells count="550">
    <mergeCell ref="B1234:G1234"/>
    <mergeCell ref="H1234:L1234"/>
    <mergeCell ref="B1235:G1235"/>
    <mergeCell ref="H1235:L1235"/>
    <mergeCell ref="B1236:G1236"/>
    <mergeCell ref="H1236:L1236"/>
    <mergeCell ref="B1227:G1227"/>
    <mergeCell ref="H1227:L1227"/>
    <mergeCell ref="B1228:G1228"/>
    <mergeCell ref="H1228:L1228"/>
    <mergeCell ref="B1229:G1229"/>
    <mergeCell ref="H1229:L1229"/>
    <mergeCell ref="B1230:G1230"/>
    <mergeCell ref="H1230:L1230"/>
    <mergeCell ref="B1231:G1231"/>
    <mergeCell ref="H1231:L1231"/>
    <mergeCell ref="B1186:G1186"/>
    <mergeCell ref="H1186:L1186"/>
    <mergeCell ref="B1209:L1209"/>
    <mergeCell ref="B1210:L1210"/>
    <mergeCell ref="B1211:L1211"/>
    <mergeCell ref="B1212:F1213"/>
    <mergeCell ref="H1212:L1213"/>
    <mergeCell ref="B1220:F1220"/>
    <mergeCell ref="H1220:L1220"/>
    <mergeCell ref="B1179:G1179"/>
    <mergeCell ref="H1179:L1179"/>
    <mergeCell ref="B1180:G1180"/>
    <mergeCell ref="H1180:L1180"/>
    <mergeCell ref="B1181:G1181"/>
    <mergeCell ref="H1181:L1181"/>
    <mergeCell ref="B1184:G1184"/>
    <mergeCell ref="H1184:L1184"/>
    <mergeCell ref="B1185:G1185"/>
    <mergeCell ref="H1185:L1185"/>
    <mergeCell ref="B1160:L1160"/>
    <mergeCell ref="B1161:L1161"/>
    <mergeCell ref="B1162:F1163"/>
    <mergeCell ref="H1162:L1163"/>
    <mergeCell ref="B1170:F1170"/>
    <mergeCell ref="H1170:L1170"/>
    <mergeCell ref="B1177:G1177"/>
    <mergeCell ref="H1177:L1177"/>
    <mergeCell ref="B1178:G1178"/>
    <mergeCell ref="H1178:L1178"/>
    <mergeCell ref="B1129:G1129"/>
    <mergeCell ref="H1129:L1129"/>
    <mergeCell ref="B1132:G1132"/>
    <mergeCell ref="H1132:L1132"/>
    <mergeCell ref="B1133:G1133"/>
    <mergeCell ref="H1133:L1133"/>
    <mergeCell ref="B1134:G1134"/>
    <mergeCell ref="H1134:L1134"/>
    <mergeCell ref="B1159:L1159"/>
    <mergeCell ref="B1118:F1118"/>
    <mergeCell ref="H1118:L1118"/>
    <mergeCell ref="B1125:G1125"/>
    <mergeCell ref="H1125:L1125"/>
    <mergeCell ref="B1126:G1126"/>
    <mergeCell ref="H1126:L1126"/>
    <mergeCell ref="B1127:G1127"/>
    <mergeCell ref="H1127:L1127"/>
    <mergeCell ref="B1128:G1128"/>
    <mergeCell ref="H1128:L1128"/>
    <mergeCell ref="B1083:G1083"/>
    <mergeCell ref="H1083:L1083"/>
    <mergeCell ref="B1084:G1084"/>
    <mergeCell ref="H1084:L1084"/>
    <mergeCell ref="B1107:L1107"/>
    <mergeCell ref="B1108:L1108"/>
    <mergeCell ref="B1109:L1109"/>
    <mergeCell ref="B1110:F1111"/>
    <mergeCell ref="H1110:L1111"/>
    <mergeCell ref="B1076:G1076"/>
    <mergeCell ref="H1076:L1076"/>
    <mergeCell ref="B1077:G1077"/>
    <mergeCell ref="H1077:L1077"/>
    <mergeCell ref="B1078:G1078"/>
    <mergeCell ref="H1078:L1078"/>
    <mergeCell ref="B1079:G1079"/>
    <mergeCell ref="H1079:L1079"/>
    <mergeCell ref="B1082:G1082"/>
    <mergeCell ref="H1082:L1082"/>
    <mergeCell ref="B1057:L1057"/>
    <mergeCell ref="B1058:L1058"/>
    <mergeCell ref="B1059:L1059"/>
    <mergeCell ref="B1060:F1061"/>
    <mergeCell ref="H1060:L1061"/>
    <mergeCell ref="B1068:F1068"/>
    <mergeCell ref="H1068:L1068"/>
    <mergeCell ref="B1075:G1075"/>
    <mergeCell ref="H1075:L1075"/>
    <mergeCell ref="B1031:G1031"/>
    <mergeCell ref="H1031:L1031"/>
    <mergeCell ref="B1032:G1032"/>
    <mergeCell ref="H1032:L1032"/>
    <mergeCell ref="B1033:G1033"/>
    <mergeCell ref="H1033:L1033"/>
    <mergeCell ref="B1024:G1024"/>
    <mergeCell ref="H1024:L1024"/>
    <mergeCell ref="B1025:G1025"/>
    <mergeCell ref="H1025:L1025"/>
    <mergeCell ref="B1026:G1026"/>
    <mergeCell ref="H1026:L1026"/>
    <mergeCell ref="B1027:G1027"/>
    <mergeCell ref="H1027:L1027"/>
    <mergeCell ref="B1028:G1028"/>
    <mergeCell ref="H1028:L1028"/>
    <mergeCell ref="B983:G983"/>
    <mergeCell ref="H983:L983"/>
    <mergeCell ref="B1006:L1006"/>
    <mergeCell ref="B1007:L1007"/>
    <mergeCell ref="B1008:L1008"/>
    <mergeCell ref="B1009:F1010"/>
    <mergeCell ref="H1009:L1010"/>
    <mergeCell ref="B1017:F1017"/>
    <mergeCell ref="H1017:L1017"/>
    <mergeCell ref="B976:G976"/>
    <mergeCell ref="H976:L976"/>
    <mergeCell ref="B977:G977"/>
    <mergeCell ref="H977:L977"/>
    <mergeCell ref="B978:G978"/>
    <mergeCell ref="H978:L978"/>
    <mergeCell ref="B981:G981"/>
    <mergeCell ref="H981:L981"/>
    <mergeCell ref="B982:G982"/>
    <mergeCell ref="H982:L982"/>
    <mergeCell ref="B957:L957"/>
    <mergeCell ref="B958:L958"/>
    <mergeCell ref="B959:F960"/>
    <mergeCell ref="H959:L960"/>
    <mergeCell ref="B967:F967"/>
    <mergeCell ref="H967:L967"/>
    <mergeCell ref="B974:G974"/>
    <mergeCell ref="H974:L974"/>
    <mergeCell ref="B975:G975"/>
    <mergeCell ref="H975:L975"/>
    <mergeCell ref="B926:G926"/>
    <mergeCell ref="H926:L926"/>
    <mergeCell ref="B929:G929"/>
    <mergeCell ref="H929:L929"/>
    <mergeCell ref="B930:G930"/>
    <mergeCell ref="H930:L930"/>
    <mergeCell ref="B931:G931"/>
    <mergeCell ref="H931:L931"/>
    <mergeCell ref="B956:L956"/>
    <mergeCell ref="B915:F915"/>
    <mergeCell ref="H915:L915"/>
    <mergeCell ref="B922:G922"/>
    <mergeCell ref="H922:L922"/>
    <mergeCell ref="B923:G923"/>
    <mergeCell ref="H923:L923"/>
    <mergeCell ref="B924:G924"/>
    <mergeCell ref="H924:L924"/>
    <mergeCell ref="B925:G925"/>
    <mergeCell ref="H925:L925"/>
    <mergeCell ref="B904:L904"/>
    <mergeCell ref="B905:L905"/>
    <mergeCell ref="B906:L906"/>
    <mergeCell ref="B907:F908"/>
    <mergeCell ref="H907:L908"/>
    <mergeCell ref="B728:G728"/>
    <mergeCell ref="H728:L728"/>
    <mergeCell ref="B729:G729"/>
    <mergeCell ref="H729:L729"/>
    <mergeCell ref="B752:L752"/>
    <mergeCell ref="B753:L753"/>
    <mergeCell ref="B754:L754"/>
    <mergeCell ref="B755:F756"/>
    <mergeCell ref="H755:L756"/>
    <mergeCell ref="B763:F763"/>
    <mergeCell ref="H763:L763"/>
    <mergeCell ref="B770:G770"/>
    <mergeCell ref="H770:L770"/>
    <mergeCell ref="B771:G771"/>
    <mergeCell ref="H771:L771"/>
    <mergeCell ref="B772:G772"/>
    <mergeCell ref="H772:L772"/>
    <mergeCell ref="B773:G773"/>
    <mergeCell ref="H773:L773"/>
    <mergeCell ref="B721:G721"/>
    <mergeCell ref="H721:L721"/>
    <mergeCell ref="B722:G722"/>
    <mergeCell ref="H722:L722"/>
    <mergeCell ref="B723:G723"/>
    <mergeCell ref="H723:L723"/>
    <mergeCell ref="B724:G724"/>
    <mergeCell ref="H724:L724"/>
    <mergeCell ref="B727:G727"/>
    <mergeCell ref="H727:L727"/>
    <mergeCell ref="B702:L702"/>
    <mergeCell ref="B703:L703"/>
    <mergeCell ref="B704:L704"/>
    <mergeCell ref="B705:F706"/>
    <mergeCell ref="H705:L706"/>
    <mergeCell ref="B713:F713"/>
    <mergeCell ref="H713:L713"/>
    <mergeCell ref="B720:G720"/>
    <mergeCell ref="H720:L720"/>
    <mergeCell ref="B677:G677"/>
    <mergeCell ref="H677:L677"/>
    <mergeCell ref="B678:G678"/>
    <mergeCell ref="H678:L678"/>
    <mergeCell ref="B679:G679"/>
    <mergeCell ref="H679:L679"/>
    <mergeCell ref="B670:G670"/>
    <mergeCell ref="H670:L670"/>
    <mergeCell ref="B671:G671"/>
    <mergeCell ref="H671:L671"/>
    <mergeCell ref="B672:G672"/>
    <mergeCell ref="H672:L672"/>
    <mergeCell ref="B673:G673"/>
    <mergeCell ref="H673:L673"/>
    <mergeCell ref="B674:G674"/>
    <mergeCell ref="H674:L674"/>
    <mergeCell ref="B630:G630"/>
    <mergeCell ref="H630:L630"/>
    <mergeCell ref="B652:L652"/>
    <mergeCell ref="B653:L653"/>
    <mergeCell ref="B654:L654"/>
    <mergeCell ref="B655:F656"/>
    <mergeCell ref="H655:L656"/>
    <mergeCell ref="B663:F663"/>
    <mergeCell ref="H663:L663"/>
    <mergeCell ref="B623:G623"/>
    <mergeCell ref="H623:L623"/>
    <mergeCell ref="B624:G624"/>
    <mergeCell ref="H624:L624"/>
    <mergeCell ref="B625:G625"/>
    <mergeCell ref="H625:L625"/>
    <mergeCell ref="B628:G628"/>
    <mergeCell ref="H628:L628"/>
    <mergeCell ref="B629:G629"/>
    <mergeCell ref="H629:L629"/>
    <mergeCell ref="B604:L604"/>
    <mergeCell ref="B605:L605"/>
    <mergeCell ref="B606:F607"/>
    <mergeCell ref="H606:L607"/>
    <mergeCell ref="B614:F614"/>
    <mergeCell ref="H614:L614"/>
    <mergeCell ref="B621:G621"/>
    <mergeCell ref="H621:L621"/>
    <mergeCell ref="B622:G622"/>
    <mergeCell ref="H622:L622"/>
    <mergeCell ref="B564:G564"/>
    <mergeCell ref="H564:L564"/>
    <mergeCell ref="B567:G567"/>
    <mergeCell ref="H567:L567"/>
    <mergeCell ref="B568:G568"/>
    <mergeCell ref="H568:L568"/>
    <mergeCell ref="B569:G569"/>
    <mergeCell ref="H569:L569"/>
    <mergeCell ref="B603:L603"/>
    <mergeCell ref="B553:F553"/>
    <mergeCell ref="H553:L553"/>
    <mergeCell ref="B560:G560"/>
    <mergeCell ref="H560:L560"/>
    <mergeCell ref="B561:G561"/>
    <mergeCell ref="H561:L561"/>
    <mergeCell ref="B562:G562"/>
    <mergeCell ref="H562:L562"/>
    <mergeCell ref="B563:G563"/>
    <mergeCell ref="H563:L563"/>
    <mergeCell ref="B542:L542"/>
    <mergeCell ref="B543:L543"/>
    <mergeCell ref="B544:L544"/>
    <mergeCell ref="B545:F546"/>
    <mergeCell ref="H545:L546"/>
    <mergeCell ref="B512:G512"/>
    <mergeCell ref="H512:L512"/>
    <mergeCell ref="B513:G513"/>
    <mergeCell ref="H513:L513"/>
    <mergeCell ref="B505:G505"/>
    <mergeCell ref="H505:L505"/>
    <mergeCell ref="B506:G506"/>
    <mergeCell ref="H506:L506"/>
    <mergeCell ref="B507:G507"/>
    <mergeCell ref="H507:L507"/>
    <mergeCell ref="B508:G508"/>
    <mergeCell ref="H508:L508"/>
    <mergeCell ref="B511:G511"/>
    <mergeCell ref="H511:L511"/>
    <mergeCell ref="B486:L486"/>
    <mergeCell ref="B487:L487"/>
    <mergeCell ref="B488:L488"/>
    <mergeCell ref="B489:F490"/>
    <mergeCell ref="H489:L490"/>
    <mergeCell ref="B497:F497"/>
    <mergeCell ref="H497:L497"/>
    <mergeCell ref="B504:G504"/>
    <mergeCell ref="H504:L504"/>
    <mergeCell ref="B450:G450"/>
    <mergeCell ref="H450:L450"/>
    <mergeCell ref="B451:G451"/>
    <mergeCell ref="H451:L451"/>
    <mergeCell ref="B454:G454"/>
    <mergeCell ref="H454:L454"/>
    <mergeCell ref="B455:G455"/>
    <mergeCell ref="H455:L455"/>
    <mergeCell ref="B456:G456"/>
    <mergeCell ref="H456:L456"/>
    <mergeCell ref="B432:F433"/>
    <mergeCell ref="H432:L433"/>
    <mergeCell ref="B440:F440"/>
    <mergeCell ref="H440:L440"/>
    <mergeCell ref="B447:G447"/>
    <mergeCell ref="H447:L447"/>
    <mergeCell ref="B448:G448"/>
    <mergeCell ref="H448:L448"/>
    <mergeCell ref="B449:G449"/>
    <mergeCell ref="H449:L449"/>
    <mergeCell ref="B398:G398"/>
    <mergeCell ref="H398:L398"/>
    <mergeCell ref="B399:G399"/>
    <mergeCell ref="H399:L399"/>
    <mergeCell ref="B400:G400"/>
    <mergeCell ref="H400:L400"/>
    <mergeCell ref="B429:L429"/>
    <mergeCell ref="B430:L430"/>
    <mergeCell ref="B431:L431"/>
    <mergeCell ref="B391:G391"/>
    <mergeCell ref="H391:L391"/>
    <mergeCell ref="B392:G392"/>
    <mergeCell ref="H392:L392"/>
    <mergeCell ref="B393:G393"/>
    <mergeCell ref="H393:L393"/>
    <mergeCell ref="B394:G394"/>
    <mergeCell ref="H394:L394"/>
    <mergeCell ref="B395:G395"/>
    <mergeCell ref="H395:L395"/>
    <mergeCell ref="B347:G347"/>
    <mergeCell ref="H347:L347"/>
    <mergeCell ref="I342:K342"/>
    <mergeCell ref="B373:L373"/>
    <mergeCell ref="B374:L374"/>
    <mergeCell ref="B375:L375"/>
    <mergeCell ref="B376:F377"/>
    <mergeCell ref="H376:L377"/>
    <mergeCell ref="B384:F384"/>
    <mergeCell ref="H384:L384"/>
    <mergeCell ref="B340:G340"/>
    <mergeCell ref="H340:L340"/>
    <mergeCell ref="B341:G341"/>
    <mergeCell ref="B342:G342"/>
    <mergeCell ref="B345:G345"/>
    <mergeCell ref="H345:L345"/>
    <mergeCell ref="H343:L343"/>
    <mergeCell ref="H344:L344"/>
    <mergeCell ref="B346:G346"/>
    <mergeCell ref="H346:L346"/>
    <mergeCell ref="B339:G339"/>
    <mergeCell ref="H339:L339"/>
    <mergeCell ref="H338:L338"/>
    <mergeCell ref="B320:L320"/>
    <mergeCell ref="B321:L321"/>
    <mergeCell ref="B322:L322"/>
    <mergeCell ref="B323:F324"/>
    <mergeCell ref="H323:L324"/>
    <mergeCell ref="B331:F331"/>
    <mergeCell ref="H331:L331"/>
    <mergeCell ref="B338:G338"/>
    <mergeCell ref="B289:G289"/>
    <mergeCell ref="H289:L289"/>
    <mergeCell ref="B290:G290"/>
    <mergeCell ref="H290:L290"/>
    <mergeCell ref="B293:G293"/>
    <mergeCell ref="H293:L293"/>
    <mergeCell ref="B294:G294"/>
    <mergeCell ref="H294:L294"/>
    <mergeCell ref="B295:G295"/>
    <mergeCell ref="H295:L295"/>
    <mergeCell ref="B271:F272"/>
    <mergeCell ref="H271:L272"/>
    <mergeCell ref="B279:F279"/>
    <mergeCell ref="H279:L279"/>
    <mergeCell ref="B286:G286"/>
    <mergeCell ref="H286:L286"/>
    <mergeCell ref="B287:G287"/>
    <mergeCell ref="H287:L287"/>
    <mergeCell ref="B288:G288"/>
    <mergeCell ref="H288:L288"/>
    <mergeCell ref="B240:G240"/>
    <mergeCell ref="H240:L240"/>
    <mergeCell ref="B241:G241"/>
    <mergeCell ref="H241:L241"/>
    <mergeCell ref="B242:G242"/>
    <mergeCell ref="H242:L242"/>
    <mergeCell ref="B268:L268"/>
    <mergeCell ref="B269:L269"/>
    <mergeCell ref="B270:L270"/>
    <mergeCell ref="B233:G233"/>
    <mergeCell ref="H233:L233"/>
    <mergeCell ref="B234:G234"/>
    <mergeCell ref="H234:L234"/>
    <mergeCell ref="B235:G235"/>
    <mergeCell ref="H235:L235"/>
    <mergeCell ref="B236:G236"/>
    <mergeCell ref="H236:L236"/>
    <mergeCell ref="B237:G237"/>
    <mergeCell ref="H237:L237"/>
    <mergeCell ref="B189:G189"/>
    <mergeCell ref="H189:L189"/>
    <mergeCell ref="B215:L215"/>
    <mergeCell ref="B216:L216"/>
    <mergeCell ref="B217:L217"/>
    <mergeCell ref="B218:F219"/>
    <mergeCell ref="H218:L219"/>
    <mergeCell ref="B226:F226"/>
    <mergeCell ref="H226:L226"/>
    <mergeCell ref="B182:G182"/>
    <mergeCell ref="H182:L182"/>
    <mergeCell ref="B183:G183"/>
    <mergeCell ref="H183:L183"/>
    <mergeCell ref="B184:G184"/>
    <mergeCell ref="H184:L184"/>
    <mergeCell ref="B187:G187"/>
    <mergeCell ref="H187:L187"/>
    <mergeCell ref="B188:G188"/>
    <mergeCell ref="H188:L188"/>
    <mergeCell ref="B163:L163"/>
    <mergeCell ref="B164:L164"/>
    <mergeCell ref="B165:F166"/>
    <mergeCell ref="H165:L166"/>
    <mergeCell ref="B173:F173"/>
    <mergeCell ref="H173:L173"/>
    <mergeCell ref="B180:G180"/>
    <mergeCell ref="H180:L180"/>
    <mergeCell ref="B181:G181"/>
    <mergeCell ref="H181:L181"/>
    <mergeCell ref="B162:L162"/>
    <mergeCell ref="B1:L1"/>
    <mergeCell ref="B2:L2"/>
    <mergeCell ref="B3:L3"/>
    <mergeCell ref="B4:F5"/>
    <mergeCell ref="H4:L5"/>
    <mergeCell ref="B21:G21"/>
    <mergeCell ref="H21:L21"/>
    <mergeCell ref="B22:G22"/>
    <mergeCell ref="H22:L22"/>
    <mergeCell ref="B12:F12"/>
    <mergeCell ref="H12:L12"/>
    <mergeCell ref="B19:G19"/>
    <mergeCell ref="H19:L19"/>
    <mergeCell ref="H20:L20"/>
    <mergeCell ref="B56:L56"/>
    <mergeCell ref="B57:L57"/>
    <mergeCell ref="B58:F59"/>
    <mergeCell ref="H58:L59"/>
    <mergeCell ref="B66:F66"/>
    <mergeCell ref="H66:L66"/>
    <mergeCell ref="H76:L76"/>
    <mergeCell ref="B73:G73"/>
    <mergeCell ref="H73:L73"/>
    <mergeCell ref="H74:L74"/>
    <mergeCell ref="B75:G75"/>
    <mergeCell ref="H75:L75"/>
    <mergeCell ref="B23:G23"/>
    <mergeCell ref="H23:L23"/>
    <mergeCell ref="B26:G26"/>
    <mergeCell ref="H26:L26"/>
    <mergeCell ref="B27:G27"/>
    <mergeCell ref="H27:L27"/>
    <mergeCell ref="B28:G28"/>
    <mergeCell ref="H28:L28"/>
    <mergeCell ref="B55:L55"/>
    <mergeCell ref="B81:G81"/>
    <mergeCell ref="H81:L81"/>
    <mergeCell ref="B82:G82"/>
    <mergeCell ref="H82:L82"/>
    <mergeCell ref="B76:G76"/>
    <mergeCell ref="B80:G80"/>
    <mergeCell ref="B112:L112"/>
    <mergeCell ref="B113:F114"/>
    <mergeCell ref="H113:L114"/>
    <mergeCell ref="H80:L80"/>
    <mergeCell ref="B110:L110"/>
    <mergeCell ref="B111:L111"/>
    <mergeCell ref="B77:G77"/>
    <mergeCell ref="H77:L77"/>
    <mergeCell ref="B121:F121"/>
    <mergeCell ref="H121:L121"/>
    <mergeCell ref="B128:G128"/>
    <mergeCell ref="H128:L128"/>
    <mergeCell ref="B136:G136"/>
    <mergeCell ref="H136:L136"/>
    <mergeCell ref="B137:G137"/>
    <mergeCell ref="H137:L137"/>
    <mergeCell ref="H129:L129"/>
    <mergeCell ref="B130:G130"/>
    <mergeCell ref="H130:L130"/>
    <mergeCell ref="B131:G131"/>
    <mergeCell ref="H131:L131"/>
    <mergeCell ref="B132:G132"/>
    <mergeCell ref="H132:L132"/>
    <mergeCell ref="B135:G135"/>
    <mergeCell ref="H135:L135"/>
    <mergeCell ref="B774:G774"/>
    <mergeCell ref="H774:L774"/>
    <mergeCell ref="B777:G777"/>
    <mergeCell ref="H777:L777"/>
    <mergeCell ref="B778:G778"/>
    <mergeCell ref="H778:L778"/>
    <mergeCell ref="B779:G779"/>
    <mergeCell ref="H779:L779"/>
    <mergeCell ref="B802:L802"/>
    <mergeCell ref="B803:L803"/>
    <mergeCell ref="B804:L804"/>
    <mergeCell ref="B805:F806"/>
    <mergeCell ref="H805:L806"/>
    <mergeCell ref="B813:F813"/>
    <mergeCell ref="H813:L813"/>
    <mergeCell ref="B820:G820"/>
    <mergeCell ref="H820:L820"/>
    <mergeCell ref="B821:G821"/>
    <mergeCell ref="H821:L821"/>
    <mergeCell ref="B822:G822"/>
    <mergeCell ref="H822:L822"/>
    <mergeCell ref="B823:G823"/>
    <mergeCell ref="H823:L823"/>
    <mergeCell ref="B824:G824"/>
    <mergeCell ref="H824:L824"/>
    <mergeCell ref="B827:G827"/>
    <mergeCell ref="H827:L827"/>
    <mergeCell ref="B828:G828"/>
    <mergeCell ref="H828:L828"/>
    <mergeCell ref="B829:G829"/>
    <mergeCell ref="H829:L829"/>
    <mergeCell ref="B852:L852"/>
    <mergeCell ref="B853:L853"/>
    <mergeCell ref="B854:L854"/>
    <mergeCell ref="B855:F856"/>
    <mergeCell ref="H855:L856"/>
    <mergeCell ref="B863:F863"/>
    <mergeCell ref="H863:L863"/>
    <mergeCell ref="B870:G870"/>
    <mergeCell ref="H870:L870"/>
    <mergeCell ref="B871:G871"/>
    <mergeCell ref="H871:L871"/>
    <mergeCell ref="B879:G879"/>
    <mergeCell ref="H879:L879"/>
    <mergeCell ref="B872:G872"/>
    <mergeCell ref="H872:L872"/>
    <mergeCell ref="B873:G873"/>
    <mergeCell ref="H873:L873"/>
    <mergeCell ref="B874:G874"/>
    <mergeCell ref="H874:L874"/>
    <mergeCell ref="B877:G877"/>
    <mergeCell ref="H877:L877"/>
    <mergeCell ref="B878:G878"/>
    <mergeCell ref="H878:L878"/>
  </mergeCells>
  <pageMargins left="0.88" right="0.53" top="0.74803149606299213" bottom="0.74803149606299213" header="0.31496062992125984" footer="0.31496062992125984"/>
  <pageSetup scale="57" orientation="portrait" horizontalDpi="300" verticalDpi="300" r:id="rId1"/>
  <rowBreaks count="9" manualBreakCount="9">
    <brk id="54" max="16383" man="1"/>
    <brk id="109" max="16383" man="1"/>
    <brk id="161" max="16383" man="1"/>
    <brk id="214" max="16383" man="1"/>
    <brk id="267" max="16383" man="1"/>
    <brk id="319" max="16383" man="1"/>
    <brk id="372" max="11" man="1"/>
    <brk id="428" max="16383" man="1"/>
    <brk id="485"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T1166"/>
  <sheetViews>
    <sheetView topLeftCell="E997" zoomScale="90" zoomScaleNormal="90" workbookViewId="0">
      <selection activeCell="H996" sqref="H996"/>
    </sheetView>
  </sheetViews>
  <sheetFormatPr defaultRowHeight="15"/>
  <cols>
    <col min="5" max="5" width="10.42578125" bestFit="1" customWidth="1"/>
    <col min="9" max="9" width="15.5703125" customWidth="1"/>
    <col min="10" max="10" width="3.140625" customWidth="1"/>
    <col min="19" max="19" width="15.5703125" customWidth="1"/>
  </cols>
  <sheetData>
    <row r="1" spans="1:19" ht="15.75" thickBot="1"/>
    <row r="2" spans="1:19" ht="27" thickBot="1">
      <c r="A2" s="1251" t="s">
        <v>592</v>
      </c>
      <c r="B2" s="1252"/>
      <c r="C2" s="1252"/>
      <c r="D2" s="1252"/>
      <c r="E2" s="1252"/>
      <c r="F2" s="1252"/>
      <c r="G2" s="1252"/>
      <c r="H2" s="1252"/>
      <c r="I2" s="1253"/>
      <c r="J2" s="28"/>
      <c r="K2" s="1251" t="s">
        <v>592</v>
      </c>
      <c r="L2" s="1252"/>
      <c r="M2" s="1252"/>
      <c r="N2" s="1252"/>
      <c r="O2" s="1252"/>
      <c r="P2" s="1252"/>
      <c r="Q2" s="1252"/>
      <c r="R2" s="1252"/>
      <c r="S2" s="1253"/>
    </row>
    <row r="3" spans="1:19">
      <c r="A3" s="1254" t="s">
        <v>593</v>
      </c>
      <c r="B3" s="1255"/>
      <c r="C3" s="1255"/>
      <c r="D3" s="1255"/>
      <c r="E3" s="1255"/>
      <c r="F3" s="1255"/>
      <c r="G3" s="1255"/>
      <c r="H3" s="1255"/>
      <c r="I3" s="1256"/>
      <c r="J3" s="388"/>
      <c r="K3" s="1254" t="s">
        <v>593</v>
      </c>
      <c r="L3" s="1255"/>
      <c r="M3" s="1255"/>
      <c r="N3" s="1255"/>
      <c r="O3" s="1255"/>
      <c r="P3" s="1255"/>
      <c r="Q3" s="1255"/>
      <c r="R3" s="1255"/>
      <c r="S3" s="1256"/>
    </row>
    <row r="4" spans="1:19">
      <c r="A4" s="13"/>
      <c r="I4" s="14"/>
      <c r="K4" s="13"/>
      <c r="S4" s="14"/>
    </row>
    <row r="5" spans="1:19">
      <c r="A5" s="15" t="s">
        <v>49</v>
      </c>
      <c r="B5" s="3"/>
      <c r="C5" s="3"/>
      <c r="D5" s="6" t="str">
        <f>'04-221Master'!F5</f>
        <v>Burgeon IT Services Pvt.Ltd.</v>
      </c>
      <c r="I5" s="14"/>
      <c r="K5" s="15" t="s">
        <v>49</v>
      </c>
      <c r="L5" s="3"/>
      <c r="M5" s="3"/>
      <c r="N5" s="6" t="str">
        <f>D5</f>
        <v>Burgeon IT Services Pvt.Ltd.</v>
      </c>
      <c r="S5" s="14"/>
    </row>
    <row r="6" spans="1:19">
      <c r="A6" s="15"/>
      <c r="B6" s="3" t="str">
        <f>'04-221Master'!F6</f>
        <v>Siri Mansion LIGB 436 Dr.A S Rao Nagar,Hyderabad</v>
      </c>
      <c r="C6" s="3"/>
      <c r="D6" s="3"/>
      <c r="I6" s="14"/>
      <c r="K6" s="15"/>
      <c r="L6" s="3" t="str">
        <f>B6</f>
        <v>Siri Mansion LIGB 436 Dr.A S Rao Nagar,Hyderabad</v>
      </c>
      <c r="M6" s="3"/>
      <c r="N6" s="3"/>
      <c r="S6" s="14"/>
    </row>
    <row r="7" spans="1:19">
      <c r="A7" s="15"/>
      <c r="B7" s="3">
        <f>'04-221Master'!F7</f>
        <v>0</v>
      </c>
      <c r="C7" s="3"/>
      <c r="D7" s="3"/>
      <c r="E7" s="3"/>
      <c r="I7" s="14"/>
      <c r="K7" s="15"/>
      <c r="L7" s="3">
        <f>B7</f>
        <v>0</v>
      </c>
      <c r="M7" s="3"/>
      <c r="N7" s="3"/>
      <c r="O7" s="3"/>
      <c r="S7" s="14"/>
    </row>
    <row r="8" spans="1:19" ht="15" customHeight="1">
      <c r="A8" s="1249" t="s">
        <v>50</v>
      </c>
      <c r="B8" s="1248"/>
      <c r="C8" s="1248"/>
      <c r="D8" s="1248"/>
      <c r="E8" s="3"/>
      <c r="I8" s="14"/>
      <c r="K8" s="1249" t="s">
        <v>50</v>
      </c>
      <c r="L8" s="1248"/>
      <c r="M8" s="1248"/>
      <c r="N8" s="1248"/>
      <c r="O8" s="3"/>
      <c r="S8" s="14"/>
    </row>
    <row r="9" spans="1:19">
      <c r="A9" s="1249"/>
      <c r="B9" s="1248"/>
      <c r="C9" s="1248"/>
      <c r="D9" s="1248"/>
      <c r="E9" s="16" t="str">
        <f>'04-221Master'!B16</f>
        <v>Venegella Kanaka durga</v>
      </c>
      <c r="F9" s="17"/>
      <c r="G9" s="17"/>
      <c r="H9" s="17" t="str">
        <f>'04-221Master'!E16</f>
        <v>Venkateshwar Rao</v>
      </c>
      <c r="I9" s="14"/>
      <c r="K9" s="1249"/>
      <c r="L9" s="1248"/>
      <c r="M9" s="1248"/>
      <c r="N9" s="1248"/>
      <c r="O9" s="16" t="str">
        <f>E9</f>
        <v>Venegella Kanaka durga</v>
      </c>
      <c r="P9" s="17"/>
      <c r="Q9" s="17"/>
      <c r="R9" s="17" t="str">
        <f>H9</f>
        <v>Venkateshwar Rao</v>
      </c>
      <c r="S9" s="14"/>
    </row>
    <row r="10" spans="1:19">
      <c r="A10" s="15"/>
      <c r="B10" s="3"/>
      <c r="C10" s="3"/>
      <c r="D10" s="3"/>
      <c r="E10" s="3"/>
      <c r="I10" s="14"/>
      <c r="K10" s="15"/>
      <c r="L10" s="3"/>
      <c r="M10" s="3"/>
      <c r="N10" s="3"/>
      <c r="O10" s="3"/>
      <c r="S10" s="14"/>
    </row>
    <row r="11" spans="1:19">
      <c r="A11" s="1250" t="s">
        <v>51</v>
      </c>
      <c r="B11" s="1240"/>
      <c r="C11" s="1240"/>
      <c r="D11" s="1240"/>
      <c r="E11" s="16" t="str">
        <f>'04-221Master'!F8</f>
        <v>IT SUPPORTIVE SERVICES&amp; Pune SEZ Unit-1</v>
      </c>
      <c r="F11" s="17"/>
      <c r="G11" s="17"/>
      <c r="H11" s="17"/>
      <c r="I11" s="14"/>
      <c r="K11" s="1250" t="s">
        <v>51</v>
      </c>
      <c r="L11" s="1240"/>
      <c r="M11" s="1240"/>
      <c r="N11" s="1240"/>
      <c r="O11" s="16" t="str">
        <f>E11</f>
        <v>IT SUPPORTIVE SERVICES&amp; Pune SEZ Unit-1</v>
      </c>
      <c r="P11" s="17"/>
      <c r="Q11" s="17"/>
      <c r="R11" s="17"/>
      <c r="S11" s="14"/>
    </row>
    <row r="12" spans="1:19">
      <c r="A12" s="15"/>
      <c r="B12" s="3"/>
      <c r="C12" s="3"/>
      <c r="D12" s="3"/>
      <c r="E12" s="3"/>
      <c r="I12" s="14"/>
      <c r="K12" s="15"/>
      <c r="L12" s="3"/>
      <c r="M12" s="3"/>
      <c r="N12" s="3"/>
      <c r="O12" s="3"/>
      <c r="S12" s="14"/>
    </row>
    <row r="13" spans="1:19">
      <c r="A13" s="1250" t="s">
        <v>52</v>
      </c>
      <c r="B13" s="1240"/>
      <c r="C13" s="1240"/>
      <c r="D13" s="1240"/>
      <c r="E13" s="18">
        <f>'04-221Master'!D10</f>
        <v>44652</v>
      </c>
      <c r="F13" s="17"/>
      <c r="G13" s="17"/>
      <c r="H13" s="17"/>
      <c r="I13" s="14"/>
      <c r="K13" s="1250" t="s">
        <v>52</v>
      </c>
      <c r="L13" s="1240"/>
      <c r="M13" s="1240"/>
      <c r="N13" s="1240"/>
      <c r="O13" s="18">
        <f>E13</f>
        <v>44652</v>
      </c>
      <c r="P13" s="17"/>
      <c r="Q13" s="17"/>
      <c r="R13" s="17"/>
      <c r="S13" s="14"/>
    </row>
    <row r="14" spans="1:19">
      <c r="A14" s="15"/>
      <c r="B14" s="3"/>
      <c r="C14" s="3"/>
      <c r="D14" s="3"/>
      <c r="E14" s="3"/>
      <c r="I14" s="14"/>
      <c r="K14" s="15"/>
      <c r="L14" s="3"/>
      <c r="M14" s="3"/>
      <c r="N14" s="3"/>
      <c r="O14" s="3"/>
      <c r="S14" s="14"/>
    </row>
    <row r="15" spans="1:19">
      <c r="A15" s="19">
        <v>1</v>
      </c>
      <c r="B15" s="1240" t="s">
        <v>53</v>
      </c>
      <c r="C15" s="1240"/>
      <c r="D15" s="1240"/>
      <c r="E15" s="20">
        <f>'04-221Master'!W16</f>
        <v>30</v>
      </c>
      <c r="F15" s="17"/>
      <c r="G15" s="17"/>
      <c r="H15" s="17"/>
      <c r="I15" s="14"/>
      <c r="K15" s="19">
        <v>1</v>
      </c>
      <c r="L15" s="1240" t="s">
        <v>53</v>
      </c>
      <c r="M15" s="1240"/>
      <c r="N15" s="1240"/>
      <c r="O15" s="20">
        <f>E15</f>
        <v>30</v>
      </c>
      <c r="P15" s="17"/>
      <c r="Q15" s="17"/>
      <c r="R15" s="17"/>
      <c r="S15" s="14"/>
    </row>
    <row r="16" spans="1:19">
      <c r="A16" s="19"/>
      <c r="B16" s="3"/>
      <c r="C16" s="3"/>
      <c r="D16" s="3"/>
      <c r="E16" s="3"/>
      <c r="I16" s="14"/>
      <c r="K16" s="19"/>
      <c r="L16" s="3"/>
      <c r="M16" s="3"/>
      <c r="N16" s="3"/>
      <c r="O16" s="3"/>
      <c r="S16" s="14"/>
    </row>
    <row r="17" spans="1:19" ht="15" customHeight="1">
      <c r="A17" s="19">
        <v>2</v>
      </c>
      <c r="B17" s="1248" t="s">
        <v>54</v>
      </c>
      <c r="C17" s="1248"/>
      <c r="D17" s="1248"/>
      <c r="E17" s="3"/>
      <c r="I17" s="14"/>
      <c r="K17" s="19">
        <v>2</v>
      </c>
      <c r="L17" s="1248" t="s">
        <v>54</v>
      </c>
      <c r="M17" s="1248"/>
      <c r="N17" s="1248"/>
      <c r="O17" s="3"/>
      <c r="S17" s="14"/>
    </row>
    <row r="18" spans="1:19">
      <c r="A18" s="19"/>
      <c r="B18" s="1248"/>
      <c r="C18" s="1248"/>
      <c r="D18" s="1248"/>
      <c r="E18" s="21" t="s">
        <v>37</v>
      </c>
      <c r="F18" s="17"/>
      <c r="G18" s="17"/>
      <c r="H18" s="17"/>
      <c r="I18" s="14"/>
      <c r="K18" s="19"/>
      <c r="L18" s="1248"/>
      <c r="M18" s="1248"/>
      <c r="N18" s="1248"/>
      <c r="O18" s="21" t="s">
        <v>37</v>
      </c>
      <c r="P18" s="17"/>
      <c r="Q18" s="17"/>
      <c r="R18" s="17"/>
      <c r="S18" s="14"/>
    </row>
    <row r="19" spans="1:19">
      <c r="A19" s="19"/>
      <c r="B19" s="3"/>
      <c r="C19" s="3"/>
      <c r="D19" s="3"/>
      <c r="E19" s="3"/>
      <c r="I19" s="14"/>
      <c r="K19" s="19"/>
      <c r="L19" s="3"/>
      <c r="M19" s="3"/>
      <c r="N19" s="3"/>
      <c r="O19" s="3"/>
      <c r="S19" s="14"/>
    </row>
    <row r="20" spans="1:19">
      <c r="A20" s="19">
        <v>3</v>
      </c>
      <c r="B20" s="1240" t="s">
        <v>55</v>
      </c>
      <c r="C20" s="1240"/>
      <c r="D20" s="1240"/>
      <c r="E20" s="21" t="s">
        <v>37</v>
      </c>
      <c r="F20" s="17"/>
      <c r="G20" s="17"/>
      <c r="H20" s="17"/>
      <c r="I20" s="14"/>
      <c r="K20" s="19">
        <v>3</v>
      </c>
      <c r="L20" s="1240" t="s">
        <v>55</v>
      </c>
      <c r="M20" s="1240"/>
      <c r="N20" s="1240"/>
      <c r="O20" s="16" t="str">
        <f>E20</f>
        <v>N/A</v>
      </c>
      <c r="P20" s="17"/>
      <c r="Q20" s="17"/>
      <c r="R20" s="17"/>
      <c r="S20" s="14"/>
    </row>
    <row r="21" spans="1:19">
      <c r="A21" s="19"/>
      <c r="B21" s="3"/>
      <c r="C21" s="3"/>
      <c r="D21" s="3"/>
      <c r="E21" s="3"/>
      <c r="I21" s="14"/>
      <c r="K21" s="19"/>
      <c r="L21" s="3"/>
      <c r="M21" s="3"/>
      <c r="N21" s="3"/>
      <c r="O21" s="3"/>
      <c r="S21" s="14"/>
    </row>
    <row r="22" spans="1:19">
      <c r="A22" s="19">
        <v>4</v>
      </c>
      <c r="B22" s="1240" t="s">
        <v>56</v>
      </c>
      <c r="C22" s="1240"/>
      <c r="D22" s="1240"/>
      <c r="E22" s="21" t="s">
        <v>57</v>
      </c>
      <c r="F22" s="17"/>
      <c r="G22" s="17"/>
      <c r="H22" s="17"/>
      <c r="I22" s="14"/>
      <c r="K22" s="19">
        <v>4</v>
      </c>
      <c r="L22" s="1240" t="s">
        <v>56</v>
      </c>
      <c r="M22" s="1240"/>
      <c r="N22" s="1240"/>
      <c r="O22" s="21" t="s">
        <v>57</v>
      </c>
      <c r="P22" s="17"/>
      <c r="Q22" s="17"/>
      <c r="R22" s="17"/>
      <c r="S22" s="14"/>
    </row>
    <row r="23" spans="1:19">
      <c r="A23" s="19"/>
      <c r="B23" s="3"/>
      <c r="C23" s="3"/>
      <c r="D23" s="3"/>
      <c r="E23" s="3"/>
      <c r="I23" s="14"/>
      <c r="K23" s="19"/>
      <c r="L23" s="3"/>
      <c r="M23" s="3"/>
      <c r="N23" s="3"/>
      <c r="O23" s="3"/>
      <c r="S23" s="14"/>
    </row>
    <row r="24" spans="1:19">
      <c r="A24" s="19">
        <v>5</v>
      </c>
      <c r="B24" s="1240" t="s">
        <v>58</v>
      </c>
      <c r="C24" s="1240"/>
      <c r="D24" s="1240"/>
      <c r="E24" s="300">
        <f>'04-221Master'!AM16</f>
        <v>83275.815979999985</v>
      </c>
      <c r="I24" s="14"/>
      <c r="K24" s="19">
        <v>5</v>
      </c>
      <c r="L24" s="1240" t="s">
        <v>58</v>
      </c>
      <c r="M24" s="1240"/>
      <c r="N24" s="1240"/>
      <c r="O24" s="300">
        <f>E24</f>
        <v>83275.815979999985</v>
      </c>
      <c r="S24" s="14"/>
    </row>
    <row r="25" spans="1:19">
      <c r="A25" s="19"/>
      <c r="B25" s="3"/>
      <c r="C25" s="3"/>
      <c r="D25" s="301" t="s">
        <v>59</v>
      </c>
      <c r="E25" s="301" t="s">
        <v>31</v>
      </c>
      <c r="F25" s="301" t="s">
        <v>33</v>
      </c>
      <c r="G25" s="301" t="s">
        <v>34</v>
      </c>
      <c r="H25" s="301" t="s">
        <v>377</v>
      </c>
      <c r="I25" s="299" t="s">
        <v>378</v>
      </c>
      <c r="K25" s="19"/>
      <c r="L25" s="3"/>
      <c r="M25" s="3"/>
      <c r="N25" s="301" t="s">
        <v>59</v>
      </c>
      <c r="O25" s="301" t="s">
        <v>31</v>
      </c>
      <c r="P25" s="301" t="s">
        <v>33</v>
      </c>
      <c r="Q25" s="301" t="s">
        <v>34</v>
      </c>
      <c r="R25" s="301" t="s">
        <v>377</v>
      </c>
      <c r="S25" s="299" t="s">
        <v>378</v>
      </c>
    </row>
    <row r="26" spans="1:19">
      <c r="A26" s="19">
        <v>6</v>
      </c>
      <c r="B26" s="26" t="s">
        <v>60</v>
      </c>
      <c r="C26" s="26"/>
      <c r="D26" s="302">
        <f>'04-221Master'!AO16</f>
        <v>1800</v>
      </c>
      <c r="E26" s="302">
        <f>'04-221Master'!AN16</f>
        <v>0</v>
      </c>
      <c r="F26" s="303">
        <f>'04-221Master'!AP16</f>
        <v>200</v>
      </c>
      <c r="G26" s="302">
        <f>'04-221Master'!AQ16</f>
        <v>0</v>
      </c>
      <c r="H26" s="303">
        <f>'04-221Master'!AR16</f>
        <v>391.787848</v>
      </c>
      <c r="I26" s="303">
        <f>D26+E26+F26+G26+H26</f>
        <v>2391.7878479999999</v>
      </c>
      <c r="K26" s="19">
        <v>6</v>
      </c>
      <c r="L26" s="26" t="s">
        <v>60</v>
      </c>
      <c r="M26" s="26"/>
      <c r="N26" s="302">
        <f t="shared" ref="N26:S26" si="0">D26</f>
        <v>1800</v>
      </c>
      <c r="O26" s="302">
        <f t="shared" si="0"/>
        <v>0</v>
      </c>
      <c r="P26" s="303">
        <f t="shared" si="0"/>
        <v>200</v>
      </c>
      <c r="Q26" s="302">
        <f t="shared" si="0"/>
        <v>0</v>
      </c>
      <c r="R26" s="303">
        <f t="shared" si="0"/>
        <v>391.787848</v>
      </c>
      <c r="S26" s="303">
        <f t="shared" si="0"/>
        <v>2391.7878479999999</v>
      </c>
    </row>
    <row r="27" spans="1:19">
      <c r="A27" s="19"/>
      <c r="B27" s="3"/>
      <c r="C27" s="3"/>
      <c r="D27" s="3"/>
      <c r="E27" s="3"/>
      <c r="I27" s="14"/>
      <c r="K27" s="19"/>
      <c r="L27" s="3"/>
      <c r="M27" s="3"/>
      <c r="N27" s="3"/>
      <c r="O27" s="3"/>
      <c r="S27" s="14"/>
    </row>
    <row r="28" spans="1:19">
      <c r="A28" s="19">
        <v>7</v>
      </c>
      <c r="B28" s="1240" t="s">
        <v>61</v>
      </c>
      <c r="C28" s="1240"/>
      <c r="D28" s="1240"/>
      <c r="E28" s="22">
        <f>E24-I26</f>
        <v>80884.028131999978</v>
      </c>
      <c r="F28" s="17"/>
      <c r="G28" s="17"/>
      <c r="H28" s="17"/>
      <c r="I28" s="14"/>
      <c r="K28" s="19">
        <v>7</v>
      </c>
      <c r="L28" s="1240" t="s">
        <v>61</v>
      </c>
      <c r="M28" s="1240"/>
      <c r="N28" s="1240"/>
      <c r="O28" s="22">
        <f>E28</f>
        <v>80884.028131999978</v>
      </c>
      <c r="P28" s="17"/>
      <c r="Q28" s="17"/>
      <c r="R28" s="17"/>
      <c r="S28" s="14"/>
    </row>
    <row r="29" spans="1:19">
      <c r="A29" s="13"/>
      <c r="I29" s="14"/>
      <c r="K29" s="13"/>
      <c r="S29" s="14"/>
    </row>
    <row r="30" spans="1:19">
      <c r="A30" s="13"/>
      <c r="I30" s="14"/>
      <c r="K30" s="13"/>
      <c r="S30" s="14"/>
    </row>
    <row r="31" spans="1:19" ht="15.75" thickBot="1">
      <c r="A31" s="13"/>
      <c r="F31" s="23"/>
      <c r="G31" s="23"/>
      <c r="H31" s="23"/>
      <c r="I31" s="24"/>
      <c r="K31" s="13"/>
      <c r="P31" s="23"/>
      <c r="Q31" s="23"/>
      <c r="R31" s="23"/>
      <c r="S31" s="24"/>
    </row>
    <row r="32" spans="1:19" ht="15.75" thickBot="1">
      <c r="A32" s="25"/>
      <c r="B32" s="23"/>
      <c r="C32" s="23"/>
      <c r="D32" s="23"/>
      <c r="E32" s="23"/>
      <c r="F32" s="1235" t="s">
        <v>62</v>
      </c>
      <c r="G32" s="1235"/>
      <c r="H32" s="1235"/>
      <c r="I32" s="1236"/>
      <c r="K32" s="25"/>
      <c r="L32" s="23"/>
      <c r="M32" s="23"/>
      <c r="N32" s="23"/>
      <c r="O32" s="23"/>
      <c r="P32" s="1235" t="s">
        <v>62</v>
      </c>
      <c r="Q32" s="1235"/>
      <c r="R32" s="1235"/>
      <c r="S32" s="1236"/>
    </row>
    <row r="45" s="388" customFormat="1"/>
    <row r="46" s="388" customFormat="1"/>
    <row r="47" s="388" customFormat="1"/>
    <row r="48" ht="15.75" thickBot="1"/>
    <row r="49" spans="1:19" ht="27" thickBot="1">
      <c r="A49" s="1251" t="s">
        <v>592</v>
      </c>
      <c r="B49" s="1252"/>
      <c r="C49" s="1252"/>
      <c r="D49" s="1252"/>
      <c r="E49" s="1252"/>
      <c r="F49" s="1252"/>
      <c r="G49" s="1252"/>
      <c r="H49" s="1252"/>
      <c r="I49" s="1253"/>
      <c r="J49" s="28"/>
      <c r="K49" s="1251" t="s">
        <v>592</v>
      </c>
      <c r="L49" s="1252"/>
      <c r="M49" s="1252"/>
      <c r="N49" s="1252"/>
      <c r="O49" s="1252"/>
      <c r="P49" s="1252"/>
      <c r="Q49" s="1252"/>
      <c r="R49" s="1252"/>
      <c r="S49" s="1253"/>
    </row>
    <row r="50" spans="1:19">
      <c r="A50" s="1254" t="s">
        <v>593</v>
      </c>
      <c r="B50" s="1255"/>
      <c r="C50" s="1255"/>
      <c r="D50" s="1255"/>
      <c r="E50" s="1255"/>
      <c r="F50" s="1255"/>
      <c r="G50" s="1255"/>
      <c r="H50" s="1255"/>
      <c r="I50" s="1256"/>
      <c r="J50" s="388"/>
      <c r="K50" s="1254" t="s">
        <v>593</v>
      </c>
      <c r="L50" s="1255"/>
      <c r="M50" s="1255"/>
      <c r="N50" s="1255"/>
      <c r="O50" s="1255"/>
      <c r="P50" s="1255"/>
      <c r="Q50" s="1255"/>
      <c r="R50" s="1255"/>
      <c r="S50" s="1256"/>
    </row>
    <row r="51" spans="1:19">
      <c r="A51" s="13"/>
      <c r="I51" s="14"/>
      <c r="K51" s="13"/>
      <c r="S51" s="14"/>
    </row>
    <row r="52" spans="1:19">
      <c r="A52" s="15" t="s">
        <v>49</v>
      </c>
      <c r="B52" s="3"/>
      <c r="C52" s="3"/>
      <c r="D52" s="6" t="str">
        <f>'04-221Master'!F5</f>
        <v>Burgeon IT Services Pvt.Ltd.</v>
      </c>
      <c r="I52" s="14"/>
      <c r="K52" s="15" t="s">
        <v>49</v>
      </c>
      <c r="L52" s="3"/>
      <c r="M52" s="3"/>
      <c r="N52" s="6" t="str">
        <f>D52</f>
        <v>Burgeon IT Services Pvt.Ltd.</v>
      </c>
      <c r="S52" s="14"/>
    </row>
    <row r="53" spans="1:19">
      <c r="A53" s="15"/>
      <c r="B53" s="3" t="str">
        <f>'04-221Master'!F6</f>
        <v>Siri Mansion LIGB 436 Dr.A S Rao Nagar,Hyderabad</v>
      </c>
      <c r="C53" s="3"/>
      <c r="D53" s="3"/>
      <c r="I53" s="14"/>
      <c r="K53" s="15"/>
      <c r="L53" s="3" t="str">
        <f>B53</f>
        <v>Siri Mansion LIGB 436 Dr.A S Rao Nagar,Hyderabad</v>
      </c>
      <c r="M53" s="3"/>
      <c r="N53" s="3"/>
      <c r="S53" s="14"/>
    </row>
    <row r="54" spans="1:19">
      <c r="A54" s="15"/>
      <c r="B54" s="3">
        <f>'04-221Master'!F7</f>
        <v>0</v>
      </c>
      <c r="C54" s="3"/>
      <c r="D54" s="3"/>
      <c r="E54" s="3"/>
      <c r="I54" s="14"/>
      <c r="K54" s="15"/>
      <c r="L54" s="3">
        <f>B54</f>
        <v>0</v>
      </c>
      <c r="M54" s="3"/>
      <c r="N54" s="3"/>
      <c r="O54" s="3"/>
      <c r="S54" s="14"/>
    </row>
    <row r="55" spans="1:19" ht="15" customHeight="1">
      <c r="A55" s="1249" t="s">
        <v>50</v>
      </c>
      <c r="B55" s="1248"/>
      <c r="C55" s="1248"/>
      <c r="D55" s="1248"/>
      <c r="E55" s="3"/>
      <c r="I55" s="14"/>
      <c r="K55" s="1249" t="s">
        <v>50</v>
      </c>
      <c r="L55" s="1248"/>
      <c r="M55" s="1248"/>
      <c r="N55" s="1248"/>
      <c r="O55" s="3"/>
      <c r="S55" s="14"/>
    </row>
    <row r="56" spans="1:19">
      <c r="A56" s="1249"/>
      <c r="B56" s="1248"/>
      <c r="C56" s="1248"/>
      <c r="D56" s="1248"/>
      <c r="E56" s="16" t="str">
        <f>'04-221Master'!B17</f>
        <v>Moeenahmed Shakilahmed Shaikh</v>
      </c>
      <c r="F56" s="17"/>
      <c r="G56" s="17"/>
      <c r="H56" s="17" t="str">
        <f>'04-221Master'!E17</f>
        <v>Shaik Azara Shakilahmed</v>
      </c>
      <c r="I56" s="14"/>
      <c r="K56" s="1249"/>
      <c r="L56" s="1248"/>
      <c r="M56" s="1248"/>
      <c r="N56" s="1248"/>
      <c r="O56" s="16" t="str">
        <f>E56</f>
        <v>Moeenahmed Shakilahmed Shaikh</v>
      </c>
      <c r="P56" s="17"/>
      <c r="Q56" s="17"/>
      <c r="R56" s="17" t="str">
        <f>H56</f>
        <v>Shaik Azara Shakilahmed</v>
      </c>
      <c r="S56" s="14"/>
    </row>
    <row r="57" spans="1:19">
      <c r="A57" s="15"/>
      <c r="B57" s="3"/>
      <c r="C57" s="3"/>
      <c r="D57" s="3"/>
      <c r="E57" s="3"/>
      <c r="I57" s="14"/>
      <c r="K57" s="15"/>
      <c r="L57" s="3"/>
      <c r="M57" s="3"/>
      <c r="N57" s="3"/>
      <c r="O57" s="3"/>
      <c r="S57" s="14"/>
    </row>
    <row r="58" spans="1:19">
      <c r="A58" s="1250" t="s">
        <v>51</v>
      </c>
      <c r="B58" s="1240"/>
      <c r="C58" s="1240"/>
      <c r="D58" s="1240"/>
      <c r="E58" s="16" t="str">
        <f>'04-221Master'!F8</f>
        <v>IT SUPPORTIVE SERVICES&amp; Pune SEZ Unit-1</v>
      </c>
      <c r="F58" s="17"/>
      <c r="G58" s="17"/>
      <c r="H58" s="17"/>
      <c r="I58" s="14"/>
      <c r="K58" s="1250" t="s">
        <v>51</v>
      </c>
      <c r="L58" s="1240"/>
      <c r="M58" s="1240"/>
      <c r="N58" s="1240"/>
      <c r="O58" s="16" t="str">
        <f>E58</f>
        <v>IT SUPPORTIVE SERVICES&amp; Pune SEZ Unit-1</v>
      </c>
      <c r="P58" s="17"/>
      <c r="Q58" s="17"/>
      <c r="R58" s="17"/>
      <c r="S58" s="14"/>
    </row>
    <row r="59" spans="1:19">
      <c r="A59" s="15"/>
      <c r="B59" s="3"/>
      <c r="C59" s="3"/>
      <c r="D59" s="3"/>
      <c r="E59" s="3"/>
      <c r="I59" s="14"/>
      <c r="K59" s="15"/>
      <c r="L59" s="3"/>
      <c r="M59" s="3"/>
      <c r="N59" s="3"/>
      <c r="O59" s="3"/>
      <c r="S59" s="14"/>
    </row>
    <row r="60" spans="1:19">
      <c r="A60" s="1250" t="s">
        <v>52</v>
      </c>
      <c r="B60" s="1240"/>
      <c r="C60" s="1240"/>
      <c r="D60" s="1240"/>
      <c r="E60" s="18">
        <f>'04-221Master'!D10</f>
        <v>44652</v>
      </c>
      <c r="F60" s="17"/>
      <c r="G60" s="17"/>
      <c r="H60" s="17"/>
      <c r="I60" s="14"/>
      <c r="K60" s="1250" t="s">
        <v>52</v>
      </c>
      <c r="L60" s="1240"/>
      <c r="M60" s="1240"/>
      <c r="N60" s="1240"/>
      <c r="O60" s="18">
        <f>E60</f>
        <v>44652</v>
      </c>
      <c r="P60" s="17"/>
      <c r="Q60" s="17"/>
      <c r="R60" s="17"/>
      <c r="S60" s="14"/>
    </row>
    <row r="61" spans="1:19">
      <c r="A61" s="15"/>
      <c r="B61" s="3"/>
      <c r="C61" s="3"/>
      <c r="D61" s="3"/>
      <c r="E61" s="3"/>
      <c r="I61" s="14"/>
      <c r="K61" s="15"/>
      <c r="L61" s="3"/>
      <c r="M61" s="3"/>
      <c r="N61" s="3"/>
      <c r="O61" s="3"/>
      <c r="S61" s="14"/>
    </row>
    <row r="62" spans="1:19">
      <c r="A62" s="19">
        <v>1</v>
      </c>
      <c r="B62" s="1240" t="s">
        <v>53</v>
      </c>
      <c r="C62" s="1240"/>
      <c r="D62" s="1240"/>
      <c r="E62" s="20">
        <f>'04-221Master'!W17</f>
        <v>30</v>
      </c>
      <c r="F62" s="17"/>
      <c r="G62" s="17"/>
      <c r="H62" s="17"/>
      <c r="I62" s="14"/>
      <c r="K62" s="19">
        <v>1</v>
      </c>
      <c r="L62" s="1240" t="s">
        <v>53</v>
      </c>
      <c r="M62" s="1240"/>
      <c r="N62" s="1240"/>
      <c r="O62" s="20">
        <f>E62</f>
        <v>30</v>
      </c>
      <c r="P62" s="17"/>
      <c r="Q62" s="17"/>
      <c r="R62" s="17"/>
      <c r="S62" s="14"/>
    </row>
    <row r="63" spans="1:19">
      <c r="A63" s="19"/>
      <c r="B63" s="3"/>
      <c r="C63" s="3"/>
      <c r="D63" s="3"/>
      <c r="E63" s="3"/>
      <c r="I63" s="14"/>
      <c r="K63" s="19"/>
      <c r="L63" s="3"/>
      <c r="M63" s="3"/>
      <c r="N63" s="3"/>
      <c r="O63" s="3"/>
      <c r="S63" s="14"/>
    </row>
    <row r="64" spans="1:19" ht="15" customHeight="1">
      <c r="A64" s="19">
        <v>2</v>
      </c>
      <c r="B64" s="1248" t="s">
        <v>54</v>
      </c>
      <c r="C64" s="1248"/>
      <c r="D64" s="1248"/>
      <c r="E64" s="3"/>
      <c r="I64" s="14"/>
      <c r="K64" s="19">
        <v>2</v>
      </c>
      <c r="L64" s="1248" t="s">
        <v>54</v>
      </c>
      <c r="M64" s="1248"/>
      <c r="N64" s="1248"/>
      <c r="O64" s="3"/>
      <c r="S64" s="14"/>
    </row>
    <row r="65" spans="1:19">
      <c r="A65" s="19"/>
      <c r="B65" s="1248"/>
      <c r="C65" s="1248"/>
      <c r="D65" s="1248"/>
      <c r="E65" s="21" t="s">
        <v>37</v>
      </c>
      <c r="F65" s="17"/>
      <c r="G65" s="17"/>
      <c r="H65" s="17"/>
      <c r="I65" s="14"/>
      <c r="K65" s="19"/>
      <c r="L65" s="1248"/>
      <c r="M65" s="1248"/>
      <c r="N65" s="1248"/>
      <c r="O65" s="21" t="s">
        <v>37</v>
      </c>
      <c r="P65" s="17"/>
      <c r="Q65" s="17"/>
      <c r="R65" s="17"/>
      <c r="S65" s="14"/>
    </row>
    <row r="66" spans="1:19">
      <c r="A66" s="19"/>
      <c r="B66" s="3"/>
      <c r="C66" s="3"/>
      <c r="D66" s="3"/>
      <c r="E66" s="3"/>
      <c r="I66" s="14"/>
      <c r="K66" s="19"/>
      <c r="L66" s="3"/>
      <c r="M66" s="3"/>
      <c r="N66" s="3"/>
      <c r="O66" s="3"/>
      <c r="S66" s="14"/>
    </row>
    <row r="67" spans="1:19">
      <c r="A67" s="19">
        <v>3</v>
      </c>
      <c r="B67" s="1240" t="s">
        <v>55</v>
      </c>
      <c r="C67" s="1240"/>
      <c r="D67" s="1240"/>
      <c r="E67" s="21" t="s">
        <v>37</v>
      </c>
      <c r="F67" s="17"/>
      <c r="G67" s="17"/>
      <c r="H67" s="17"/>
      <c r="I67" s="14"/>
      <c r="K67" s="19">
        <v>3</v>
      </c>
      <c r="L67" s="1240" t="s">
        <v>55</v>
      </c>
      <c r="M67" s="1240"/>
      <c r="N67" s="1240"/>
      <c r="O67" s="16" t="str">
        <f>E67</f>
        <v>N/A</v>
      </c>
      <c r="P67" s="17"/>
      <c r="Q67" s="17"/>
      <c r="R67" s="17"/>
      <c r="S67" s="14"/>
    </row>
    <row r="68" spans="1:19">
      <c r="A68" s="19"/>
      <c r="B68" s="3"/>
      <c r="C68" s="3"/>
      <c r="D68" s="3"/>
      <c r="E68" s="3"/>
      <c r="I68" s="14"/>
      <c r="K68" s="19"/>
      <c r="L68" s="3"/>
      <c r="M68" s="3"/>
      <c r="N68" s="3"/>
      <c r="O68" s="3"/>
      <c r="S68" s="14"/>
    </row>
    <row r="69" spans="1:19">
      <c r="A69" s="19">
        <v>4</v>
      </c>
      <c r="B69" s="1240" t="s">
        <v>56</v>
      </c>
      <c r="C69" s="1240"/>
      <c r="D69" s="1240"/>
      <c r="E69" s="21" t="s">
        <v>57</v>
      </c>
      <c r="F69" s="17"/>
      <c r="G69" s="17"/>
      <c r="H69" s="17"/>
      <c r="I69" s="14"/>
      <c r="K69" s="19">
        <v>4</v>
      </c>
      <c r="L69" s="1240" t="s">
        <v>56</v>
      </c>
      <c r="M69" s="1240"/>
      <c r="N69" s="1240"/>
      <c r="O69" s="21" t="s">
        <v>57</v>
      </c>
      <c r="P69" s="17"/>
      <c r="Q69" s="17"/>
      <c r="R69" s="17"/>
      <c r="S69" s="14"/>
    </row>
    <row r="70" spans="1:19">
      <c r="A70" s="19"/>
      <c r="B70" s="3"/>
      <c r="C70" s="3"/>
      <c r="D70" s="3"/>
      <c r="E70" s="3"/>
      <c r="I70" s="14"/>
      <c r="K70" s="19"/>
      <c r="L70" s="3"/>
      <c r="M70" s="3"/>
      <c r="N70" s="3"/>
      <c r="O70" s="3"/>
      <c r="S70" s="14"/>
    </row>
    <row r="71" spans="1:19">
      <c r="A71" s="19">
        <v>5</v>
      </c>
      <c r="B71" s="1240" t="s">
        <v>58</v>
      </c>
      <c r="C71" s="1240"/>
      <c r="D71" s="1240"/>
      <c r="E71" s="300">
        <f>'04-221Master'!AM17</f>
        <v>163275.44269999999</v>
      </c>
      <c r="I71" s="14"/>
      <c r="K71" s="19">
        <v>5</v>
      </c>
      <c r="L71" s="1240" t="s">
        <v>58</v>
      </c>
      <c r="M71" s="1240"/>
      <c r="N71" s="1240"/>
      <c r="O71" s="300">
        <f>E71</f>
        <v>163275.44269999999</v>
      </c>
      <c r="S71" s="14"/>
    </row>
    <row r="72" spans="1:19">
      <c r="A72" s="19"/>
      <c r="B72" s="3"/>
      <c r="C72" s="3"/>
      <c r="D72" s="301" t="s">
        <v>59</v>
      </c>
      <c r="E72" s="301" t="s">
        <v>31</v>
      </c>
      <c r="F72" s="301" t="s">
        <v>33</v>
      </c>
      <c r="G72" s="301" t="s">
        <v>34</v>
      </c>
      <c r="H72" s="301" t="s">
        <v>377</v>
      </c>
      <c r="I72" s="299" t="s">
        <v>378</v>
      </c>
      <c r="K72" s="19"/>
      <c r="L72" s="3"/>
      <c r="M72" s="3"/>
      <c r="N72" s="301" t="s">
        <v>59</v>
      </c>
      <c r="O72" s="301" t="s">
        <v>31</v>
      </c>
      <c r="P72" s="301" t="s">
        <v>33</v>
      </c>
      <c r="Q72" s="301" t="s">
        <v>34</v>
      </c>
      <c r="R72" s="301" t="s">
        <v>377</v>
      </c>
      <c r="S72" s="299" t="s">
        <v>378</v>
      </c>
    </row>
    <row r="73" spans="1:19">
      <c r="A73" s="19">
        <v>6</v>
      </c>
      <c r="B73" s="26" t="s">
        <v>60</v>
      </c>
      <c r="C73" s="26"/>
      <c r="D73" s="302">
        <f>'04-221Master'!AO17</f>
        <v>6000</v>
      </c>
      <c r="E73" s="302">
        <f>'04-221Master'!AN17</f>
        <v>0</v>
      </c>
      <c r="F73" s="303">
        <f>'04-221Master'!AP17</f>
        <v>200</v>
      </c>
      <c r="G73" s="302">
        <f>'04-221Master'!AQ17</f>
        <v>0</v>
      </c>
      <c r="H73" s="303">
        <f>'04-221Master'!AR17</f>
        <v>440.76132899999999</v>
      </c>
      <c r="I73" s="303">
        <f>D73+E73+F73+G73+H73</f>
        <v>6640.7613289999999</v>
      </c>
      <c r="K73" s="19">
        <v>6</v>
      </c>
      <c r="L73" s="26" t="s">
        <v>60</v>
      </c>
      <c r="M73" s="26"/>
      <c r="N73" s="302">
        <f t="shared" ref="N73:S73" si="1">D73</f>
        <v>6000</v>
      </c>
      <c r="O73" s="302">
        <f t="shared" si="1"/>
        <v>0</v>
      </c>
      <c r="P73" s="303">
        <f t="shared" si="1"/>
        <v>200</v>
      </c>
      <c r="Q73" s="302">
        <f t="shared" si="1"/>
        <v>0</v>
      </c>
      <c r="R73" s="303">
        <f t="shared" si="1"/>
        <v>440.76132899999999</v>
      </c>
      <c r="S73" s="303">
        <f t="shared" si="1"/>
        <v>6640.7613289999999</v>
      </c>
    </row>
    <row r="74" spans="1:19">
      <c r="A74" s="19"/>
      <c r="B74" s="3"/>
      <c r="C74" s="3"/>
      <c r="D74" s="3"/>
      <c r="E74" s="3"/>
      <c r="I74" s="14"/>
      <c r="K74" s="19"/>
      <c r="L74" s="3"/>
      <c r="M74" s="3"/>
      <c r="N74" s="3"/>
      <c r="O74" s="3"/>
      <c r="S74" s="14"/>
    </row>
    <row r="75" spans="1:19">
      <c r="A75" s="19">
        <v>7</v>
      </c>
      <c r="B75" s="1240" t="s">
        <v>61</v>
      </c>
      <c r="C75" s="1240"/>
      <c r="D75" s="1240"/>
      <c r="E75" s="22">
        <f>E71-I73</f>
        <v>156634.68137099998</v>
      </c>
      <c r="F75" s="17"/>
      <c r="G75" s="17"/>
      <c r="H75" s="17"/>
      <c r="I75" s="14"/>
      <c r="K75" s="19">
        <v>7</v>
      </c>
      <c r="L75" s="1240" t="s">
        <v>61</v>
      </c>
      <c r="M75" s="1240"/>
      <c r="N75" s="1240"/>
      <c r="O75" s="22">
        <f>E75</f>
        <v>156634.68137099998</v>
      </c>
      <c r="P75" s="17"/>
      <c r="Q75" s="17"/>
      <c r="R75" s="17"/>
      <c r="S75" s="14"/>
    </row>
    <row r="76" spans="1:19">
      <c r="A76" s="13"/>
      <c r="I76" s="14"/>
      <c r="K76" s="13"/>
      <c r="S76" s="14"/>
    </row>
    <row r="77" spans="1:19">
      <c r="A77" s="13"/>
      <c r="I77" s="14"/>
      <c r="K77" s="13"/>
      <c r="S77" s="14"/>
    </row>
    <row r="78" spans="1:19" ht="15.75" thickBot="1">
      <c r="A78" s="13"/>
      <c r="F78" s="23"/>
      <c r="G78" s="23"/>
      <c r="H78" s="23"/>
      <c r="I78" s="24"/>
      <c r="K78" s="13"/>
      <c r="P78" s="23"/>
      <c r="Q78" s="23"/>
      <c r="R78" s="23"/>
      <c r="S78" s="24"/>
    </row>
    <row r="79" spans="1:19" ht="15.75" thickBot="1">
      <c r="A79" s="25"/>
      <c r="B79" s="23"/>
      <c r="C79" s="23"/>
      <c r="D79" s="23"/>
      <c r="E79" s="23"/>
      <c r="F79" s="1235" t="s">
        <v>62</v>
      </c>
      <c r="G79" s="1235"/>
      <c r="H79" s="1235"/>
      <c r="I79" s="1236"/>
      <c r="K79" s="25"/>
      <c r="L79" s="23"/>
      <c r="M79" s="23"/>
      <c r="N79" s="23"/>
      <c r="O79" s="23"/>
      <c r="P79" s="1235" t="s">
        <v>62</v>
      </c>
      <c r="Q79" s="1235"/>
      <c r="R79" s="1235"/>
      <c r="S79" s="1236"/>
    </row>
    <row r="88" s="388" customFormat="1"/>
    <row r="89" s="388" customFormat="1"/>
    <row r="90" s="388" customFormat="1"/>
    <row r="91" s="388" customFormat="1"/>
    <row r="92" s="388" customFormat="1"/>
    <row r="93" s="388" customFormat="1"/>
    <row r="94" s="388" customFormat="1"/>
    <row r="95" s="388" customFormat="1"/>
    <row r="96" ht="15.75" thickBot="1"/>
    <row r="97" spans="1:19" ht="27" thickBot="1">
      <c r="A97" s="1245" t="s">
        <v>592</v>
      </c>
      <c r="B97" s="1246"/>
      <c r="C97" s="1246"/>
      <c r="D97" s="1246"/>
      <c r="E97" s="1246"/>
      <c r="F97" s="1246"/>
      <c r="G97" s="1246"/>
      <c r="H97" s="1246"/>
      <c r="I97" s="1247"/>
      <c r="J97" s="992"/>
      <c r="K97" s="1245" t="s">
        <v>592</v>
      </c>
      <c r="L97" s="1246"/>
      <c r="M97" s="1246"/>
      <c r="N97" s="1246"/>
      <c r="O97" s="1246"/>
      <c r="P97" s="1246"/>
      <c r="Q97" s="1246"/>
      <c r="R97" s="1246"/>
      <c r="S97" s="1247"/>
    </row>
    <row r="98" spans="1:19">
      <c r="A98" s="1241" t="s">
        <v>593</v>
      </c>
      <c r="B98" s="1242"/>
      <c r="C98" s="1242"/>
      <c r="D98" s="1242"/>
      <c r="E98" s="1242"/>
      <c r="F98" s="1242"/>
      <c r="G98" s="1242"/>
      <c r="H98" s="1242"/>
      <c r="I98" s="1243"/>
      <c r="J98" s="839"/>
      <c r="K98" s="1241" t="s">
        <v>593</v>
      </c>
      <c r="L98" s="1242"/>
      <c r="M98" s="1242"/>
      <c r="N98" s="1242"/>
      <c r="O98" s="1242"/>
      <c r="P98" s="1242"/>
      <c r="Q98" s="1242"/>
      <c r="R98" s="1242"/>
      <c r="S98" s="1243"/>
    </row>
    <row r="99" spans="1:19">
      <c r="A99" s="993"/>
      <c r="B99" s="839"/>
      <c r="C99" s="839"/>
      <c r="D99" s="839"/>
      <c r="E99" s="839"/>
      <c r="F99" s="839"/>
      <c r="G99" s="839"/>
      <c r="H99" s="839"/>
      <c r="I99" s="994"/>
      <c r="J99" s="839"/>
      <c r="K99" s="993"/>
      <c r="L99" s="839"/>
      <c r="M99" s="839"/>
      <c r="N99" s="839"/>
      <c r="O99" s="839"/>
      <c r="P99" s="839"/>
      <c r="Q99" s="839"/>
      <c r="R99" s="839"/>
      <c r="S99" s="994"/>
    </row>
    <row r="100" spans="1:19">
      <c r="A100" s="995" t="s">
        <v>49</v>
      </c>
      <c r="B100" s="996"/>
      <c r="C100" s="996"/>
      <c r="D100" s="997" t="str">
        <f>'04-221Master'!F5</f>
        <v>Burgeon IT Services Pvt.Ltd.</v>
      </c>
      <c r="E100" s="839"/>
      <c r="F100" s="839"/>
      <c r="G100" s="839"/>
      <c r="H100" s="839"/>
      <c r="I100" s="994"/>
      <c r="J100" s="839"/>
      <c r="K100" s="995" t="s">
        <v>49</v>
      </c>
      <c r="L100" s="996"/>
      <c r="M100" s="996"/>
      <c r="N100" s="997" t="str">
        <f>D100</f>
        <v>Burgeon IT Services Pvt.Ltd.</v>
      </c>
      <c r="O100" s="839"/>
      <c r="P100" s="839"/>
      <c r="Q100" s="839"/>
      <c r="R100" s="839"/>
      <c r="S100" s="994"/>
    </row>
    <row r="101" spans="1:19">
      <c r="A101" s="995"/>
      <c r="B101" s="996" t="str">
        <f>'04-221Master'!F6</f>
        <v>Siri Mansion LIGB 436 Dr.A S Rao Nagar,Hyderabad</v>
      </c>
      <c r="C101" s="996"/>
      <c r="D101" s="996"/>
      <c r="E101" s="839"/>
      <c r="F101" s="839"/>
      <c r="G101" s="839"/>
      <c r="H101" s="839"/>
      <c r="I101" s="994"/>
      <c r="J101" s="839"/>
      <c r="K101" s="995"/>
      <c r="L101" s="996" t="str">
        <f>B101</f>
        <v>Siri Mansion LIGB 436 Dr.A S Rao Nagar,Hyderabad</v>
      </c>
      <c r="M101" s="996"/>
      <c r="N101" s="996"/>
      <c r="O101" s="839"/>
      <c r="P101" s="839"/>
      <c r="Q101" s="839"/>
      <c r="R101" s="839"/>
      <c r="S101" s="994"/>
    </row>
    <row r="102" spans="1:19">
      <c r="A102" s="995"/>
      <c r="B102" s="996">
        <f>'04-221Master'!F389</f>
        <v>0</v>
      </c>
      <c r="C102" s="996"/>
      <c r="D102" s="996"/>
      <c r="E102" s="996"/>
      <c r="F102" s="839"/>
      <c r="G102" s="839"/>
      <c r="H102" s="839"/>
      <c r="I102" s="994"/>
      <c r="J102" s="839"/>
      <c r="K102" s="995"/>
      <c r="L102" s="996">
        <f>B102</f>
        <v>0</v>
      </c>
      <c r="M102" s="996"/>
      <c r="N102" s="996"/>
      <c r="O102" s="996"/>
      <c r="P102" s="839"/>
      <c r="Q102" s="839"/>
      <c r="R102" s="839"/>
      <c r="S102" s="994"/>
    </row>
    <row r="103" spans="1:19" ht="15" customHeight="1">
      <c r="A103" s="1244" t="s">
        <v>50</v>
      </c>
      <c r="B103" s="1238"/>
      <c r="C103" s="1238"/>
      <c r="D103" s="1238"/>
      <c r="E103" s="996"/>
      <c r="F103" s="839"/>
      <c r="G103" s="839"/>
      <c r="H103" s="839"/>
      <c r="I103" s="994"/>
      <c r="J103" s="839"/>
      <c r="K103" s="1244" t="s">
        <v>50</v>
      </c>
      <c r="L103" s="1238"/>
      <c r="M103" s="1238"/>
      <c r="N103" s="1238"/>
      <c r="O103" s="996"/>
      <c r="P103" s="839"/>
      <c r="Q103" s="839"/>
      <c r="R103" s="839"/>
      <c r="S103" s="994"/>
    </row>
    <row r="104" spans="1:19">
      <c r="A104" s="1244"/>
      <c r="B104" s="1238"/>
      <c r="C104" s="1238"/>
      <c r="D104" s="1238"/>
      <c r="E104" s="998" t="e">
        <f>'04-221Master'!#REF!</f>
        <v>#REF!</v>
      </c>
      <c r="F104" s="999"/>
      <c r="G104" s="999"/>
      <c r="H104" s="999" t="e">
        <f>'04-221Master'!#REF!</f>
        <v>#REF!</v>
      </c>
      <c r="I104" s="994"/>
      <c r="J104" s="839"/>
      <c r="K104" s="1244"/>
      <c r="L104" s="1238"/>
      <c r="M104" s="1238"/>
      <c r="N104" s="1238"/>
      <c r="O104" s="998" t="e">
        <f>E104</f>
        <v>#REF!</v>
      </c>
      <c r="P104" s="999"/>
      <c r="Q104" s="999" t="e">
        <f>H104</f>
        <v>#REF!</v>
      </c>
      <c r="R104" s="999"/>
      <c r="S104" s="994"/>
    </row>
    <row r="105" spans="1:19">
      <c r="A105" s="995"/>
      <c r="B105" s="996"/>
      <c r="C105" s="996"/>
      <c r="D105" s="996"/>
      <c r="E105" s="996"/>
      <c r="F105" s="839"/>
      <c r="G105" s="839"/>
      <c r="H105" s="839"/>
      <c r="I105" s="994"/>
      <c r="J105" s="839"/>
      <c r="K105" s="995"/>
      <c r="L105" s="996"/>
      <c r="M105" s="996"/>
      <c r="N105" s="996"/>
      <c r="O105" s="996"/>
      <c r="P105" s="839"/>
      <c r="Q105" s="839"/>
      <c r="R105" s="839"/>
      <c r="S105" s="994"/>
    </row>
    <row r="106" spans="1:19">
      <c r="A106" s="1239" t="s">
        <v>51</v>
      </c>
      <c r="B106" s="1237"/>
      <c r="C106" s="1237"/>
      <c r="D106" s="1237"/>
      <c r="E106" s="998" t="str">
        <f>'04-221Master'!F8</f>
        <v>IT SUPPORTIVE SERVICES&amp; Pune SEZ Unit-1</v>
      </c>
      <c r="F106" s="999"/>
      <c r="G106" s="999"/>
      <c r="H106" s="999"/>
      <c r="I106" s="994"/>
      <c r="J106" s="839"/>
      <c r="K106" s="1239" t="s">
        <v>51</v>
      </c>
      <c r="L106" s="1237"/>
      <c r="M106" s="1237"/>
      <c r="N106" s="1237"/>
      <c r="O106" s="998" t="str">
        <f>E106</f>
        <v>IT SUPPORTIVE SERVICES&amp; Pune SEZ Unit-1</v>
      </c>
      <c r="P106" s="999"/>
      <c r="Q106" s="999"/>
      <c r="R106" s="999"/>
      <c r="S106" s="994"/>
    </row>
    <row r="107" spans="1:19">
      <c r="A107" s="995"/>
      <c r="B107" s="996"/>
      <c r="C107" s="996"/>
      <c r="D107" s="996"/>
      <c r="E107" s="996"/>
      <c r="F107" s="839"/>
      <c r="G107" s="839"/>
      <c r="H107" s="839"/>
      <c r="I107" s="994"/>
      <c r="J107" s="839"/>
      <c r="K107" s="995"/>
      <c r="L107" s="996"/>
      <c r="M107" s="996"/>
      <c r="N107" s="996"/>
      <c r="O107" s="996"/>
      <c r="P107" s="839"/>
      <c r="Q107" s="839"/>
      <c r="R107" s="839"/>
      <c r="S107" s="994"/>
    </row>
    <row r="108" spans="1:19">
      <c r="A108" s="1239" t="s">
        <v>52</v>
      </c>
      <c r="B108" s="1237"/>
      <c r="C108" s="1237"/>
      <c r="D108" s="1237"/>
      <c r="E108" s="1000">
        <f>'04-221Master'!D10</f>
        <v>44652</v>
      </c>
      <c r="F108" s="999"/>
      <c r="G108" s="999"/>
      <c r="H108" s="999"/>
      <c r="I108" s="994"/>
      <c r="J108" s="839"/>
      <c r="K108" s="1239" t="s">
        <v>52</v>
      </c>
      <c r="L108" s="1237"/>
      <c r="M108" s="1237"/>
      <c r="N108" s="1237"/>
      <c r="O108" s="1000">
        <f>E108</f>
        <v>44652</v>
      </c>
      <c r="P108" s="999"/>
      <c r="Q108" s="999"/>
      <c r="R108" s="999"/>
      <c r="S108" s="994"/>
    </row>
    <row r="109" spans="1:19">
      <c r="A109" s="995"/>
      <c r="B109" s="996"/>
      <c r="C109" s="996"/>
      <c r="D109" s="996"/>
      <c r="E109" s="996"/>
      <c r="F109" s="839"/>
      <c r="G109" s="839"/>
      <c r="H109" s="839"/>
      <c r="I109" s="994"/>
      <c r="J109" s="839"/>
      <c r="K109" s="995"/>
      <c r="L109" s="996"/>
      <c r="M109" s="996"/>
      <c r="N109" s="996"/>
      <c r="O109" s="996"/>
      <c r="P109" s="839"/>
      <c r="Q109" s="839"/>
      <c r="R109" s="839"/>
      <c r="S109" s="994"/>
    </row>
    <row r="110" spans="1:19">
      <c r="A110" s="1001">
        <v>1</v>
      </c>
      <c r="B110" s="1237" t="s">
        <v>53</v>
      </c>
      <c r="C110" s="1237"/>
      <c r="D110" s="1237"/>
      <c r="E110" s="1002" t="e">
        <f>'04-221Master'!#REF!</f>
        <v>#REF!</v>
      </c>
      <c r="F110" s="999"/>
      <c r="G110" s="999"/>
      <c r="H110" s="999"/>
      <c r="I110" s="994"/>
      <c r="J110" s="839"/>
      <c r="K110" s="1001">
        <v>1</v>
      </c>
      <c r="L110" s="1237" t="s">
        <v>53</v>
      </c>
      <c r="M110" s="1237"/>
      <c r="N110" s="1237"/>
      <c r="O110" s="1002" t="e">
        <f>E110</f>
        <v>#REF!</v>
      </c>
      <c r="P110" s="999"/>
      <c r="Q110" s="999"/>
      <c r="R110" s="999"/>
      <c r="S110" s="994"/>
    </row>
    <row r="111" spans="1:19">
      <c r="A111" s="1001"/>
      <c r="B111" s="996"/>
      <c r="C111" s="996"/>
      <c r="D111" s="996"/>
      <c r="E111" s="996"/>
      <c r="F111" s="839"/>
      <c r="G111" s="839"/>
      <c r="H111" s="839"/>
      <c r="I111" s="994"/>
      <c r="J111" s="839"/>
      <c r="K111" s="1001"/>
      <c r="L111" s="996"/>
      <c r="M111" s="996"/>
      <c r="N111" s="996"/>
      <c r="O111" s="996"/>
      <c r="P111" s="839"/>
      <c r="Q111" s="839"/>
      <c r="R111" s="839"/>
      <c r="S111" s="994"/>
    </row>
    <row r="112" spans="1:19" ht="15" customHeight="1">
      <c r="A112" s="1001">
        <v>2</v>
      </c>
      <c r="B112" s="1238" t="s">
        <v>54</v>
      </c>
      <c r="C112" s="1238"/>
      <c r="D112" s="1238"/>
      <c r="E112" s="996"/>
      <c r="F112" s="839"/>
      <c r="G112" s="839"/>
      <c r="H112" s="839"/>
      <c r="I112" s="994"/>
      <c r="J112" s="839"/>
      <c r="K112" s="1001">
        <v>2</v>
      </c>
      <c r="L112" s="1238" t="s">
        <v>54</v>
      </c>
      <c r="M112" s="1238"/>
      <c r="N112" s="1238"/>
      <c r="O112" s="996"/>
      <c r="P112" s="839"/>
      <c r="Q112" s="839"/>
      <c r="R112" s="839"/>
      <c r="S112" s="994"/>
    </row>
    <row r="113" spans="1:19">
      <c r="A113" s="1001"/>
      <c r="B113" s="1238"/>
      <c r="C113" s="1238"/>
      <c r="D113" s="1238"/>
      <c r="E113" s="1003" t="s">
        <v>37</v>
      </c>
      <c r="F113" s="999"/>
      <c r="G113" s="999"/>
      <c r="H113" s="999"/>
      <c r="I113" s="994"/>
      <c r="J113" s="839"/>
      <c r="K113" s="1001"/>
      <c r="L113" s="1238"/>
      <c r="M113" s="1238"/>
      <c r="N113" s="1238"/>
      <c r="O113" s="1003" t="s">
        <v>37</v>
      </c>
      <c r="P113" s="999"/>
      <c r="Q113" s="999"/>
      <c r="R113" s="999"/>
      <c r="S113" s="994"/>
    </row>
    <row r="114" spans="1:19">
      <c r="A114" s="1001"/>
      <c r="B114" s="996"/>
      <c r="C114" s="996"/>
      <c r="D114" s="996"/>
      <c r="E114" s="996"/>
      <c r="F114" s="839"/>
      <c r="G114" s="839"/>
      <c r="H114" s="839"/>
      <c r="I114" s="994"/>
      <c r="J114" s="839"/>
      <c r="K114" s="1001"/>
      <c r="L114" s="996"/>
      <c r="M114" s="996"/>
      <c r="N114" s="996"/>
      <c r="O114" s="996"/>
      <c r="P114" s="839"/>
      <c r="Q114" s="839"/>
      <c r="R114" s="839"/>
      <c r="S114" s="994"/>
    </row>
    <row r="115" spans="1:19">
      <c r="A115" s="1001">
        <v>3</v>
      </c>
      <c r="B115" s="1237" t="s">
        <v>55</v>
      </c>
      <c r="C115" s="1237"/>
      <c r="D115" s="1237"/>
      <c r="E115" s="1003" t="s">
        <v>37</v>
      </c>
      <c r="F115" s="999"/>
      <c r="G115" s="999"/>
      <c r="H115" s="999"/>
      <c r="I115" s="994"/>
      <c r="J115" s="839"/>
      <c r="K115" s="1001">
        <v>3</v>
      </c>
      <c r="L115" s="1237" t="s">
        <v>55</v>
      </c>
      <c r="M115" s="1237"/>
      <c r="N115" s="1237"/>
      <c r="O115" s="998" t="str">
        <f>E115</f>
        <v>N/A</v>
      </c>
      <c r="P115" s="999"/>
      <c r="Q115" s="999"/>
      <c r="R115" s="999"/>
      <c r="S115" s="994"/>
    </row>
    <row r="116" spans="1:19">
      <c r="A116" s="1001"/>
      <c r="B116" s="996"/>
      <c r="C116" s="996"/>
      <c r="D116" s="996"/>
      <c r="E116" s="996"/>
      <c r="F116" s="839"/>
      <c r="G116" s="839"/>
      <c r="H116" s="839"/>
      <c r="I116" s="994"/>
      <c r="J116" s="839"/>
      <c r="K116" s="1001"/>
      <c r="L116" s="996"/>
      <c r="M116" s="996"/>
      <c r="N116" s="996"/>
      <c r="O116" s="996"/>
      <c r="P116" s="839"/>
      <c r="Q116" s="839"/>
      <c r="R116" s="839"/>
      <c r="S116" s="994"/>
    </row>
    <row r="117" spans="1:19">
      <c r="A117" s="1001">
        <v>4</v>
      </c>
      <c r="B117" s="1237" t="s">
        <v>56</v>
      </c>
      <c r="C117" s="1237"/>
      <c r="D117" s="1237"/>
      <c r="E117" s="1003" t="s">
        <v>57</v>
      </c>
      <c r="F117" s="999"/>
      <c r="G117" s="999"/>
      <c r="H117" s="999"/>
      <c r="I117" s="994"/>
      <c r="J117" s="839"/>
      <c r="K117" s="1001">
        <v>4</v>
      </c>
      <c r="L117" s="1237" t="s">
        <v>56</v>
      </c>
      <c r="M117" s="1237"/>
      <c r="N117" s="1237"/>
      <c r="O117" s="1003" t="s">
        <v>57</v>
      </c>
      <c r="P117" s="999"/>
      <c r="Q117" s="999"/>
      <c r="R117" s="999"/>
      <c r="S117" s="994"/>
    </row>
    <row r="118" spans="1:19">
      <c r="A118" s="1001"/>
      <c r="B118" s="996"/>
      <c r="C118" s="996"/>
      <c r="D118" s="996"/>
      <c r="E118" s="996"/>
      <c r="F118" s="839"/>
      <c r="G118" s="839"/>
      <c r="H118" s="839"/>
      <c r="I118" s="994"/>
      <c r="J118" s="839"/>
      <c r="K118" s="1001"/>
      <c r="L118" s="996"/>
      <c r="M118" s="996"/>
      <c r="N118" s="996"/>
      <c r="O118" s="996"/>
      <c r="P118" s="839"/>
      <c r="Q118" s="839"/>
      <c r="R118" s="839"/>
      <c r="S118" s="994"/>
    </row>
    <row r="119" spans="1:19">
      <c r="A119" s="1001">
        <v>5</v>
      </c>
      <c r="B119" s="1237" t="s">
        <v>58</v>
      </c>
      <c r="C119" s="1237"/>
      <c r="D119" s="1237"/>
      <c r="E119" s="1004" t="e">
        <f>'04-221Master'!#REF!</f>
        <v>#REF!</v>
      </c>
      <c r="F119" s="839"/>
      <c r="G119" s="839"/>
      <c r="H119" s="839"/>
      <c r="I119" s="994"/>
      <c r="J119" s="839"/>
      <c r="K119" s="1001">
        <v>5</v>
      </c>
      <c r="L119" s="1237" t="s">
        <v>58</v>
      </c>
      <c r="M119" s="1237"/>
      <c r="N119" s="1237"/>
      <c r="O119" s="1004" t="e">
        <f>E119</f>
        <v>#REF!</v>
      </c>
      <c r="P119" s="839"/>
      <c r="Q119" s="839"/>
      <c r="R119" s="839"/>
      <c r="S119" s="994"/>
    </row>
    <row r="120" spans="1:19">
      <c r="A120" s="1001"/>
      <c r="B120" s="996"/>
      <c r="C120" s="996"/>
      <c r="D120" s="1005" t="s">
        <v>59</v>
      </c>
      <c r="E120" s="1005" t="s">
        <v>31</v>
      </c>
      <c r="F120" s="1005" t="s">
        <v>33</v>
      </c>
      <c r="G120" s="1005" t="s">
        <v>34</v>
      </c>
      <c r="H120" s="1005" t="s">
        <v>377</v>
      </c>
      <c r="I120" s="1006" t="s">
        <v>378</v>
      </c>
      <c r="J120" s="839"/>
      <c r="K120" s="1001"/>
      <c r="L120" s="996"/>
      <c r="M120" s="996"/>
      <c r="N120" s="1005" t="s">
        <v>59</v>
      </c>
      <c r="O120" s="1005" t="s">
        <v>31</v>
      </c>
      <c r="P120" s="1005" t="s">
        <v>33</v>
      </c>
      <c r="Q120" s="1005" t="s">
        <v>34</v>
      </c>
      <c r="R120" s="1005" t="s">
        <v>377</v>
      </c>
      <c r="S120" s="1006" t="s">
        <v>378</v>
      </c>
    </row>
    <row r="121" spans="1:19">
      <c r="A121" s="1001">
        <v>6</v>
      </c>
      <c r="B121" s="1007" t="s">
        <v>60</v>
      </c>
      <c r="C121" s="1007"/>
      <c r="D121" s="1008" t="e">
        <f>'04-221Master'!#REF!</f>
        <v>#REF!</v>
      </c>
      <c r="E121" s="1008" t="e">
        <f>'04-221Master'!#REF!</f>
        <v>#REF!</v>
      </c>
      <c r="F121" s="1009" t="e">
        <f>'04-221Master'!#REF!</f>
        <v>#REF!</v>
      </c>
      <c r="G121" s="1008" t="e">
        <f>'04-221Master'!#REF!</f>
        <v>#REF!</v>
      </c>
      <c r="H121" s="1009" t="e">
        <f>'04-221Master'!#REF!</f>
        <v>#REF!</v>
      </c>
      <c r="I121" s="1009" t="e">
        <f>'04-221Master'!#REF!</f>
        <v>#REF!</v>
      </c>
      <c r="J121" s="839"/>
      <c r="K121" s="1001">
        <v>6</v>
      </c>
      <c r="L121" s="1007" t="s">
        <v>60</v>
      </c>
      <c r="M121" s="1007"/>
      <c r="N121" s="1008" t="e">
        <f t="shared" ref="N121:S121" si="2">D121</f>
        <v>#REF!</v>
      </c>
      <c r="O121" s="1008" t="e">
        <f t="shared" si="2"/>
        <v>#REF!</v>
      </c>
      <c r="P121" s="1009" t="e">
        <f t="shared" si="2"/>
        <v>#REF!</v>
      </c>
      <c r="Q121" s="1008" t="e">
        <f t="shared" si="2"/>
        <v>#REF!</v>
      </c>
      <c r="R121" s="1009" t="e">
        <f t="shared" si="2"/>
        <v>#REF!</v>
      </c>
      <c r="S121" s="1009" t="e">
        <f t="shared" si="2"/>
        <v>#REF!</v>
      </c>
    </row>
    <row r="122" spans="1:19">
      <c r="A122" s="1001"/>
      <c r="B122" s="996"/>
      <c r="C122" s="996"/>
      <c r="D122" s="996"/>
      <c r="E122" s="996"/>
      <c r="F122" s="839"/>
      <c r="G122" s="839"/>
      <c r="H122" s="839"/>
      <c r="I122" s="994"/>
      <c r="J122" s="839"/>
      <c r="K122" s="1001"/>
      <c r="L122" s="996"/>
      <c r="M122" s="996"/>
      <c r="N122" s="996"/>
      <c r="O122" s="996"/>
      <c r="P122" s="839"/>
      <c r="Q122" s="839"/>
      <c r="R122" s="839"/>
      <c r="S122" s="994"/>
    </row>
    <row r="123" spans="1:19">
      <c r="A123" s="1001">
        <v>7</v>
      </c>
      <c r="B123" s="1237" t="s">
        <v>61</v>
      </c>
      <c r="C123" s="1237"/>
      <c r="D123" s="1237"/>
      <c r="E123" s="1010" t="e">
        <f>E119-I121</f>
        <v>#REF!</v>
      </c>
      <c r="F123" s="999"/>
      <c r="G123" s="999"/>
      <c r="H123" s="999"/>
      <c r="I123" s="994"/>
      <c r="J123" s="839"/>
      <c r="K123" s="1001">
        <v>7</v>
      </c>
      <c r="L123" s="1237" t="s">
        <v>61</v>
      </c>
      <c r="M123" s="1237"/>
      <c r="N123" s="1237"/>
      <c r="O123" s="1010" t="e">
        <f>E123</f>
        <v>#REF!</v>
      </c>
      <c r="P123" s="999"/>
      <c r="Q123" s="999"/>
      <c r="R123" s="999"/>
      <c r="S123" s="994"/>
    </row>
    <row r="124" spans="1:19">
      <c r="A124" s="13"/>
      <c r="I124" s="14"/>
      <c r="K124" s="13"/>
      <c r="S124" s="14"/>
    </row>
    <row r="125" spans="1:19">
      <c r="A125" s="13"/>
      <c r="I125" s="14"/>
      <c r="K125" s="13"/>
      <c r="S125" s="14"/>
    </row>
    <row r="126" spans="1:19" ht="15.75" thickBot="1">
      <c r="A126" s="13"/>
      <c r="F126" s="23"/>
      <c r="G126" s="23"/>
      <c r="H126" s="23"/>
      <c r="I126" s="24"/>
      <c r="K126" s="13"/>
      <c r="P126" s="23"/>
      <c r="Q126" s="23"/>
      <c r="R126" s="23"/>
      <c r="S126" s="24"/>
    </row>
    <row r="127" spans="1:19" ht="15.75" thickBot="1">
      <c r="A127" s="25"/>
      <c r="B127" s="23"/>
      <c r="C127" s="23"/>
      <c r="D127" s="23"/>
      <c r="E127" s="23"/>
      <c r="F127" s="1235" t="s">
        <v>62</v>
      </c>
      <c r="G127" s="1235"/>
      <c r="H127" s="1235"/>
      <c r="I127" s="1236"/>
      <c r="K127" s="25"/>
      <c r="L127" s="23"/>
      <c r="M127" s="23"/>
      <c r="N127" s="23"/>
      <c r="O127" s="23"/>
      <c r="P127" s="1235" t="s">
        <v>62</v>
      </c>
      <c r="Q127" s="1235"/>
      <c r="R127" s="1235"/>
      <c r="S127" s="1236"/>
    </row>
    <row r="140" s="388" customFormat="1"/>
    <row r="141" s="388" customFormat="1"/>
    <row r="142" s="388" customFormat="1"/>
    <row r="143" s="388" customFormat="1"/>
    <row r="144" ht="15.75" thickBot="1"/>
    <row r="145" spans="1:19" ht="27" thickBot="1">
      <c r="A145" s="1228" t="s">
        <v>592</v>
      </c>
      <c r="B145" s="1229"/>
      <c r="C145" s="1229"/>
      <c r="D145" s="1229"/>
      <c r="E145" s="1229"/>
      <c r="F145" s="1229"/>
      <c r="G145" s="1229"/>
      <c r="H145" s="1229"/>
      <c r="I145" s="1230"/>
      <c r="J145" s="538"/>
      <c r="K145" s="1228" t="s">
        <v>592</v>
      </c>
      <c r="L145" s="1229"/>
      <c r="M145" s="1229"/>
      <c r="N145" s="1229"/>
      <c r="O145" s="1229"/>
      <c r="P145" s="1229"/>
      <c r="Q145" s="1229"/>
      <c r="R145" s="1229"/>
      <c r="S145" s="1230"/>
    </row>
    <row r="146" spans="1:19">
      <c r="A146" s="1231" t="s">
        <v>593</v>
      </c>
      <c r="B146" s="1232"/>
      <c r="C146" s="1232"/>
      <c r="D146" s="1232"/>
      <c r="E146" s="1232"/>
      <c r="F146" s="1232"/>
      <c r="G146" s="1232"/>
      <c r="H146" s="1232"/>
      <c r="I146" s="1233"/>
      <c r="J146" s="9"/>
      <c r="K146" s="1231" t="s">
        <v>593</v>
      </c>
      <c r="L146" s="1232"/>
      <c r="M146" s="1232"/>
      <c r="N146" s="1232"/>
      <c r="O146" s="1232"/>
      <c r="P146" s="1232"/>
      <c r="Q146" s="1232"/>
      <c r="R146" s="1232"/>
      <c r="S146" s="1233"/>
    </row>
    <row r="147" spans="1:19">
      <c r="A147" s="441"/>
      <c r="B147" s="9"/>
      <c r="C147" s="9"/>
      <c r="D147" s="9"/>
      <c r="E147" s="9"/>
      <c r="F147" s="9"/>
      <c r="G147" s="9"/>
      <c r="H147" s="9"/>
      <c r="I147" s="442"/>
      <c r="J147" s="9"/>
      <c r="K147" s="441"/>
      <c r="L147" s="9"/>
      <c r="M147" s="9"/>
      <c r="N147" s="9"/>
      <c r="O147" s="9"/>
      <c r="P147" s="9"/>
      <c r="Q147" s="9"/>
      <c r="R147" s="9"/>
      <c r="S147" s="442"/>
    </row>
    <row r="148" spans="1:19">
      <c r="A148" s="539" t="s">
        <v>49</v>
      </c>
      <c r="B148" s="421"/>
      <c r="C148" s="421"/>
      <c r="D148" s="419" t="s">
        <v>382</v>
      </c>
      <c r="E148" s="9"/>
      <c r="F148" s="9"/>
      <c r="G148" s="9"/>
      <c r="H148" s="9"/>
      <c r="I148" s="442"/>
      <c r="J148" s="9"/>
      <c r="K148" s="539" t="s">
        <v>49</v>
      </c>
      <c r="L148" s="421"/>
      <c r="M148" s="421"/>
      <c r="N148" s="419" t="s">
        <v>382</v>
      </c>
      <c r="O148" s="9"/>
      <c r="P148" s="9"/>
      <c r="Q148" s="9"/>
      <c r="R148" s="9"/>
      <c r="S148" s="442"/>
    </row>
    <row r="149" spans="1:19">
      <c r="A149" s="539"/>
      <c r="B149" s="421"/>
      <c r="C149" s="421"/>
      <c r="D149" s="421" t="s">
        <v>383</v>
      </c>
      <c r="E149" s="9"/>
      <c r="F149" s="9"/>
      <c r="G149" s="9"/>
      <c r="H149" s="9"/>
      <c r="I149" s="442"/>
      <c r="J149" s="9"/>
      <c r="K149" s="539"/>
      <c r="L149" s="421"/>
      <c r="M149" s="421"/>
      <c r="N149" s="421" t="s">
        <v>383</v>
      </c>
      <c r="O149" s="9"/>
      <c r="P149" s="9"/>
      <c r="Q149" s="9"/>
      <c r="R149" s="9"/>
      <c r="S149" s="442"/>
    </row>
    <row r="150" spans="1:19">
      <c r="A150" s="539"/>
      <c r="B150" s="421"/>
      <c r="C150" s="421"/>
      <c r="D150" s="421"/>
      <c r="E150" s="421"/>
      <c r="F150" s="9"/>
      <c r="G150" s="9"/>
      <c r="H150" s="9"/>
      <c r="I150" s="442"/>
      <c r="J150" s="9"/>
      <c r="K150" s="539"/>
      <c r="L150" s="421"/>
      <c r="M150" s="421"/>
      <c r="N150" s="421"/>
      <c r="O150" s="421"/>
      <c r="P150" s="9"/>
      <c r="Q150" s="9"/>
      <c r="R150" s="9"/>
      <c r="S150" s="442"/>
    </row>
    <row r="151" spans="1:19">
      <c r="A151" s="1234" t="s">
        <v>50</v>
      </c>
      <c r="B151" s="1227"/>
      <c r="C151" s="1227"/>
      <c r="D151" s="1227"/>
      <c r="E151" s="421"/>
      <c r="F151" s="9"/>
      <c r="G151" s="9"/>
      <c r="H151" s="9"/>
      <c r="I151" s="442"/>
      <c r="J151" s="9"/>
      <c r="K151" s="1234" t="s">
        <v>50</v>
      </c>
      <c r="L151" s="1227"/>
      <c r="M151" s="1227"/>
      <c r="N151" s="1227"/>
      <c r="O151" s="421"/>
      <c r="P151" s="9"/>
      <c r="Q151" s="9"/>
      <c r="R151" s="9"/>
      <c r="S151" s="442"/>
    </row>
    <row r="152" spans="1:19">
      <c r="A152" s="1234"/>
      <c r="B152" s="1227"/>
      <c r="C152" s="1227"/>
      <c r="D152" s="1227"/>
      <c r="E152" s="540" t="str">
        <f>'04-221Master'!B18</f>
        <v>Yarramaddu Raveendra Reddy</v>
      </c>
      <c r="F152" s="498"/>
      <c r="G152" s="498" t="str">
        <f>'04-221Master'!E18</f>
        <v>Ramachandra Reddy</v>
      </c>
      <c r="H152" s="498"/>
      <c r="I152" s="442"/>
      <c r="J152" s="9"/>
      <c r="K152" s="1234"/>
      <c r="L152" s="1227"/>
      <c r="M152" s="1227"/>
      <c r="N152" s="1227"/>
      <c r="O152" s="540" t="str">
        <f>E152</f>
        <v>Yarramaddu Raveendra Reddy</v>
      </c>
      <c r="P152" s="498"/>
      <c r="Q152" s="498"/>
      <c r="R152" s="498" t="str">
        <f>G152</f>
        <v>Ramachandra Reddy</v>
      </c>
      <c r="S152" s="442"/>
    </row>
    <row r="153" spans="1:19">
      <c r="A153" s="539"/>
      <c r="B153" s="421"/>
      <c r="C153" s="421"/>
      <c r="D153" s="421"/>
      <c r="E153" s="421"/>
      <c r="F153" s="9"/>
      <c r="G153" s="9"/>
      <c r="H153" s="9"/>
      <c r="I153" s="442"/>
      <c r="J153" s="9"/>
      <c r="K153" s="539"/>
      <c r="L153" s="421"/>
      <c r="M153" s="421"/>
      <c r="N153" s="421"/>
      <c r="O153" s="421"/>
      <c r="P153" s="9"/>
      <c r="Q153" s="9"/>
      <c r="R153" s="9"/>
      <c r="S153" s="442"/>
    </row>
    <row r="154" spans="1:19">
      <c r="A154" s="1226" t="s">
        <v>51</v>
      </c>
      <c r="B154" s="1223"/>
      <c r="C154" s="1223"/>
      <c r="D154" s="1223"/>
      <c r="E154" s="423" t="s">
        <v>373</v>
      </c>
      <c r="F154" s="498"/>
      <c r="G154" s="498"/>
      <c r="H154" s="498"/>
      <c r="I154" s="442"/>
      <c r="J154" s="9"/>
      <c r="K154" s="1226" t="s">
        <v>51</v>
      </c>
      <c r="L154" s="1223"/>
      <c r="M154" s="1223"/>
      <c r="N154" s="1223"/>
      <c r="O154" s="540" t="str">
        <f>E154</f>
        <v>IT SUPPORTIVE SERVICES</v>
      </c>
      <c r="P154" s="498"/>
      <c r="Q154" s="498"/>
      <c r="R154" s="498"/>
      <c r="S154" s="442"/>
    </row>
    <row r="155" spans="1:19">
      <c r="A155" s="539"/>
      <c r="B155" s="421"/>
      <c r="C155" s="421"/>
      <c r="D155" s="421"/>
      <c r="E155" s="421"/>
      <c r="F155" s="9"/>
      <c r="G155" s="9"/>
      <c r="H155" s="9"/>
      <c r="I155" s="442"/>
      <c r="J155" s="9"/>
      <c r="K155" s="539"/>
      <c r="L155" s="421"/>
      <c r="M155" s="421"/>
      <c r="N155" s="421"/>
      <c r="O155" s="421"/>
      <c r="P155" s="9"/>
      <c r="Q155" s="9"/>
      <c r="R155" s="9"/>
      <c r="S155" s="442"/>
    </row>
    <row r="156" spans="1:19">
      <c r="A156" s="1226" t="s">
        <v>52</v>
      </c>
      <c r="B156" s="1223"/>
      <c r="C156" s="1223"/>
      <c r="D156" s="1223"/>
      <c r="E156" s="541">
        <f>'04-221Master'!D10</f>
        <v>44652</v>
      </c>
      <c r="F156" s="498"/>
      <c r="G156" s="498"/>
      <c r="H156" s="498"/>
      <c r="I156" s="442"/>
      <c r="J156" s="9"/>
      <c r="K156" s="1226" t="s">
        <v>52</v>
      </c>
      <c r="L156" s="1223"/>
      <c r="M156" s="1223"/>
      <c r="N156" s="1223"/>
      <c r="O156" s="541">
        <f>E156</f>
        <v>44652</v>
      </c>
      <c r="P156" s="498"/>
      <c r="Q156" s="498"/>
      <c r="R156" s="498"/>
      <c r="S156" s="442"/>
    </row>
    <row r="157" spans="1:19">
      <c r="A157" s="539"/>
      <c r="B157" s="421"/>
      <c r="C157" s="421"/>
      <c r="D157" s="421"/>
      <c r="E157" s="421"/>
      <c r="F157" s="9"/>
      <c r="G157" s="9"/>
      <c r="H157" s="9"/>
      <c r="I157" s="442"/>
      <c r="J157" s="9"/>
      <c r="K157" s="539"/>
      <c r="L157" s="421"/>
      <c r="M157" s="421"/>
      <c r="N157" s="421"/>
      <c r="O157" s="421"/>
      <c r="P157" s="9"/>
      <c r="Q157" s="9"/>
      <c r="R157" s="9"/>
      <c r="S157" s="442"/>
    </row>
    <row r="158" spans="1:19">
      <c r="A158" s="542">
        <v>1</v>
      </c>
      <c r="B158" s="1223" t="s">
        <v>53</v>
      </c>
      <c r="C158" s="1223"/>
      <c r="D158" s="1223"/>
      <c r="E158" s="543">
        <f>'04-221Master'!W18</f>
        <v>30</v>
      </c>
      <c r="F158" s="498"/>
      <c r="G158" s="498"/>
      <c r="H158" s="498"/>
      <c r="I158" s="442"/>
      <c r="J158" s="9"/>
      <c r="K158" s="542">
        <v>1</v>
      </c>
      <c r="L158" s="1223" t="s">
        <v>53</v>
      </c>
      <c r="M158" s="1223"/>
      <c r="N158" s="1223"/>
      <c r="O158" s="543">
        <f>E158</f>
        <v>30</v>
      </c>
      <c r="P158" s="498"/>
      <c r="Q158" s="498"/>
      <c r="R158" s="498"/>
      <c r="S158" s="442"/>
    </row>
    <row r="159" spans="1:19">
      <c r="A159" s="542"/>
      <c r="B159" s="421"/>
      <c r="C159" s="421"/>
      <c r="D159" s="421"/>
      <c r="E159" s="421"/>
      <c r="F159" s="9"/>
      <c r="G159" s="9"/>
      <c r="H159" s="9"/>
      <c r="I159" s="442"/>
      <c r="J159" s="9"/>
      <c r="K159" s="542"/>
      <c r="L159" s="421"/>
      <c r="M159" s="421"/>
      <c r="N159" s="421"/>
      <c r="O159" s="421"/>
      <c r="P159" s="9"/>
      <c r="Q159" s="9"/>
      <c r="R159" s="9"/>
      <c r="S159" s="442"/>
    </row>
    <row r="160" spans="1:19">
      <c r="A160" s="542">
        <v>2</v>
      </c>
      <c r="B160" s="1227" t="s">
        <v>54</v>
      </c>
      <c r="C160" s="1227"/>
      <c r="D160" s="1227"/>
      <c r="E160" s="421"/>
      <c r="F160" s="9"/>
      <c r="G160" s="9"/>
      <c r="H160" s="9"/>
      <c r="I160" s="442"/>
      <c r="J160" s="9"/>
      <c r="K160" s="542">
        <v>2</v>
      </c>
      <c r="L160" s="1227" t="s">
        <v>54</v>
      </c>
      <c r="M160" s="1227"/>
      <c r="N160" s="1227"/>
      <c r="O160" s="421"/>
      <c r="P160" s="9"/>
      <c r="Q160" s="9"/>
      <c r="R160" s="9"/>
      <c r="S160" s="442"/>
    </row>
    <row r="161" spans="1:19">
      <c r="A161" s="542"/>
      <c r="B161" s="1227"/>
      <c r="C161" s="1227"/>
      <c r="D161" s="1227"/>
      <c r="E161" s="544" t="s">
        <v>37</v>
      </c>
      <c r="F161" s="498"/>
      <c r="G161" s="498"/>
      <c r="H161" s="498"/>
      <c r="I161" s="442"/>
      <c r="J161" s="9"/>
      <c r="K161" s="542"/>
      <c r="L161" s="1227"/>
      <c r="M161" s="1227"/>
      <c r="N161" s="1227"/>
      <c r="O161" s="544" t="s">
        <v>37</v>
      </c>
      <c r="P161" s="498"/>
      <c r="Q161" s="498"/>
      <c r="R161" s="498"/>
      <c r="S161" s="442"/>
    </row>
    <row r="162" spans="1:19">
      <c r="A162" s="542"/>
      <c r="B162" s="421"/>
      <c r="C162" s="421"/>
      <c r="D162" s="421"/>
      <c r="E162" s="421"/>
      <c r="F162" s="9"/>
      <c r="G162" s="9"/>
      <c r="H162" s="9"/>
      <c r="I162" s="442"/>
      <c r="J162" s="9"/>
      <c r="K162" s="542"/>
      <c r="L162" s="421"/>
      <c r="M162" s="421"/>
      <c r="N162" s="421"/>
      <c r="O162" s="421"/>
      <c r="P162" s="9"/>
      <c r="Q162" s="9"/>
      <c r="R162" s="9"/>
      <c r="S162" s="442"/>
    </row>
    <row r="163" spans="1:19">
      <c r="A163" s="542">
        <v>3</v>
      </c>
      <c r="B163" s="1223" t="s">
        <v>55</v>
      </c>
      <c r="C163" s="1223"/>
      <c r="D163" s="1223"/>
      <c r="E163" s="544" t="s">
        <v>37</v>
      </c>
      <c r="F163" s="498"/>
      <c r="G163" s="498"/>
      <c r="H163" s="498"/>
      <c r="I163" s="442"/>
      <c r="J163" s="9"/>
      <c r="K163" s="542">
        <v>3</v>
      </c>
      <c r="L163" s="1223" t="s">
        <v>55</v>
      </c>
      <c r="M163" s="1223"/>
      <c r="N163" s="1223"/>
      <c r="O163" s="540" t="str">
        <f>E163</f>
        <v>N/A</v>
      </c>
      <c r="P163" s="498"/>
      <c r="Q163" s="498"/>
      <c r="R163" s="498"/>
      <c r="S163" s="442"/>
    </row>
    <row r="164" spans="1:19">
      <c r="A164" s="542"/>
      <c r="B164" s="421"/>
      <c r="C164" s="421"/>
      <c r="D164" s="421"/>
      <c r="E164" s="421"/>
      <c r="F164" s="9"/>
      <c r="G164" s="9"/>
      <c r="H164" s="9"/>
      <c r="I164" s="442"/>
      <c r="J164" s="9"/>
      <c r="K164" s="542"/>
      <c r="L164" s="421"/>
      <c r="M164" s="421"/>
      <c r="N164" s="421"/>
      <c r="O164" s="421"/>
      <c r="P164" s="9"/>
      <c r="Q164" s="9"/>
      <c r="R164" s="9"/>
      <c r="S164" s="442"/>
    </row>
    <row r="165" spans="1:19">
      <c r="A165" s="542">
        <v>4</v>
      </c>
      <c r="B165" s="1223" t="s">
        <v>56</v>
      </c>
      <c r="C165" s="1223"/>
      <c r="D165" s="1223"/>
      <c r="E165" s="544" t="s">
        <v>57</v>
      </c>
      <c r="F165" s="498"/>
      <c r="G165" s="498"/>
      <c r="H165" s="498"/>
      <c r="I165" s="442"/>
      <c r="J165" s="9"/>
      <c r="K165" s="542">
        <v>4</v>
      </c>
      <c r="L165" s="1223" t="s">
        <v>56</v>
      </c>
      <c r="M165" s="1223"/>
      <c r="N165" s="1223"/>
      <c r="O165" s="544" t="s">
        <v>57</v>
      </c>
      <c r="P165" s="498"/>
      <c r="Q165" s="498"/>
      <c r="R165" s="498"/>
      <c r="S165" s="442"/>
    </row>
    <row r="166" spans="1:19">
      <c r="A166" s="542"/>
      <c r="B166" s="421"/>
      <c r="C166" s="421"/>
      <c r="D166" s="421"/>
      <c r="E166" s="421"/>
      <c r="F166" s="9"/>
      <c r="G166" s="9"/>
      <c r="H166" s="9"/>
      <c r="I166" s="442"/>
      <c r="J166" s="9"/>
      <c r="K166" s="542"/>
      <c r="L166" s="421"/>
      <c r="M166" s="421"/>
      <c r="N166" s="421"/>
      <c r="O166" s="421"/>
      <c r="P166" s="9"/>
      <c r="Q166" s="9"/>
      <c r="R166" s="9"/>
      <c r="S166" s="442"/>
    </row>
    <row r="167" spans="1:19">
      <c r="A167" s="542">
        <v>5</v>
      </c>
      <c r="B167" s="1223" t="s">
        <v>58</v>
      </c>
      <c r="C167" s="1223"/>
      <c r="D167" s="1223"/>
      <c r="E167" s="492">
        <f>'04-221Master'!AM18</f>
        <v>68276.425400000007</v>
      </c>
      <c r="F167" s="9"/>
      <c r="G167" s="9"/>
      <c r="H167" s="9"/>
      <c r="I167" s="442"/>
      <c r="J167" s="9"/>
      <c r="K167" s="542">
        <v>5</v>
      </c>
      <c r="L167" s="1223" t="s">
        <v>58</v>
      </c>
      <c r="M167" s="1223"/>
      <c r="N167" s="1223"/>
      <c r="O167" s="492">
        <f>E167</f>
        <v>68276.425400000007</v>
      </c>
      <c r="P167" s="9"/>
      <c r="Q167" s="9"/>
      <c r="R167" s="9"/>
      <c r="S167" s="442"/>
    </row>
    <row r="168" spans="1:19">
      <c r="A168" s="542"/>
      <c r="B168" s="421"/>
      <c r="C168" s="421"/>
      <c r="D168" s="493" t="s">
        <v>59</v>
      </c>
      <c r="E168" s="493" t="s">
        <v>31</v>
      </c>
      <c r="F168" s="493" t="s">
        <v>33</v>
      </c>
      <c r="G168" s="493" t="s">
        <v>34</v>
      </c>
      <c r="H168" s="493" t="s">
        <v>377</v>
      </c>
      <c r="I168" s="494" t="s">
        <v>378</v>
      </c>
      <c r="J168" s="9"/>
      <c r="K168" s="542"/>
      <c r="L168" s="421"/>
      <c r="M168" s="421"/>
      <c r="N168" s="493" t="s">
        <v>59</v>
      </c>
      <c r="O168" s="493" t="s">
        <v>31</v>
      </c>
      <c r="P168" s="493" t="s">
        <v>33</v>
      </c>
      <c r="Q168" s="493" t="s">
        <v>34</v>
      </c>
      <c r="R168" s="493" t="s">
        <v>377</v>
      </c>
      <c r="S168" s="494" t="s">
        <v>378</v>
      </c>
    </row>
    <row r="169" spans="1:19">
      <c r="A169" s="542">
        <v>6</v>
      </c>
      <c r="B169" s="530" t="s">
        <v>60</v>
      </c>
      <c r="C169" s="530"/>
      <c r="D169" s="495">
        <f>'04-221Master'!AO18</f>
        <v>1800</v>
      </c>
      <c r="E169" s="495">
        <f>'04-221Master'!AN257</f>
        <v>0</v>
      </c>
      <c r="F169" s="496">
        <f>'04-221Master'!AP18</f>
        <v>200</v>
      </c>
      <c r="G169" s="495">
        <f>'04-221Master'!AQ18</f>
        <v>0</v>
      </c>
      <c r="H169" s="496">
        <f>'04-221Master'!AR18</f>
        <v>391.787848</v>
      </c>
      <c r="I169" s="496">
        <f>SUM(D169:H169)</f>
        <v>2391.7878479999999</v>
      </c>
      <c r="J169" s="9"/>
      <c r="K169" s="542">
        <v>6</v>
      </c>
      <c r="L169" s="530" t="s">
        <v>60</v>
      </c>
      <c r="M169" s="530"/>
      <c r="N169" s="495">
        <f t="shared" ref="N169" si="3">D169</f>
        <v>1800</v>
      </c>
      <c r="O169" s="495">
        <f t="shared" ref="O169" si="4">E169</f>
        <v>0</v>
      </c>
      <c r="P169" s="496">
        <f t="shared" ref="P169" si="5">F169</f>
        <v>200</v>
      </c>
      <c r="Q169" s="495">
        <f t="shared" ref="Q169" si="6">G169</f>
        <v>0</v>
      </c>
      <c r="R169" s="496">
        <f t="shared" ref="R169" si="7">H169</f>
        <v>391.787848</v>
      </c>
      <c r="S169" s="496">
        <f t="shared" ref="S169" si="8">I169</f>
        <v>2391.7878479999999</v>
      </c>
    </row>
    <row r="170" spans="1:19">
      <c r="A170" s="542"/>
      <c r="B170" s="421"/>
      <c r="C170" s="421"/>
      <c r="D170" s="421"/>
      <c r="E170" s="421"/>
      <c r="F170" s="9"/>
      <c r="G170" s="9"/>
      <c r="H170" s="9"/>
      <c r="I170" s="442"/>
      <c r="J170" s="9"/>
      <c r="K170" s="542"/>
      <c r="L170" s="421"/>
      <c r="M170" s="421"/>
      <c r="N170" s="421"/>
      <c r="O170" s="421"/>
      <c r="P170" s="9"/>
      <c r="Q170" s="9"/>
      <c r="R170" s="9"/>
      <c r="S170" s="442"/>
    </row>
    <row r="171" spans="1:19">
      <c r="A171" s="542">
        <v>7</v>
      </c>
      <c r="B171" s="1223" t="s">
        <v>61</v>
      </c>
      <c r="C171" s="1223"/>
      <c r="D171" s="1223"/>
      <c r="E171" s="497">
        <f>E167-I169</f>
        <v>65884.637552</v>
      </c>
      <c r="F171" s="498"/>
      <c r="G171" s="498"/>
      <c r="H171" s="498"/>
      <c r="I171" s="442"/>
      <c r="J171" s="9"/>
      <c r="K171" s="542">
        <v>7</v>
      </c>
      <c r="L171" s="1223" t="s">
        <v>61</v>
      </c>
      <c r="M171" s="1223"/>
      <c r="N171" s="1223"/>
      <c r="O171" s="497">
        <f>E171</f>
        <v>65884.637552</v>
      </c>
      <c r="P171" s="498"/>
      <c r="Q171" s="498"/>
      <c r="R171" s="498"/>
      <c r="S171" s="442"/>
    </row>
    <row r="172" spans="1:19">
      <c r="A172" s="441"/>
      <c r="B172" s="9"/>
      <c r="C172" s="9"/>
      <c r="D172" s="9"/>
      <c r="E172" s="9"/>
      <c r="F172" s="9"/>
      <c r="G172" s="9"/>
      <c r="H172" s="9"/>
      <c r="I172" s="442"/>
      <c r="J172" s="9"/>
      <c r="K172" s="441"/>
      <c r="L172" s="9"/>
      <c r="M172" s="9"/>
      <c r="N172" s="9"/>
      <c r="O172" s="9"/>
      <c r="P172" s="9"/>
      <c r="Q172" s="9"/>
      <c r="R172" s="9"/>
      <c r="S172" s="442"/>
    </row>
    <row r="173" spans="1:19">
      <c r="A173" s="441"/>
      <c r="B173" s="9"/>
      <c r="C173" s="9"/>
      <c r="D173" s="9"/>
      <c r="E173" s="9"/>
      <c r="F173" s="9"/>
      <c r="G173" s="9"/>
      <c r="H173" s="9"/>
      <c r="I173" s="442"/>
      <c r="J173" s="9"/>
      <c r="K173" s="441"/>
      <c r="L173" s="9"/>
      <c r="M173" s="9"/>
      <c r="N173" s="9"/>
      <c r="O173" s="9"/>
      <c r="P173" s="9"/>
      <c r="Q173" s="9"/>
      <c r="R173" s="9"/>
      <c r="S173" s="442"/>
    </row>
    <row r="174" spans="1:19" ht="15.75" thickBot="1">
      <c r="A174" s="441"/>
      <c r="B174" s="9"/>
      <c r="C174" s="9"/>
      <c r="D174" s="9"/>
      <c r="E174" s="9"/>
      <c r="F174" s="444"/>
      <c r="G174" s="444"/>
      <c r="H174" s="444"/>
      <c r="I174" s="445"/>
      <c r="J174" s="9"/>
      <c r="K174" s="441"/>
      <c r="L174" s="9"/>
      <c r="M174" s="9"/>
      <c r="N174" s="9"/>
      <c r="O174" s="9"/>
      <c r="P174" s="444"/>
      <c r="Q174" s="444"/>
      <c r="R174" s="444"/>
      <c r="S174" s="445"/>
    </row>
    <row r="175" spans="1:19" ht="15.75" thickBot="1">
      <c r="A175" s="443"/>
      <c r="B175" s="444"/>
      <c r="C175" s="444"/>
      <c r="D175" s="444"/>
      <c r="E175" s="444"/>
      <c r="F175" s="1224" t="s">
        <v>62</v>
      </c>
      <c r="G175" s="1224"/>
      <c r="H175" s="1224"/>
      <c r="I175" s="1225"/>
      <c r="J175" s="9"/>
      <c r="K175" s="443"/>
      <c r="L175" s="444"/>
      <c r="M175" s="444"/>
      <c r="N175" s="444"/>
      <c r="O175" s="444"/>
      <c r="P175" s="1224" t="s">
        <v>62</v>
      </c>
      <c r="Q175" s="1224"/>
      <c r="R175" s="1224"/>
      <c r="S175" s="1225"/>
    </row>
    <row r="176" spans="1:19">
      <c r="A176" s="9"/>
      <c r="B176" s="9"/>
      <c r="C176" s="9"/>
      <c r="D176" s="9"/>
      <c r="E176" s="9"/>
      <c r="F176" s="9"/>
      <c r="G176" s="9"/>
      <c r="H176" s="9"/>
      <c r="I176" s="9"/>
      <c r="J176" s="9"/>
      <c r="K176" s="9"/>
      <c r="L176" s="9"/>
      <c r="M176" s="9"/>
      <c r="N176" s="9"/>
      <c r="O176" s="9"/>
      <c r="P176" s="9"/>
      <c r="Q176" s="9"/>
      <c r="R176" s="9"/>
      <c r="S176" s="9"/>
    </row>
    <row r="177" spans="1:19">
      <c r="A177" s="9"/>
      <c r="B177" s="9"/>
      <c r="C177" s="9"/>
      <c r="D177" s="9"/>
      <c r="E177" s="9"/>
      <c r="F177" s="9"/>
      <c r="G177" s="9"/>
      <c r="H177" s="9"/>
      <c r="I177" s="9"/>
      <c r="J177" s="9"/>
      <c r="K177" s="9"/>
      <c r="L177" s="9"/>
      <c r="M177" s="9"/>
      <c r="N177" s="9"/>
      <c r="O177" s="9"/>
      <c r="P177" s="9"/>
      <c r="Q177" s="9"/>
      <c r="R177" s="9"/>
      <c r="S177" s="9"/>
    </row>
    <row r="178" spans="1:19">
      <c r="A178" s="9"/>
      <c r="B178" s="9"/>
      <c r="C178" s="9"/>
      <c r="D178" s="9"/>
      <c r="E178" s="9"/>
      <c r="F178" s="9"/>
      <c r="G178" s="9"/>
      <c r="H178" s="9"/>
      <c r="I178" s="9"/>
      <c r="J178" s="9"/>
      <c r="K178" s="9"/>
      <c r="L178" s="9"/>
      <c r="M178" s="9"/>
      <c r="N178" s="9"/>
      <c r="O178" s="9"/>
      <c r="P178" s="9"/>
      <c r="Q178" s="9"/>
      <c r="R178" s="9"/>
      <c r="S178" s="9"/>
    </row>
    <row r="179" spans="1:19">
      <c r="A179" s="9"/>
      <c r="B179" s="9"/>
      <c r="C179" s="9"/>
      <c r="D179" s="9"/>
      <c r="E179" s="9"/>
      <c r="F179" s="9"/>
      <c r="G179" s="9"/>
      <c r="H179" s="9"/>
      <c r="I179" s="9"/>
      <c r="J179" s="9"/>
      <c r="K179" s="9"/>
      <c r="L179" s="9"/>
      <c r="M179" s="9"/>
      <c r="N179" s="9"/>
      <c r="O179" s="9"/>
      <c r="P179" s="9"/>
      <c r="Q179" s="9"/>
      <c r="R179" s="9"/>
      <c r="S179" s="9"/>
    </row>
    <row r="180" spans="1:19">
      <c r="A180" s="9"/>
      <c r="B180" s="9"/>
      <c r="C180" s="9"/>
      <c r="D180" s="9"/>
      <c r="E180" s="9"/>
      <c r="F180" s="9"/>
      <c r="G180" s="9"/>
      <c r="H180" s="9"/>
      <c r="I180" s="9"/>
      <c r="J180" s="9"/>
      <c r="K180" s="9"/>
      <c r="L180" s="9"/>
      <c r="M180" s="9"/>
      <c r="N180" s="9"/>
      <c r="O180" s="9"/>
      <c r="P180" s="9"/>
      <c r="Q180" s="9"/>
      <c r="R180" s="9"/>
      <c r="S180" s="9"/>
    </row>
    <row r="181" spans="1:19">
      <c r="A181" s="9"/>
      <c r="B181" s="9"/>
      <c r="C181" s="9"/>
      <c r="D181" s="9"/>
      <c r="E181" s="9"/>
      <c r="F181" s="9"/>
      <c r="G181" s="9"/>
      <c r="H181" s="9"/>
      <c r="I181" s="9"/>
      <c r="J181" s="9"/>
      <c r="K181" s="9"/>
      <c r="L181" s="9"/>
      <c r="M181" s="9"/>
      <c r="N181" s="9"/>
      <c r="O181" s="9"/>
      <c r="P181" s="9"/>
      <c r="Q181" s="9"/>
      <c r="R181" s="9"/>
      <c r="S181" s="9"/>
    </row>
    <row r="182" spans="1:19">
      <c r="A182" s="9"/>
      <c r="B182" s="9"/>
      <c r="C182" s="9"/>
      <c r="D182" s="9"/>
      <c r="E182" s="9"/>
      <c r="F182" s="9"/>
      <c r="G182" s="9"/>
      <c r="H182" s="9"/>
      <c r="I182" s="9"/>
      <c r="J182" s="9"/>
      <c r="K182" s="9"/>
      <c r="L182" s="9"/>
      <c r="M182" s="9"/>
      <c r="N182" s="9"/>
      <c r="O182" s="9"/>
      <c r="P182" s="9"/>
      <c r="Q182" s="9"/>
      <c r="R182" s="9"/>
      <c r="S182" s="9"/>
    </row>
    <row r="186" spans="1:19" s="388" customFormat="1"/>
    <row r="187" spans="1:19" s="388" customFormat="1"/>
    <row r="188" spans="1:19" s="388" customFormat="1"/>
    <row r="189" spans="1:19" s="388" customFormat="1"/>
    <row r="191" spans="1:19" ht="15.75" thickBot="1"/>
    <row r="192" spans="1:19" ht="27" thickBot="1">
      <c r="A192" s="1228" t="s">
        <v>592</v>
      </c>
      <c r="B192" s="1229"/>
      <c r="C192" s="1229"/>
      <c r="D192" s="1229"/>
      <c r="E192" s="1229"/>
      <c r="F192" s="1229"/>
      <c r="G192" s="1229"/>
      <c r="H192" s="1229"/>
      <c r="I192" s="1230"/>
      <c r="J192" s="538"/>
      <c r="K192" s="1228" t="s">
        <v>592</v>
      </c>
      <c r="L192" s="1229"/>
      <c r="M192" s="1229"/>
      <c r="N192" s="1229"/>
      <c r="O192" s="1229"/>
      <c r="P192" s="1229"/>
      <c r="Q192" s="1229"/>
      <c r="R192" s="1229"/>
      <c r="S192" s="1230"/>
    </row>
    <row r="193" spans="1:19">
      <c r="A193" s="1231" t="s">
        <v>593</v>
      </c>
      <c r="B193" s="1232"/>
      <c r="C193" s="1232"/>
      <c r="D193" s="1232"/>
      <c r="E193" s="1232"/>
      <c r="F193" s="1232"/>
      <c r="G193" s="1232"/>
      <c r="H193" s="1232"/>
      <c r="I193" s="1233"/>
      <c r="J193" s="9"/>
      <c r="K193" s="1231" t="s">
        <v>593</v>
      </c>
      <c r="L193" s="1232"/>
      <c r="M193" s="1232"/>
      <c r="N193" s="1232"/>
      <c r="O193" s="1232"/>
      <c r="P193" s="1232"/>
      <c r="Q193" s="1232"/>
      <c r="R193" s="1232"/>
      <c r="S193" s="1233"/>
    </row>
    <row r="194" spans="1:19">
      <c r="A194" s="441"/>
      <c r="B194" s="9"/>
      <c r="C194" s="9"/>
      <c r="D194" s="9"/>
      <c r="E194" s="9"/>
      <c r="F194" s="9"/>
      <c r="G194" s="9"/>
      <c r="H194" s="9"/>
      <c r="I194" s="442"/>
      <c r="J194" s="9"/>
      <c r="K194" s="441"/>
      <c r="L194" s="9"/>
      <c r="M194" s="9"/>
      <c r="N194" s="9"/>
      <c r="O194" s="9"/>
      <c r="P194" s="9"/>
      <c r="Q194" s="9"/>
      <c r="R194" s="9"/>
      <c r="S194" s="442"/>
    </row>
    <row r="195" spans="1:19">
      <c r="A195" s="539" t="s">
        <v>49</v>
      </c>
      <c r="B195" s="421"/>
      <c r="C195" s="421"/>
      <c r="D195" s="419" t="s">
        <v>382</v>
      </c>
      <c r="E195" s="9"/>
      <c r="F195" s="9"/>
      <c r="G195" s="9"/>
      <c r="H195" s="9"/>
      <c r="I195" s="442"/>
      <c r="J195" s="9"/>
      <c r="K195" s="539" t="s">
        <v>49</v>
      </c>
      <c r="L195" s="421"/>
      <c r="M195" s="421"/>
      <c r="N195" s="419" t="s">
        <v>382</v>
      </c>
      <c r="O195" s="9"/>
      <c r="P195" s="9"/>
      <c r="Q195" s="9"/>
      <c r="R195" s="9"/>
      <c r="S195" s="442"/>
    </row>
    <row r="196" spans="1:19">
      <c r="A196" s="539"/>
      <c r="B196" s="421"/>
      <c r="C196" s="421"/>
      <c r="D196" s="421" t="s">
        <v>383</v>
      </c>
      <c r="E196" s="9"/>
      <c r="F196" s="9"/>
      <c r="G196" s="9"/>
      <c r="H196" s="9"/>
      <c r="I196" s="442"/>
      <c r="J196" s="9"/>
      <c r="K196" s="539"/>
      <c r="L196" s="421"/>
      <c r="M196" s="421"/>
      <c r="N196" s="421" t="s">
        <v>383</v>
      </c>
      <c r="O196" s="9"/>
      <c r="P196" s="9"/>
      <c r="Q196" s="9"/>
      <c r="R196" s="9"/>
      <c r="S196" s="442"/>
    </row>
    <row r="197" spans="1:19">
      <c r="A197" s="539"/>
      <c r="B197" s="421"/>
      <c r="C197" s="421"/>
      <c r="D197" s="421"/>
      <c r="E197" s="421"/>
      <c r="F197" s="9"/>
      <c r="G197" s="9"/>
      <c r="H197" s="9"/>
      <c r="I197" s="442"/>
      <c r="J197" s="9"/>
      <c r="K197" s="539"/>
      <c r="L197" s="421"/>
      <c r="M197" s="421"/>
      <c r="N197" s="421"/>
      <c r="O197" s="421"/>
      <c r="P197" s="9"/>
      <c r="Q197" s="9"/>
      <c r="R197" s="9"/>
      <c r="S197" s="442"/>
    </row>
    <row r="198" spans="1:19">
      <c r="A198" s="1234" t="s">
        <v>50</v>
      </c>
      <c r="B198" s="1227"/>
      <c r="C198" s="1227"/>
      <c r="D198" s="1227"/>
      <c r="E198" s="421"/>
      <c r="F198" s="9"/>
      <c r="G198" s="9"/>
      <c r="H198" s="9"/>
      <c r="I198" s="442"/>
      <c r="J198" s="9"/>
      <c r="K198" s="1234" t="s">
        <v>50</v>
      </c>
      <c r="L198" s="1227"/>
      <c r="M198" s="1227"/>
      <c r="N198" s="1227"/>
      <c r="O198" s="421"/>
      <c r="P198" s="9"/>
      <c r="Q198" s="9"/>
      <c r="R198" s="9"/>
      <c r="S198" s="442"/>
    </row>
    <row r="199" spans="1:19">
      <c r="A199" s="1234"/>
      <c r="B199" s="1227"/>
      <c r="C199" s="1227"/>
      <c r="D199" s="1227"/>
      <c r="E199" s="540" t="str">
        <f>'04-221Master'!B19</f>
        <v>Chitra Kulkarni</v>
      </c>
      <c r="F199" s="498"/>
      <c r="G199" s="498" t="str">
        <f>'04-221Master'!E19</f>
        <v xml:space="preserve">Nirbay Gopal </v>
      </c>
      <c r="H199" s="498"/>
      <c r="I199" s="442"/>
      <c r="J199" s="9"/>
      <c r="K199" s="1234"/>
      <c r="L199" s="1227"/>
      <c r="M199" s="1227"/>
      <c r="N199" s="1227"/>
      <c r="O199" s="540" t="str">
        <f>E199</f>
        <v>Chitra Kulkarni</v>
      </c>
      <c r="P199" s="498"/>
      <c r="Q199" s="498"/>
      <c r="R199" s="498" t="str">
        <f>G199</f>
        <v xml:space="preserve">Nirbay Gopal </v>
      </c>
      <c r="S199" s="442"/>
    </row>
    <row r="200" spans="1:19">
      <c r="A200" s="539"/>
      <c r="B200" s="421"/>
      <c r="C200" s="421"/>
      <c r="D200" s="421"/>
      <c r="E200" s="421"/>
      <c r="F200" s="9"/>
      <c r="G200" s="9"/>
      <c r="H200" s="9"/>
      <c r="I200" s="442"/>
      <c r="J200" s="9"/>
      <c r="K200" s="539"/>
      <c r="L200" s="421"/>
      <c r="M200" s="421"/>
      <c r="N200" s="421"/>
      <c r="O200" s="421"/>
      <c r="P200" s="9"/>
      <c r="Q200" s="9"/>
      <c r="R200" s="9"/>
      <c r="S200" s="442"/>
    </row>
    <row r="201" spans="1:19">
      <c r="A201" s="1226" t="s">
        <v>51</v>
      </c>
      <c r="B201" s="1223"/>
      <c r="C201" s="1223"/>
      <c r="D201" s="1223"/>
      <c r="E201" s="423" t="s">
        <v>373</v>
      </c>
      <c r="F201" s="498"/>
      <c r="G201" s="498"/>
      <c r="H201" s="498"/>
      <c r="I201" s="442"/>
      <c r="J201" s="9"/>
      <c r="K201" s="1226" t="s">
        <v>51</v>
      </c>
      <c r="L201" s="1223"/>
      <c r="M201" s="1223"/>
      <c r="N201" s="1223"/>
      <c r="O201" s="540" t="str">
        <f>E201</f>
        <v>IT SUPPORTIVE SERVICES</v>
      </c>
      <c r="P201" s="498"/>
      <c r="Q201" s="498"/>
      <c r="R201" s="498"/>
      <c r="S201" s="442"/>
    </row>
    <row r="202" spans="1:19">
      <c r="A202" s="539"/>
      <c r="B202" s="421"/>
      <c r="C202" s="421"/>
      <c r="D202" s="421"/>
      <c r="E202" s="421"/>
      <c r="F202" s="9"/>
      <c r="G202" s="9"/>
      <c r="H202" s="9"/>
      <c r="I202" s="442"/>
      <c r="J202" s="9"/>
      <c r="K202" s="539"/>
      <c r="L202" s="421"/>
      <c r="M202" s="421"/>
      <c r="N202" s="421"/>
      <c r="O202" s="421"/>
      <c r="P202" s="9"/>
      <c r="Q202" s="9"/>
      <c r="R202" s="9"/>
      <c r="S202" s="442"/>
    </row>
    <row r="203" spans="1:19">
      <c r="A203" s="1226" t="s">
        <v>52</v>
      </c>
      <c r="B203" s="1223"/>
      <c r="C203" s="1223"/>
      <c r="D203" s="1223"/>
      <c r="E203" s="541">
        <f>'04-221Master'!D10</f>
        <v>44652</v>
      </c>
      <c r="F203" s="498"/>
      <c r="G203" s="498"/>
      <c r="H203" s="498"/>
      <c r="I203" s="442"/>
      <c r="J203" s="9"/>
      <c r="K203" s="1226" t="s">
        <v>52</v>
      </c>
      <c r="L203" s="1223"/>
      <c r="M203" s="1223"/>
      <c r="N203" s="1223"/>
      <c r="O203" s="541">
        <f>E203</f>
        <v>44652</v>
      </c>
      <c r="P203" s="498"/>
      <c r="Q203" s="498"/>
      <c r="R203" s="498"/>
      <c r="S203" s="442"/>
    </row>
    <row r="204" spans="1:19">
      <c r="A204" s="539"/>
      <c r="B204" s="421"/>
      <c r="C204" s="421"/>
      <c r="D204" s="421"/>
      <c r="E204" s="421"/>
      <c r="F204" s="9"/>
      <c r="G204" s="9"/>
      <c r="H204" s="9"/>
      <c r="I204" s="442"/>
      <c r="J204" s="9"/>
      <c r="K204" s="539"/>
      <c r="L204" s="421"/>
      <c r="M204" s="421"/>
      <c r="N204" s="421"/>
      <c r="O204" s="421"/>
      <c r="P204" s="9"/>
      <c r="Q204" s="9"/>
      <c r="R204" s="9"/>
      <c r="S204" s="442"/>
    </row>
    <row r="205" spans="1:19">
      <c r="A205" s="542">
        <v>1</v>
      </c>
      <c r="B205" s="1223" t="s">
        <v>53</v>
      </c>
      <c r="C205" s="1223"/>
      <c r="D205" s="1223"/>
      <c r="E205" s="543">
        <f>'04-221Master'!W19</f>
        <v>30</v>
      </c>
      <c r="F205" s="498"/>
      <c r="G205" s="498"/>
      <c r="H205" s="498"/>
      <c r="I205" s="442"/>
      <c r="J205" s="9"/>
      <c r="K205" s="542">
        <v>1</v>
      </c>
      <c r="L205" s="1223" t="s">
        <v>53</v>
      </c>
      <c r="M205" s="1223"/>
      <c r="N205" s="1223"/>
      <c r="O205" s="543">
        <f>E205</f>
        <v>30</v>
      </c>
      <c r="P205" s="498"/>
      <c r="Q205" s="498"/>
      <c r="R205" s="498"/>
      <c r="S205" s="442"/>
    </row>
    <row r="206" spans="1:19">
      <c r="A206" s="542"/>
      <c r="B206" s="421"/>
      <c r="C206" s="421"/>
      <c r="D206" s="421"/>
      <c r="E206" s="421"/>
      <c r="F206" s="9"/>
      <c r="G206" s="9"/>
      <c r="H206" s="9"/>
      <c r="I206" s="442"/>
      <c r="J206" s="9"/>
      <c r="K206" s="542"/>
      <c r="L206" s="421"/>
      <c r="M206" s="421"/>
      <c r="N206" s="421"/>
      <c r="O206" s="421"/>
      <c r="P206" s="9"/>
      <c r="Q206" s="9"/>
      <c r="R206" s="9"/>
      <c r="S206" s="442"/>
    </row>
    <row r="207" spans="1:19">
      <c r="A207" s="542">
        <v>2</v>
      </c>
      <c r="B207" s="1227" t="s">
        <v>54</v>
      </c>
      <c r="C207" s="1227"/>
      <c r="D207" s="1227"/>
      <c r="E207" s="421"/>
      <c r="F207" s="9"/>
      <c r="G207" s="9"/>
      <c r="H207" s="9"/>
      <c r="I207" s="442"/>
      <c r="J207" s="9"/>
      <c r="K207" s="542">
        <v>2</v>
      </c>
      <c r="L207" s="1227" t="s">
        <v>54</v>
      </c>
      <c r="M207" s="1227"/>
      <c r="N207" s="1227"/>
      <c r="O207" s="421"/>
      <c r="P207" s="9"/>
      <c r="Q207" s="9"/>
      <c r="R207" s="9"/>
      <c r="S207" s="442"/>
    </row>
    <row r="208" spans="1:19">
      <c r="A208" s="542"/>
      <c r="B208" s="1227"/>
      <c r="C208" s="1227"/>
      <c r="D208" s="1227"/>
      <c r="E208" s="544" t="s">
        <v>37</v>
      </c>
      <c r="F208" s="498"/>
      <c r="G208" s="498"/>
      <c r="H208" s="498"/>
      <c r="I208" s="442"/>
      <c r="J208" s="9"/>
      <c r="K208" s="542"/>
      <c r="L208" s="1227"/>
      <c r="M208" s="1227"/>
      <c r="N208" s="1227"/>
      <c r="O208" s="544" t="s">
        <v>37</v>
      </c>
      <c r="P208" s="498"/>
      <c r="Q208" s="498"/>
      <c r="R208" s="498"/>
      <c r="S208" s="442"/>
    </row>
    <row r="209" spans="1:19">
      <c r="A209" s="542"/>
      <c r="B209" s="421"/>
      <c r="C209" s="421"/>
      <c r="D209" s="421"/>
      <c r="E209" s="421"/>
      <c r="F209" s="9"/>
      <c r="G209" s="9"/>
      <c r="H209" s="9"/>
      <c r="I209" s="442"/>
      <c r="J209" s="9"/>
      <c r="K209" s="542"/>
      <c r="L209" s="421"/>
      <c r="M209" s="421"/>
      <c r="N209" s="421"/>
      <c r="O209" s="421"/>
      <c r="P209" s="9"/>
      <c r="Q209" s="9"/>
      <c r="R209" s="9"/>
      <c r="S209" s="442"/>
    </row>
    <row r="210" spans="1:19">
      <c r="A210" s="542">
        <v>3</v>
      </c>
      <c r="B210" s="1223" t="s">
        <v>55</v>
      </c>
      <c r="C210" s="1223"/>
      <c r="D210" s="1223"/>
      <c r="E210" s="544" t="s">
        <v>37</v>
      </c>
      <c r="F210" s="498"/>
      <c r="G210" s="498"/>
      <c r="H210" s="498"/>
      <c r="I210" s="442"/>
      <c r="J210" s="9"/>
      <c r="K210" s="542">
        <v>3</v>
      </c>
      <c r="L210" s="1223" t="s">
        <v>55</v>
      </c>
      <c r="M210" s="1223"/>
      <c r="N210" s="1223"/>
      <c r="O210" s="540" t="str">
        <f>E210</f>
        <v>N/A</v>
      </c>
      <c r="P210" s="498"/>
      <c r="Q210" s="498"/>
      <c r="R210" s="498"/>
      <c r="S210" s="442"/>
    </row>
    <row r="211" spans="1:19">
      <c r="A211" s="542"/>
      <c r="B211" s="421"/>
      <c r="C211" s="421"/>
      <c r="D211" s="421"/>
      <c r="E211" s="421"/>
      <c r="F211" s="9"/>
      <c r="G211" s="9"/>
      <c r="H211" s="9"/>
      <c r="I211" s="442"/>
      <c r="J211" s="9"/>
      <c r="K211" s="542"/>
      <c r="L211" s="421"/>
      <c r="M211" s="421"/>
      <c r="N211" s="421"/>
      <c r="O211" s="421"/>
      <c r="P211" s="9"/>
      <c r="Q211" s="9"/>
      <c r="R211" s="9"/>
      <c r="S211" s="442"/>
    </row>
    <row r="212" spans="1:19">
      <c r="A212" s="542">
        <v>4</v>
      </c>
      <c r="B212" s="1223" t="s">
        <v>56</v>
      </c>
      <c r="C212" s="1223"/>
      <c r="D212" s="1223"/>
      <c r="E212" s="544" t="s">
        <v>57</v>
      </c>
      <c r="F212" s="498"/>
      <c r="G212" s="498"/>
      <c r="H212" s="498"/>
      <c r="I212" s="442"/>
      <c r="J212" s="9"/>
      <c r="K212" s="542">
        <v>4</v>
      </c>
      <c r="L212" s="1223" t="s">
        <v>56</v>
      </c>
      <c r="M212" s="1223"/>
      <c r="N212" s="1223"/>
      <c r="O212" s="544" t="s">
        <v>57</v>
      </c>
      <c r="P212" s="498"/>
      <c r="Q212" s="498"/>
      <c r="R212" s="498"/>
      <c r="S212" s="442"/>
    </row>
    <row r="213" spans="1:19">
      <c r="A213" s="542"/>
      <c r="B213" s="421"/>
      <c r="C213" s="421"/>
      <c r="D213" s="421"/>
      <c r="E213" s="421"/>
      <c r="F213" s="9"/>
      <c r="G213" s="9"/>
      <c r="H213" s="9"/>
      <c r="I213" s="442"/>
      <c r="J213" s="9"/>
      <c r="K213" s="542"/>
      <c r="L213" s="421"/>
      <c r="M213" s="421"/>
      <c r="N213" s="421"/>
      <c r="O213" s="421"/>
      <c r="P213" s="9"/>
      <c r="Q213" s="9"/>
      <c r="R213" s="9"/>
      <c r="S213" s="442"/>
    </row>
    <row r="214" spans="1:19">
      <c r="A214" s="542">
        <v>5</v>
      </c>
      <c r="B214" s="1223" t="s">
        <v>58</v>
      </c>
      <c r="C214" s="1223"/>
      <c r="D214" s="1223"/>
      <c r="E214" s="492">
        <f>'04-221Master'!AM19</f>
        <v>90276.538520000002</v>
      </c>
      <c r="F214" s="9"/>
      <c r="G214" s="9"/>
      <c r="H214" s="9"/>
      <c r="I214" s="442"/>
      <c r="J214" s="9"/>
      <c r="K214" s="542">
        <v>5</v>
      </c>
      <c r="L214" s="1223" t="s">
        <v>58</v>
      </c>
      <c r="M214" s="1223"/>
      <c r="N214" s="1223"/>
      <c r="O214" s="492">
        <f>E214</f>
        <v>90276.538520000002</v>
      </c>
      <c r="P214" s="9"/>
      <c r="Q214" s="9"/>
      <c r="R214" s="9"/>
      <c r="S214" s="442"/>
    </row>
    <row r="215" spans="1:19">
      <c r="A215" s="542"/>
      <c r="B215" s="421"/>
      <c r="C215" s="421"/>
      <c r="D215" s="493" t="s">
        <v>59</v>
      </c>
      <c r="E215" s="493" t="s">
        <v>31</v>
      </c>
      <c r="F215" s="493" t="s">
        <v>33</v>
      </c>
      <c r="G215" s="493" t="s">
        <v>34</v>
      </c>
      <c r="H215" s="493" t="s">
        <v>377</v>
      </c>
      <c r="I215" s="494" t="s">
        <v>378</v>
      </c>
      <c r="J215" s="9"/>
      <c r="K215" s="542"/>
      <c r="L215" s="421"/>
      <c r="M215" s="421"/>
      <c r="N215" s="493" t="s">
        <v>59</v>
      </c>
      <c r="O215" s="493" t="s">
        <v>31</v>
      </c>
      <c r="P215" s="493" t="s">
        <v>33</v>
      </c>
      <c r="Q215" s="493" t="s">
        <v>34</v>
      </c>
      <c r="R215" s="493" t="s">
        <v>377</v>
      </c>
      <c r="S215" s="494" t="s">
        <v>378</v>
      </c>
    </row>
    <row r="216" spans="1:19">
      <c r="A216" s="542">
        <v>6</v>
      </c>
      <c r="B216" s="530" t="s">
        <v>60</v>
      </c>
      <c r="C216" s="530"/>
      <c r="D216" s="495">
        <f>'04-221Master'!AO19</f>
        <v>1800</v>
      </c>
      <c r="E216" s="495">
        <f>'04-221Master'!AN300</f>
        <v>0</v>
      </c>
      <c r="F216" s="496">
        <f>'04-221Master'!AP19</f>
        <v>200</v>
      </c>
      <c r="G216" s="495">
        <f>'04-221Master'!AQ19</f>
        <v>0</v>
      </c>
      <c r="H216" s="496">
        <f>'04-221Master'!AR19</f>
        <v>335</v>
      </c>
      <c r="I216" s="496">
        <f>SUM(D216:H216)</f>
        <v>2335</v>
      </c>
      <c r="J216" s="9"/>
      <c r="K216" s="542">
        <v>6</v>
      </c>
      <c r="L216" s="530" t="s">
        <v>60</v>
      </c>
      <c r="M216" s="530"/>
      <c r="N216" s="495">
        <f t="shared" ref="N216" si="9">D216</f>
        <v>1800</v>
      </c>
      <c r="O216" s="495">
        <f t="shared" ref="O216" si="10">E216</f>
        <v>0</v>
      </c>
      <c r="P216" s="496">
        <f t="shared" ref="P216" si="11">F216</f>
        <v>200</v>
      </c>
      <c r="Q216" s="495">
        <f t="shared" ref="Q216" si="12">G216</f>
        <v>0</v>
      </c>
      <c r="R216" s="496">
        <f t="shared" ref="R216" si="13">H216</f>
        <v>335</v>
      </c>
      <c r="S216" s="496">
        <f t="shared" ref="S216" si="14">I216</f>
        <v>2335</v>
      </c>
    </row>
    <row r="217" spans="1:19">
      <c r="A217" s="542"/>
      <c r="B217" s="421"/>
      <c r="C217" s="421"/>
      <c r="D217" s="421"/>
      <c r="E217" s="421"/>
      <c r="F217" s="9"/>
      <c r="G217" s="9"/>
      <c r="H217" s="9"/>
      <c r="I217" s="442"/>
      <c r="J217" s="9"/>
      <c r="K217" s="542"/>
      <c r="L217" s="421"/>
      <c r="M217" s="421"/>
      <c r="N217" s="421"/>
      <c r="O217" s="421"/>
      <c r="P217" s="9"/>
      <c r="Q217" s="9"/>
      <c r="R217" s="9"/>
      <c r="S217" s="442"/>
    </row>
    <row r="218" spans="1:19">
      <c r="A218" s="542">
        <v>7</v>
      </c>
      <c r="B218" s="1223" t="s">
        <v>61</v>
      </c>
      <c r="C218" s="1223"/>
      <c r="D218" s="1223"/>
      <c r="E218" s="497">
        <f>E214-I216</f>
        <v>87941.538520000002</v>
      </c>
      <c r="F218" s="498"/>
      <c r="G218" s="498"/>
      <c r="H218" s="498"/>
      <c r="I218" s="442"/>
      <c r="J218" s="9"/>
      <c r="K218" s="542">
        <v>7</v>
      </c>
      <c r="L218" s="1223" t="s">
        <v>61</v>
      </c>
      <c r="M218" s="1223"/>
      <c r="N218" s="1223"/>
      <c r="O218" s="497">
        <f>E218</f>
        <v>87941.538520000002</v>
      </c>
      <c r="P218" s="498"/>
      <c r="Q218" s="498"/>
      <c r="R218" s="498"/>
      <c r="S218" s="442"/>
    </row>
    <row r="219" spans="1:19">
      <c r="A219" s="441"/>
      <c r="B219" s="9"/>
      <c r="C219" s="9"/>
      <c r="D219" s="9"/>
      <c r="E219" s="9"/>
      <c r="F219" s="9"/>
      <c r="G219" s="9"/>
      <c r="H219" s="9"/>
      <c r="I219" s="442"/>
      <c r="J219" s="9"/>
      <c r="K219" s="441"/>
      <c r="L219" s="9"/>
      <c r="M219" s="9"/>
      <c r="N219" s="9"/>
      <c r="O219" s="9"/>
      <c r="P219" s="9"/>
      <c r="Q219" s="9"/>
      <c r="R219" s="9"/>
      <c r="S219" s="442"/>
    </row>
    <row r="220" spans="1:19">
      <c r="A220" s="441"/>
      <c r="B220" s="9"/>
      <c r="C220" s="9"/>
      <c r="D220" s="9"/>
      <c r="E220" s="9"/>
      <c r="F220" s="9"/>
      <c r="G220" s="9"/>
      <c r="H220" s="9"/>
      <c r="I220" s="442"/>
      <c r="J220" s="9"/>
      <c r="K220" s="441"/>
      <c r="L220" s="9"/>
      <c r="M220" s="9"/>
      <c r="N220" s="9"/>
      <c r="O220" s="9"/>
      <c r="P220" s="9"/>
      <c r="Q220" s="9"/>
      <c r="R220" s="9"/>
      <c r="S220" s="442"/>
    </row>
    <row r="221" spans="1:19" ht="15.75" thickBot="1">
      <c r="A221" s="441"/>
      <c r="B221" s="9"/>
      <c r="C221" s="9"/>
      <c r="D221" s="9"/>
      <c r="E221" s="9"/>
      <c r="F221" s="444"/>
      <c r="G221" s="444"/>
      <c r="H221" s="444"/>
      <c r="I221" s="445"/>
      <c r="J221" s="9"/>
      <c r="K221" s="441"/>
      <c r="L221" s="9"/>
      <c r="M221" s="9"/>
      <c r="N221" s="9"/>
      <c r="O221" s="9"/>
      <c r="P221" s="444"/>
      <c r="Q221" s="444"/>
      <c r="R221" s="444"/>
      <c r="S221" s="445"/>
    </row>
    <row r="222" spans="1:19" ht="15.75" thickBot="1">
      <c r="A222" s="443"/>
      <c r="B222" s="444"/>
      <c r="C222" s="444"/>
      <c r="D222" s="444"/>
      <c r="E222" s="444"/>
      <c r="F222" s="1224" t="s">
        <v>62</v>
      </c>
      <c r="G222" s="1224"/>
      <c r="H222" s="1224"/>
      <c r="I222" s="1225"/>
      <c r="J222" s="9"/>
      <c r="K222" s="443"/>
      <c r="L222" s="444"/>
      <c r="M222" s="444"/>
      <c r="N222" s="444"/>
      <c r="O222" s="444"/>
      <c r="P222" s="1224" t="s">
        <v>62</v>
      </c>
      <c r="Q222" s="1224"/>
      <c r="R222" s="1224"/>
      <c r="S222" s="1225"/>
    </row>
    <row r="223" spans="1:19">
      <c r="A223" s="9"/>
      <c r="B223" s="9"/>
      <c r="C223" s="9"/>
      <c r="D223" s="9"/>
      <c r="E223" s="9"/>
      <c r="F223" s="9"/>
      <c r="G223" s="9"/>
      <c r="H223" s="9"/>
      <c r="I223" s="9"/>
      <c r="J223" s="9"/>
      <c r="K223" s="9"/>
      <c r="L223" s="9"/>
      <c r="M223" s="9"/>
      <c r="N223" s="9"/>
      <c r="O223" s="9"/>
      <c r="P223" s="9"/>
      <c r="Q223" s="9"/>
      <c r="R223" s="9"/>
      <c r="S223" s="9"/>
    </row>
    <row r="224" spans="1:19">
      <c r="A224" s="9"/>
      <c r="B224" s="9"/>
      <c r="C224" s="9"/>
      <c r="D224" s="9"/>
      <c r="E224" s="9"/>
      <c r="F224" s="9"/>
      <c r="G224" s="9"/>
      <c r="H224" s="9"/>
      <c r="I224" s="9"/>
      <c r="J224" s="9"/>
      <c r="K224" s="9"/>
      <c r="L224" s="9"/>
      <c r="M224" s="9"/>
      <c r="N224" s="9"/>
      <c r="O224" s="9"/>
      <c r="P224" s="9"/>
      <c r="Q224" s="9"/>
      <c r="R224" s="9"/>
      <c r="S224" s="9"/>
    </row>
    <row r="225" spans="1:19">
      <c r="A225" s="9"/>
      <c r="B225" s="9"/>
      <c r="C225" s="9"/>
      <c r="D225" s="9"/>
      <c r="E225" s="9"/>
      <c r="F225" s="9"/>
      <c r="G225" s="9"/>
      <c r="H225" s="9"/>
      <c r="I225" s="9"/>
      <c r="J225" s="9"/>
      <c r="K225" s="9"/>
      <c r="L225" s="9"/>
      <c r="M225" s="9"/>
      <c r="N225" s="9"/>
      <c r="O225" s="9"/>
      <c r="P225" s="9"/>
      <c r="Q225" s="9"/>
      <c r="R225" s="9"/>
      <c r="S225" s="9"/>
    </row>
    <row r="226" spans="1:19">
      <c r="A226" s="9"/>
      <c r="B226" s="9"/>
      <c r="C226" s="9"/>
      <c r="D226" s="9"/>
      <c r="E226" s="9"/>
      <c r="F226" s="9"/>
      <c r="G226" s="9"/>
      <c r="H226" s="9"/>
      <c r="I226" s="9"/>
      <c r="J226" s="9"/>
      <c r="K226" s="9"/>
      <c r="L226" s="9"/>
      <c r="M226" s="9"/>
      <c r="N226" s="9"/>
      <c r="O226" s="9"/>
      <c r="P226" s="9"/>
      <c r="Q226" s="9"/>
      <c r="R226" s="9"/>
      <c r="S226" s="9"/>
    </row>
    <row r="227" spans="1:19">
      <c r="A227" s="9"/>
      <c r="B227" s="9"/>
      <c r="C227" s="9"/>
      <c r="D227" s="9"/>
      <c r="E227" s="9"/>
      <c r="F227" s="9"/>
      <c r="G227" s="9"/>
      <c r="H227" s="9"/>
      <c r="I227" s="9"/>
      <c r="J227" s="9"/>
      <c r="K227" s="9"/>
      <c r="L227" s="9"/>
      <c r="M227" s="9"/>
      <c r="N227" s="9"/>
      <c r="O227" s="9"/>
      <c r="P227" s="9"/>
      <c r="Q227" s="9"/>
      <c r="R227" s="9"/>
      <c r="S227" s="9"/>
    </row>
    <row r="228" spans="1:19">
      <c r="A228" s="9"/>
      <c r="B228" s="9"/>
      <c r="C228" s="9"/>
      <c r="D228" s="9"/>
      <c r="E228" s="9"/>
      <c r="F228" s="9"/>
      <c r="G228" s="9"/>
      <c r="H228" s="9"/>
      <c r="I228" s="9"/>
      <c r="J228" s="9"/>
      <c r="K228" s="9"/>
      <c r="L228" s="9"/>
      <c r="M228" s="9"/>
      <c r="N228" s="9"/>
      <c r="O228" s="9"/>
      <c r="P228" s="9"/>
      <c r="Q228" s="9"/>
      <c r="R228" s="9"/>
      <c r="S228" s="9"/>
    </row>
    <row r="229" spans="1:19">
      <c r="A229" s="9"/>
      <c r="B229" s="9"/>
      <c r="C229" s="9"/>
      <c r="D229" s="9"/>
      <c r="E229" s="9"/>
      <c r="F229" s="9"/>
      <c r="G229" s="9"/>
      <c r="H229" s="9"/>
      <c r="I229" s="9"/>
      <c r="J229" s="9"/>
      <c r="K229" s="9"/>
      <c r="L229" s="9"/>
      <c r="M229" s="9"/>
      <c r="N229" s="9"/>
      <c r="O229" s="9"/>
      <c r="P229" s="9"/>
      <c r="Q229" s="9"/>
      <c r="R229" s="9"/>
      <c r="S229" s="9"/>
    </row>
    <row r="230" spans="1:19">
      <c r="A230" s="388"/>
      <c r="B230" s="388"/>
      <c r="C230" s="388"/>
      <c r="D230" s="388"/>
      <c r="E230" s="388"/>
      <c r="F230" s="388"/>
      <c r="G230" s="388"/>
      <c r="H230" s="388"/>
      <c r="I230" s="388"/>
      <c r="J230" s="388"/>
      <c r="K230" s="388"/>
      <c r="L230" s="388"/>
      <c r="M230" s="388"/>
      <c r="N230" s="388"/>
      <c r="O230" s="388"/>
      <c r="P230" s="388"/>
      <c r="Q230" s="388"/>
      <c r="R230" s="388"/>
      <c r="S230" s="388"/>
    </row>
    <row r="231" spans="1:19">
      <c r="A231" s="388"/>
      <c r="B231" s="388"/>
      <c r="C231" s="388"/>
      <c r="D231" s="388"/>
      <c r="E231" s="388"/>
      <c r="F231" s="388"/>
      <c r="G231" s="388"/>
      <c r="H231" s="388"/>
      <c r="I231" s="388"/>
      <c r="J231" s="388"/>
      <c r="K231" s="388"/>
      <c r="L231" s="388"/>
      <c r="M231" s="388"/>
      <c r="N231" s="388"/>
      <c r="O231" s="388"/>
      <c r="P231" s="388"/>
      <c r="Q231" s="388"/>
      <c r="R231" s="388"/>
      <c r="S231" s="388"/>
    </row>
    <row r="232" spans="1:19">
      <c r="A232" s="388"/>
      <c r="B232" s="388"/>
      <c r="C232" s="388"/>
      <c r="D232" s="388"/>
      <c r="E232" s="388"/>
      <c r="F232" s="388"/>
      <c r="G232" s="388"/>
      <c r="H232" s="388"/>
      <c r="I232" s="388"/>
      <c r="J232" s="388"/>
      <c r="K232" s="388"/>
      <c r="L232" s="388"/>
      <c r="M232" s="388"/>
      <c r="N232" s="388"/>
      <c r="O232" s="388"/>
      <c r="P232" s="388"/>
      <c r="Q232" s="388"/>
      <c r="R232" s="388"/>
      <c r="S232" s="388"/>
    </row>
    <row r="233" spans="1:19">
      <c r="A233" s="388"/>
      <c r="B233" s="388"/>
      <c r="C233" s="388"/>
      <c r="D233" s="388"/>
      <c r="E233" s="388"/>
      <c r="F233" s="388"/>
      <c r="G233" s="388"/>
      <c r="H233" s="388"/>
      <c r="I233" s="388"/>
      <c r="J233" s="388"/>
      <c r="K233" s="388"/>
      <c r="L233" s="388"/>
      <c r="M233" s="388"/>
      <c r="N233" s="388"/>
      <c r="O233" s="388"/>
      <c r="P233" s="388"/>
      <c r="Q233" s="388"/>
      <c r="R233" s="388"/>
      <c r="S233" s="388"/>
    </row>
    <row r="234" spans="1:19" s="388" customFormat="1"/>
    <row r="235" spans="1:19" s="388" customFormat="1"/>
    <row r="236" spans="1:19" s="388" customFormat="1"/>
    <row r="237" spans="1:19">
      <c r="A237" s="388"/>
      <c r="B237" s="388"/>
      <c r="C237" s="388"/>
      <c r="D237" s="388"/>
      <c r="E237" s="388"/>
      <c r="F237" s="388"/>
      <c r="G237" s="388"/>
      <c r="H237" s="388"/>
      <c r="I237" s="388"/>
      <c r="J237" s="388"/>
      <c r="K237" s="388"/>
      <c r="L237" s="388"/>
      <c r="M237" s="388"/>
      <c r="N237" s="388"/>
      <c r="O237" s="388"/>
      <c r="P237" s="388"/>
      <c r="Q237" s="388"/>
      <c r="R237" s="388"/>
      <c r="S237" s="388"/>
    </row>
    <row r="238" spans="1:19">
      <c r="A238" s="388"/>
      <c r="B238" s="388"/>
      <c r="C238" s="388"/>
      <c r="D238" s="388"/>
      <c r="E238" s="388"/>
      <c r="F238" s="388"/>
      <c r="G238" s="388"/>
      <c r="H238" s="388"/>
      <c r="I238" s="388"/>
      <c r="J238" s="388"/>
      <c r="K238" s="388"/>
      <c r="L238" s="388"/>
      <c r="M238" s="388"/>
      <c r="N238" s="388"/>
      <c r="O238" s="388"/>
      <c r="P238" s="388"/>
      <c r="Q238" s="388"/>
      <c r="R238" s="388"/>
      <c r="S238" s="388"/>
    </row>
    <row r="239" spans="1:19" ht="15.75" thickBot="1">
      <c r="A239" s="388"/>
      <c r="B239" s="388"/>
      <c r="C239" s="388"/>
      <c r="D239" s="388"/>
      <c r="E239" s="388"/>
      <c r="F239" s="388"/>
      <c r="G239" s="388"/>
      <c r="H239" s="388"/>
      <c r="I239" s="388"/>
      <c r="J239" s="388"/>
      <c r="K239" s="388"/>
      <c r="L239" s="388"/>
      <c r="M239" s="388"/>
      <c r="N239" s="388"/>
      <c r="O239" s="388"/>
      <c r="P239" s="388"/>
      <c r="Q239" s="388"/>
      <c r="R239" s="388"/>
      <c r="S239" s="388"/>
    </row>
    <row r="240" spans="1:19" ht="27" thickBot="1">
      <c r="A240" s="1228" t="s">
        <v>592</v>
      </c>
      <c r="B240" s="1229"/>
      <c r="C240" s="1229"/>
      <c r="D240" s="1229"/>
      <c r="E240" s="1229"/>
      <c r="F240" s="1229"/>
      <c r="G240" s="1229"/>
      <c r="H240" s="1229"/>
      <c r="I240" s="1230"/>
      <c r="J240" s="538"/>
      <c r="K240" s="1228" t="s">
        <v>592</v>
      </c>
      <c r="L240" s="1229"/>
      <c r="M240" s="1229"/>
      <c r="N240" s="1229"/>
      <c r="O240" s="1229"/>
      <c r="P240" s="1229"/>
      <c r="Q240" s="1229"/>
      <c r="R240" s="1229"/>
      <c r="S240" s="1230"/>
    </row>
    <row r="241" spans="1:19">
      <c r="A241" s="1231" t="s">
        <v>593</v>
      </c>
      <c r="B241" s="1232"/>
      <c r="C241" s="1232"/>
      <c r="D241" s="1232"/>
      <c r="E241" s="1232"/>
      <c r="F241" s="1232"/>
      <c r="G241" s="1232"/>
      <c r="H241" s="1232"/>
      <c r="I241" s="1233"/>
      <c r="J241" s="9"/>
      <c r="K241" s="1231" t="s">
        <v>593</v>
      </c>
      <c r="L241" s="1232"/>
      <c r="M241" s="1232"/>
      <c r="N241" s="1232"/>
      <c r="O241" s="1232"/>
      <c r="P241" s="1232"/>
      <c r="Q241" s="1232"/>
      <c r="R241" s="1232"/>
      <c r="S241" s="1233"/>
    </row>
    <row r="242" spans="1:19">
      <c r="A242" s="441"/>
      <c r="B242" s="9"/>
      <c r="C242" s="9"/>
      <c r="D242" s="9"/>
      <c r="E242" s="9"/>
      <c r="F242" s="9"/>
      <c r="G242" s="9"/>
      <c r="H242" s="9"/>
      <c r="I242" s="442"/>
      <c r="J242" s="9"/>
      <c r="K242" s="441"/>
      <c r="L242" s="9"/>
      <c r="M242" s="9"/>
      <c r="N242" s="9"/>
      <c r="O242" s="9"/>
      <c r="P242" s="9"/>
      <c r="Q242" s="9"/>
      <c r="R242" s="9"/>
      <c r="S242" s="442"/>
    </row>
    <row r="243" spans="1:19">
      <c r="A243" s="539" t="s">
        <v>49</v>
      </c>
      <c r="B243" s="421"/>
      <c r="C243" s="421"/>
      <c r="D243" s="419" t="s">
        <v>382</v>
      </c>
      <c r="E243" s="9"/>
      <c r="F243" s="9"/>
      <c r="G243" s="9"/>
      <c r="H243" s="9"/>
      <c r="I243" s="442"/>
      <c r="J243" s="9"/>
      <c r="K243" s="539" t="s">
        <v>49</v>
      </c>
      <c r="L243" s="421"/>
      <c r="M243" s="421"/>
      <c r="N243" s="419" t="s">
        <v>382</v>
      </c>
      <c r="O243" s="9"/>
      <c r="P243" s="9"/>
      <c r="Q243" s="9"/>
      <c r="R243" s="9"/>
      <c r="S243" s="442"/>
    </row>
    <row r="244" spans="1:19">
      <c r="A244" s="539"/>
      <c r="B244" s="421"/>
      <c r="C244" s="421"/>
      <c r="D244" s="421" t="s">
        <v>383</v>
      </c>
      <c r="E244" s="9"/>
      <c r="F244" s="9"/>
      <c r="G244" s="9"/>
      <c r="H244" s="9"/>
      <c r="I244" s="442"/>
      <c r="J244" s="9"/>
      <c r="K244" s="539"/>
      <c r="L244" s="421"/>
      <c r="M244" s="421"/>
      <c r="N244" s="421" t="s">
        <v>383</v>
      </c>
      <c r="O244" s="9"/>
      <c r="P244" s="9"/>
      <c r="Q244" s="9"/>
      <c r="R244" s="9"/>
      <c r="S244" s="442"/>
    </row>
    <row r="245" spans="1:19">
      <c r="A245" s="539"/>
      <c r="B245" s="421"/>
      <c r="C245" s="421"/>
      <c r="D245" s="421"/>
      <c r="E245" s="421"/>
      <c r="F245" s="9"/>
      <c r="G245" s="9"/>
      <c r="H245" s="9"/>
      <c r="I245" s="442"/>
      <c r="J245" s="9"/>
      <c r="K245" s="539"/>
      <c r="L245" s="421"/>
      <c r="M245" s="421"/>
      <c r="N245" s="421"/>
      <c r="O245" s="421"/>
      <c r="P245" s="9"/>
      <c r="Q245" s="9"/>
      <c r="R245" s="9"/>
      <c r="S245" s="442"/>
    </row>
    <row r="246" spans="1:19">
      <c r="A246" s="1234" t="s">
        <v>50</v>
      </c>
      <c r="B246" s="1227"/>
      <c r="C246" s="1227"/>
      <c r="D246" s="1227"/>
      <c r="E246" s="421"/>
      <c r="F246" s="9"/>
      <c r="G246" s="9"/>
      <c r="H246" s="9"/>
      <c r="I246" s="442"/>
      <c r="J246" s="9"/>
      <c r="K246" s="1234" t="s">
        <v>50</v>
      </c>
      <c r="L246" s="1227"/>
      <c r="M246" s="1227"/>
      <c r="N246" s="1227"/>
      <c r="O246" s="421"/>
      <c r="P246" s="9"/>
      <c r="Q246" s="9"/>
      <c r="R246" s="9"/>
      <c r="S246" s="442"/>
    </row>
    <row r="247" spans="1:19">
      <c r="A247" s="1234"/>
      <c r="B247" s="1227"/>
      <c r="C247" s="1227"/>
      <c r="D247" s="1227"/>
      <c r="E247" s="540" t="str">
        <f>'04-221Master'!B20</f>
        <v>Sunnapalli Anil</v>
      </c>
      <c r="F247" s="498"/>
      <c r="G247" s="498" t="str">
        <f>'04-221Master'!E20</f>
        <v>Narsingam</v>
      </c>
      <c r="H247" s="498"/>
      <c r="I247" s="442"/>
      <c r="J247" s="9"/>
      <c r="K247" s="1234"/>
      <c r="L247" s="1227"/>
      <c r="M247" s="1227"/>
      <c r="N247" s="1227"/>
      <c r="O247" s="540" t="str">
        <f>E247</f>
        <v>Sunnapalli Anil</v>
      </c>
      <c r="P247" s="498"/>
      <c r="Q247" s="498"/>
      <c r="R247" s="498" t="str">
        <f>G247</f>
        <v>Narsingam</v>
      </c>
      <c r="S247" s="442"/>
    </row>
    <row r="248" spans="1:19">
      <c r="A248" s="539"/>
      <c r="B248" s="421"/>
      <c r="C248" s="421"/>
      <c r="D248" s="421"/>
      <c r="E248" s="421"/>
      <c r="F248" s="9"/>
      <c r="G248" s="9"/>
      <c r="H248" s="9"/>
      <c r="I248" s="442"/>
      <c r="J248" s="9"/>
      <c r="K248" s="539"/>
      <c r="L248" s="421"/>
      <c r="M248" s="421"/>
      <c r="N248" s="421"/>
      <c r="O248" s="421"/>
      <c r="P248" s="9"/>
      <c r="Q248" s="9"/>
      <c r="R248" s="9"/>
      <c r="S248" s="442"/>
    </row>
    <row r="249" spans="1:19">
      <c r="A249" s="1226" t="s">
        <v>51</v>
      </c>
      <c r="B249" s="1223"/>
      <c r="C249" s="1223"/>
      <c r="D249" s="1223"/>
      <c r="E249" s="423" t="s">
        <v>373</v>
      </c>
      <c r="F249" s="498"/>
      <c r="G249" s="498"/>
      <c r="H249" s="498"/>
      <c r="I249" s="442"/>
      <c r="J249" s="9"/>
      <c r="K249" s="1226" t="s">
        <v>51</v>
      </c>
      <c r="L249" s="1223"/>
      <c r="M249" s="1223"/>
      <c r="N249" s="1223"/>
      <c r="O249" s="540" t="str">
        <f>E249</f>
        <v>IT SUPPORTIVE SERVICES</v>
      </c>
      <c r="P249" s="498"/>
      <c r="Q249" s="498"/>
      <c r="R249" s="498"/>
      <c r="S249" s="442"/>
    </row>
    <row r="250" spans="1:19">
      <c r="A250" s="539"/>
      <c r="B250" s="421"/>
      <c r="C250" s="421"/>
      <c r="D250" s="421"/>
      <c r="E250" s="421"/>
      <c r="F250" s="9"/>
      <c r="G250" s="9"/>
      <c r="H250" s="9"/>
      <c r="I250" s="442"/>
      <c r="J250" s="9"/>
      <c r="K250" s="539"/>
      <c r="L250" s="421"/>
      <c r="M250" s="421"/>
      <c r="N250" s="421"/>
      <c r="O250" s="421"/>
      <c r="P250" s="9"/>
      <c r="Q250" s="9"/>
      <c r="R250" s="9"/>
      <c r="S250" s="442"/>
    </row>
    <row r="251" spans="1:19">
      <c r="A251" s="1226" t="s">
        <v>52</v>
      </c>
      <c r="B251" s="1223"/>
      <c r="C251" s="1223"/>
      <c r="D251" s="1223"/>
      <c r="E251" s="541">
        <f>'04-221Master'!D10</f>
        <v>44652</v>
      </c>
      <c r="F251" s="498"/>
      <c r="G251" s="498"/>
      <c r="H251" s="498"/>
      <c r="I251" s="442"/>
      <c r="J251" s="9"/>
      <c r="K251" s="1226" t="s">
        <v>52</v>
      </c>
      <c r="L251" s="1223"/>
      <c r="M251" s="1223"/>
      <c r="N251" s="1223"/>
      <c r="O251" s="541">
        <f>E251</f>
        <v>44652</v>
      </c>
      <c r="P251" s="498"/>
      <c r="Q251" s="498"/>
      <c r="R251" s="498"/>
      <c r="S251" s="442"/>
    </row>
    <row r="252" spans="1:19">
      <c r="A252" s="539"/>
      <c r="B252" s="421"/>
      <c r="C252" s="421"/>
      <c r="D252" s="421"/>
      <c r="E252" s="421"/>
      <c r="F252" s="9"/>
      <c r="G252" s="9"/>
      <c r="H252" s="9"/>
      <c r="I252" s="442"/>
      <c r="J252" s="9"/>
      <c r="K252" s="539"/>
      <c r="L252" s="421"/>
      <c r="M252" s="421"/>
      <c r="N252" s="421"/>
      <c r="O252" s="421"/>
      <c r="P252" s="9"/>
      <c r="Q252" s="9"/>
      <c r="R252" s="9"/>
      <c r="S252" s="442"/>
    </row>
    <row r="253" spans="1:19">
      <c r="A253" s="542">
        <v>1</v>
      </c>
      <c r="B253" s="1223" t="s">
        <v>53</v>
      </c>
      <c r="C253" s="1223"/>
      <c r="D253" s="1223"/>
      <c r="E253" s="543">
        <f>'04-221Master'!W20</f>
        <v>30</v>
      </c>
      <c r="F253" s="498"/>
      <c r="G253" s="498"/>
      <c r="H253" s="498"/>
      <c r="I253" s="442"/>
      <c r="J253" s="9"/>
      <c r="K253" s="542">
        <v>1</v>
      </c>
      <c r="L253" s="1223" t="s">
        <v>53</v>
      </c>
      <c r="M253" s="1223"/>
      <c r="N253" s="1223"/>
      <c r="O253" s="543">
        <f>E253</f>
        <v>30</v>
      </c>
      <c r="P253" s="498"/>
      <c r="Q253" s="498"/>
      <c r="R253" s="498"/>
      <c r="S253" s="442"/>
    </row>
    <row r="254" spans="1:19">
      <c r="A254" s="542"/>
      <c r="B254" s="421"/>
      <c r="C254" s="421"/>
      <c r="D254" s="421"/>
      <c r="E254" s="421"/>
      <c r="F254" s="9"/>
      <c r="G254" s="9"/>
      <c r="H254" s="9"/>
      <c r="I254" s="442"/>
      <c r="J254" s="9"/>
      <c r="K254" s="542"/>
      <c r="L254" s="421"/>
      <c r="M254" s="421"/>
      <c r="N254" s="421"/>
      <c r="O254" s="421"/>
      <c r="P254" s="9"/>
      <c r="Q254" s="9"/>
      <c r="R254" s="9"/>
      <c r="S254" s="442"/>
    </row>
    <row r="255" spans="1:19">
      <c r="A255" s="542">
        <v>2</v>
      </c>
      <c r="B255" s="1227" t="s">
        <v>54</v>
      </c>
      <c r="C255" s="1227"/>
      <c r="D255" s="1227"/>
      <c r="E255" s="421"/>
      <c r="F255" s="9"/>
      <c r="G255" s="9"/>
      <c r="H255" s="9"/>
      <c r="I255" s="442"/>
      <c r="J255" s="9"/>
      <c r="K255" s="542">
        <v>2</v>
      </c>
      <c r="L255" s="1227" t="s">
        <v>54</v>
      </c>
      <c r="M255" s="1227"/>
      <c r="N255" s="1227"/>
      <c r="O255" s="421"/>
      <c r="P255" s="9"/>
      <c r="Q255" s="9"/>
      <c r="R255" s="9"/>
      <c r="S255" s="442"/>
    </row>
    <row r="256" spans="1:19">
      <c r="A256" s="542"/>
      <c r="B256" s="1227"/>
      <c r="C256" s="1227"/>
      <c r="D256" s="1227"/>
      <c r="E256" s="544" t="s">
        <v>37</v>
      </c>
      <c r="F256" s="498"/>
      <c r="G256" s="498"/>
      <c r="H256" s="498"/>
      <c r="I256" s="442"/>
      <c r="J256" s="9"/>
      <c r="K256" s="542"/>
      <c r="L256" s="1227"/>
      <c r="M256" s="1227"/>
      <c r="N256" s="1227"/>
      <c r="O256" s="544" t="s">
        <v>37</v>
      </c>
      <c r="P256" s="498"/>
      <c r="Q256" s="498"/>
      <c r="R256" s="498"/>
      <c r="S256" s="442"/>
    </row>
    <row r="257" spans="1:19">
      <c r="A257" s="542"/>
      <c r="B257" s="421"/>
      <c r="C257" s="421"/>
      <c r="D257" s="421"/>
      <c r="E257" s="421"/>
      <c r="F257" s="9"/>
      <c r="G257" s="9"/>
      <c r="H257" s="9"/>
      <c r="I257" s="442"/>
      <c r="J257" s="9"/>
      <c r="K257" s="542"/>
      <c r="L257" s="421"/>
      <c r="M257" s="421"/>
      <c r="N257" s="421"/>
      <c r="O257" s="421"/>
      <c r="P257" s="9"/>
      <c r="Q257" s="9"/>
      <c r="R257" s="9"/>
      <c r="S257" s="442"/>
    </row>
    <row r="258" spans="1:19">
      <c r="A258" s="542">
        <v>3</v>
      </c>
      <c r="B258" s="1223" t="s">
        <v>55</v>
      </c>
      <c r="C258" s="1223"/>
      <c r="D258" s="1223"/>
      <c r="E258" s="544" t="s">
        <v>37</v>
      </c>
      <c r="F258" s="498"/>
      <c r="G258" s="498"/>
      <c r="H258" s="498"/>
      <c r="I258" s="442"/>
      <c r="J258" s="9"/>
      <c r="K258" s="542">
        <v>3</v>
      </c>
      <c r="L258" s="1223" t="s">
        <v>55</v>
      </c>
      <c r="M258" s="1223"/>
      <c r="N258" s="1223"/>
      <c r="O258" s="540" t="str">
        <f>E258</f>
        <v>N/A</v>
      </c>
      <c r="P258" s="498"/>
      <c r="Q258" s="498"/>
      <c r="R258" s="498"/>
      <c r="S258" s="442"/>
    </row>
    <row r="259" spans="1:19">
      <c r="A259" s="542"/>
      <c r="B259" s="421"/>
      <c r="C259" s="421"/>
      <c r="D259" s="421"/>
      <c r="E259" s="421"/>
      <c r="F259" s="9"/>
      <c r="G259" s="9"/>
      <c r="H259" s="9"/>
      <c r="I259" s="442"/>
      <c r="J259" s="9"/>
      <c r="K259" s="542"/>
      <c r="L259" s="421"/>
      <c r="M259" s="421"/>
      <c r="N259" s="421"/>
      <c r="O259" s="421"/>
      <c r="P259" s="9"/>
      <c r="Q259" s="9"/>
      <c r="R259" s="9"/>
      <c r="S259" s="442"/>
    </row>
    <row r="260" spans="1:19">
      <c r="A260" s="542">
        <v>4</v>
      </c>
      <c r="B260" s="1223" t="s">
        <v>56</v>
      </c>
      <c r="C260" s="1223"/>
      <c r="D260" s="1223"/>
      <c r="E260" s="544" t="s">
        <v>57</v>
      </c>
      <c r="F260" s="498"/>
      <c r="G260" s="498"/>
      <c r="H260" s="498"/>
      <c r="I260" s="442"/>
      <c r="J260" s="9"/>
      <c r="K260" s="542">
        <v>4</v>
      </c>
      <c r="L260" s="1223" t="s">
        <v>56</v>
      </c>
      <c r="M260" s="1223"/>
      <c r="N260" s="1223"/>
      <c r="O260" s="544" t="s">
        <v>57</v>
      </c>
      <c r="P260" s="498"/>
      <c r="Q260" s="498"/>
      <c r="R260" s="498"/>
      <c r="S260" s="442"/>
    </row>
    <row r="261" spans="1:19">
      <c r="A261" s="542"/>
      <c r="B261" s="421"/>
      <c r="C261" s="421"/>
      <c r="D261" s="421"/>
      <c r="E261" s="421"/>
      <c r="F261" s="9"/>
      <c r="G261" s="9"/>
      <c r="H261" s="9"/>
      <c r="I261" s="442"/>
      <c r="J261" s="9"/>
      <c r="K261" s="542"/>
      <c r="L261" s="421"/>
      <c r="M261" s="421"/>
      <c r="N261" s="421"/>
      <c r="O261" s="421"/>
      <c r="P261" s="9"/>
      <c r="Q261" s="9"/>
      <c r="R261" s="9"/>
      <c r="S261" s="442"/>
    </row>
    <row r="262" spans="1:19">
      <c r="A262" s="542">
        <v>5</v>
      </c>
      <c r="B262" s="1223" t="s">
        <v>58</v>
      </c>
      <c r="C262" s="1223"/>
      <c r="D262" s="1223"/>
      <c r="E262" s="492">
        <f>'04-221Master'!AM20</f>
        <v>76734.6878</v>
      </c>
      <c r="F262" s="9"/>
      <c r="G262" s="9"/>
      <c r="H262" s="9"/>
      <c r="I262" s="442"/>
      <c r="J262" s="9"/>
      <c r="K262" s="542">
        <v>5</v>
      </c>
      <c r="L262" s="1223" t="s">
        <v>58</v>
      </c>
      <c r="M262" s="1223"/>
      <c r="N262" s="1223"/>
      <c r="O262" s="492">
        <f>E262</f>
        <v>76734.6878</v>
      </c>
      <c r="P262" s="9"/>
      <c r="Q262" s="9"/>
      <c r="R262" s="9"/>
      <c r="S262" s="442"/>
    </row>
    <row r="263" spans="1:19">
      <c r="A263" s="542"/>
      <c r="B263" s="421"/>
      <c r="C263" s="421"/>
      <c r="D263" s="493" t="s">
        <v>59</v>
      </c>
      <c r="E263" s="493" t="s">
        <v>31</v>
      </c>
      <c r="F263" s="493" t="s">
        <v>33</v>
      </c>
      <c r="G263" s="493" t="s">
        <v>34</v>
      </c>
      <c r="H263" s="493" t="s">
        <v>377</v>
      </c>
      <c r="I263" s="494" t="s">
        <v>378</v>
      </c>
      <c r="J263" s="9"/>
      <c r="K263" s="542"/>
      <c r="L263" s="421"/>
      <c r="M263" s="421"/>
      <c r="N263" s="493" t="s">
        <v>59</v>
      </c>
      <c r="O263" s="493" t="s">
        <v>31</v>
      </c>
      <c r="P263" s="493" t="s">
        <v>33</v>
      </c>
      <c r="Q263" s="493" t="s">
        <v>34</v>
      </c>
      <c r="R263" s="493" t="s">
        <v>377</v>
      </c>
      <c r="S263" s="494" t="s">
        <v>378</v>
      </c>
    </row>
    <row r="264" spans="1:19">
      <c r="A264" s="542">
        <v>6</v>
      </c>
      <c r="B264" s="530" t="s">
        <v>60</v>
      </c>
      <c r="C264" s="530"/>
      <c r="D264" s="495">
        <f>'04-221Master'!AO20</f>
        <v>1800</v>
      </c>
      <c r="E264" s="495">
        <f>'04-221Master'!AN20</f>
        <v>0</v>
      </c>
      <c r="F264" s="496">
        <f>'04-221Master'!AP20</f>
        <v>200</v>
      </c>
      <c r="G264" s="495">
        <f>'04-221Master'!AQ20</f>
        <v>0</v>
      </c>
      <c r="H264" s="496">
        <f>'04-221Master'!AR20</f>
        <v>335</v>
      </c>
      <c r="I264" s="496">
        <f>SUM(D264:H264)</f>
        <v>2335</v>
      </c>
      <c r="J264" s="9"/>
      <c r="K264" s="542">
        <v>6</v>
      </c>
      <c r="L264" s="530" t="s">
        <v>60</v>
      </c>
      <c r="M264" s="530"/>
      <c r="N264" s="495">
        <f t="shared" ref="N264" si="15">D264</f>
        <v>1800</v>
      </c>
      <c r="O264" s="495">
        <f t="shared" ref="O264" si="16">E264</f>
        <v>0</v>
      </c>
      <c r="P264" s="496">
        <f t="shared" ref="P264" si="17">F264</f>
        <v>200</v>
      </c>
      <c r="Q264" s="495">
        <f t="shared" ref="Q264" si="18">G264</f>
        <v>0</v>
      </c>
      <c r="R264" s="496">
        <f t="shared" ref="R264" si="19">H264</f>
        <v>335</v>
      </c>
      <c r="S264" s="496">
        <f t="shared" ref="S264" si="20">I264</f>
        <v>2335</v>
      </c>
    </row>
    <row r="265" spans="1:19">
      <c r="A265" s="542"/>
      <c r="B265" s="421"/>
      <c r="C265" s="421"/>
      <c r="D265" s="421"/>
      <c r="E265" s="421"/>
      <c r="F265" s="9"/>
      <c r="G265" s="9"/>
      <c r="H265" s="9"/>
      <c r="I265" s="442"/>
      <c r="J265" s="9"/>
      <c r="K265" s="542"/>
      <c r="L265" s="421"/>
      <c r="M265" s="421"/>
      <c r="N265" s="421"/>
      <c r="O265" s="421"/>
      <c r="P265" s="9"/>
      <c r="Q265" s="9"/>
      <c r="R265" s="9"/>
      <c r="S265" s="442"/>
    </row>
    <row r="266" spans="1:19">
      <c r="A266" s="542">
        <v>7</v>
      </c>
      <c r="B266" s="1223" t="s">
        <v>61</v>
      </c>
      <c r="C266" s="1223"/>
      <c r="D266" s="1223"/>
      <c r="E266" s="497">
        <f>E262-I264</f>
        <v>74399.6878</v>
      </c>
      <c r="F266" s="498"/>
      <c r="G266" s="498"/>
      <c r="H266" s="498"/>
      <c r="I266" s="442"/>
      <c r="J266" s="9"/>
      <c r="K266" s="542">
        <v>7</v>
      </c>
      <c r="L266" s="1223" t="s">
        <v>61</v>
      </c>
      <c r="M266" s="1223"/>
      <c r="N266" s="1223"/>
      <c r="O266" s="497">
        <f>E266</f>
        <v>74399.6878</v>
      </c>
      <c r="P266" s="498"/>
      <c r="Q266" s="498"/>
      <c r="R266" s="498"/>
      <c r="S266" s="442"/>
    </row>
    <row r="267" spans="1:19">
      <c r="A267" s="441"/>
      <c r="B267" s="9"/>
      <c r="C267" s="9"/>
      <c r="D267" s="9"/>
      <c r="E267" s="9"/>
      <c r="F267" s="9"/>
      <c r="G267" s="9"/>
      <c r="H267" s="9"/>
      <c r="I267" s="442"/>
      <c r="J267" s="9"/>
      <c r="K267" s="441"/>
      <c r="L267" s="9"/>
      <c r="M267" s="9"/>
      <c r="N267" s="9"/>
      <c r="O267" s="9"/>
      <c r="P267" s="9"/>
      <c r="Q267" s="9"/>
      <c r="R267" s="9"/>
      <c r="S267" s="442"/>
    </row>
    <row r="268" spans="1:19">
      <c r="A268" s="441"/>
      <c r="B268" s="9"/>
      <c r="C268" s="9"/>
      <c r="D268" s="9"/>
      <c r="E268" s="9"/>
      <c r="F268" s="9"/>
      <c r="G268" s="9"/>
      <c r="H268" s="9"/>
      <c r="I268" s="442"/>
      <c r="J268" s="9"/>
      <c r="K268" s="441"/>
      <c r="L268" s="9"/>
      <c r="M268" s="9"/>
      <c r="N268" s="9"/>
      <c r="O268" s="9"/>
      <c r="P268" s="9"/>
      <c r="Q268" s="9"/>
      <c r="R268" s="9"/>
      <c r="S268" s="442"/>
    </row>
    <row r="269" spans="1:19" ht="15.75" thickBot="1">
      <c r="A269" s="441"/>
      <c r="B269" s="9"/>
      <c r="C269" s="9"/>
      <c r="D269" s="9"/>
      <c r="E269" s="9"/>
      <c r="F269" s="444"/>
      <c r="G269" s="444"/>
      <c r="H269" s="444"/>
      <c r="I269" s="445"/>
      <c r="J269" s="9"/>
      <c r="K269" s="441"/>
      <c r="L269" s="9"/>
      <c r="M269" s="9"/>
      <c r="N269" s="9"/>
      <c r="O269" s="9"/>
      <c r="P269" s="444"/>
      <c r="Q269" s="444"/>
      <c r="R269" s="444"/>
      <c r="S269" s="445"/>
    </row>
    <row r="270" spans="1:19" ht="15.75" thickBot="1">
      <c r="A270" s="443"/>
      <c r="B270" s="444"/>
      <c r="C270" s="444"/>
      <c r="D270" s="444"/>
      <c r="E270" s="444"/>
      <c r="F270" s="1224" t="s">
        <v>62</v>
      </c>
      <c r="G270" s="1224"/>
      <c r="H270" s="1224"/>
      <c r="I270" s="1225"/>
      <c r="J270" s="9"/>
      <c r="K270" s="443"/>
      <c r="L270" s="444"/>
      <c r="M270" s="444"/>
      <c r="N270" s="444"/>
      <c r="O270" s="444"/>
      <c r="P270" s="1224" t="s">
        <v>62</v>
      </c>
      <c r="Q270" s="1224"/>
      <c r="R270" s="1224"/>
      <c r="S270" s="1225"/>
    </row>
    <row r="271" spans="1:19">
      <c r="A271" s="9"/>
      <c r="B271" s="9"/>
      <c r="C271" s="9"/>
      <c r="D271" s="9"/>
      <c r="E271" s="9"/>
      <c r="F271" s="9"/>
      <c r="G271" s="9"/>
      <c r="H271" s="9"/>
      <c r="I271" s="9"/>
      <c r="J271" s="9"/>
      <c r="K271" s="9"/>
      <c r="L271" s="9"/>
      <c r="M271" s="9"/>
      <c r="N271" s="9"/>
      <c r="O271" s="9"/>
      <c r="P271" s="9"/>
      <c r="Q271" s="9"/>
      <c r="R271" s="9"/>
      <c r="S271" s="9"/>
    </row>
    <row r="272" spans="1:19">
      <c r="A272" s="9"/>
      <c r="B272" s="9"/>
      <c r="C272" s="9"/>
      <c r="D272" s="9"/>
      <c r="E272" s="9"/>
      <c r="F272" s="9"/>
      <c r="G272" s="9"/>
      <c r="H272" s="9"/>
      <c r="I272" s="9"/>
      <c r="J272" s="9"/>
      <c r="K272" s="9"/>
      <c r="L272" s="9"/>
      <c r="M272" s="9"/>
      <c r="N272" s="9"/>
      <c r="O272" s="9"/>
      <c r="P272" s="9"/>
      <c r="Q272" s="9"/>
      <c r="R272" s="9"/>
      <c r="S272" s="9"/>
    </row>
    <row r="273" spans="1:19">
      <c r="A273" s="9"/>
      <c r="B273" s="9"/>
      <c r="C273" s="9"/>
      <c r="D273" s="9"/>
      <c r="E273" s="9"/>
      <c r="F273" s="9"/>
      <c r="G273" s="9"/>
      <c r="H273" s="9"/>
      <c r="I273" s="9"/>
      <c r="J273" s="9"/>
      <c r="K273" s="9"/>
      <c r="L273" s="9"/>
      <c r="M273" s="9"/>
      <c r="N273" s="9"/>
      <c r="O273" s="9"/>
      <c r="P273" s="9"/>
      <c r="Q273" s="9"/>
      <c r="R273" s="9"/>
      <c r="S273" s="9"/>
    </row>
    <row r="274" spans="1:19">
      <c r="A274" s="9"/>
      <c r="B274" s="9"/>
      <c r="C274" s="9"/>
      <c r="D274" s="9"/>
      <c r="E274" s="9"/>
      <c r="F274" s="9"/>
      <c r="G274" s="9"/>
      <c r="H274" s="9"/>
      <c r="I274" s="9"/>
      <c r="J274" s="9"/>
      <c r="K274" s="9"/>
      <c r="L274" s="9"/>
      <c r="M274" s="9"/>
      <c r="N274" s="9"/>
      <c r="O274" s="9"/>
      <c r="P274" s="9"/>
      <c r="Q274" s="9"/>
      <c r="R274" s="9"/>
      <c r="S274" s="9"/>
    </row>
    <row r="275" spans="1:19">
      <c r="A275" s="9"/>
      <c r="B275" s="9"/>
      <c r="C275" s="9"/>
      <c r="D275" s="9"/>
      <c r="E275" s="9"/>
      <c r="F275" s="9"/>
      <c r="G275" s="9"/>
      <c r="H275" s="9"/>
      <c r="I275" s="9"/>
      <c r="J275" s="9"/>
      <c r="K275" s="9"/>
      <c r="L275" s="9"/>
      <c r="M275" s="9"/>
      <c r="N275" s="9"/>
      <c r="O275" s="9"/>
      <c r="P275" s="9"/>
      <c r="Q275" s="9"/>
      <c r="R275" s="9"/>
      <c r="S275" s="9"/>
    </row>
    <row r="276" spans="1:19">
      <c r="A276" s="9"/>
      <c r="B276" s="9"/>
      <c r="C276" s="9"/>
      <c r="D276" s="9"/>
      <c r="E276" s="9"/>
      <c r="F276" s="9"/>
      <c r="G276" s="9"/>
      <c r="H276" s="9"/>
      <c r="I276" s="9"/>
      <c r="J276" s="9"/>
      <c r="K276" s="9"/>
      <c r="L276" s="9"/>
      <c r="M276" s="9"/>
      <c r="N276" s="9"/>
      <c r="O276" s="9"/>
      <c r="P276" s="9"/>
      <c r="Q276" s="9"/>
      <c r="R276" s="9"/>
      <c r="S276" s="9"/>
    </row>
    <row r="277" spans="1:19">
      <c r="A277" s="9"/>
      <c r="B277" s="9"/>
      <c r="C277" s="9"/>
      <c r="D277" s="9"/>
      <c r="E277" s="9"/>
      <c r="F277" s="9"/>
      <c r="G277" s="9"/>
      <c r="H277" s="9"/>
      <c r="I277" s="9"/>
      <c r="J277" s="9"/>
      <c r="K277" s="9"/>
      <c r="L277" s="9"/>
      <c r="M277" s="9"/>
      <c r="N277" s="9"/>
      <c r="O277" s="9"/>
      <c r="P277" s="9"/>
      <c r="Q277" s="9"/>
      <c r="R277" s="9"/>
      <c r="S277" s="9"/>
    </row>
    <row r="281" spans="1:19" s="388" customFormat="1"/>
    <row r="282" spans="1:19" s="388" customFormat="1"/>
    <row r="283" spans="1:19" s="388" customFormat="1"/>
    <row r="284" spans="1:19" s="388" customFormat="1"/>
    <row r="286" spans="1:19" ht="15.75" thickBot="1"/>
    <row r="287" spans="1:19" ht="27" thickBot="1">
      <c r="A287" s="1228" t="s">
        <v>592</v>
      </c>
      <c r="B287" s="1229"/>
      <c r="C287" s="1229"/>
      <c r="D287" s="1229"/>
      <c r="E287" s="1229"/>
      <c r="F287" s="1229"/>
      <c r="G287" s="1229"/>
      <c r="H287" s="1229"/>
      <c r="I287" s="1230"/>
      <c r="J287" s="538"/>
      <c r="K287" s="1228" t="s">
        <v>592</v>
      </c>
      <c r="L287" s="1229"/>
      <c r="M287" s="1229"/>
      <c r="N287" s="1229"/>
      <c r="O287" s="1229"/>
      <c r="P287" s="1229"/>
      <c r="Q287" s="1229"/>
      <c r="R287" s="1229"/>
      <c r="S287" s="1230"/>
    </row>
    <row r="288" spans="1:19">
      <c r="A288" s="1231" t="s">
        <v>593</v>
      </c>
      <c r="B288" s="1232"/>
      <c r="C288" s="1232"/>
      <c r="D288" s="1232"/>
      <c r="E288" s="1232"/>
      <c r="F288" s="1232"/>
      <c r="G288" s="1232"/>
      <c r="H288" s="1232"/>
      <c r="I288" s="1233"/>
      <c r="J288" s="9"/>
      <c r="K288" s="1231" t="s">
        <v>593</v>
      </c>
      <c r="L288" s="1232"/>
      <c r="M288" s="1232"/>
      <c r="N288" s="1232"/>
      <c r="O288" s="1232"/>
      <c r="P288" s="1232"/>
      <c r="Q288" s="1232"/>
      <c r="R288" s="1232"/>
      <c r="S288" s="1233"/>
    </row>
    <row r="289" spans="1:19">
      <c r="A289" s="441"/>
      <c r="B289" s="9"/>
      <c r="C289" s="9"/>
      <c r="D289" s="9"/>
      <c r="E289" s="9"/>
      <c r="F289" s="9"/>
      <c r="G289" s="9"/>
      <c r="H289" s="9"/>
      <c r="I289" s="442"/>
      <c r="J289" s="9"/>
      <c r="K289" s="441"/>
      <c r="L289" s="9"/>
      <c r="M289" s="9"/>
      <c r="N289" s="9"/>
      <c r="O289" s="9"/>
      <c r="P289" s="9"/>
      <c r="Q289" s="9"/>
      <c r="R289" s="9"/>
      <c r="S289" s="442"/>
    </row>
    <row r="290" spans="1:19">
      <c r="A290" s="539" t="s">
        <v>49</v>
      </c>
      <c r="B290" s="421"/>
      <c r="C290" s="421"/>
      <c r="D290" s="419" t="s">
        <v>382</v>
      </c>
      <c r="E290" s="9"/>
      <c r="F290" s="9"/>
      <c r="G290" s="9"/>
      <c r="H290" s="9"/>
      <c r="I290" s="442"/>
      <c r="J290" s="9"/>
      <c r="K290" s="539" t="s">
        <v>49</v>
      </c>
      <c r="L290" s="421"/>
      <c r="M290" s="421"/>
      <c r="N290" s="419" t="s">
        <v>382</v>
      </c>
      <c r="O290" s="9"/>
      <c r="P290" s="9"/>
      <c r="Q290" s="9"/>
      <c r="R290" s="9"/>
      <c r="S290" s="442"/>
    </row>
    <row r="291" spans="1:19">
      <c r="A291" s="539"/>
      <c r="B291" s="421"/>
      <c r="C291" s="421"/>
      <c r="D291" s="421" t="s">
        <v>383</v>
      </c>
      <c r="E291" s="9"/>
      <c r="F291" s="9"/>
      <c r="G291" s="9"/>
      <c r="H291" s="9"/>
      <c r="I291" s="442"/>
      <c r="J291" s="9"/>
      <c r="K291" s="539"/>
      <c r="L291" s="421"/>
      <c r="M291" s="421"/>
      <c r="N291" s="421" t="s">
        <v>383</v>
      </c>
      <c r="O291" s="9"/>
      <c r="P291" s="9"/>
      <c r="Q291" s="9"/>
      <c r="R291" s="9"/>
      <c r="S291" s="442"/>
    </row>
    <row r="292" spans="1:19">
      <c r="A292" s="539"/>
      <c r="B292" s="421"/>
      <c r="C292" s="421"/>
      <c r="D292" s="421"/>
      <c r="E292" s="421"/>
      <c r="F292" s="9"/>
      <c r="G292" s="9"/>
      <c r="H292" s="9"/>
      <c r="I292" s="442"/>
      <c r="J292" s="9"/>
      <c r="K292" s="539"/>
      <c r="L292" s="421"/>
      <c r="M292" s="421"/>
      <c r="N292" s="421"/>
      <c r="O292" s="421"/>
      <c r="P292" s="9"/>
      <c r="Q292" s="9"/>
      <c r="R292" s="9"/>
      <c r="S292" s="442"/>
    </row>
    <row r="293" spans="1:19">
      <c r="A293" s="1234" t="s">
        <v>50</v>
      </c>
      <c r="B293" s="1227"/>
      <c r="C293" s="1227"/>
      <c r="D293" s="1227"/>
      <c r="E293" s="421"/>
      <c r="F293" s="9"/>
      <c r="G293" s="9"/>
      <c r="H293" s="9"/>
      <c r="I293" s="442"/>
      <c r="J293" s="9"/>
      <c r="K293" s="1234" t="s">
        <v>50</v>
      </c>
      <c r="L293" s="1227"/>
      <c r="M293" s="1227"/>
      <c r="N293" s="1227"/>
      <c r="O293" s="421"/>
      <c r="P293" s="9"/>
      <c r="Q293" s="9"/>
      <c r="R293" s="9"/>
      <c r="S293" s="442"/>
    </row>
    <row r="294" spans="1:19">
      <c r="A294" s="1234"/>
      <c r="B294" s="1227"/>
      <c r="C294" s="1227"/>
      <c r="D294" s="1227"/>
      <c r="E294" s="540" t="str">
        <f>'04-221Master'!B21</f>
        <v>Himanshu Anand</v>
      </c>
      <c r="F294" s="498"/>
      <c r="G294" s="498" t="str">
        <f>'04-221Master'!E21</f>
        <v>A.K. Gupta</v>
      </c>
      <c r="H294" s="498"/>
      <c r="I294" s="442"/>
      <c r="J294" s="9"/>
      <c r="K294" s="1234"/>
      <c r="L294" s="1227"/>
      <c r="M294" s="1227"/>
      <c r="N294" s="1227"/>
      <c r="O294" s="540" t="str">
        <f>E294</f>
        <v>Himanshu Anand</v>
      </c>
      <c r="P294" s="498"/>
      <c r="Q294" s="498"/>
      <c r="R294" s="498" t="str">
        <f>G294</f>
        <v>A.K. Gupta</v>
      </c>
      <c r="S294" s="442"/>
    </row>
    <row r="295" spans="1:19">
      <c r="A295" s="539"/>
      <c r="B295" s="421"/>
      <c r="C295" s="421"/>
      <c r="D295" s="421"/>
      <c r="E295" s="421"/>
      <c r="F295" s="9"/>
      <c r="G295" s="9"/>
      <c r="H295" s="9"/>
      <c r="I295" s="442"/>
      <c r="J295" s="9"/>
      <c r="K295" s="539"/>
      <c r="L295" s="421"/>
      <c r="M295" s="421"/>
      <c r="N295" s="421"/>
      <c r="O295" s="421"/>
      <c r="P295" s="9"/>
      <c r="Q295" s="9"/>
      <c r="R295" s="9"/>
      <c r="S295" s="442"/>
    </row>
    <row r="296" spans="1:19">
      <c r="A296" s="1226" t="s">
        <v>51</v>
      </c>
      <c r="B296" s="1223"/>
      <c r="C296" s="1223"/>
      <c r="D296" s="1223"/>
      <c r="E296" s="423" t="s">
        <v>373</v>
      </c>
      <c r="F296" s="498"/>
      <c r="G296" s="498"/>
      <c r="H296" s="498"/>
      <c r="I296" s="442"/>
      <c r="J296" s="9"/>
      <c r="K296" s="1226" t="s">
        <v>51</v>
      </c>
      <c r="L296" s="1223"/>
      <c r="M296" s="1223"/>
      <c r="N296" s="1223"/>
      <c r="O296" s="540" t="str">
        <f>E296</f>
        <v>IT SUPPORTIVE SERVICES</v>
      </c>
      <c r="P296" s="498"/>
      <c r="Q296" s="498"/>
      <c r="R296" s="498"/>
      <c r="S296" s="442"/>
    </row>
    <row r="297" spans="1:19">
      <c r="A297" s="539"/>
      <c r="B297" s="421"/>
      <c r="C297" s="421"/>
      <c r="D297" s="421"/>
      <c r="E297" s="421"/>
      <c r="F297" s="9"/>
      <c r="G297" s="9"/>
      <c r="H297" s="9"/>
      <c r="I297" s="442"/>
      <c r="J297" s="9"/>
      <c r="K297" s="539"/>
      <c r="L297" s="421"/>
      <c r="M297" s="421"/>
      <c r="N297" s="421"/>
      <c r="O297" s="421"/>
      <c r="P297" s="9"/>
      <c r="Q297" s="9"/>
      <c r="R297" s="9"/>
      <c r="S297" s="442"/>
    </row>
    <row r="298" spans="1:19">
      <c r="A298" s="1226" t="s">
        <v>52</v>
      </c>
      <c r="B298" s="1223"/>
      <c r="C298" s="1223"/>
      <c r="D298" s="1223"/>
      <c r="E298" s="541">
        <f>'04-221Master'!D10</f>
        <v>44652</v>
      </c>
      <c r="F298" s="498"/>
      <c r="G298" s="498"/>
      <c r="H298" s="498"/>
      <c r="I298" s="442"/>
      <c r="J298" s="9"/>
      <c r="K298" s="1226" t="s">
        <v>52</v>
      </c>
      <c r="L298" s="1223"/>
      <c r="M298" s="1223"/>
      <c r="N298" s="1223"/>
      <c r="O298" s="541">
        <f>E298</f>
        <v>44652</v>
      </c>
      <c r="P298" s="498"/>
      <c r="Q298" s="498"/>
      <c r="R298" s="498"/>
      <c r="S298" s="442"/>
    </row>
    <row r="299" spans="1:19">
      <c r="A299" s="539"/>
      <c r="B299" s="421"/>
      <c r="C299" s="421"/>
      <c r="D299" s="421"/>
      <c r="E299" s="421"/>
      <c r="F299" s="9"/>
      <c r="G299" s="9"/>
      <c r="H299" s="9"/>
      <c r="I299" s="442"/>
      <c r="J299" s="9"/>
      <c r="K299" s="539"/>
      <c r="L299" s="421"/>
      <c r="M299" s="421"/>
      <c r="N299" s="421"/>
      <c r="O299" s="421"/>
      <c r="P299" s="9"/>
      <c r="Q299" s="9"/>
      <c r="R299" s="9"/>
      <c r="S299" s="442"/>
    </row>
    <row r="300" spans="1:19">
      <c r="A300" s="542">
        <v>1</v>
      </c>
      <c r="B300" s="1223" t="s">
        <v>53</v>
      </c>
      <c r="C300" s="1223"/>
      <c r="D300" s="1223"/>
      <c r="E300" s="543">
        <f>'04-221Master'!W21</f>
        <v>30</v>
      </c>
      <c r="F300" s="498"/>
      <c r="G300" s="498"/>
      <c r="H300" s="498"/>
      <c r="I300" s="442"/>
      <c r="J300" s="9"/>
      <c r="K300" s="542">
        <v>1</v>
      </c>
      <c r="L300" s="1223" t="s">
        <v>53</v>
      </c>
      <c r="M300" s="1223"/>
      <c r="N300" s="1223"/>
      <c r="O300" s="543">
        <f>E300</f>
        <v>30</v>
      </c>
      <c r="P300" s="498"/>
      <c r="Q300" s="498"/>
      <c r="R300" s="498"/>
      <c r="S300" s="442"/>
    </row>
    <row r="301" spans="1:19">
      <c r="A301" s="542"/>
      <c r="B301" s="421"/>
      <c r="C301" s="421"/>
      <c r="D301" s="421"/>
      <c r="E301" s="421"/>
      <c r="F301" s="9"/>
      <c r="G301" s="9"/>
      <c r="H301" s="9"/>
      <c r="I301" s="442"/>
      <c r="J301" s="9"/>
      <c r="K301" s="542"/>
      <c r="L301" s="421"/>
      <c r="M301" s="421"/>
      <c r="N301" s="421"/>
      <c r="O301" s="421"/>
      <c r="P301" s="9"/>
      <c r="Q301" s="9"/>
      <c r="R301" s="9"/>
      <c r="S301" s="442"/>
    </row>
    <row r="302" spans="1:19">
      <c r="A302" s="542">
        <v>2</v>
      </c>
      <c r="B302" s="1227" t="s">
        <v>54</v>
      </c>
      <c r="C302" s="1227"/>
      <c r="D302" s="1227"/>
      <c r="E302" s="421"/>
      <c r="F302" s="9"/>
      <c r="G302" s="9"/>
      <c r="H302" s="9"/>
      <c r="I302" s="442"/>
      <c r="J302" s="9"/>
      <c r="K302" s="542">
        <v>2</v>
      </c>
      <c r="L302" s="1227" t="s">
        <v>54</v>
      </c>
      <c r="M302" s="1227"/>
      <c r="N302" s="1227"/>
      <c r="O302" s="421"/>
      <c r="P302" s="9"/>
      <c r="Q302" s="9"/>
      <c r="R302" s="9"/>
      <c r="S302" s="442"/>
    </row>
    <row r="303" spans="1:19">
      <c r="A303" s="542"/>
      <c r="B303" s="1227"/>
      <c r="C303" s="1227"/>
      <c r="D303" s="1227"/>
      <c r="E303" s="544" t="s">
        <v>37</v>
      </c>
      <c r="F303" s="498"/>
      <c r="G303" s="498"/>
      <c r="H303" s="498"/>
      <c r="I303" s="442"/>
      <c r="J303" s="9"/>
      <c r="K303" s="542"/>
      <c r="L303" s="1227"/>
      <c r="M303" s="1227"/>
      <c r="N303" s="1227"/>
      <c r="O303" s="544" t="s">
        <v>37</v>
      </c>
      <c r="P303" s="498"/>
      <c r="Q303" s="498"/>
      <c r="R303" s="498"/>
      <c r="S303" s="442"/>
    </row>
    <row r="304" spans="1:19">
      <c r="A304" s="542"/>
      <c r="B304" s="421"/>
      <c r="C304" s="421"/>
      <c r="D304" s="421"/>
      <c r="E304" s="421"/>
      <c r="F304" s="9"/>
      <c r="G304" s="9"/>
      <c r="H304" s="9"/>
      <c r="I304" s="442"/>
      <c r="J304" s="9"/>
      <c r="K304" s="542"/>
      <c r="L304" s="421"/>
      <c r="M304" s="421"/>
      <c r="N304" s="421"/>
      <c r="O304" s="421"/>
      <c r="P304" s="9"/>
      <c r="Q304" s="9"/>
      <c r="R304" s="9"/>
      <c r="S304" s="442"/>
    </row>
    <row r="305" spans="1:19">
      <c r="A305" s="542">
        <v>3</v>
      </c>
      <c r="B305" s="1223" t="s">
        <v>55</v>
      </c>
      <c r="C305" s="1223"/>
      <c r="D305" s="1223"/>
      <c r="E305" s="544" t="s">
        <v>37</v>
      </c>
      <c r="F305" s="498"/>
      <c r="G305" s="498"/>
      <c r="H305" s="498"/>
      <c r="I305" s="442"/>
      <c r="J305" s="9"/>
      <c r="K305" s="542">
        <v>3</v>
      </c>
      <c r="L305" s="1223" t="s">
        <v>55</v>
      </c>
      <c r="M305" s="1223"/>
      <c r="N305" s="1223"/>
      <c r="O305" s="540" t="str">
        <f>E305</f>
        <v>N/A</v>
      </c>
      <c r="P305" s="498"/>
      <c r="Q305" s="498"/>
      <c r="R305" s="498"/>
      <c r="S305" s="442"/>
    </row>
    <row r="306" spans="1:19">
      <c r="A306" s="542"/>
      <c r="B306" s="421"/>
      <c r="C306" s="421"/>
      <c r="D306" s="421"/>
      <c r="E306" s="421"/>
      <c r="F306" s="9"/>
      <c r="G306" s="9"/>
      <c r="H306" s="9"/>
      <c r="I306" s="442"/>
      <c r="J306" s="9"/>
      <c r="K306" s="542"/>
      <c r="L306" s="421"/>
      <c r="M306" s="421"/>
      <c r="N306" s="421"/>
      <c r="O306" s="421"/>
      <c r="P306" s="9"/>
      <c r="Q306" s="9"/>
      <c r="R306" s="9"/>
      <c r="S306" s="442"/>
    </row>
    <row r="307" spans="1:19">
      <c r="A307" s="542">
        <v>4</v>
      </c>
      <c r="B307" s="1223" t="s">
        <v>56</v>
      </c>
      <c r="C307" s="1223"/>
      <c r="D307" s="1223"/>
      <c r="E307" s="544" t="s">
        <v>57</v>
      </c>
      <c r="F307" s="498"/>
      <c r="G307" s="498"/>
      <c r="H307" s="498"/>
      <c r="I307" s="442"/>
      <c r="J307" s="9"/>
      <c r="K307" s="542">
        <v>4</v>
      </c>
      <c r="L307" s="1223" t="s">
        <v>56</v>
      </c>
      <c r="M307" s="1223"/>
      <c r="N307" s="1223"/>
      <c r="O307" s="544" t="s">
        <v>57</v>
      </c>
      <c r="P307" s="498"/>
      <c r="Q307" s="498"/>
      <c r="R307" s="498"/>
      <c r="S307" s="442"/>
    </row>
    <row r="308" spans="1:19">
      <c r="A308" s="542"/>
      <c r="B308" s="421"/>
      <c r="C308" s="421"/>
      <c r="D308" s="421"/>
      <c r="E308" s="421"/>
      <c r="F308" s="9"/>
      <c r="G308" s="9"/>
      <c r="H308" s="9"/>
      <c r="I308" s="442"/>
      <c r="J308" s="9"/>
      <c r="K308" s="542"/>
      <c r="L308" s="421"/>
      <c r="M308" s="421"/>
      <c r="N308" s="421"/>
      <c r="O308" s="421"/>
      <c r="P308" s="9"/>
      <c r="Q308" s="9"/>
      <c r="R308" s="9"/>
      <c r="S308" s="442"/>
    </row>
    <row r="309" spans="1:19">
      <c r="A309" s="542">
        <v>5</v>
      </c>
      <c r="B309" s="1223" t="s">
        <v>58</v>
      </c>
      <c r="C309" s="1223"/>
      <c r="D309" s="1223"/>
      <c r="E309" s="492">
        <f>'04-221Master'!AM21</f>
        <v>107936.39786</v>
      </c>
      <c r="F309" s="9"/>
      <c r="G309" s="9"/>
      <c r="H309" s="9"/>
      <c r="I309" s="442"/>
      <c r="J309" s="9"/>
      <c r="K309" s="542">
        <v>5</v>
      </c>
      <c r="L309" s="1223" t="s">
        <v>58</v>
      </c>
      <c r="M309" s="1223"/>
      <c r="N309" s="1223"/>
      <c r="O309" s="492">
        <f>E309</f>
        <v>107936.39786</v>
      </c>
      <c r="P309" s="9"/>
      <c r="Q309" s="9"/>
      <c r="R309" s="9"/>
      <c r="S309" s="442"/>
    </row>
    <row r="310" spans="1:19">
      <c r="A310" s="542"/>
      <c r="B310" s="421"/>
      <c r="C310" s="421"/>
      <c r="D310" s="493" t="s">
        <v>59</v>
      </c>
      <c r="E310" s="493" t="s">
        <v>31</v>
      </c>
      <c r="F310" s="493" t="s">
        <v>33</v>
      </c>
      <c r="G310" s="493" t="s">
        <v>34</v>
      </c>
      <c r="H310" s="493" t="s">
        <v>377</v>
      </c>
      <c r="I310" s="494" t="s">
        <v>378</v>
      </c>
      <c r="J310" s="9"/>
      <c r="K310" s="542"/>
      <c r="L310" s="421"/>
      <c r="M310" s="421"/>
      <c r="N310" s="493" t="s">
        <v>59</v>
      </c>
      <c r="O310" s="493" t="s">
        <v>31</v>
      </c>
      <c r="P310" s="493" t="s">
        <v>33</v>
      </c>
      <c r="Q310" s="493" t="s">
        <v>34</v>
      </c>
      <c r="R310" s="493" t="s">
        <v>377</v>
      </c>
      <c r="S310" s="494" t="s">
        <v>378</v>
      </c>
    </row>
    <row r="311" spans="1:19">
      <c r="A311" s="542">
        <v>6</v>
      </c>
      <c r="B311" s="530" t="s">
        <v>60</v>
      </c>
      <c r="C311" s="530"/>
      <c r="D311" s="495">
        <f>'04-221Master'!AO21</f>
        <v>1800</v>
      </c>
      <c r="E311" s="495">
        <f>'04-221Master'!AN21</f>
        <v>0</v>
      </c>
      <c r="F311" s="496">
        <f>'04-221Master'!AP21</f>
        <v>200</v>
      </c>
      <c r="G311" s="495">
        <f>'04-221Master'!AQ21</f>
        <v>0</v>
      </c>
      <c r="H311" s="496">
        <f>'04-221Master'!AR21</f>
        <v>336</v>
      </c>
      <c r="I311" s="496">
        <f>SUM(D311:H311)</f>
        <v>2336</v>
      </c>
      <c r="J311" s="9"/>
      <c r="K311" s="542">
        <v>6</v>
      </c>
      <c r="L311" s="530" t="s">
        <v>60</v>
      </c>
      <c r="M311" s="530"/>
      <c r="N311" s="495">
        <f t="shared" ref="N311" si="21">D311</f>
        <v>1800</v>
      </c>
      <c r="O311" s="495">
        <f t="shared" ref="O311" si="22">E311</f>
        <v>0</v>
      </c>
      <c r="P311" s="496">
        <f t="shared" ref="P311" si="23">F311</f>
        <v>200</v>
      </c>
      <c r="Q311" s="495">
        <f t="shared" ref="Q311" si="24">G311</f>
        <v>0</v>
      </c>
      <c r="R311" s="496">
        <f t="shared" ref="R311" si="25">H311</f>
        <v>336</v>
      </c>
      <c r="S311" s="496">
        <f t="shared" ref="S311" si="26">I311</f>
        <v>2336</v>
      </c>
    </row>
    <row r="312" spans="1:19">
      <c r="A312" s="542"/>
      <c r="B312" s="421"/>
      <c r="C312" s="421"/>
      <c r="D312" s="421"/>
      <c r="E312" s="421"/>
      <c r="F312" s="9"/>
      <c r="G312" s="9"/>
      <c r="H312" s="9"/>
      <c r="I312" s="442"/>
      <c r="J312" s="9"/>
      <c r="K312" s="542"/>
      <c r="L312" s="421"/>
      <c r="M312" s="421"/>
      <c r="N312" s="421"/>
      <c r="O312" s="421"/>
      <c r="P312" s="9"/>
      <c r="Q312" s="9"/>
      <c r="R312" s="9"/>
      <c r="S312" s="442"/>
    </row>
    <row r="313" spans="1:19">
      <c r="A313" s="542">
        <v>7</v>
      </c>
      <c r="B313" s="1223" t="s">
        <v>61</v>
      </c>
      <c r="C313" s="1223"/>
      <c r="D313" s="1223"/>
      <c r="E313" s="497">
        <f>E309-I311</f>
        <v>105600.39786</v>
      </c>
      <c r="F313" s="498"/>
      <c r="G313" s="498"/>
      <c r="H313" s="498"/>
      <c r="I313" s="442"/>
      <c r="J313" s="9"/>
      <c r="K313" s="542">
        <v>7</v>
      </c>
      <c r="L313" s="1223" t="s">
        <v>61</v>
      </c>
      <c r="M313" s="1223"/>
      <c r="N313" s="1223"/>
      <c r="O313" s="497">
        <f>E313</f>
        <v>105600.39786</v>
      </c>
      <c r="P313" s="498"/>
      <c r="Q313" s="498"/>
      <c r="R313" s="498"/>
      <c r="S313" s="442"/>
    </row>
    <row r="314" spans="1:19">
      <c r="A314" s="441"/>
      <c r="B314" s="9"/>
      <c r="C314" s="9"/>
      <c r="D314" s="9"/>
      <c r="E314" s="9"/>
      <c r="F314" s="9"/>
      <c r="G314" s="9"/>
      <c r="H314" s="9"/>
      <c r="I314" s="442"/>
      <c r="J314" s="9"/>
      <c r="K314" s="441"/>
      <c r="L314" s="9"/>
      <c r="M314" s="9"/>
      <c r="N314" s="9"/>
      <c r="O314" s="9"/>
      <c r="P314" s="9"/>
      <c r="Q314" s="9"/>
      <c r="R314" s="9"/>
      <c r="S314" s="442"/>
    </row>
    <row r="315" spans="1:19">
      <c r="A315" s="441"/>
      <c r="B315" s="9"/>
      <c r="C315" s="9"/>
      <c r="D315" s="9"/>
      <c r="E315" s="9"/>
      <c r="F315" s="9"/>
      <c r="G315" s="9"/>
      <c r="H315" s="9"/>
      <c r="I315" s="442"/>
      <c r="J315" s="9"/>
      <c r="K315" s="441"/>
      <c r="L315" s="9"/>
      <c r="M315" s="9"/>
      <c r="N315" s="9"/>
      <c r="O315" s="9"/>
      <c r="P315" s="9"/>
      <c r="Q315" s="9"/>
      <c r="R315" s="9"/>
      <c r="S315" s="442"/>
    </row>
    <row r="316" spans="1:19" ht="15.75" thickBot="1">
      <c r="A316" s="441"/>
      <c r="B316" s="9"/>
      <c r="C316" s="9"/>
      <c r="D316" s="9"/>
      <c r="E316" s="9"/>
      <c r="F316" s="444"/>
      <c r="G316" s="444"/>
      <c r="H316" s="444"/>
      <c r="I316" s="445"/>
      <c r="J316" s="9"/>
      <c r="K316" s="441"/>
      <c r="L316" s="9"/>
      <c r="M316" s="9"/>
      <c r="N316" s="9"/>
      <c r="O316" s="9"/>
      <c r="P316" s="444"/>
      <c r="Q316" s="444"/>
      <c r="R316" s="444"/>
      <c r="S316" s="445"/>
    </row>
    <row r="317" spans="1:19" ht="15.75" thickBot="1">
      <c r="A317" s="443"/>
      <c r="B317" s="444"/>
      <c r="C317" s="444"/>
      <c r="D317" s="444"/>
      <c r="E317" s="444"/>
      <c r="F317" s="1224" t="s">
        <v>62</v>
      </c>
      <c r="G317" s="1224"/>
      <c r="H317" s="1224"/>
      <c r="I317" s="1225"/>
      <c r="J317" s="9"/>
      <c r="K317" s="443"/>
      <c r="L317" s="444"/>
      <c r="M317" s="444"/>
      <c r="N317" s="444"/>
      <c r="O317" s="444"/>
      <c r="P317" s="1224" t="s">
        <v>62</v>
      </c>
      <c r="Q317" s="1224"/>
      <c r="R317" s="1224"/>
      <c r="S317" s="1225"/>
    </row>
    <row r="318" spans="1:19">
      <c r="A318" s="9"/>
      <c r="B318" s="9"/>
      <c r="C318" s="9"/>
      <c r="D318" s="9"/>
      <c r="E318" s="9"/>
      <c r="F318" s="9"/>
      <c r="G318" s="9"/>
      <c r="H318" s="9"/>
      <c r="I318" s="9"/>
      <c r="J318" s="9"/>
      <c r="K318" s="9"/>
      <c r="L318" s="9"/>
      <c r="M318" s="9"/>
      <c r="N318" s="9"/>
      <c r="O318" s="9"/>
      <c r="P318" s="9"/>
      <c r="Q318" s="9"/>
      <c r="R318" s="9"/>
      <c r="S318" s="9"/>
    </row>
    <row r="319" spans="1:19">
      <c r="A319" s="9"/>
      <c r="B319" s="9"/>
      <c r="C319" s="9"/>
      <c r="D319" s="9"/>
      <c r="E319" s="9"/>
      <c r="F319" s="9"/>
      <c r="G319" s="9"/>
      <c r="H319" s="9"/>
      <c r="I319" s="9"/>
      <c r="J319" s="9"/>
      <c r="K319" s="9"/>
      <c r="L319" s="9"/>
      <c r="M319" s="9"/>
      <c r="N319" s="9"/>
      <c r="O319" s="9"/>
      <c r="P319" s="9"/>
      <c r="Q319" s="9"/>
      <c r="R319" s="9"/>
      <c r="S319" s="9"/>
    </row>
    <row r="320" spans="1:19">
      <c r="A320" s="9"/>
      <c r="B320" s="9"/>
      <c r="C320" s="9"/>
      <c r="D320" s="9"/>
      <c r="E320" s="9"/>
      <c r="F320" s="9"/>
      <c r="G320" s="9"/>
      <c r="H320" s="9"/>
      <c r="I320" s="9"/>
      <c r="J320" s="9"/>
      <c r="K320" s="9"/>
      <c r="L320" s="9"/>
      <c r="M320" s="9"/>
      <c r="N320" s="9"/>
      <c r="O320" s="9"/>
      <c r="P320" s="9"/>
      <c r="Q320" s="9"/>
      <c r="R320" s="9"/>
      <c r="S320" s="9"/>
    </row>
    <row r="321" spans="1:19">
      <c r="A321" s="9"/>
      <c r="B321" s="9"/>
      <c r="C321" s="9"/>
      <c r="D321" s="9"/>
      <c r="E321" s="9"/>
      <c r="F321" s="9"/>
      <c r="G321" s="9"/>
      <c r="H321" s="9"/>
      <c r="I321" s="9"/>
      <c r="J321" s="9"/>
      <c r="K321" s="9"/>
      <c r="L321" s="9"/>
      <c r="M321" s="9"/>
      <c r="N321" s="9"/>
      <c r="O321" s="9"/>
      <c r="P321" s="9"/>
      <c r="Q321" s="9"/>
      <c r="R321" s="9"/>
      <c r="S321" s="9"/>
    </row>
    <row r="322" spans="1:19">
      <c r="A322" s="9"/>
      <c r="B322" s="9"/>
      <c r="C322" s="9"/>
      <c r="D322" s="9"/>
      <c r="E322" s="9"/>
      <c r="F322" s="9"/>
      <c r="G322" s="9"/>
      <c r="H322" s="9"/>
      <c r="I322" s="9"/>
      <c r="J322" s="9"/>
      <c r="K322" s="9"/>
      <c r="L322" s="9"/>
      <c r="M322" s="9"/>
      <c r="N322" s="9"/>
      <c r="O322" s="9"/>
      <c r="P322" s="9"/>
      <c r="Q322" s="9"/>
      <c r="R322" s="9"/>
      <c r="S322" s="9"/>
    </row>
    <row r="323" spans="1:19">
      <c r="A323" s="9"/>
      <c r="B323" s="9"/>
      <c r="C323" s="9"/>
      <c r="D323" s="9"/>
      <c r="E323" s="9"/>
      <c r="F323" s="9"/>
      <c r="G323" s="9"/>
      <c r="H323" s="9"/>
      <c r="I323" s="9"/>
      <c r="J323" s="9"/>
      <c r="K323" s="9"/>
      <c r="L323" s="9"/>
      <c r="M323" s="9"/>
      <c r="N323" s="9"/>
      <c r="O323" s="9"/>
      <c r="P323" s="9"/>
      <c r="Q323" s="9"/>
      <c r="R323" s="9"/>
      <c r="S323" s="9"/>
    </row>
    <row r="324" spans="1:19">
      <c r="A324" s="9"/>
      <c r="B324" s="9"/>
      <c r="C324" s="9"/>
      <c r="D324" s="9"/>
      <c r="E324" s="9"/>
      <c r="F324" s="9"/>
      <c r="G324" s="9"/>
      <c r="H324" s="9"/>
      <c r="I324" s="9"/>
      <c r="J324" s="9"/>
      <c r="K324" s="9"/>
      <c r="L324" s="9"/>
      <c r="M324" s="9"/>
      <c r="N324" s="9"/>
      <c r="O324" s="9"/>
      <c r="P324" s="9"/>
      <c r="Q324" s="9"/>
      <c r="R324" s="9"/>
      <c r="S324" s="9"/>
    </row>
    <row r="325" spans="1:19">
      <c r="A325" s="388"/>
      <c r="B325" s="388"/>
      <c r="C325" s="388"/>
      <c r="D325" s="388"/>
      <c r="E325" s="388"/>
      <c r="F325" s="388"/>
      <c r="G325" s="388"/>
      <c r="H325" s="388"/>
      <c r="I325" s="388"/>
      <c r="J325" s="388"/>
      <c r="K325" s="388"/>
      <c r="L325" s="388"/>
      <c r="M325" s="388"/>
      <c r="N325" s="388"/>
      <c r="O325" s="388"/>
      <c r="P325" s="388"/>
      <c r="Q325" s="388"/>
      <c r="R325" s="388"/>
      <c r="S325" s="388"/>
    </row>
    <row r="326" spans="1:19">
      <c r="A326" s="388"/>
      <c r="B326" s="388"/>
      <c r="C326" s="388"/>
      <c r="D326" s="388"/>
      <c r="E326" s="388"/>
      <c r="F326" s="388"/>
      <c r="G326" s="388"/>
      <c r="H326" s="388"/>
      <c r="I326" s="388"/>
      <c r="J326" s="388"/>
      <c r="K326" s="388"/>
      <c r="L326" s="388"/>
      <c r="M326" s="388"/>
      <c r="N326" s="388"/>
      <c r="O326" s="388"/>
      <c r="P326" s="388"/>
      <c r="Q326" s="388"/>
      <c r="R326" s="388"/>
      <c r="S326" s="388"/>
    </row>
    <row r="327" spans="1:19">
      <c r="A327" s="388"/>
      <c r="B327" s="388"/>
      <c r="C327" s="388"/>
      <c r="D327" s="388"/>
      <c r="E327" s="388"/>
      <c r="F327" s="388"/>
      <c r="G327" s="388"/>
      <c r="H327" s="388"/>
      <c r="I327" s="388"/>
      <c r="J327" s="388"/>
      <c r="K327" s="388"/>
      <c r="L327" s="388"/>
      <c r="M327" s="388"/>
      <c r="N327" s="388"/>
      <c r="O327" s="388"/>
      <c r="P327" s="388"/>
      <c r="Q327" s="388"/>
      <c r="R327" s="388"/>
      <c r="S327" s="388"/>
    </row>
    <row r="328" spans="1:19">
      <c r="A328" s="388"/>
      <c r="B328" s="388"/>
      <c r="C328" s="388"/>
      <c r="D328" s="388"/>
      <c r="E328" s="388"/>
      <c r="F328" s="388"/>
      <c r="G328" s="388"/>
      <c r="H328" s="388"/>
      <c r="I328" s="388"/>
      <c r="J328" s="388"/>
      <c r="K328" s="388"/>
      <c r="L328" s="388"/>
      <c r="M328" s="388"/>
      <c r="N328" s="388"/>
      <c r="O328" s="388"/>
      <c r="P328" s="388"/>
      <c r="Q328" s="388"/>
      <c r="R328" s="388"/>
      <c r="S328" s="388"/>
    </row>
    <row r="329" spans="1:19">
      <c r="A329" s="388"/>
      <c r="B329" s="388"/>
      <c r="C329" s="388"/>
      <c r="D329" s="388"/>
      <c r="E329" s="388"/>
      <c r="F329" s="388"/>
      <c r="G329" s="388"/>
      <c r="H329" s="388"/>
      <c r="I329" s="388"/>
      <c r="J329" s="388"/>
      <c r="K329" s="388"/>
      <c r="L329" s="388"/>
      <c r="M329" s="388"/>
      <c r="N329" s="388"/>
      <c r="O329" s="388"/>
      <c r="P329" s="388"/>
      <c r="Q329" s="388"/>
      <c r="R329" s="388"/>
      <c r="S329" s="388"/>
    </row>
    <row r="330" spans="1:19" s="388" customFormat="1"/>
    <row r="331" spans="1:19" s="388" customFormat="1"/>
    <row r="332" spans="1:19">
      <c r="A332" s="388"/>
      <c r="B332" s="388"/>
      <c r="C332" s="388"/>
      <c r="D332" s="388"/>
      <c r="E332" s="388"/>
      <c r="F332" s="388"/>
      <c r="G332" s="388"/>
      <c r="H332" s="388"/>
      <c r="I332" s="388"/>
      <c r="J332" s="388"/>
      <c r="K332" s="388"/>
      <c r="L332" s="388"/>
      <c r="M332" s="388"/>
      <c r="N332" s="388"/>
      <c r="O332" s="388"/>
      <c r="P332" s="388"/>
      <c r="Q332" s="388"/>
      <c r="R332" s="388"/>
      <c r="S332" s="388"/>
    </row>
    <row r="333" spans="1:19" ht="15.75" thickBot="1">
      <c r="A333" s="388"/>
      <c r="B333" s="388"/>
      <c r="C333" s="388"/>
      <c r="D333" s="388"/>
      <c r="E333" s="388"/>
      <c r="F333" s="388"/>
      <c r="G333" s="388"/>
      <c r="H333" s="388"/>
      <c r="I333" s="388"/>
      <c r="J333" s="388"/>
      <c r="K333" s="388"/>
      <c r="L333" s="388"/>
      <c r="M333" s="388"/>
      <c r="N333" s="388"/>
      <c r="O333" s="388"/>
      <c r="P333" s="388"/>
      <c r="Q333" s="388"/>
      <c r="R333" s="388"/>
      <c r="S333" s="388"/>
    </row>
    <row r="334" spans="1:19" ht="27" thickBot="1">
      <c r="A334" s="1228" t="s">
        <v>592</v>
      </c>
      <c r="B334" s="1229"/>
      <c r="C334" s="1229"/>
      <c r="D334" s="1229"/>
      <c r="E334" s="1229"/>
      <c r="F334" s="1229"/>
      <c r="G334" s="1229"/>
      <c r="H334" s="1229"/>
      <c r="I334" s="1230"/>
      <c r="J334" s="538"/>
      <c r="K334" s="1228" t="s">
        <v>592</v>
      </c>
      <c r="L334" s="1229"/>
      <c r="M334" s="1229"/>
      <c r="N334" s="1229"/>
      <c r="O334" s="1229"/>
      <c r="P334" s="1229"/>
      <c r="Q334" s="1229"/>
      <c r="R334" s="1229"/>
      <c r="S334" s="1230"/>
    </row>
    <row r="335" spans="1:19">
      <c r="A335" s="1231" t="s">
        <v>593</v>
      </c>
      <c r="B335" s="1232"/>
      <c r="C335" s="1232"/>
      <c r="D335" s="1232"/>
      <c r="E335" s="1232"/>
      <c r="F335" s="1232"/>
      <c r="G335" s="1232"/>
      <c r="H335" s="1232"/>
      <c r="I335" s="1233"/>
      <c r="J335" s="9"/>
      <c r="K335" s="1231" t="s">
        <v>593</v>
      </c>
      <c r="L335" s="1232"/>
      <c r="M335" s="1232"/>
      <c r="N335" s="1232"/>
      <c r="O335" s="1232"/>
      <c r="P335" s="1232"/>
      <c r="Q335" s="1232"/>
      <c r="R335" s="1232"/>
      <c r="S335" s="1233"/>
    </row>
    <row r="336" spans="1:19">
      <c r="A336" s="441"/>
      <c r="B336" s="9"/>
      <c r="C336" s="9"/>
      <c r="D336" s="9"/>
      <c r="E336" s="9"/>
      <c r="F336" s="9"/>
      <c r="G336" s="9"/>
      <c r="H336" s="9"/>
      <c r="I336" s="442"/>
      <c r="J336" s="9"/>
      <c r="K336" s="441"/>
      <c r="L336" s="9"/>
      <c r="M336" s="9"/>
      <c r="N336" s="9"/>
      <c r="O336" s="9"/>
      <c r="P336" s="9"/>
      <c r="Q336" s="9"/>
      <c r="R336" s="9"/>
      <c r="S336" s="442"/>
    </row>
    <row r="337" spans="1:19">
      <c r="A337" s="539" t="s">
        <v>49</v>
      </c>
      <c r="B337" s="421"/>
      <c r="C337" s="421"/>
      <c r="D337" s="419" t="s">
        <v>382</v>
      </c>
      <c r="E337" s="9"/>
      <c r="F337" s="9"/>
      <c r="G337" s="9"/>
      <c r="H337" s="9"/>
      <c r="I337" s="442"/>
      <c r="J337" s="9"/>
      <c r="K337" s="539" t="s">
        <v>49</v>
      </c>
      <c r="L337" s="421"/>
      <c r="M337" s="421"/>
      <c r="N337" s="419" t="s">
        <v>382</v>
      </c>
      <c r="O337" s="9"/>
      <c r="P337" s="9"/>
      <c r="Q337" s="9"/>
      <c r="R337" s="9"/>
      <c r="S337" s="442"/>
    </row>
    <row r="338" spans="1:19">
      <c r="A338" s="539"/>
      <c r="B338" s="421"/>
      <c r="C338" s="421"/>
      <c r="D338" s="421" t="s">
        <v>383</v>
      </c>
      <c r="E338" s="9"/>
      <c r="F338" s="9"/>
      <c r="G338" s="9"/>
      <c r="H338" s="9"/>
      <c r="I338" s="442"/>
      <c r="J338" s="9"/>
      <c r="K338" s="539"/>
      <c r="L338" s="421"/>
      <c r="M338" s="421"/>
      <c r="N338" s="421" t="s">
        <v>383</v>
      </c>
      <c r="O338" s="9"/>
      <c r="P338" s="9"/>
      <c r="Q338" s="9"/>
      <c r="R338" s="9"/>
      <c r="S338" s="442"/>
    </row>
    <row r="339" spans="1:19">
      <c r="A339" s="539"/>
      <c r="B339" s="421"/>
      <c r="C339" s="421"/>
      <c r="D339" s="421"/>
      <c r="E339" s="421"/>
      <c r="F339" s="9"/>
      <c r="G339" s="9"/>
      <c r="H339" s="9"/>
      <c r="I339" s="442"/>
      <c r="J339" s="9"/>
      <c r="K339" s="539"/>
      <c r="L339" s="421"/>
      <c r="M339" s="421"/>
      <c r="N339" s="421"/>
      <c r="O339" s="421"/>
      <c r="P339" s="9"/>
      <c r="Q339" s="9"/>
      <c r="R339" s="9"/>
      <c r="S339" s="442"/>
    </row>
    <row r="340" spans="1:19">
      <c r="A340" s="1234" t="s">
        <v>50</v>
      </c>
      <c r="B340" s="1227"/>
      <c r="C340" s="1227"/>
      <c r="D340" s="1227"/>
      <c r="E340" s="421"/>
      <c r="F340" s="9"/>
      <c r="G340" s="9"/>
      <c r="H340" s="9"/>
      <c r="I340" s="442"/>
      <c r="J340" s="9"/>
      <c r="K340" s="1234" t="s">
        <v>50</v>
      </c>
      <c r="L340" s="1227"/>
      <c r="M340" s="1227"/>
      <c r="N340" s="1227"/>
      <c r="O340" s="421"/>
      <c r="P340" s="9"/>
      <c r="Q340" s="9"/>
      <c r="R340" s="9"/>
      <c r="S340" s="442"/>
    </row>
    <row r="341" spans="1:19">
      <c r="A341" s="1234"/>
      <c r="B341" s="1227"/>
      <c r="C341" s="1227"/>
      <c r="D341" s="1227"/>
      <c r="E341" s="540" t="str">
        <f>'04-221Master'!B22</f>
        <v>Kanchupati Kondaiah</v>
      </c>
      <c r="F341" s="498"/>
      <c r="H341" s="498" t="str">
        <f>'04-221Master'!E22</f>
        <v>U MALLESWARAMMA</v>
      </c>
      <c r="I341" s="442"/>
      <c r="J341" s="9"/>
      <c r="K341" s="1234"/>
      <c r="L341" s="1227"/>
      <c r="M341" s="1227"/>
      <c r="N341" s="1227"/>
      <c r="O341" s="540" t="str">
        <f>E341</f>
        <v>Kanchupati Kondaiah</v>
      </c>
      <c r="P341" s="498"/>
      <c r="Q341" s="498"/>
      <c r="R341" s="498" t="str">
        <f>H341</f>
        <v>U MALLESWARAMMA</v>
      </c>
      <c r="S341" s="442"/>
    </row>
    <row r="342" spans="1:19">
      <c r="A342" s="539"/>
      <c r="B342" s="421"/>
      <c r="C342" s="421"/>
      <c r="D342" s="421"/>
      <c r="E342" s="421"/>
      <c r="F342" s="9"/>
      <c r="G342" s="9"/>
      <c r="H342" s="9"/>
      <c r="I342" s="442"/>
      <c r="J342" s="9"/>
      <c r="K342" s="539"/>
      <c r="L342" s="421"/>
      <c r="M342" s="421"/>
      <c r="N342" s="421"/>
      <c r="O342" s="421"/>
      <c r="P342" s="9"/>
      <c r="Q342" s="9"/>
      <c r="R342" s="9"/>
      <c r="S342" s="442"/>
    </row>
    <row r="343" spans="1:19">
      <c r="A343" s="1226" t="s">
        <v>51</v>
      </c>
      <c r="B343" s="1223"/>
      <c r="C343" s="1223"/>
      <c r="D343" s="1223"/>
      <c r="E343" s="423" t="s">
        <v>373</v>
      </c>
      <c r="F343" s="498"/>
      <c r="G343" s="498"/>
      <c r="H343" s="498"/>
      <c r="I343" s="442"/>
      <c r="J343" s="9"/>
      <c r="K343" s="1226" t="s">
        <v>51</v>
      </c>
      <c r="L343" s="1223"/>
      <c r="M343" s="1223"/>
      <c r="N343" s="1223"/>
      <c r="O343" s="540" t="str">
        <f>E343</f>
        <v>IT SUPPORTIVE SERVICES</v>
      </c>
      <c r="P343" s="498"/>
      <c r="Q343" s="498"/>
      <c r="R343" s="498"/>
      <c r="S343" s="442"/>
    </row>
    <row r="344" spans="1:19">
      <c r="A344" s="539"/>
      <c r="B344" s="421"/>
      <c r="C344" s="421"/>
      <c r="D344" s="421"/>
      <c r="E344" s="421"/>
      <c r="F344" s="9"/>
      <c r="G344" s="9"/>
      <c r="H344" s="9"/>
      <c r="I344" s="442"/>
      <c r="J344" s="9"/>
      <c r="K344" s="539"/>
      <c r="L344" s="421"/>
      <c r="M344" s="421"/>
      <c r="N344" s="421"/>
      <c r="O344" s="421"/>
      <c r="P344" s="9"/>
      <c r="Q344" s="9"/>
      <c r="R344" s="9"/>
      <c r="S344" s="442"/>
    </row>
    <row r="345" spans="1:19">
      <c r="A345" s="1226" t="s">
        <v>52</v>
      </c>
      <c r="B345" s="1223"/>
      <c r="C345" s="1223"/>
      <c r="D345" s="1223"/>
      <c r="E345" s="541">
        <f>'04-221Master'!D10</f>
        <v>44652</v>
      </c>
      <c r="F345" s="498"/>
      <c r="G345" s="498"/>
      <c r="H345" s="498"/>
      <c r="I345" s="442"/>
      <c r="J345" s="9"/>
      <c r="K345" s="1226" t="s">
        <v>52</v>
      </c>
      <c r="L345" s="1223"/>
      <c r="M345" s="1223"/>
      <c r="N345" s="1223"/>
      <c r="O345" s="541">
        <f>E345</f>
        <v>44652</v>
      </c>
      <c r="P345" s="498"/>
      <c r="Q345" s="498"/>
      <c r="R345" s="498"/>
      <c r="S345" s="442"/>
    </row>
    <row r="346" spans="1:19">
      <c r="A346" s="539"/>
      <c r="B346" s="421"/>
      <c r="C346" s="421"/>
      <c r="D346" s="421"/>
      <c r="E346" s="421"/>
      <c r="F346" s="9"/>
      <c r="G346" s="9"/>
      <c r="H346" s="9"/>
      <c r="I346" s="442"/>
      <c r="J346" s="9"/>
      <c r="K346" s="539"/>
      <c r="L346" s="421"/>
      <c r="M346" s="421"/>
      <c r="N346" s="421"/>
      <c r="O346" s="421"/>
      <c r="P346" s="9"/>
      <c r="Q346" s="9"/>
      <c r="R346" s="9"/>
      <c r="S346" s="442"/>
    </row>
    <row r="347" spans="1:19">
      <c r="A347" s="542">
        <v>1</v>
      </c>
      <c r="B347" s="1223" t="s">
        <v>53</v>
      </c>
      <c r="C347" s="1223"/>
      <c r="D347" s="1223"/>
      <c r="E347" s="543">
        <f>'04-221Master'!W22</f>
        <v>30</v>
      </c>
      <c r="F347" s="498"/>
      <c r="G347" s="498"/>
      <c r="H347" s="498"/>
      <c r="I347" s="442"/>
      <c r="J347" s="9"/>
      <c r="K347" s="542">
        <v>1</v>
      </c>
      <c r="L347" s="1223" t="s">
        <v>53</v>
      </c>
      <c r="M347" s="1223"/>
      <c r="N347" s="1223"/>
      <c r="O347" s="543">
        <f>E347</f>
        <v>30</v>
      </c>
      <c r="P347" s="498"/>
      <c r="Q347" s="498"/>
      <c r="R347" s="498"/>
      <c r="S347" s="442"/>
    </row>
    <row r="348" spans="1:19">
      <c r="A348" s="542"/>
      <c r="B348" s="421"/>
      <c r="C348" s="421"/>
      <c r="D348" s="421"/>
      <c r="E348" s="421"/>
      <c r="F348" s="9"/>
      <c r="G348" s="9"/>
      <c r="H348" s="9"/>
      <c r="I348" s="442"/>
      <c r="J348" s="9"/>
      <c r="K348" s="542"/>
      <c r="L348" s="421"/>
      <c r="M348" s="421"/>
      <c r="N348" s="421"/>
      <c r="O348" s="421"/>
      <c r="P348" s="9"/>
      <c r="Q348" s="9"/>
      <c r="R348" s="9"/>
      <c r="S348" s="442"/>
    </row>
    <row r="349" spans="1:19">
      <c r="A349" s="542">
        <v>2</v>
      </c>
      <c r="B349" s="1227" t="s">
        <v>54</v>
      </c>
      <c r="C349" s="1227"/>
      <c r="D349" s="1227"/>
      <c r="E349" s="421"/>
      <c r="F349" s="9"/>
      <c r="G349" s="9"/>
      <c r="H349" s="9"/>
      <c r="I349" s="442"/>
      <c r="J349" s="9"/>
      <c r="K349" s="542">
        <v>2</v>
      </c>
      <c r="L349" s="1227" t="s">
        <v>54</v>
      </c>
      <c r="M349" s="1227"/>
      <c r="N349" s="1227"/>
      <c r="O349" s="421"/>
      <c r="P349" s="9"/>
      <c r="Q349" s="9"/>
      <c r="R349" s="9"/>
      <c r="S349" s="442"/>
    </row>
    <row r="350" spans="1:19">
      <c r="A350" s="542"/>
      <c r="B350" s="1227"/>
      <c r="C350" s="1227"/>
      <c r="D350" s="1227"/>
      <c r="E350" s="544" t="s">
        <v>37</v>
      </c>
      <c r="F350" s="498"/>
      <c r="G350" s="498"/>
      <c r="H350" s="498"/>
      <c r="I350" s="442"/>
      <c r="J350" s="9"/>
      <c r="K350" s="542"/>
      <c r="L350" s="1227"/>
      <c r="M350" s="1227"/>
      <c r="N350" s="1227"/>
      <c r="O350" s="544" t="s">
        <v>37</v>
      </c>
      <c r="P350" s="498"/>
      <c r="Q350" s="498"/>
      <c r="R350" s="498"/>
      <c r="S350" s="442"/>
    </row>
    <row r="351" spans="1:19">
      <c r="A351" s="542"/>
      <c r="B351" s="421"/>
      <c r="C351" s="421"/>
      <c r="D351" s="421"/>
      <c r="E351" s="421"/>
      <c r="F351" s="9"/>
      <c r="G351" s="9"/>
      <c r="H351" s="9"/>
      <c r="I351" s="442"/>
      <c r="J351" s="9"/>
      <c r="K351" s="542"/>
      <c r="L351" s="421"/>
      <c r="M351" s="421"/>
      <c r="N351" s="421"/>
      <c r="O351" s="421"/>
      <c r="P351" s="9"/>
      <c r="Q351" s="9"/>
      <c r="R351" s="9"/>
      <c r="S351" s="442"/>
    </row>
    <row r="352" spans="1:19">
      <c r="A352" s="542">
        <v>3</v>
      </c>
      <c r="B352" s="1223" t="s">
        <v>55</v>
      </c>
      <c r="C352" s="1223"/>
      <c r="D352" s="1223"/>
      <c r="E352" s="544" t="s">
        <v>37</v>
      </c>
      <c r="F352" s="498"/>
      <c r="G352" s="498"/>
      <c r="H352" s="498"/>
      <c r="I352" s="442"/>
      <c r="J352" s="9"/>
      <c r="K352" s="542">
        <v>3</v>
      </c>
      <c r="L352" s="1223" t="s">
        <v>55</v>
      </c>
      <c r="M352" s="1223"/>
      <c r="N352" s="1223"/>
      <c r="O352" s="540" t="str">
        <f>E352</f>
        <v>N/A</v>
      </c>
      <c r="P352" s="498"/>
      <c r="Q352" s="498"/>
      <c r="R352" s="498"/>
      <c r="S352" s="442"/>
    </row>
    <row r="353" spans="1:19">
      <c r="A353" s="542"/>
      <c r="B353" s="421"/>
      <c r="C353" s="421"/>
      <c r="D353" s="421"/>
      <c r="E353" s="421"/>
      <c r="F353" s="9"/>
      <c r="G353" s="9"/>
      <c r="H353" s="9"/>
      <c r="I353" s="442"/>
      <c r="J353" s="9"/>
      <c r="K353" s="542"/>
      <c r="L353" s="421"/>
      <c r="M353" s="421"/>
      <c r="N353" s="421"/>
      <c r="O353" s="421"/>
      <c r="P353" s="9"/>
      <c r="Q353" s="9"/>
      <c r="R353" s="9"/>
      <c r="S353" s="442"/>
    </row>
    <row r="354" spans="1:19">
      <c r="A354" s="542">
        <v>4</v>
      </c>
      <c r="B354" s="1223" t="s">
        <v>56</v>
      </c>
      <c r="C354" s="1223"/>
      <c r="D354" s="1223"/>
      <c r="E354" s="544" t="s">
        <v>57</v>
      </c>
      <c r="F354" s="498"/>
      <c r="G354" s="498"/>
      <c r="H354" s="498"/>
      <c r="I354" s="442"/>
      <c r="J354" s="9"/>
      <c r="K354" s="542">
        <v>4</v>
      </c>
      <c r="L354" s="1223" t="s">
        <v>56</v>
      </c>
      <c r="M354" s="1223"/>
      <c r="N354" s="1223"/>
      <c r="O354" s="544" t="s">
        <v>57</v>
      </c>
      <c r="P354" s="498"/>
      <c r="Q354" s="498"/>
      <c r="R354" s="498"/>
      <c r="S354" s="442"/>
    </row>
    <row r="355" spans="1:19">
      <c r="A355" s="542"/>
      <c r="B355" s="421"/>
      <c r="C355" s="421"/>
      <c r="D355" s="421"/>
      <c r="E355" s="421"/>
      <c r="F355" s="9"/>
      <c r="G355" s="9"/>
      <c r="H355" s="9"/>
      <c r="I355" s="442"/>
      <c r="J355" s="9"/>
      <c r="K355" s="542"/>
      <c r="L355" s="421"/>
      <c r="M355" s="421"/>
      <c r="N355" s="421"/>
      <c r="O355" s="421"/>
      <c r="P355" s="9"/>
      <c r="Q355" s="9"/>
      <c r="R355" s="9"/>
      <c r="S355" s="442"/>
    </row>
    <row r="356" spans="1:19">
      <c r="A356" s="542">
        <v>5</v>
      </c>
      <c r="B356" s="1223" t="s">
        <v>58</v>
      </c>
      <c r="C356" s="1223"/>
      <c r="D356" s="1223"/>
      <c r="E356" s="492">
        <f>'04-221Master'!AM22</f>
        <v>52275.852739999995</v>
      </c>
      <c r="F356" s="9"/>
      <c r="G356" s="9"/>
      <c r="H356" s="9"/>
      <c r="I356" s="442"/>
      <c r="J356" s="9"/>
      <c r="K356" s="542">
        <v>5</v>
      </c>
      <c r="L356" s="1223" t="s">
        <v>58</v>
      </c>
      <c r="M356" s="1223"/>
      <c r="N356" s="1223"/>
      <c r="O356" s="492">
        <f>E356</f>
        <v>52275.852739999995</v>
      </c>
      <c r="P356" s="9"/>
      <c r="Q356" s="9"/>
      <c r="R356" s="9"/>
      <c r="S356" s="442"/>
    </row>
    <row r="357" spans="1:19">
      <c r="A357" s="542"/>
      <c r="B357" s="421"/>
      <c r="C357" s="421"/>
      <c r="D357" s="493" t="s">
        <v>59</v>
      </c>
      <c r="E357" s="493" t="s">
        <v>31</v>
      </c>
      <c r="F357" s="493" t="s">
        <v>33</v>
      </c>
      <c r="G357" s="493" t="s">
        <v>34</v>
      </c>
      <c r="H357" s="493" t="s">
        <v>377</v>
      </c>
      <c r="I357" s="494" t="s">
        <v>378</v>
      </c>
      <c r="J357" s="9"/>
      <c r="K357" s="542"/>
      <c r="L357" s="421"/>
      <c r="M357" s="421"/>
      <c r="N357" s="493" t="s">
        <v>59</v>
      </c>
      <c r="O357" s="493" t="s">
        <v>31</v>
      </c>
      <c r="P357" s="493" t="s">
        <v>33</v>
      </c>
      <c r="Q357" s="493" t="s">
        <v>34</v>
      </c>
      <c r="R357" s="493" t="s">
        <v>377</v>
      </c>
      <c r="S357" s="494" t="s">
        <v>378</v>
      </c>
    </row>
    <row r="358" spans="1:19">
      <c r="A358" s="542">
        <v>6</v>
      </c>
      <c r="B358" s="530" t="s">
        <v>60</v>
      </c>
      <c r="C358" s="530"/>
      <c r="D358" s="495">
        <f>'04-221Master'!AO22</f>
        <v>1800</v>
      </c>
      <c r="E358" s="495">
        <f>'04-221Master'!AN22</f>
        <v>0</v>
      </c>
      <c r="F358" s="496">
        <f>'04-221Master'!AP22</f>
        <v>200</v>
      </c>
      <c r="G358" s="495">
        <f>'04-221Master'!AQ22</f>
        <v>0</v>
      </c>
      <c r="H358" s="496">
        <f>'04-221Master'!AR22</f>
        <v>336</v>
      </c>
      <c r="I358" s="496">
        <f>SUM(D358:H358)</f>
        <v>2336</v>
      </c>
      <c r="J358" s="9"/>
      <c r="K358" s="542">
        <v>6</v>
      </c>
      <c r="L358" s="530" t="s">
        <v>60</v>
      </c>
      <c r="M358" s="530"/>
      <c r="N358" s="495">
        <f t="shared" ref="N358" si="27">D358</f>
        <v>1800</v>
      </c>
      <c r="O358" s="495">
        <f t="shared" ref="O358" si="28">E358</f>
        <v>0</v>
      </c>
      <c r="P358" s="496">
        <f t="shared" ref="P358" si="29">F358</f>
        <v>200</v>
      </c>
      <c r="Q358" s="495">
        <f t="shared" ref="Q358" si="30">G358</f>
        <v>0</v>
      </c>
      <c r="R358" s="496">
        <f t="shared" ref="R358" si="31">H358</f>
        <v>336</v>
      </c>
      <c r="S358" s="496">
        <f t="shared" ref="S358" si="32">I358</f>
        <v>2336</v>
      </c>
    </row>
    <row r="359" spans="1:19">
      <c r="A359" s="542"/>
      <c r="B359" s="421"/>
      <c r="C359" s="421"/>
      <c r="D359" s="421"/>
      <c r="E359" s="421"/>
      <c r="F359" s="9"/>
      <c r="G359" s="9"/>
      <c r="H359" s="9"/>
      <c r="I359" s="442"/>
      <c r="J359" s="9"/>
      <c r="K359" s="542"/>
      <c r="L359" s="421"/>
      <c r="M359" s="421"/>
      <c r="N359" s="421"/>
      <c r="O359" s="421"/>
      <c r="P359" s="9"/>
      <c r="Q359" s="9"/>
      <c r="R359" s="9"/>
      <c r="S359" s="442"/>
    </row>
    <row r="360" spans="1:19">
      <c r="A360" s="542">
        <v>7</v>
      </c>
      <c r="B360" s="1223" t="s">
        <v>61</v>
      </c>
      <c r="C360" s="1223"/>
      <c r="D360" s="1223"/>
      <c r="E360" s="497">
        <f>E356-I358</f>
        <v>49939.852739999995</v>
      </c>
      <c r="F360" s="498"/>
      <c r="G360" s="498"/>
      <c r="H360" s="498"/>
      <c r="I360" s="442"/>
      <c r="J360" s="9"/>
      <c r="K360" s="542">
        <v>7</v>
      </c>
      <c r="L360" s="1223" t="s">
        <v>61</v>
      </c>
      <c r="M360" s="1223"/>
      <c r="N360" s="1223"/>
      <c r="O360" s="497">
        <f>E360</f>
        <v>49939.852739999995</v>
      </c>
      <c r="P360" s="498"/>
      <c r="Q360" s="498"/>
      <c r="R360" s="498"/>
      <c r="S360" s="442"/>
    </row>
    <row r="361" spans="1:19">
      <c r="A361" s="441"/>
      <c r="B361" s="9"/>
      <c r="C361" s="9"/>
      <c r="D361" s="9"/>
      <c r="E361" s="9"/>
      <c r="F361" s="9"/>
      <c r="G361" s="9"/>
      <c r="H361" s="9"/>
      <c r="I361" s="442"/>
      <c r="J361" s="9"/>
      <c r="K361" s="441"/>
      <c r="L361" s="9"/>
      <c r="M361" s="9"/>
      <c r="N361" s="9"/>
      <c r="O361" s="9"/>
      <c r="P361" s="9"/>
      <c r="Q361" s="9"/>
      <c r="R361" s="9"/>
      <c r="S361" s="442"/>
    </row>
    <row r="362" spans="1:19">
      <c r="A362" s="441"/>
      <c r="B362" s="9"/>
      <c r="C362" s="9"/>
      <c r="D362" s="9"/>
      <c r="E362" s="9"/>
      <c r="F362" s="9"/>
      <c r="G362" s="9"/>
      <c r="H362" s="9"/>
      <c r="I362" s="442"/>
      <c r="J362" s="9"/>
      <c r="K362" s="441"/>
      <c r="L362" s="9"/>
      <c r="M362" s="9"/>
      <c r="N362" s="9"/>
      <c r="O362" s="9"/>
      <c r="P362" s="9"/>
      <c r="Q362" s="9"/>
      <c r="R362" s="9"/>
      <c r="S362" s="442"/>
    </row>
    <row r="363" spans="1:19" ht="15.75" thickBot="1">
      <c r="A363" s="441"/>
      <c r="B363" s="9"/>
      <c r="C363" s="9"/>
      <c r="D363" s="9"/>
      <c r="E363" s="9"/>
      <c r="F363" s="444"/>
      <c r="G363" s="444"/>
      <c r="H363" s="444"/>
      <c r="I363" s="445"/>
      <c r="J363" s="9"/>
      <c r="K363" s="441"/>
      <c r="L363" s="9"/>
      <c r="M363" s="9"/>
      <c r="N363" s="9"/>
      <c r="O363" s="9"/>
      <c r="P363" s="444"/>
      <c r="Q363" s="444"/>
      <c r="R363" s="444"/>
      <c r="S363" s="445"/>
    </row>
    <row r="364" spans="1:19" ht="15.75" thickBot="1">
      <c r="A364" s="443"/>
      <c r="B364" s="444"/>
      <c r="C364" s="444"/>
      <c r="D364" s="444"/>
      <c r="E364" s="444"/>
      <c r="F364" s="1224" t="s">
        <v>62</v>
      </c>
      <c r="G364" s="1224"/>
      <c r="H364" s="1224"/>
      <c r="I364" s="1225"/>
      <c r="J364" s="9"/>
      <c r="K364" s="443"/>
      <c r="L364" s="444"/>
      <c r="M364" s="444"/>
      <c r="N364" s="444"/>
      <c r="O364" s="444"/>
      <c r="P364" s="1224" t="s">
        <v>62</v>
      </c>
      <c r="Q364" s="1224"/>
      <c r="R364" s="1224"/>
      <c r="S364" s="1225"/>
    </row>
    <row r="365" spans="1:19">
      <c r="A365" s="9"/>
      <c r="B365" s="9"/>
      <c r="C365" s="9"/>
      <c r="D365" s="9"/>
      <c r="E365" s="9"/>
      <c r="F365" s="9"/>
      <c r="G365" s="9"/>
      <c r="H365" s="9"/>
      <c r="I365" s="9"/>
      <c r="J365" s="9"/>
      <c r="K365" s="9"/>
      <c r="L365" s="9"/>
      <c r="M365" s="9"/>
      <c r="N365" s="9"/>
      <c r="O365" s="9"/>
      <c r="P365" s="9"/>
      <c r="Q365" s="9"/>
      <c r="R365" s="9"/>
      <c r="S365" s="9"/>
    </row>
    <row r="366" spans="1:19">
      <c r="A366" s="9"/>
      <c r="B366" s="9"/>
      <c r="C366" s="9"/>
      <c r="D366" s="9"/>
      <c r="E366" s="9"/>
      <c r="F366" s="9"/>
      <c r="G366" s="9"/>
      <c r="H366" s="9"/>
      <c r="I366" s="9"/>
      <c r="J366" s="9"/>
      <c r="K366" s="9"/>
      <c r="L366" s="9"/>
      <c r="M366" s="9"/>
      <c r="N366" s="9"/>
      <c r="O366" s="9"/>
      <c r="P366" s="9"/>
      <c r="Q366" s="9"/>
      <c r="R366" s="9"/>
      <c r="S366" s="9"/>
    </row>
    <row r="367" spans="1:19">
      <c r="A367" s="9"/>
      <c r="B367" s="9"/>
      <c r="C367" s="9"/>
      <c r="D367" s="9"/>
      <c r="E367" s="9"/>
      <c r="F367" s="9"/>
      <c r="G367" s="9"/>
      <c r="H367" s="9"/>
      <c r="I367" s="9"/>
      <c r="J367" s="9"/>
      <c r="K367" s="9"/>
      <c r="L367" s="9"/>
      <c r="M367" s="9"/>
      <c r="N367" s="9"/>
      <c r="O367" s="9"/>
      <c r="P367" s="9"/>
      <c r="Q367" s="9"/>
      <c r="R367" s="9"/>
      <c r="S367" s="9"/>
    </row>
    <row r="368" spans="1:19">
      <c r="A368" s="9"/>
      <c r="B368" s="9"/>
      <c r="C368" s="9"/>
      <c r="D368" s="9"/>
      <c r="E368" s="9"/>
      <c r="F368" s="9"/>
      <c r="G368" s="9"/>
      <c r="H368" s="9"/>
      <c r="I368" s="9"/>
      <c r="J368" s="9"/>
      <c r="K368" s="9"/>
      <c r="L368" s="9"/>
      <c r="M368" s="9"/>
      <c r="N368" s="9"/>
      <c r="O368" s="9"/>
      <c r="P368" s="9"/>
      <c r="Q368" s="9"/>
      <c r="R368" s="9"/>
      <c r="S368" s="9"/>
    </row>
    <row r="369" spans="1:19">
      <c r="A369" s="9"/>
      <c r="B369" s="9"/>
      <c r="C369" s="9"/>
      <c r="D369" s="9"/>
      <c r="E369" s="9"/>
      <c r="F369" s="9"/>
      <c r="G369" s="9"/>
      <c r="H369" s="9"/>
      <c r="I369" s="9"/>
      <c r="J369" s="9"/>
      <c r="K369" s="9"/>
      <c r="L369" s="9"/>
      <c r="M369" s="9"/>
      <c r="N369" s="9"/>
      <c r="O369" s="9"/>
      <c r="P369" s="9"/>
      <c r="Q369" s="9"/>
      <c r="R369" s="9"/>
      <c r="S369" s="9"/>
    </row>
    <row r="370" spans="1:19">
      <c r="A370" s="9"/>
      <c r="B370" s="9"/>
      <c r="C370" s="9"/>
      <c r="D370" s="9"/>
      <c r="E370" s="9"/>
      <c r="F370" s="9"/>
      <c r="G370" s="9"/>
      <c r="H370" s="9"/>
      <c r="I370" s="9"/>
      <c r="J370" s="9"/>
      <c r="K370" s="9"/>
      <c r="L370" s="9"/>
      <c r="M370" s="9"/>
      <c r="N370" s="9"/>
      <c r="O370" s="9"/>
      <c r="P370" s="9"/>
      <c r="Q370" s="9"/>
      <c r="R370" s="9"/>
      <c r="S370" s="9"/>
    </row>
    <row r="371" spans="1:19">
      <c r="A371" s="9"/>
      <c r="B371" s="9"/>
      <c r="C371" s="9"/>
      <c r="D371" s="9"/>
      <c r="E371" s="9"/>
      <c r="F371" s="9"/>
      <c r="G371" s="9"/>
      <c r="H371" s="9"/>
      <c r="I371" s="9"/>
      <c r="J371" s="9"/>
      <c r="K371" s="9"/>
      <c r="L371" s="9"/>
      <c r="M371" s="9"/>
      <c r="N371" s="9"/>
      <c r="O371" s="9"/>
      <c r="P371" s="9"/>
      <c r="Q371" s="9"/>
      <c r="R371" s="9"/>
      <c r="S371" s="9"/>
    </row>
    <row r="373" spans="1:19" s="9" customFormat="1"/>
    <row r="374" spans="1:19" s="9" customFormat="1"/>
    <row r="375" spans="1:19" s="9" customFormat="1"/>
    <row r="376" spans="1:19" s="9" customFormat="1"/>
    <row r="377" spans="1:19" s="9" customFormat="1"/>
    <row r="378" spans="1:19" s="388" customFormat="1"/>
    <row r="379" spans="1:19" s="388" customFormat="1"/>
    <row r="380" spans="1:19" ht="15.75" thickBot="1"/>
    <row r="381" spans="1:19" ht="27" thickBot="1">
      <c r="A381" s="1228" t="s">
        <v>592</v>
      </c>
      <c r="B381" s="1229"/>
      <c r="C381" s="1229"/>
      <c r="D381" s="1229"/>
      <c r="E381" s="1229"/>
      <c r="F381" s="1229"/>
      <c r="G381" s="1229"/>
      <c r="H381" s="1229"/>
      <c r="I381" s="1230"/>
      <c r="J381" s="538"/>
      <c r="K381" s="1228" t="s">
        <v>592</v>
      </c>
      <c r="L381" s="1229"/>
      <c r="M381" s="1229"/>
      <c r="N381" s="1229"/>
      <c r="O381" s="1229"/>
      <c r="P381" s="1229"/>
      <c r="Q381" s="1229"/>
      <c r="R381" s="1229"/>
      <c r="S381" s="1230"/>
    </row>
    <row r="382" spans="1:19">
      <c r="A382" s="1231" t="s">
        <v>593</v>
      </c>
      <c r="B382" s="1232"/>
      <c r="C382" s="1232"/>
      <c r="D382" s="1232"/>
      <c r="E382" s="1232"/>
      <c r="F382" s="1232"/>
      <c r="G382" s="1232"/>
      <c r="H382" s="1232"/>
      <c r="I382" s="1233"/>
      <c r="J382" s="9"/>
      <c r="K382" s="1231" t="s">
        <v>593</v>
      </c>
      <c r="L382" s="1232"/>
      <c r="M382" s="1232"/>
      <c r="N382" s="1232"/>
      <c r="O382" s="1232"/>
      <c r="P382" s="1232"/>
      <c r="Q382" s="1232"/>
      <c r="R382" s="1232"/>
      <c r="S382" s="1233"/>
    </row>
    <row r="383" spans="1:19">
      <c r="A383" s="441"/>
      <c r="B383" s="9"/>
      <c r="C383" s="9"/>
      <c r="D383" s="9"/>
      <c r="E383" s="9"/>
      <c r="F383" s="9"/>
      <c r="G383" s="9"/>
      <c r="H383" s="9"/>
      <c r="I383" s="442"/>
      <c r="J383" s="9"/>
      <c r="K383" s="441"/>
      <c r="L383" s="9"/>
      <c r="M383" s="9"/>
      <c r="N383" s="9"/>
      <c r="O383" s="9"/>
      <c r="P383" s="9"/>
      <c r="Q383" s="9"/>
      <c r="R383" s="9"/>
      <c r="S383" s="442"/>
    </row>
    <row r="384" spans="1:19">
      <c r="A384" s="539" t="s">
        <v>49</v>
      </c>
      <c r="B384" s="421"/>
      <c r="C384" s="421"/>
      <c r="D384" s="419" t="s">
        <v>382</v>
      </c>
      <c r="E384" s="9"/>
      <c r="F384" s="9"/>
      <c r="G384" s="9"/>
      <c r="H384" s="9"/>
      <c r="I384" s="442"/>
      <c r="J384" s="9"/>
      <c r="K384" s="539" t="s">
        <v>49</v>
      </c>
      <c r="L384" s="421"/>
      <c r="M384" s="421"/>
      <c r="N384" s="419" t="s">
        <v>382</v>
      </c>
      <c r="O384" s="9"/>
      <c r="P384" s="9"/>
      <c r="Q384" s="9"/>
      <c r="R384" s="9"/>
      <c r="S384" s="442"/>
    </row>
    <row r="385" spans="1:19">
      <c r="A385" s="539"/>
      <c r="B385" s="421"/>
      <c r="C385" s="421"/>
      <c r="D385" s="421" t="s">
        <v>383</v>
      </c>
      <c r="E385" s="9"/>
      <c r="F385" s="9"/>
      <c r="G385" s="9"/>
      <c r="H385" s="9"/>
      <c r="I385" s="442"/>
      <c r="J385" s="9"/>
      <c r="K385" s="539"/>
      <c r="L385" s="421"/>
      <c r="M385" s="421"/>
      <c r="N385" s="421" t="s">
        <v>383</v>
      </c>
      <c r="O385" s="9"/>
      <c r="P385" s="9"/>
      <c r="Q385" s="9"/>
      <c r="R385" s="9"/>
      <c r="S385" s="442"/>
    </row>
    <row r="386" spans="1:19">
      <c r="A386" s="539"/>
      <c r="B386" s="421"/>
      <c r="C386" s="421"/>
      <c r="D386" s="421"/>
      <c r="E386" s="421"/>
      <c r="F386" s="9"/>
      <c r="G386" s="9"/>
      <c r="H386" s="9"/>
      <c r="I386" s="442"/>
      <c r="J386" s="9"/>
      <c r="K386" s="539"/>
      <c r="L386" s="421"/>
      <c r="M386" s="421"/>
      <c r="N386" s="421"/>
      <c r="O386" s="421"/>
      <c r="P386" s="9"/>
      <c r="Q386" s="9"/>
      <c r="R386" s="9"/>
      <c r="S386" s="442"/>
    </row>
    <row r="387" spans="1:19">
      <c r="A387" s="1234" t="s">
        <v>50</v>
      </c>
      <c r="B387" s="1227"/>
      <c r="C387" s="1227"/>
      <c r="D387" s="1227"/>
      <c r="E387" s="421"/>
      <c r="F387" s="9"/>
      <c r="G387" s="9"/>
      <c r="H387" s="9"/>
      <c r="I387" s="442"/>
      <c r="J387" s="9"/>
      <c r="K387" s="1234" t="s">
        <v>50</v>
      </c>
      <c r="L387" s="1227"/>
      <c r="M387" s="1227"/>
      <c r="N387" s="1227"/>
      <c r="O387" s="421"/>
      <c r="P387" s="9"/>
      <c r="Q387" s="9"/>
      <c r="R387" s="9"/>
      <c r="S387" s="442"/>
    </row>
    <row r="388" spans="1:19">
      <c r="A388" s="1234"/>
      <c r="B388" s="1227"/>
      <c r="C388" s="1227"/>
      <c r="D388" s="1227"/>
      <c r="E388" s="540" t="str">
        <f>'04-221Master'!B23</f>
        <v>Santosh Patel</v>
      </c>
      <c r="F388" s="498"/>
      <c r="G388" s="498"/>
      <c r="H388" s="498" t="str">
        <f>'04-221Master'!E23</f>
        <v>Kishorilal Patel</v>
      </c>
      <c r="I388" s="442"/>
      <c r="J388" s="9"/>
      <c r="K388" s="1234"/>
      <c r="L388" s="1227"/>
      <c r="M388" s="1227"/>
      <c r="N388" s="1227"/>
      <c r="O388" s="540" t="str">
        <f>E388</f>
        <v>Santosh Patel</v>
      </c>
      <c r="P388" s="498"/>
      <c r="Q388" s="498"/>
      <c r="R388" s="498" t="str">
        <f>H388</f>
        <v>Kishorilal Patel</v>
      </c>
      <c r="S388" s="442"/>
    </row>
    <row r="389" spans="1:19">
      <c r="A389" s="539"/>
      <c r="B389" s="421"/>
      <c r="C389" s="421"/>
      <c r="D389" s="421"/>
      <c r="E389" s="421"/>
      <c r="F389" s="9"/>
      <c r="G389" s="9"/>
      <c r="H389" s="9"/>
      <c r="I389" s="442"/>
      <c r="J389" s="9"/>
      <c r="K389" s="539"/>
      <c r="L389" s="421"/>
      <c r="M389" s="421"/>
      <c r="N389" s="421"/>
      <c r="O389" s="421"/>
      <c r="P389" s="9"/>
      <c r="Q389" s="9"/>
      <c r="R389" s="9"/>
      <c r="S389" s="442"/>
    </row>
    <row r="390" spans="1:19">
      <c r="A390" s="1226" t="s">
        <v>51</v>
      </c>
      <c r="B390" s="1223"/>
      <c r="C390" s="1223"/>
      <c r="D390" s="1223"/>
      <c r="E390" s="423" t="s">
        <v>373</v>
      </c>
      <c r="F390" s="498"/>
      <c r="G390" s="498"/>
      <c r="H390" s="498"/>
      <c r="I390" s="442"/>
      <c r="J390" s="9"/>
      <c r="K390" s="1226" t="s">
        <v>51</v>
      </c>
      <c r="L390" s="1223"/>
      <c r="M390" s="1223"/>
      <c r="N390" s="1223"/>
      <c r="O390" s="540" t="str">
        <f>E390</f>
        <v>IT SUPPORTIVE SERVICES</v>
      </c>
      <c r="P390" s="498"/>
      <c r="Q390" s="498"/>
      <c r="R390" s="498"/>
      <c r="S390" s="442"/>
    </row>
    <row r="391" spans="1:19">
      <c r="A391" s="539"/>
      <c r="B391" s="421"/>
      <c r="C391" s="421"/>
      <c r="D391" s="421"/>
      <c r="E391" s="421"/>
      <c r="F391" s="9"/>
      <c r="G391" s="9"/>
      <c r="H391" s="9"/>
      <c r="I391" s="442"/>
      <c r="J391" s="9"/>
      <c r="K391" s="539"/>
      <c r="L391" s="421"/>
      <c r="M391" s="421"/>
      <c r="N391" s="421"/>
      <c r="O391" s="421"/>
      <c r="P391" s="9"/>
      <c r="Q391" s="9"/>
      <c r="R391" s="9"/>
      <c r="S391" s="442"/>
    </row>
    <row r="392" spans="1:19">
      <c r="A392" s="1226" t="s">
        <v>52</v>
      </c>
      <c r="B392" s="1223"/>
      <c r="C392" s="1223"/>
      <c r="D392" s="1223"/>
      <c r="E392" s="541">
        <f>'04-221Master'!D10</f>
        <v>44652</v>
      </c>
      <c r="F392" s="498"/>
      <c r="G392" s="498"/>
      <c r="H392" s="498"/>
      <c r="I392" s="442"/>
      <c r="J392" s="9"/>
      <c r="K392" s="1226" t="s">
        <v>52</v>
      </c>
      <c r="L392" s="1223"/>
      <c r="M392" s="1223"/>
      <c r="N392" s="1223"/>
      <c r="O392" s="541">
        <f>E392</f>
        <v>44652</v>
      </c>
      <c r="P392" s="498"/>
      <c r="Q392" s="498"/>
      <c r="R392" s="498"/>
      <c r="S392" s="442"/>
    </row>
    <row r="393" spans="1:19">
      <c r="A393" s="539"/>
      <c r="B393" s="421"/>
      <c r="C393" s="421"/>
      <c r="D393" s="421"/>
      <c r="E393" s="421"/>
      <c r="F393" s="9"/>
      <c r="G393" s="9"/>
      <c r="H393" s="9"/>
      <c r="I393" s="442"/>
      <c r="J393" s="9"/>
      <c r="K393" s="539"/>
      <c r="L393" s="421"/>
      <c r="M393" s="421"/>
      <c r="N393" s="421"/>
      <c r="O393" s="421"/>
      <c r="P393" s="9"/>
      <c r="Q393" s="9"/>
      <c r="R393" s="9"/>
      <c r="S393" s="442"/>
    </row>
    <row r="394" spans="1:19">
      <c r="A394" s="542">
        <v>1</v>
      </c>
      <c r="B394" s="1223" t="s">
        <v>53</v>
      </c>
      <c r="C394" s="1223"/>
      <c r="D394" s="1223"/>
      <c r="E394" s="543">
        <f>'04-221Master'!W23</f>
        <v>30</v>
      </c>
      <c r="F394" s="498"/>
      <c r="G394" s="498"/>
      <c r="H394" s="498"/>
      <c r="I394" s="442"/>
      <c r="J394" s="9"/>
      <c r="K394" s="542">
        <v>1</v>
      </c>
      <c r="L394" s="1223" t="s">
        <v>53</v>
      </c>
      <c r="M394" s="1223"/>
      <c r="N394" s="1223"/>
      <c r="O394" s="543">
        <f>E394</f>
        <v>30</v>
      </c>
      <c r="P394" s="498"/>
      <c r="Q394" s="498"/>
      <c r="R394" s="498"/>
      <c r="S394" s="442"/>
    </row>
    <row r="395" spans="1:19">
      <c r="A395" s="542"/>
      <c r="B395" s="421"/>
      <c r="C395" s="421"/>
      <c r="D395" s="421"/>
      <c r="E395" s="421"/>
      <c r="F395" s="9"/>
      <c r="G395" s="9"/>
      <c r="H395" s="9"/>
      <c r="I395" s="442"/>
      <c r="J395" s="9"/>
      <c r="K395" s="542"/>
      <c r="L395" s="421"/>
      <c r="M395" s="421"/>
      <c r="N395" s="421"/>
      <c r="O395" s="421"/>
      <c r="P395" s="9"/>
      <c r="Q395" s="9"/>
      <c r="R395" s="9"/>
      <c r="S395" s="442"/>
    </row>
    <row r="396" spans="1:19">
      <c r="A396" s="542">
        <v>2</v>
      </c>
      <c r="B396" s="1227" t="s">
        <v>54</v>
      </c>
      <c r="C396" s="1227"/>
      <c r="D396" s="1227"/>
      <c r="E396" s="421"/>
      <c r="F396" s="9"/>
      <c r="G396" s="9"/>
      <c r="H396" s="9"/>
      <c r="I396" s="442"/>
      <c r="J396" s="9"/>
      <c r="K396" s="542">
        <v>2</v>
      </c>
      <c r="L396" s="1227" t="s">
        <v>54</v>
      </c>
      <c r="M396" s="1227"/>
      <c r="N396" s="1227"/>
      <c r="O396" s="421"/>
      <c r="P396" s="9"/>
      <c r="Q396" s="9"/>
      <c r="R396" s="9"/>
      <c r="S396" s="442"/>
    </row>
    <row r="397" spans="1:19">
      <c r="A397" s="542"/>
      <c r="B397" s="1227"/>
      <c r="C397" s="1227"/>
      <c r="D397" s="1227"/>
      <c r="E397" s="544" t="s">
        <v>37</v>
      </c>
      <c r="F397" s="498"/>
      <c r="G397" s="498"/>
      <c r="H397" s="498"/>
      <c r="I397" s="442"/>
      <c r="J397" s="9"/>
      <c r="K397" s="542"/>
      <c r="L397" s="1227"/>
      <c r="M397" s="1227"/>
      <c r="N397" s="1227"/>
      <c r="O397" s="544" t="s">
        <v>37</v>
      </c>
      <c r="P397" s="498"/>
      <c r="Q397" s="498"/>
      <c r="R397" s="498"/>
      <c r="S397" s="442"/>
    </row>
    <row r="398" spans="1:19">
      <c r="A398" s="542"/>
      <c r="B398" s="421"/>
      <c r="C398" s="421"/>
      <c r="D398" s="421"/>
      <c r="E398" s="421"/>
      <c r="F398" s="9"/>
      <c r="G398" s="9"/>
      <c r="H398" s="9"/>
      <c r="I398" s="442"/>
      <c r="J398" s="9"/>
      <c r="K398" s="542"/>
      <c r="L398" s="421"/>
      <c r="M398" s="421"/>
      <c r="N398" s="421"/>
      <c r="O398" s="421"/>
      <c r="P398" s="9"/>
      <c r="Q398" s="9"/>
      <c r="R398" s="9"/>
      <c r="S398" s="442"/>
    </row>
    <row r="399" spans="1:19">
      <c r="A399" s="542">
        <v>3</v>
      </c>
      <c r="B399" s="1223" t="s">
        <v>55</v>
      </c>
      <c r="C399" s="1223"/>
      <c r="D399" s="1223"/>
      <c r="E399" s="544" t="s">
        <v>37</v>
      </c>
      <c r="F399" s="498"/>
      <c r="G399" s="498"/>
      <c r="H399" s="498"/>
      <c r="I399" s="442"/>
      <c r="J399" s="9"/>
      <c r="K399" s="542">
        <v>3</v>
      </c>
      <c r="L399" s="1223" t="s">
        <v>55</v>
      </c>
      <c r="M399" s="1223"/>
      <c r="N399" s="1223"/>
      <c r="O399" s="540" t="str">
        <f>E399</f>
        <v>N/A</v>
      </c>
      <c r="P399" s="498"/>
      <c r="Q399" s="498"/>
      <c r="R399" s="498"/>
      <c r="S399" s="442"/>
    </row>
    <row r="400" spans="1:19">
      <c r="A400" s="542"/>
      <c r="B400" s="421"/>
      <c r="C400" s="421"/>
      <c r="D400" s="421"/>
      <c r="E400" s="421"/>
      <c r="F400" s="9"/>
      <c r="G400" s="9"/>
      <c r="H400" s="9"/>
      <c r="I400" s="442"/>
      <c r="J400" s="9"/>
      <c r="K400" s="542"/>
      <c r="L400" s="421"/>
      <c r="M400" s="421"/>
      <c r="N400" s="421"/>
      <c r="O400" s="421"/>
      <c r="P400" s="9"/>
      <c r="Q400" s="9"/>
      <c r="R400" s="9"/>
      <c r="S400" s="442"/>
    </row>
    <row r="401" spans="1:20">
      <c r="A401" s="542">
        <v>4</v>
      </c>
      <c r="B401" s="1223" t="s">
        <v>56</v>
      </c>
      <c r="C401" s="1223"/>
      <c r="D401" s="1223"/>
      <c r="E401" s="544" t="s">
        <v>57</v>
      </c>
      <c r="F401" s="498"/>
      <c r="G401" s="498"/>
      <c r="H401" s="498"/>
      <c r="I401" s="442"/>
      <c r="J401" s="9"/>
      <c r="K401" s="542">
        <v>4</v>
      </c>
      <c r="L401" s="1223" t="s">
        <v>56</v>
      </c>
      <c r="M401" s="1223"/>
      <c r="N401" s="1223"/>
      <c r="O401" s="544" t="s">
        <v>57</v>
      </c>
      <c r="P401" s="498"/>
      <c r="Q401" s="498"/>
      <c r="R401" s="498"/>
      <c r="S401" s="442"/>
    </row>
    <row r="402" spans="1:20">
      <c r="A402" s="542"/>
      <c r="B402" s="421"/>
      <c r="C402" s="421"/>
      <c r="D402" s="421"/>
      <c r="E402" s="421"/>
      <c r="F402" s="9"/>
      <c r="G402" s="9"/>
      <c r="H402" s="9"/>
      <c r="I402" s="442"/>
      <c r="J402" s="9"/>
      <c r="K402" s="542"/>
      <c r="L402" s="421"/>
      <c r="M402" s="421"/>
      <c r="N402" s="421"/>
      <c r="O402" s="421"/>
      <c r="P402" s="9"/>
      <c r="Q402" s="9"/>
      <c r="R402" s="9"/>
      <c r="S402" s="442"/>
    </row>
    <row r="403" spans="1:20">
      <c r="A403" s="542">
        <v>5</v>
      </c>
      <c r="B403" s="1223" t="s">
        <v>58</v>
      </c>
      <c r="C403" s="1223"/>
      <c r="D403" s="1223"/>
      <c r="E403" s="492">
        <f>'04-221Master'!AM23</f>
        <v>143275.53602</v>
      </c>
      <c r="F403" s="9"/>
      <c r="G403" s="9"/>
      <c r="H403" s="9"/>
      <c r="I403" s="442"/>
      <c r="J403" s="9"/>
      <c r="K403" s="542">
        <v>5</v>
      </c>
      <c r="L403" s="1223" t="s">
        <v>58</v>
      </c>
      <c r="M403" s="1223"/>
      <c r="N403" s="1223"/>
      <c r="O403" s="492">
        <f>E403</f>
        <v>143275.53602</v>
      </c>
      <c r="P403" s="9"/>
      <c r="Q403" s="9"/>
      <c r="R403" s="9"/>
      <c r="S403" s="442"/>
      <c r="T403" s="249">
        <f>O403+4677</f>
        <v>147952.53602</v>
      </c>
    </row>
    <row r="404" spans="1:20">
      <c r="A404" s="542"/>
      <c r="B404" s="421"/>
      <c r="C404" s="421"/>
      <c r="D404" s="493" t="s">
        <v>59</v>
      </c>
      <c r="E404" s="493" t="s">
        <v>31</v>
      </c>
      <c r="F404" s="493" t="s">
        <v>33</v>
      </c>
      <c r="G404" s="493" t="s">
        <v>34</v>
      </c>
      <c r="H404" s="493" t="s">
        <v>377</v>
      </c>
      <c r="I404" s="494" t="s">
        <v>378</v>
      </c>
      <c r="J404" s="9"/>
      <c r="K404" s="542"/>
      <c r="L404" s="421"/>
      <c r="M404" s="421"/>
      <c r="N404" s="493" t="s">
        <v>59</v>
      </c>
      <c r="O404" s="493" t="s">
        <v>31</v>
      </c>
      <c r="P404" s="493" t="s">
        <v>33</v>
      </c>
      <c r="Q404" s="493" t="s">
        <v>34</v>
      </c>
      <c r="R404" s="493" t="s">
        <v>377</v>
      </c>
      <c r="S404" s="494" t="s">
        <v>378</v>
      </c>
    </row>
    <row r="405" spans="1:20">
      <c r="A405" s="542">
        <v>6</v>
      </c>
      <c r="B405" s="530" t="s">
        <v>60</v>
      </c>
      <c r="C405" s="530"/>
      <c r="D405" s="495">
        <f>'04-221Master'!AO23</f>
        <v>1800</v>
      </c>
      <c r="E405" s="495">
        <f>'04-221Master'!AN23</f>
        <v>0</v>
      </c>
      <c r="F405" s="496">
        <f>'04-221Master'!AP23</f>
        <v>200</v>
      </c>
      <c r="G405" s="495">
        <f>'04-221Master'!AQ23</f>
        <v>0</v>
      </c>
      <c r="H405" s="496">
        <f>'04-221Master'!AR23</f>
        <v>336</v>
      </c>
      <c r="I405" s="496">
        <f>SUM(D405:H405)</f>
        <v>2336</v>
      </c>
      <c r="J405" s="9"/>
      <c r="K405" s="542">
        <v>6</v>
      </c>
      <c r="L405" s="530" t="s">
        <v>60</v>
      </c>
      <c r="M405" s="530"/>
      <c r="N405" s="495">
        <f t="shared" ref="N405" si="33">D405</f>
        <v>1800</v>
      </c>
      <c r="O405" s="495">
        <f t="shared" ref="O405" si="34">E405</f>
        <v>0</v>
      </c>
      <c r="P405" s="496">
        <f t="shared" ref="P405" si="35">F405</f>
        <v>200</v>
      </c>
      <c r="Q405" s="495">
        <f t="shared" ref="Q405" si="36">G405</f>
        <v>0</v>
      </c>
      <c r="R405" s="496">
        <f t="shared" ref="R405" si="37">H405</f>
        <v>336</v>
      </c>
      <c r="S405" s="496">
        <f t="shared" ref="S405" si="38">I405</f>
        <v>2336</v>
      </c>
    </row>
    <row r="406" spans="1:20">
      <c r="A406" s="542"/>
      <c r="B406" s="421"/>
      <c r="C406" s="421"/>
      <c r="D406" s="421"/>
      <c r="E406" s="421"/>
      <c r="F406" s="9"/>
      <c r="G406" s="9"/>
      <c r="H406" s="9"/>
      <c r="I406" s="442"/>
      <c r="J406" s="9"/>
      <c r="K406" s="542"/>
      <c r="L406" s="421"/>
      <c r="M406" s="421"/>
      <c r="N406" s="421"/>
      <c r="O406" s="421"/>
      <c r="P406" s="9"/>
      <c r="Q406" s="9"/>
      <c r="R406" s="9"/>
      <c r="S406" s="442"/>
    </row>
    <row r="407" spans="1:20">
      <c r="A407" s="542">
        <v>7</v>
      </c>
      <c r="B407" s="1223" t="s">
        <v>61</v>
      </c>
      <c r="C407" s="1223"/>
      <c r="D407" s="1223"/>
      <c r="E407" s="497">
        <f>E403-I405</f>
        <v>140939.53602</v>
      </c>
      <c r="F407" s="498"/>
      <c r="G407" s="498"/>
      <c r="H407" s="498"/>
      <c r="I407" s="442"/>
      <c r="J407" s="9"/>
      <c r="K407" s="542">
        <v>7</v>
      </c>
      <c r="L407" s="1223" t="s">
        <v>61</v>
      </c>
      <c r="M407" s="1223"/>
      <c r="N407" s="1223"/>
      <c r="O407" s="497">
        <f>E407</f>
        <v>140939.53602</v>
      </c>
      <c r="P407" s="498"/>
      <c r="Q407" s="498"/>
      <c r="R407" s="498"/>
      <c r="S407" s="442"/>
    </row>
    <row r="408" spans="1:20">
      <c r="A408" s="441"/>
      <c r="B408" s="9"/>
      <c r="C408" s="9"/>
      <c r="D408" s="9"/>
      <c r="E408" s="9"/>
      <c r="F408" s="9"/>
      <c r="G408" s="9"/>
      <c r="H408" s="9"/>
      <c r="I408" s="442"/>
      <c r="J408" s="9"/>
      <c r="K408" s="441"/>
      <c r="L408" s="9"/>
      <c r="M408" s="9"/>
      <c r="N408" s="9"/>
      <c r="O408" s="9"/>
      <c r="P408" s="9"/>
      <c r="Q408" s="9"/>
      <c r="R408" s="9"/>
      <c r="S408" s="442"/>
    </row>
    <row r="409" spans="1:20">
      <c r="A409" s="441"/>
      <c r="B409" s="9"/>
      <c r="C409" s="9"/>
      <c r="D409" s="9"/>
      <c r="E409" s="9"/>
      <c r="F409" s="9"/>
      <c r="G409" s="9"/>
      <c r="H409" s="9"/>
      <c r="I409" s="442"/>
      <c r="J409" s="9"/>
      <c r="K409" s="441"/>
      <c r="L409" s="9"/>
      <c r="M409" s="9"/>
      <c r="N409" s="9"/>
      <c r="O409" s="9"/>
      <c r="P409" s="9"/>
      <c r="Q409" s="9"/>
      <c r="R409" s="9"/>
      <c r="S409" s="442"/>
    </row>
    <row r="410" spans="1:20" ht="15.75" thickBot="1">
      <c r="A410" s="441"/>
      <c r="B410" s="9"/>
      <c r="C410" s="9"/>
      <c r="D410" s="9"/>
      <c r="E410" s="9"/>
      <c r="F410" s="444"/>
      <c r="G410" s="444"/>
      <c r="H410" s="444"/>
      <c r="I410" s="445"/>
      <c r="J410" s="9"/>
      <c r="K410" s="441"/>
      <c r="L410" s="9"/>
      <c r="M410" s="9"/>
      <c r="N410" s="9"/>
      <c r="O410" s="9"/>
      <c r="P410" s="444"/>
      <c r="Q410" s="444"/>
      <c r="R410" s="444"/>
      <c r="S410" s="445"/>
    </row>
    <row r="411" spans="1:20" ht="15.75" thickBot="1">
      <c r="A411" s="443"/>
      <c r="B411" s="444"/>
      <c r="C411" s="444"/>
      <c r="D411" s="444"/>
      <c r="E411" s="444"/>
      <c r="F411" s="1224" t="s">
        <v>62</v>
      </c>
      <c r="G411" s="1224"/>
      <c r="H411" s="1224"/>
      <c r="I411" s="1225"/>
      <c r="J411" s="9"/>
      <c r="K411" s="443"/>
      <c r="L411" s="444"/>
      <c r="M411" s="444"/>
      <c r="N411" s="444"/>
      <c r="O411" s="444"/>
      <c r="P411" s="1224" t="s">
        <v>62</v>
      </c>
      <c r="Q411" s="1224"/>
      <c r="R411" s="1224"/>
      <c r="S411" s="1225"/>
    </row>
    <row r="412" spans="1:20">
      <c r="A412" s="9"/>
      <c r="B412" s="9"/>
      <c r="C412" s="9"/>
      <c r="D412" s="9"/>
      <c r="E412" s="9"/>
      <c r="F412" s="9"/>
      <c r="G412" s="9"/>
      <c r="H412" s="9"/>
      <c r="I412" s="9"/>
      <c r="J412" s="9"/>
      <c r="K412" s="9"/>
      <c r="L412" s="9"/>
      <c r="M412" s="9"/>
      <c r="N412" s="9"/>
      <c r="O412" s="9"/>
      <c r="P412" s="9"/>
      <c r="Q412" s="9"/>
      <c r="R412" s="9"/>
      <c r="S412" s="9"/>
    </row>
    <row r="413" spans="1:20">
      <c r="A413" s="9"/>
      <c r="B413" s="9"/>
      <c r="C413" s="9"/>
      <c r="D413" s="9"/>
      <c r="E413" s="9"/>
      <c r="F413" s="9"/>
      <c r="G413" s="9"/>
      <c r="H413" s="9"/>
      <c r="I413" s="9"/>
      <c r="J413" s="9"/>
      <c r="K413" s="9"/>
      <c r="L413" s="9"/>
      <c r="M413" s="9"/>
      <c r="N413" s="9"/>
      <c r="O413" s="9"/>
      <c r="P413" s="9"/>
      <c r="Q413" s="9"/>
      <c r="R413" s="9"/>
      <c r="S413" s="9"/>
    </row>
    <row r="414" spans="1:20">
      <c r="A414" s="9"/>
      <c r="B414" s="9"/>
      <c r="C414" s="9"/>
      <c r="D414" s="9"/>
      <c r="E414" s="9"/>
      <c r="F414" s="9"/>
      <c r="G414" s="9"/>
      <c r="H414" s="9"/>
      <c r="I414" s="9"/>
      <c r="J414" s="9"/>
      <c r="K414" s="9"/>
      <c r="L414" s="9"/>
      <c r="M414" s="9"/>
      <c r="N414" s="9"/>
      <c r="O414" s="9"/>
      <c r="P414" s="9"/>
      <c r="Q414" s="9"/>
      <c r="R414" s="9"/>
      <c r="S414" s="9"/>
    </row>
    <row r="415" spans="1:20">
      <c r="A415" s="9"/>
      <c r="B415" s="9"/>
      <c r="C415" s="9"/>
      <c r="D415" s="9"/>
      <c r="E415" s="9"/>
      <c r="F415" s="9"/>
      <c r="G415" s="9"/>
      <c r="H415" s="9"/>
      <c r="I415" s="9"/>
      <c r="J415" s="9"/>
      <c r="K415" s="9"/>
      <c r="L415" s="9"/>
      <c r="M415" s="9"/>
      <c r="N415" s="9"/>
      <c r="O415" s="9"/>
      <c r="P415" s="9"/>
      <c r="Q415" s="9"/>
      <c r="R415" s="9"/>
      <c r="S415" s="9"/>
    </row>
    <row r="416" spans="1:20">
      <c r="A416" s="9"/>
      <c r="B416" s="9"/>
      <c r="C416" s="9"/>
      <c r="D416" s="9"/>
      <c r="E416" s="9"/>
      <c r="F416" s="9"/>
      <c r="G416" s="9"/>
      <c r="H416" s="9"/>
      <c r="I416" s="9"/>
      <c r="J416" s="9"/>
      <c r="K416" s="9"/>
      <c r="L416" s="9"/>
      <c r="M416" s="9"/>
      <c r="N416" s="9"/>
      <c r="O416" s="9"/>
      <c r="P416" s="9"/>
      <c r="Q416" s="9"/>
      <c r="R416" s="9"/>
      <c r="S416" s="9"/>
    </row>
    <row r="417" spans="1:19">
      <c r="A417" s="9"/>
      <c r="B417" s="9"/>
      <c r="C417" s="9"/>
      <c r="D417" s="9"/>
      <c r="E417" s="9"/>
      <c r="F417" s="9"/>
      <c r="G417" s="9"/>
      <c r="H417" s="9"/>
      <c r="I417" s="9"/>
      <c r="J417" s="9"/>
      <c r="K417" s="9"/>
      <c r="L417" s="9"/>
      <c r="M417" s="9"/>
      <c r="N417" s="9"/>
      <c r="O417" s="9"/>
      <c r="P417" s="9"/>
      <c r="Q417" s="9"/>
      <c r="R417" s="9"/>
      <c r="S417" s="9"/>
    </row>
    <row r="418" spans="1:19">
      <c r="A418" s="9"/>
      <c r="B418" s="9"/>
      <c r="C418" s="9"/>
      <c r="D418" s="9"/>
      <c r="E418" s="9"/>
      <c r="F418" s="9"/>
      <c r="G418" s="9"/>
      <c r="H418" s="9"/>
      <c r="I418" s="9"/>
      <c r="J418" s="9"/>
      <c r="K418" s="9"/>
      <c r="L418" s="9"/>
      <c r="M418" s="9"/>
      <c r="N418" s="9"/>
      <c r="O418" s="9"/>
      <c r="P418" s="9"/>
      <c r="Q418" s="9"/>
      <c r="R418" s="9"/>
      <c r="S418" s="9"/>
    </row>
    <row r="419" spans="1:19">
      <c r="A419" s="388"/>
      <c r="B419" s="388"/>
      <c r="C419" s="388"/>
      <c r="D419" s="388"/>
      <c r="E419" s="388"/>
      <c r="F419" s="388"/>
      <c r="G419" s="388"/>
      <c r="H419" s="388"/>
      <c r="I419" s="388"/>
      <c r="J419" s="388"/>
      <c r="K419" s="388"/>
      <c r="L419" s="388"/>
      <c r="M419" s="388"/>
      <c r="N419" s="388"/>
      <c r="O419" s="388"/>
      <c r="P419" s="388"/>
      <c r="Q419" s="388"/>
      <c r="R419" s="388"/>
      <c r="S419" s="388"/>
    </row>
    <row r="420" spans="1:19">
      <c r="A420" s="388"/>
      <c r="B420" s="388"/>
      <c r="C420" s="388"/>
      <c r="D420" s="388"/>
      <c r="E420" s="388"/>
      <c r="F420" s="388"/>
      <c r="G420" s="388"/>
      <c r="H420" s="388"/>
      <c r="I420" s="388"/>
      <c r="J420" s="388"/>
      <c r="K420" s="388"/>
      <c r="L420" s="388"/>
      <c r="M420" s="388"/>
      <c r="N420" s="388"/>
      <c r="O420" s="388"/>
      <c r="P420" s="388"/>
      <c r="Q420" s="388"/>
      <c r="R420" s="388"/>
      <c r="S420" s="388"/>
    </row>
    <row r="421" spans="1:19">
      <c r="A421" s="388"/>
      <c r="B421" s="388"/>
      <c r="C421" s="388"/>
      <c r="D421" s="388"/>
      <c r="E421" s="388"/>
      <c r="F421" s="388"/>
      <c r="G421" s="388"/>
      <c r="H421" s="388"/>
      <c r="I421" s="388"/>
      <c r="J421" s="388"/>
      <c r="K421" s="388"/>
      <c r="L421" s="388"/>
      <c r="M421" s="388"/>
      <c r="N421" s="388"/>
      <c r="O421" s="388"/>
      <c r="P421" s="388"/>
      <c r="Q421" s="388"/>
      <c r="R421" s="388"/>
      <c r="S421" s="388"/>
    </row>
    <row r="422" spans="1:19">
      <c r="A422" s="388"/>
      <c r="B422" s="388"/>
      <c r="C422" s="388"/>
      <c r="D422" s="388"/>
      <c r="E422" s="388"/>
      <c r="F422" s="388"/>
      <c r="G422" s="388"/>
      <c r="H422" s="388"/>
      <c r="I422" s="388"/>
      <c r="J422" s="388"/>
      <c r="K422" s="388"/>
      <c r="L422" s="388"/>
      <c r="M422" s="388"/>
      <c r="N422" s="388"/>
      <c r="O422" s="388"/>
      <c r="P422" s="388"/>
      <c r="Q422" s="388"/>
      <c r="R422" s="388"/>
      <c r="S422" s="388"/>
    </row>
    <row r="423" spans="1:19">
      <c r="A423" s="388"/>
      <c r="B423" s="388"/>
      <c r="C423" s="388"/>
      <c r="D423" s="388"/>
      <c r="E423" s="388"/>
      <c r="F423" s="388"/>
      <c r="G423" s="388"/>
      <c r="H423" s="388"/>
      <c r="I423" s="388"/>
      <c r="J423" s="388"/>
      <c r="K423" s="388"/>
      <c r="L423" s="388"/>
      <c r="M423" s="388"/>
      <c r="N423" s="388"/>
      <c r="O423" s="388"/>
      <c r="P423" s="388"/>
      <c r="Q423" s="388"/>
      <c r="R423" s="388"/>
      <c r="S423" s="388"/>
    </row>
    <row r="424" spans="1:19">
      <c r="A424" s="388"/>
      <c r="B424" s="388"/>
      <c r="C424" s="388"/>
      <c r="D424" s="388"/>
      <c r="E424" s="388"/>
      <c r="F424" s="388"/>
      <c r="G424" s="388"/>
      <c r="H424" s="388"/>
      <c r="I424" s="388"/>
      <c r="J424" s="388"/>
      <c r="K424" s="388"/>
      <c r="L424" s="388"/>
      <c r="M424" s="388"/>
      <c r="N424" s="388"/>
      <c r="O424" s="388"/>
      <c r="P424" s="388"/>
      <c r="Q424" s="388"/>
      <c r="R424" s="388"/>
      <c r="S424" s="388"/>
    </row>
    <row r="425" spans="1:19" ht="15.75" thickBot="1">
      <c r="A425" s="388"/>
      <c r="B425" s="388"/>
      <c r="C425" s="388"/>
      <c r="D425" s="388"/>
      <c r="E425" s="388"/>
      <c r="F425" s="388"/>
      <c r="G425" s="388"/>
      <c r="H425" s="388"/>
      <c r="I425" s="388"/>
      <c r="J425" s="388"/>
      <c r="K425" s="388"/>
      <c r="L425" s="388"/>
      <c r="M425" s="388"/>
      <c r="N425" s="388"/>
      <c r="O425" s="388"/>
      <c r="P425" s="388"/>
      <c r="Q425" s="388"/>
      <c r="R425" s="388"/>
      <c r="S425" s="388"/>
    </row>
    <row r="426" spans="1:19" ht="27" thickBot="1">
      <c r="A426" s="1228" t="s">
        <v>592</v>
      </c>
      <c r="B426" s="1229"/>
      <c r="C426" s="1229"/>
      <c r="D426" s="1229"/>
      <c r="E426" s="1229"/>
      <c r="F426" s="1229"/>
      <c r="G426" s="1229"/>
      <c r="H426" s="1229"/>
      <c r="I426" s="1230"/>
      <c r="J426" s="538"/>
      <c r="K426" s="1228" t="s">
        <v>592</v>
      </c>
      <c r="L426" s="1229"/>
      <c r="M426" s="1229"/>
      <c r="N426" s="1229"/>
      <c r="O426" s="1229"/>
      <c r="P426" s="1229"/>
      <c r="Q426" s="1229"/>
      <c r="R426" s="1229"/>
      <c r="S426" s="1230"/>
    </row>
    <row r="427" spans="1:19">
      <c r="A427" s="1231" t="s">
        <v>593</v>
      </c>
      <c r="B427" s="1232"/>
      <c r="C427" s="1232"/>
      <c r="D427" s="1232"/>
      <c r="E427" s="1232"/>
      <c r="F427" s="1232"/>
      <c r="G427" s="1232"/>
      <c r="H427" s="1232"/>
      <c r="I427" s="1233"/>
      <c r="J427" s="9"/>
      <c r="K427" s="1231" t="s">
        <v>593</v>
      </c>
      <c r="L427" s="1232"/>
      <c r="M427" s="1232"/>
      <c r="N427" s="1232"/>
      <c r="O427" s="1232"/>
      <c r="P427" s="1232"/>
      <c r="Q427" s="1232"/>
      <c r="R427" s="1232"/>
      <c r="S427" s="1233"/>
    </row>
    <row r="428" spans="1:19">
      <c r="A428" s="441"/>
      <c r="B428" s="9"/>
      <c r="C428" s="9"/>
      <c r="D428" s="9"/>
      <c r="E428" s="9"/>
      <c r="F428" s="9"/>
      <c r="G428" s="9"/>
      <c r="H428" s="9"/>
      <c r="I428" s="442"/>
      <c r="J428" s="9"/>
      <c r="K428" s="441"/>
      <c r="L428" s="9"/>
      <c r="M428" s="9"/>
      <c r="N428" s="9"/>
      <c r="O428" s="9"/>
      <c r="P428" s="9"/>
      <c r="Q428" s="9"/>
      <c r="R428" s="9"/>
      <c r="S428" s="442"/>
    </row>
    <row r="429" spans="1:19">
      <c r="A429" s="539" t="s">
        <v>49</v>
      </c>
      <c r="B429" s="421"/>
      <c r="C429" s="421"/>
      <c r="D429" s="419" t="s">
        <v>382</v>
      </c>
      <c r="E429" s="9"/>
      <c r="F429" s="9"/>
      <c r="G429" s="9"/>
      <c r="H429" s="9"/>
      <c r="I429" s="442"/>
      <c r="J429" s="9"/>
      <c r="K429" s="539" t="s">
        <v>49</v>
      </c>
      <c r="L429" s="421"/>
      <c r="M429" s="421"/>
      <c r="N429" s="419" t="s">
        <v>382</v>
      </c>
      <c r="O429" s="9"/>
      <c r="P429" s="9"/>
      <c r="Q429" s="9"/>
      <c r="R429" s="9"/>
      <c r="S429" s="442"/>
    </row>
    <row r="430" spans="1:19">
      <c r="A430" s="539"/>
      <c r="B430" s="421"/>
      <c r="C430" s="421"/>
      <c r="D430" s="421" t="s">
        <v>383</v>
      </c>
      <c r="E430" s="9"/>
      <c r="F430" s="9"/>
      <c r="G430" s="9"/>
      <c r="H430" s="9"/>
      <c r="I430" s="442"/>
      <c r="J430" s="9"/>
      <c r="K430" s="539"/>
      <c r="L430" s="421"/>
      <c r="M430" s="421"/>
      <c r="N430" s="421" t="s">
        <v>383</v>
      </c>
      <c r="O430" s="9"/>
      <c r="P430" s="9"/>
      <c r="Q430" s="9"/>
      <c r="R430" s="9"/>
      <c r="S430" s="442"/>
    </row>
    <row r="431" spans="1:19">
      <c r="A431" s="539"/>
      <c r="B431" s="421"/>
      <c r="C431" s="421"/>
      <c r="D431" s="421"/>
      <c r="E431" s="421"/>
      <c r="F431" s="9"/>
      <c r="G431" s="9"/>
      <c r="H431" s="9"/>
      <c r="I431" s="442"/>
      <c r="J431" s="9"/>
      <c r="K431" s="539"/>
      <c r="L431" s="421"/>
      <c r="M431" s="421"/>
      <c r="N431" s="421"/>
      <c r="O431" s="421"/>
      <c r="P431" s="9"/>
      <c r="Q431" s="9"/>
      <c r="R431" s="9"/>
      <c r="S431" s="442"/>
    </row>
    <row r="432" spans="1:19">
      <c r="A432" s="1234" t="s">
        <v>50</v>
      </c>
      <c r="B432" s="1227"/>
      <c r="C432" s="1227"/>
      <c r="D432" s="1227"/>
      <c r="E432" s="421"/>
      <c r="F432" s="9"/>
      <c r="G432" s="9"/>
      <c r="H432" s="9"/>
      <c r="I432" s="442"/>
      <c r="J432" s="9"/>
      <c r="K432" s="1234" t="s">
        <v>50</v>
      </c>
      <c r="L432" s="1227"/>
      <c r="M432" s="1227"/>
      <c r="N432" s="1227"/>
      <c r="O432" s="421"/>
      <c r="P432" s="9"/>
      <c r="Q432" s="9"/>
      <c r="R432" s="9"/>
      <c r="S432" s="442"/>
    </row>
    <row r="433" spans="1:19">
      <c r="A433" s="1234"/>
      <c r="B433" s="1227"/>
      <c r="C433" s="1227"/>
      <c r="D433" s="1227"/>
      <c r="E433" s="540" t="str">
        <f>'04-221Master'!B24</f>
        <v>Basweshwar Pawar</v>
      </c>
      <c r="F433" s="498"/>
      <c r="G433" s="498"/>
      <c r="H433" s="498" t="str">
        <f>'04-221Master'!E24</f>
        <v>Nandakumar eknath pawar</v>
      </c>
      <c r="I433" s="442"/>
      <c r="J433" s="9"/>
      <c r="K433" s="1234"/>
      <c r="L433" s="1227"/>
      <c r="M433" s="1227"/>
      <c r="N433" s="1227"/>
      <c r="O433" s="540" t="str">
        <f>E433</f>
        <v>Basweshwar Pawar</v>
      </c>
      <c r="P433" s="498"/>
      <c r="Q433" s="498"/>
      <c r="R433" s="498" t="str">
        <f>H433</f>
        <v>Nandakumar eknath pawar</v>
      </c>
      <c r="S433" s="442"/>
    </row>
    <row r="434" spans="1:19">
      <c r="A434" s="539"/>
      <c r="B434" s="421"/>
      <c r="C434" s="421"/>
      <c r="D434" s="421"/>
      <c r="E434" s="421"/>
      <c r="F434" s="9"/>
      <c r="G434" s="9"/>
      <c r="H434" s="9"/>
      <c r="I434" s="442"/>
      <c r="J434" s="9"/>
      <c r="K434" s="539"/>
      <c r="L434" s="421"/>
      <c r="M434" s="421"/>
      <c r="N434" s="421"/>
      <c r="O434" s="421"/>
      <c r="P434" s="9"/>
      <c r="Q434" s="9"/>
      <c r="R434" s="9"/>
      <c r="S434" s="442"/>
    </row>
    <row r="435" spans="1:19">
      <c r="A435" s="1226" t="s">
        <v>51</v>
      </c>
      <c r="B435" s="1223"/>
      <c r="C435" s="1223"/>
      <c r="D435" s="1223"/>
      <c r="E435" s="423" t="s">
        <v>373</v>
      </c>
      <c r="F435" s="498"/>
      <c r="G435" s="498"/>
      <c r="H435" s="498"/>
      <c r="I435" s="442"/>
      <c r="J435" s="9"/>
      <c r="K435" s="1226" t="s">
        <v>51</v>
      </c>
      <c r="L435" s="1223"/>
      <c r="M435" s="1223"/>
      <c r="N435" s="1223"/>
      <c r="O435" s="540" t="str">
        <f>E435</f>
        <v>IT SUPPORTIVE SERVICES</v>
      </c>
      <c r="P435" s="498"/>
      <c r="Q435" s="498"/>
      <c r="R435" s="498"/>
      <c r="S435" s="442"/>
    </row>
    <row r="436" spans="1:19">
      <c r="A436" s="539"/>
      <c r="B436" s="421"/>
      <c r="C436" s="421"/>
      <c r="D436" s="421"/>
      <c r="E436" s="421"/>
      <c r="F436" s="9"/>
      <c r="G436" s="9"/>
      <c r="H436" s="9"/>
      <c r="I436" s="442"/>
      <c r="J436" s="9"/>
      <c r="K436" s="539"/>
      <c r="L436" s="421"/>
      <c r="M436" s="421"/>
      <c r="N436" s="421"/>
      <c r="O436" s="421"/>
      <c r="P436" s="9"/>
      <c r="Q436" s="9"/>
      <c r="R436" s="9"/>
      <c r="S436" s="442"/>
    </row>
    <row r="437" spans="1:19">
      <c r="A437" s="1226" t="s">
        <v>52</v>
      </c>
      <c r="B437" s="1223"/>
      <c r="C437" s="1223"/>
      <c r="D437" s="1223"/>
      <c r="E437" s="541">
        <f>'04-221Master'!D10</f>
        <v>44652</v>
      </c>
      <c r="F437" s="498"/>
      <c r="G437" s="498"/>
      <c r="H437" s="498"/>
      <c r="I437" s="442"/>
      <c r="J437" s="9"/>
      <c r="K437" s="1226" t="s">
        <v>52</v>
      </c>
      <c r="L437" s="1223"/>
      <c r="M437" s="1223"/>
      <c r="N437" s="1223"/>
      <c r="O437" s="541">
        <f>E437</f>
        <v>44652</v>
      </c>
      <c r="P437" s="498"/>
      <c r="Q437" s="498"/>
      <c r="R437" s="498"/>
      <c r="S437" s="442"/>
    </row>
    <row r="438" spans="1:19">
      <c r="A438" s="539"/>
      <c r="B438" s="421"/>
      <c r="C438" s="421"/>
      <c r="D438" s="421"/>
      <c r="E438" s="421"/>
      <c r="F438" s="9"/>
      <c r="G438" s="9"/>
      <c r="H438" s="9"/>
      <c r="I438" s="442"/>
      <c r="J438" s="9"/>
      <c r="K438" s="539"/>
      <c r="L438" s="421"/>
      <c r="M438" s="421"/>
      <c r="N438" s="421"/>
      <c r="O438" s="421"/>
      <c r="P438" s="9"/>
      <c r="Q438" s="9"/>
      <c r="R438" s="9"/>
      <c r="S438" s="442"/>
    </row>
    <row r="439" spans="1:19">
      <c r="A439" s="542">
        <v>1</v>
      </c>
      <c r="B439" s="1223" t="s">
        <v>53</v>
      </c>
      <c r="C439" s="1223"/>
      <c r="D439" s="1223"/>
      <c r="E439" s="543">
        <f>'04-221Master'!W24</f>
        <v>30</v>
      </c>
      <c r="F439" s="498"/>
      <c r="G439" s="498"/>
      <c r="H439" s="498"/>
      <c r="I439" s="442"/>
      <c r="J439" s="9"/>
      <c r="K439" s="542">
        <v>1</v>
      </c>
      <c r="L439" s="1223" t="s">
        <v>53</v>
      </c>
      <c r="M439" s="1223"/>
      <c r="N439" s="1223"/>
      <c r="O439" s="543">
        <f>E439</f>
        <v>30</v>
      </c>
      <c r="P439" s="498"/>
      <c r="Q439" s="498"/>
      <c r="R439" s="498"/>
      <c r="S439" s="442"/>
    </row>
    <row r="440" spans="1:19">
      <c r="A440" s="542"/>
      <c r="B440" s="421"/>
      <c r="C440" s="421"/>
      <c r="D440" s="421"/>
      <c r="E440" s="421"/>
      <c r="F440" s="9"/>
      <c r="G440" s="9"/>
      <c r="H440" s="9"/>
      <c r="I440" s="442"/>
      <c r="J440" s="9"/>
      <c r="K440" s="542"/>
      <c r="L440" s="421"/>
      <c r="M440" s="421"/>
      <c r="N440" s="421"/>
      <c r="O440" s="421"/>
      <c r="P440" s="9"/>
      <c r="Q440" s="9"/>
      <c r="R440" s="9"/>
      <c r="S440" s="442"/>
    </row>
    <row r="441" spans="1:19">
      <c r="A441" s="542">
        <v>2</v>
      </c>
      <c r="B441" s="1227" t="s">
        <v>54</v>
      </c>
      <c r="C441" s="1227"/>
      <c r="D441" s="1227"/>
      <c r="E441" s="421"/>
      <c r="F441" s="9"/>
      <c r="G441" s="9"/>
      <c r="H441" s="9"/>
      <c r="I441" s="442"/>
      <c r="J441" s="9"/>
      <c r="K441" s="542">
        <v>2</v>
      </c>
      <c r="L441" s="1227" t="s">
        <v>54</v>
      </c>
      <c r="M441" s="1227"/>
      <c r="N441" s="1227"/>
      <c r="O441" s="421"/>
      <c r="P441" s="9"/>
      <c r="Q441" s="9"/>
      <c r="R441" s="9"/>
      <c r="S441" s="442"/>
    </row>
    <row r="442" spans="1:19">
      <c r="A442" s="542"/>
      <c r="B442" s="1227"/>
      <c r="C442" s="1227"/>
      <c r="D442" s="1227"/>
      <c r="E442" s="544" t="s">
        <v>37</v>
      </c>
      <c r="F442" s="498"/>
      <c r="G442" s="498"/>
      <c r="H442" s="498"/>
      <c r="I442" s="442"/>
      <c r="J442" s="9"/>
      <c r="K442" s="542"/>
      <c r="L442" s="1227"/>
      <c r="M442" s="1227"/>
      <c r="N442" s="1227"/>
      <c r="O442" s="544" t="s">
        <v>37</v>
      </c>
      <c r="P442" s="498"/>
      <c r="Q442" s="498"/>
      <c r="R442" s="498"/>
      <c r="S442" s="442"/>
    </row>
    <row r="443" spans="1:19">
      <c r="A443" s="542"/>
      <c r="B443" s="421"/>
      <c r="C443" s="421"/>
      <c r="D443" s="421"/>
      <c r="E443" s="421"/>
      <c r="F443" s="9"/>
      <c r="G443" s="9"/>
      <c r="H443" s="9"/>
      <c r="I443" s="442"/>
      <c r="J443" s="9"/>
      <c r="K443" s="542"/>
      <c r="L443" s="421"/>
      <c r="M443" s="421"/>
      <c r="N443" s="421"/>
      <c r="O443" s="421"/>
      <c r="P443" s="9"/>
      <c r="Q443" s="9"/>
      <c r="R443" s="9"/>
      <c r="S443" s="442"/>
    </row>
    <row r="444" spans="1:19">
      <c r="A444" s="542">
        <v>3</v>
      </c>
      <c r="B444" s="1223" t="s">
        <v>55</v>
      </c>
      <c r="C444" s="1223"/>
      <c r="D444" s="1223"/>
      <c r="E444" s="544" t="s">
        <v>37</v>
      </c>
      <c r="F444" s="498"/>
      <c r="G444" s="498"/>
      <c r="H444" s="498"/>
      <c r="I444" s="442"/>
      <c r="J444" s="9"/>
      <c r="K444" s="542">
        <v>3</v>
      </c>
      <c r="L444" s="1223" t="s">
        <v>55</v>
      </c>
      <c r="M444" s="1223"/>
      <c r="N444" s="1223"/>
      <c r="O444" s="540" t="str">
        <f>E444</f>
        <v>N/A</v>
      </c>
      <c r="P444" s="498"/>
      <c r="Q444" s="498"/>
      <c r="R444" s="498"/>
      <c r="S444" s="442"/>
    </row>
    <row r="445" spans="1:19">
      <c r="A445" s="542"/>
      <c r="B445" s="421"/>
      <c r="C445" s="421"/>
      <c r="D445" s="421"/>
      <c r="E445" s="421"/>
      <c r="F445" s="9"/>
      <c r="G445" s="9"/>
      <c r="H445" s="9"/>
      <c r="I445" s="442"/>
      <c r="J445" s="9"/>
      <c r="K445" s="542"/>
      <c r="L445" s="421"/>
      <c r="M445" s="421"/>
      <c r="N445" s="421"/>
      <c r="O445" s="421"/>
      <c r="P445" s="9"/>
      <c r="Q445" s="9"/>
      <c r="R445" s="9"/>
      <c r="S445" s="442"/>
    </row>
    <row r="446" spans="1:19">
      <c r="A446" s="542">
        <v>4</v>
      </c>
      <c r="B446" s="1223" t="s">
        <v>56</v>
      </c>
      <c r="C446" s="1223"/>
      <c r="D446" s="1223"/>
      <c r="E446" s="544" t="s">
        <v>57</v>
      </c>
      <c r="F446" s="498"/>
      <c r="G446" s="498"/>
      <c r="H446" s="498"/>
      <c r="I446" s="442"/>
      <c r="J446" s="9"/>
      <c r="K446" s="542">
        <v>4</v>
      </c>
      <c r="L446" s="1223" t="s">
        <v>56</v>
      </c>
      <c r="M446" s="1223"/>
      <c r="N446" s="1223"/>
      <c r="O446" s="544" t="s">
        <v>57</v>
      </c>
      <c r="P446" s="498"/>
      <c r="Q446" s="498"/>
      <c r="R446" s="498"/>
      <c r="S446" s="442"/>
    </row>
    <row r="447" spans="1:19">
      <c r="A447" s="542"/>
      <c r="B447" s="421"/>
      <c r="C447" s="421"/>
      <c r="D447" s="421"/>
      <c r="E447" s="421"/>
      <c r="F447" s="9"/>
      <c r="G447" s="9"/>
      <c r="H447" s="9"/>
      <c r="I447" s="442"/>
      <c r="J447" s="9"/>
      <c r="K447" s="542"/>
      <c r="L447" s="421"/>
      <c r="M447" s="421"/>
      <c r="N447" s="421"/>
      <c r="O447" s="421"/>
      <c r="P447" s="9"/>
      <c r="Q447" s="9"/>
      <c r="R447" s="9"/>
      <c r="S447" s="442"/>
    </row>
    <row r="448" spans="1:19">
      <c r="A448" s="542">
        <v>5</v>
      </c>
      <c r="B448" s="1223" t="s">
        <v>58</v>
      </c>
      <c r="C448" s="1223"/>
      <c r="D448" s="1223"/>
      <c r="E448" s="492">
        <f>'04-221Master'!AM24</f>
        <v>98276.28542</v>
      </c>
      <c r="F448" s="9"/>
      <c r="G448" s="9"/>
      <c r="H448" s="9"/>
      <c r="I448" s="442"/>
      <c r="J448" s="9"/>
      <c r="K448" s="542">
        <v>5</v>
      </c>
      <c r="L448" s="1223" t="s">
        <v>58</v>
      </c>
      <c r="M448" s="1223"/>
      <c r="N448" s="1223"/>
      <c r="O448" s="492">
        <f>E448</f>
        <v>98276.28542</v>
      </c>
      <c r="P448" s="9"/>
      <c r="Q448" s="9"/>
      <c r="R448" s="9"/>
      <c r="S448" s="442"/>
    </row>
    <row r="449" spans="1:19">
      <c r="A449" s="542"/>
      <c r="B449" s="421"/>
      <c r="C449" s="421"/>
      <c r="D449" s="493" t="s">
        <v>59</v>
      </c>
      <c r="E449" s="493" t="s">
        <v>31</v>
      </c>
      <c r="F449" s="493" t="s">
        <v>33</v>
      </c>
      <c r="G449" s="493" t="s">
        <v>34</v>
      </c>
      <c r="H449" s="493" t="s">
        <v>377</v>
      </c>
      <c r="I449" s="494" t="s">
        <v>378</v>
      </c>
      <c r="J449" s="9"/>
      <c r="K449" s="542"/>
      <c r="L449" s="421"/>
      <c r="M449" s="421"/>
      <c r="N449" s="493" t="s">
        <v>59</v>
      </c>
      <c r="O449" s="493" t="s">
        <v>31</v>
      </c>
      <c r="P449" s="493" t="s">
        <v>33</v>
      </c>
      <c r="Q449" s="493" t="s">
        <v>34</v>
      </c>
      <c r="R449" s="493" t="s">
        <v>377</v>
      </c>
      <c r="S449" s="494" t="s">
        <v>378</v>
      </c>
    </row>
    <row r="450" spans="1:19">
      <c r="A450" s="542">
        <v>6</v>
      </c>
      <c r="B450" s="530" t="s">
        <v>60</v>
      </c>
      <c r="C450" s="530"/>
      <c r="D450" s="495">
        <f>'04-221Master'!AO24</f>
        <v>1800</v>
      </c>
      <c r="E450" s="495">
        <f>'04-221Master'!AN24</f>
        <v>0</v>
      </c>
      <c r="F450" s="496">
        <f>'04-221Master'!AP24</f>
        <v>200</v>
      </c>
      <c r="G450" s="495">
        <f>'04-221Master'!AQ24</f>
        <v>0</v>
      </c>
      <c r="H450" s="496">
        <f>'04-221Master'!AR24</f>
        <v>224</v>
      </c>
      <c r="I450" s="496">
        <f>SUM(D450:H450)</f>
        <v>2224</v>
      </c>
      <c r="J450" s="9"/>
      <c r="K450" s="542">
        <v>6</v>
      </c>
      <c r="L450" s="530" t="s">
        <v>60</v>
      </c>
      <c r="M450" s="530"/>
      <c r="N450" s="495">
        <f t="shared" ref="N450" si="39">D450</f>
        <v>1800</v>
      </c>
      <c r="O450" s="495">
        <f t="shared" ref="O450" si="40">E450</f>
        <v>0</v>
      </c>
      <c r="P450" s="496">
        <f t="shared" ref="P450" si="41">F450</f>
        <v>200</v>
      </c>
      <c r="Q450" s="495">
        <f t="shared" ref="Q450" si="42">G450</f>
        <v>0</v>
      </c>
      <c r="R450" s="496">
        <f t="shared" ref="R450" si="43">H450</f>
        <v>224</v>
      </c>
      <c r="S450" s="496">
        <f t="shared" ref="S450" si="44">I450</f>
        <v>2224</v>
      </c>
    </row>
    <row r="451" spans="1:19">
      <c r="A451" s="542"/>
      <c r="B451" s="421"/>
      <c r="C451" s="421"/>
      <c r="D451" s="421"/>
      <c r="E451" s="421"/>
      <c r="F451" s="9"/>
      <c r="G451" s="9"/>
      <c r="H451" s="9"/>
      <c r="I451" s="442"/>
      <c r="J451" s="9"/>
      <c r="K451" s="542"/>
      <c r="L451" s="421"/>
      <c r="M451" s="421"/>
      <c r="N451" s="421"/>
      <c r="O451" s="421"/>
      <c r="P451" s="9"/>
      <c r="Q451" s="9"/>
      <c r="R451" s="9"/>
      <c r="S451" s="442"/>
    </row>
    <row r="452" spans="1:19">
      <c r="A452" s="542">
        <v>7</v>
      </c>
      <c r="B452" s="1223" t="s">
        <v>61</v>
      </c>
      <c r="C452" s="1223"/>
      <c r="D452" s="1223"/>
      <c r="E452" s="497">
        <f>E448-I450</f>
        <v>96052.28542</v>
      </c>
      <c r="F452" s="498"/>
      <c r="G452" s="498"/>
      <c r="H452" s="498"/>
      <c r="I452" s="442"/>
      <c r="J452" s="9"/>
      <c r="K452" s="542">
        <v>7</v>
      </c>
      <c r="L452" s="1223" t="s">
        <v>61</v>
      </c>
      <c r="M452" s="1223"/>
      <c r="N452" s="1223"/>
      <c r="O452" s="497">
        <f>E452</f>
        <v>96052.28542</v>
      </c>
      <c r="P452" s="498"/>
      <c r="Q452" s="498"/>
      <c r="R452" s="498"/>
      <c r="S452" s="442"/>
    </row>
    <row r="453" spans="1:19">
      <c r="A453" s="441"/>
      <c r="B453" s="9"/>
      <c r="C453" s="9"/>
      <c r="D453" s="9"/>
      <c r="E453" s="9"/>
      <c r="F453" s="9"/>
      <c r="G453" s="9"/>
      <c r="H453" s="9"/>
      <c r="I453" s="442"/>
      <c r="J453" s="9"/>
      <c r="K453" s="441"/>
      <c r="L453" s="9"/>
      <c r="M453" s="9"/>
      <c r="N453" s="9"/>
      <c r="O453" s="9"/>
      <c r="P453" s="9"/>
      <c r="Q453" s="9"/>
      <c r="R453" s="9"/>
      <c r="S453" s="442"/>
    </row>
    <row r="454" spans="1:19">
      <c r="A454" s="441"/>
      <c r="B454" s="9"/>
      <c r="C454" s="9"/>
      <c r="D454" s="9"/>
      <c r="E454" s="9"/>
      <c r="F454" s="9"/>
      <c r="G454" s="9"/>
      <c r="H454" s="9"/>
      <c r="I454" s="442"/>
      <c r="J454" s="9"/>
      <c r="K454" s="441"/>
      <c r="L454" s="9"/>
      <c r="M454" s="9"/>
      <c r="N454" s="9"/>
      <c r="O454" s="9"/>
      <c r="P454" s="9"/>
      <c r="Q454" s="9"/>
      <c r="R454" s="9"/>
      <c r="S454" s="442"/>
    </row>
    <row r="455" spans="1:19" ht="15.75" thickBot="1">
      <c r="A455" s="441"/>
      <c r="B455" s="9"/>
      <c r="C455" s="9"/>
      <c r="D455" s="9"/>
      <c r="E455" s="9"/>
      <c r="F455" s="444"/>
      <c r="G455" s="444"/>
      <c r="H455" s="444"/>
      <c r="I455" s="445"/>
      <c r="J455" s="9"/>
      <c r="K455" s="441"/>
      <c r="L455" s="9"/>
      <c r="M455" s="9"/>
      <c r="N455" s="9"/>
      <c r="O455" s="9"/>
      <c r="P455" s="444"/>
      <c r="Q455" s="444"/>
      <c r="R455" s="444"/>
      <c r="S455" s="445"/>
    </row>
    <row r="456" spans="1:19" ht="15.75" thickBot="1">
      <c r="A456" s="443"/>
      <c r="B456" s="444"/>
      <c r="C456" s="444"/>
      <c r="D456" s="444"/>
      <c r="E456" s="444"/>
      <c r="F456" s="1224" t="s">
        <v>62</v>
      </c>
      <c r="G456" s="1224"/>
      <c r="H456" s="1224"/>
      <c r="I456" s="1225"/>
      <c r="J456" s="9"/>
      <c r="K456" s="443"/>
      <c r="L456" s="444"/>
      <c r="M456" s="444"/>
      <c r="N456" s="444"/>
      <c r="O456" s="444"/>
      <c r="P456" s="1224" t="s">
        <v>62</v>
      </c>
      <c r="Q456" s="1224"/>
      <c r="R456" s="1224"/>
      <c r="S456" s="1225"/>
    </row>
    <row r="457" spans="1:19">
      <c r="A457" s="9"/>
      <c r="B457" s="9"/>
      <c r="C457" s="9"/>
      <c r="D457" s="9"/>
      <c r="E457" s="9"/>
      <c r="F457" s="9"/>
      <c r="G457" s="9"/>
      <c r="H457" s="9"/>
      <c r="I457" s="9"/>
      <c r="J457" s="9"/>
      <c r="K457" s="9"/>
      <c r="L457" s="9"/>
      <c r="M457" s="9"/>
      <c r="N457" s="9"/>
      <c r="O457" s="9"/>
      <c r="P457" s="9"/>
      <c r="Q457" s="9"/>
      <c r="R457" s="9"/>
      <c r="S457" s="9"/>
    </row>
    <row r="458" spans="1:19">
      <c r="A458" s="9"/>
      <c r="B458" s="9"/>
      <c r="C458" s="9"/>
      <c r="D458" s="9"/>
      <c r="E458" s="9"/>
      <c r="F458" s="9"/>
      <c r="G458" s="9"/>
      <c r="H458" s="9"/>
      <c r="I458" s="9"/>
      <c r="J458" s="9"/>
      <c r="K458" s="9"/>
      <c r="L458" s="9"/>
      <c r="M458" s="9"/>
      <c r="N458" s="9"/>
      <c r="O458" s="9"/>
      <c r="P458" s="9"/>
      <c r="Q458" s="9"/>
      <c r="R458" s="9"/>
      <c r="S458" s="9"/>
    </row>
    <row r="459" spans="1:19">
      <c r="A459" s="9"/>
      <c r="B459" s="9"/>
      <c r="C459" s="9"/>
      <c r="D459" s="9"/>
      <c r="E459" s="9"/>
      <c r="F459" s="9"/>
      <c r="G459" s="9"/>
      <c r="H459" s="9"/>
      <c r="I459" s="9"/>
      <c r="J459" s="9"/>
      <c r="K459" s="9"/>
      <c r="L459" s="9"/>
      <c r="M459" s="9"/>
      <c r="N459" s="9"/>
      <c r="O459" s="9"/>
      <c r="P459" s="9"/>
      <c r="Q459" s="9"/>
      <c r="R459" s="9"/>
      <c r="S459" s="9"/>
    </row>
    <row r="460" spans="1:19">
      <c r="A460" s="9"/>
      <c r="B460" s="9"/>
      <c r="C460" s="9"/>
      <c r="D460" s="9"/>
      <c r="E460" s="9"/>
      <c r="F460" s="9"/>
      <c r="G460" s="9"/>
      <c r="H460" s="9"/>
      <c r="I460" s="9"/>
      <c r="J460" s="9"/>
      <c r="K460" s="9"/>
      <c r="L460" s="9"/>
      <c r="M460" s="9"/>
      <c r="N460" s="9"/>
      <c r="O460" s="9"/>
      <c r="P460" s="9"/>
      <c r="Q460" s="9"/>
      <c r="R460" s="9"/>
      <c r="S460" s="9"/>
    </row>
    <row r="461" spans="1:19">
      <c r="A461" s="9"/>
      <c r="B461" s="9"/>
      <c r="C461" s="9"/>
      <c r="D461" s="9"/>
      <c r="E461" s="9"/>
      <c r="F461" s="9"/>
      <c r="G461" s="9"/>
      <c r="H461" s="9"/>
      <c r="I461" s="9"/>
      <c r="J461" s="9"/>
      <c r="K461" s="9"/>
      <c r="L461" s="9"/>
      <c r="M461" s="9"/>
      <c r="N461" s="9"/>
      <c r="O461" s="9"/>
      <c r="P461" s="9"/>
      <c r="Q461" s="9"/>
      <c r="R461" s="9"/>
      <c r="S461" s="9"/>
    </row>
    <row r="462" spans="1:19">
      <c r="A462" s="9"/>
      <c r="B462" s="9"/>
      <c r="C462" s="9"/>
      <c r="D462" s="9"/>
      <c r="E462" s="9"/>
      <c r="F462" s="9"/>
      <c r="G462" s="9"/>
      <c r="H462" s="9"/>
      <c r="I462" s="9"/>
      <c r="J462" s="9"/>
      <c r="K462" s="9"/>
      <c r="L462" s="9"/>
      <c r="M462" s="9"/>
      <c r="N462" s="9"/>
      <c r="O462" s="9"/>
      <c r="P462" s="9"/>
      <c r="Q462" s="9"/>
      <c r="R462" s="9"/>
      <c r="S462" s="9"/>
    </row>
    <row r="463" spans="1:19">
      <c r="A463" s="9"/>
      <c r="B463" s="9"/>
      <c r="C463" s="9"/>
      <c r="D463" s="9"/>
      <c r="E463" s="9"/>
      <c r="F463" s="9"/>
      <c r="G463" s="9"/>
      <c r="H463" s="9"/>
      <c r="I463" s="9"/>
      <c r="J463" s="9"/>
      <c r="K463" s="9"/>
      <c r="L463" s="9"/>
      <c r="M463" s="9"/>
      <c r="N463" s="9"/>
      <c r="O463" s="9"/>
      <c r="P463" s="9"/>
      <c r="Q463" s="9"/>
      <c r="R463" s="9"/>
      <c r="S463" s="9"/>
    </row>
    <row r="465" spans="1:19" s="9" customFormat="1"/>
    <row r="466" spans="1:19" s="9" customFormat="1"/>
    <row r="467" spans="1:19" s="9" customFormat="1"/>
    <row r="468" spans="1:19" s="9" customFormat="1"/>
    <row r="469" spans="1:19" s="9" customFormat="1"/>
    <row r="471" spans="1:19" ht="15.75" thickBot="1"/>
    <row r="472" spans="1:19" ht="27" thickBot="1">
      <c r="A472" s="1228" t="s">
        <v>592</v>
      </c>
      <c r="B472" s="1229"/>
      <c r="C472" s="1229"/>
      <c r="D472" s="1229"/>
      <c r="E472" s="1229"/>
      <c r="F472" s="1229"/>
      <c r="G472" s="1229"/>
      <c r="H472" s="1229"/>
      <c r="I472" s="1230"/>
      <c r="J472" s="538"/>
      <c r="K472" s="1228" t="s">
        <v>592</v>
      </c>
      <c r="L472" s="1229"/>
      <c r="M472" s="1229"/>
      <c r="N472" s="1229"/>
      <c r="O472" s="1229"/>
      <c r="P472" s="1229"/>
      <c r="Q472" s="1229"/>
      <c r="R472" s="1229"/>
      <c r="S472" s="1230"/>
    </row>
    <row r="473" spans="1:19">
      <c r="A473" s="1231" t="s">
        <v>593</v>
      </c>
      <c r="B473" s="1232"/>
      <c r="C473" s="1232"/>
      <c r="D473" s="1232"/>
      <c r="E473" s="1232"/>
      <c r="F473" s="1232"/>
      <c r="G473" s="1232"/>
      <c r="H473" s="1232"/>
      <c r="I473" s="1233"/>
      <c r="J473" s="9"/>
      <c r="K473" s="1231" t="s">
        <v>593</v>
      </c>
      <c r="L473" s="1232"/>
      <c r="M473" s="1232"/>
      <c r="N473" s="1232"/>
      <c r="O473" s="1232"/>
      <c r="P473" s="1232"/>
      <c r="Q473" s="1232"/>
      <c r="R473" s="1232"/>
      <c r="S473" s="1233"/>
    </row>
    <row r="474" spans="1:19">
      <c r="A474" s="441"/>
      <c r="B474" s="9"/>
      <c r="C474" s="9"/>
      <c r="D474" s="9"/>
      <c r="E474" s="9"/>
      <c r="F474" s="9"/>
      <c r="G474" s="9"/>
      <c r="H474" s="9"/>
      <c r="I474" s="442"/>
      <c r="J474" s="9"/>
      <c r="K474" s="441"/>
      <c r="L474" s="9"/>
      <c r="M474" s="9"/>
      <c r="N474" s="9"/>
      <c r="O474" s="9"/>
      <c r="P474" s="9"/>
      <c r="Q474" s="9"/>
      <c r="R474" s="9"/>
      <c r="S474" s="442"/>
    </row>
    <row r="475" spans="1:19">
      <c r="A475" s="539" t="s">
        <v>49</v>
      </c>
      <c r="B475" s="421"/>
      <c r="C475" s="421"/>
      <c r="D475" s="419" t="s">
        <v>382</v>
      </c>
      <c r="E475" s="9"/>
      <c r="F475" s="9"/>
      <c r="G475" s="9"/>
      <c r="H475" s="9"/>
      <c r="I475" s="442"/>
      <c r="J475" s="9"/>
      <c r="K475" s="539" t="s">
        <v>49</v>
      </c>
      <c r="L475" s="421"/>
      <c r="M475" s="421"/>
      <c r="N475" s="419" t="s">
        <v>382</v>
      </c>
      <c r="O475" s="9"/>
      <c r="P475" s="9"/>
      <c r="Q475" s="9"/>
      <c r="R475" s="9"/>
      <c r="S475" s="442"/>
    </row>
    <row r="476" spans="1:19">
      <c r="A476" s="539"/>
      <c r="B476" s="421"/>
      <c r="C476" s="421"/>
      <c r="D476" s="421" t="s">
        <v>383</v>
      </c>
      <c r="E476" s="9"/>
      <c r="F476" s="9"/>
      <c r="G476" s="9"/>
      <c r="H476" s="9"/>
      <c r="I476" s="442"/>
      <c r="J476" s="9"/>
      <c r="K476" s="539"/>
      <c r="L476" s="421"/>
      <c r="M476" s="421"/>
      <c r="N476" s="421" t="s">
        <v>383</v>
      </c>
      <c r="O476" s="9"/>
      <c r="P476" s="9"/>
      <c r="Q476" s="9"/>
      <c r="R476" s="9"/>
      <c r="S476" s="442"/>
    </row>
    <row r="477" spans="1:19">
      <c r="A477" s="539"/>
      <c r="B477" s="421"/>
      <c r="C477" s="421"/>
      <c r="D477" s="421"/>
      <c r="E477" s="421"/>
      <c r="F477" s="9"/>
      <c r="G477" s="9"/>
      <c r="H477" s="9"/>
      <c r="I477" s="442"/>
      <c r="J477" s="9"/>
      <c r="K477" s="539"/>
      <c r="L477" s="421"/>
      <c r="M477" s="421"/>
      <c r="N477" s="421"/>
      <c r="O477" s="421"/>
      <c r="P477" s="9"/>
      <c r="Q477" s="9"/>
      <c r="R477" s="9"/>
      <c r="S477" s="442"/>
    </row>
    <row r="478" spans="1:19">
      <c r="A478" s="1234" t="s">
        <v>50</v>
      </c>
      <c r="B478" s="1227"/>
      <c r="C478" s="1227"/>
      <c r="D478" s="1227"/>
      <c r="E478" s="421"/>
      <c r="F478" s="9"/>
      <c r="G478" s="9"/>
      <c r="H478" s="9"/>
      <c r="I478" s="442"/>
      <c r="J478" s="9"/>
      <c r="K478" s="1234" t="s">
        <v>50</v>
      </c>
      <c r="L478" s="1227"/>
      <c r="M478" s="1227"/>
      <c r="N478" s="1227"/>
      <c r="O478" s="421"/>
      <c r="P478" s="9"/>
      <c r="Q478" s="9"/>
      <c r="R478" s="9"/>
      <c r="S478" s="442"/>
    </row>
    <row r="479" spans="1:19">
      <c r="A479" s="1234"/>
      <c r="B479" s="1227"/>
      <c r="C479" s="1227"/>
      <c r="D479" s="1227"/>
      <c r="E479" s="540" t="str">
        <f>'04-221Master'!B25</f>
        <v>Hemanth Mishra</v>
      </c>
      <c r="F479" s="498"/>
      <c r="G479" s="498"/>
      <c r="H479" s="498" t="str">
        <f>'04-221Master'!E25</f>
        <v>Satish Chandra Mishra</v>
      </c>
      <c r="I479" s="442"/>
      <c r="J479" s="9"/>
      <c r="K479" s="1234"/>
      <c r="L479" s="1227"/>
      <c r="M479" s="1227"/>
      <c r="N479" s="1227"/>
      <c r="O479" s="540" t="str">
        <f>E479</f>
        <v>Hemanth Mishra</v>
      </c>
      <c r="P479" s="498"/>
      <c r="Q479" s="498"/>
      <c r="R479" s="498" t="str">
        <f>H479</f>
        <v>Satish Chandra Mishra</v>
      </c>
      <c r="S479" s="442"/>
    </row>
    <row r="480" spans="1:19">
      <c r="A480" s="539"/>
      <c r="B480" s="421"/>
      <c r="C480" s="421"/>
      <c r="D480" s="421"/>
      <c r="E480" s="421"/>
      <c r="F480" s="9"/>
      <c r="G480" s="9"/>
      <c r="H480" s="9"/>
      <c r="I480" s="442"/>
      <c r="J480" s="9"/>
      <c r="K480" s="539"/>
      <c r="L480" s="421"/>
      <c r="M480" s="421"/>
      <c r="N480" s="421"/>
      <c r="O480" s="421"/>
      <c r="P480" s="9"/>
      <c r="Q480" s="9"/>
      <c r="R480" s="9"/>
      <c r="S480" s="442"/>
    </row>
    <row r="481" spans="1:19">
      <c r="A481" s="1226" t="s">
        <v>51</v>
      </c>
      <c r="B481" s="1223"/>
      <c r="C481" s="1223"/>
      <c r="D481" s="1223"/>
      <c r="E481" s="423" t="s">
        <v>373</v>
      </c>
      <c r="F481" s="498"/>
      <c r="G481" s="498"/>
      <c r="H481" s="498"/>
      <c r="I481" s="442"/>
      <c r="J481" s="9"/>
      <c r="K481" s="1226" t="s">
        <v>51</v>
      </c>
      <c r="L481" s="1223"/>
      <c r="M481" s="1223"/>
      <c r="N481" s="1223"/>
      <c r="O481" s="540" t="str">
        <f>E481</f>
        <v>IT SUPPORTIVE SERVICES</v>
      </c>
      <c r="P481" s="498"/>
      <c r="Q481" s="498"/>
      <c r="R481" s="498"/>
      <c r="S481" s="442"/>
    </row>
    <row r="482" spans="1:19">
      <c r="A482" s="539"/>
      <c r="B482" s="421"/>
      <c r="C482" s="421"/>
      <c r="D482" s="421"/>
      <c r="E482" s="421"/>
      <c r="F482" s="9"/>
      <c r="G482" s="9"/>
      <c r="H482" s="9"/>
      <c r="I482" s="442"/>
      <c r="J482" s="9"/>
      <c r="K482" s="539"/>
      <c r="L482" s="421"/>
      <c r="M482" s="421"/>
      <c r="N482" s="421"/>
      <c r="O482" s="421"/>
      <c r="P482" s="9"/>
      <c r="Q482" s="9"/>
      <c r="R482" s="9"/>
      <c r="S482" s="442"/>
    </row>
    <row r="483" spans="1:19">
      <c r="A483" s="1226" t="s">
        <v>52</v>
      </c>
      <c r="B483" s="1223"/>
      <c r="C483" s="1223"/>
      <c r="D483" s="1223"/>
      <c r="E483" s="541">
        <f>'04-221Master'!D10</f>
        <v>44652</v>
      </c>
      <c r="F483" s="498"/>
      <c r="G483" s="498"/>
      <c r="H483" s="498"/>
      <c r="I483" s="442"/>
      <c r="J483" s="9"/>
      <c r="K483" s="1226" t="s">
        <v>52</v>
      </c>
      <c r="L483" s="1223"/>
      <c r="M483" s="1223"/>
      <c r="N483" s="1223"/>
      <c r="O483" s="541">
        <f>E483</f>
        <v>44652</v>
      </c>
      <c r="P483" s="498"/>
      <c r="Q483" s="498"/>
      <c r="R483" s="498"/>
      <c r="S483" s="442"/>
    </row>
    <row r="484" spans="1:19">
      <c r="A484" s="539"/>
      <c r="B484" s="421"/>
      <c r="C484" s="421"/>
      <c r="D484" s="421"/>
      <c r="E484" s="421"/>
      <c r="F484" s="9"/>
      <c r="G484" s="9"/>
      <c r="H484" s="9"/>
      <c r="I484" s="442"/>
      <c r="J484" s="9"/>
      <c r="K484" s="539"/>
      <c r="L484" s="421"/>
      <c r="M484" s="421"/>
      <c r="N484" s="421"/>
      <c r="O484" s="421"/>
      <c r="P484" s="9"/>
      <c r="Q484" s="9"/>
      <c r="R484" s="9"/>
      <c r="S484" s="442"/>
    </row>
    <row r="485" spans="1:19">
      <c r="A485" s="542">
        <v>1</v>
      </c>
      <c r="B485" s="1223" t="s">
        <v>53</v>
      </c>
      <c r="C485" s="1223"/>
      <c r="D485" s="1223"/>
      <c r="E485" s="543">
        <f>'04-221Master'!W25</f>
        <v>30</v>
      </c>
      <c r="F485" s="498"/>
      <c r="G485" s="498"/>
      <c r="H485" s="498"/>
      <c r="I485" s="442"/>
      <c r="J485" s="9"/>
      <c r="K485" s="542">
        <v>1</v>
      </c>
      <c r="L485" s="1223" t="s">
        <v>53</v>
      </c>
      <c r="M485" s="1223"/>
      <c r="N485" s="1223"/>
      <c r="O485" s="543">
        <f>E485</f>
        <v>30</v>
      </c>
      <c r="P485" s="498"/>
      <c r="Q485" s="498"/>
      <c r="R485" s="498"/>
      <c r="S485" s="442"/>
    </row>
    <row r="486" spans="1:19">
      <c r="A486" s="542"/>
      <c r="B486" s="421"/>
      <c r="C486" s="421"/>
      <c r="D486" s="421"/>
      <c r="E486" s="421"/>
      <c r="F486" s="9"/>
      <c r="G486" s="9"/>
      <c r="H486" s="9"/>
      <c r="I486" s="442"/>
      <c r="J486" s="9"/>
      <c r="K486" s="542"/>
      <c r="L486" s="421"/>
      <c r="M486" s="421"/>
      <c r="N486" s="421"/>
      <c r="O486" s="421"/>
      <c r="P486" s="9"/>
      <c r="Q486" s="9"/>
      <c r="R486" s="9"/>
      <c r="S486" s="442"/>
    </row>
    <row r="487" spans="1:19">
      <c r="A487" s="542">
        <v>2</v>
      </c>
      <c r="B487" s="1227" t="s">
        <v>54</v>
      </c>
      <c r="C487" s="1227"/>
      <c r="D487" s="1227"/>
      <c r="E487" s="421"/>
      <c r="F487" s="9"/>
      <c r="G487" s="9"/>
      <c r="H487" s="9"/>
      <c r="I487" s="442"/>
      <c r="J487" s="9"/>
      <c r="K487" s="542">
        <v>2</v>
      </c>
      <c r="L487" s="1227" t="s">
        <v>54</v>
      </c>
      <c r="M487" s="1227"/>
      <c r="N487" s="1227"/>
      <c r="O487" s="421"/>
      <c r="P487" s="9"/>
      <c r="Q487" s="9"/>
      <c r="R487" s="9"/>
      <c r="S487" s="442"/>
    </row>
    <row r="488" spans="1:19">
      <c r="A488" s="542"/>
      <c r="B488" s="1227"/>
      <c r="C488" s="1227"/>
      <c r="D488" s="1227"/>
      <c r="E488" s="544" t="s">
        <v>37</v>
      </c>
      <c r="F488" s="498"/>
      <c r="G488" s="498"/>
      <c r="H488" s="498"/>
      <c r="I488" s="442"/>
      <c r="J488" s="9"/>
      <c r="K488" s="542"/>
      <c r="L488" s="1227"/>
      <c r="M488" s="1227"/>
      <c r="N488" s="1227"/>
      <c r="O488" s="544" t="s">
        <v>37</v>
      </c>
      <c r="P488" s="498"/>
      <c r="Q488" s="498"/>
      <c r="R488" s="498"/>
      <c r="S488" s="442"/>
    </row>
    <row r="489" spans="1:19">
      <c r="A489" s="542"/>
      <c r="B489" s="421"/>
      <c r="C489" s="421"/>
      <c r="D489" s="421"/>
      <c r="E489" s="421"/>
      <c r="F489" s="9"/>
      <c r="G489" s="9"/>
      <c r="H489" s="9"/>
      <c r="I489" s="442"/>
      <c r="J489" s="9"/>
      <c r="K489" s="542"/>
      <c r="L489" s="421"/>
      <c r="M489" s="421"/>
      <c r="N489" s="421"/>
      <c r="O489" s="421"/>
      <c r="P489" s="9"/>
      <c r="Q489" s="9"/>
      <c r="R489" s="9"/>
      <c r="S489" s="442"/>
    </row>
    <row r="490" spans="1:19">
      <c r="A490" s="542">
        <v>3</v>
      </c>
      <c r="B490" s="1223" t="s">
        <v>55</v>
      </c>
      <c r="C490" s="1223"/>
      <c r="D490" s="1223"/>
      <c r="E490" s="544" t="s">
        <v>37</v>
      </c>
      <c r="F490" s="498"/>
      <c r="G490" s="498"/>
      <c r="H490" s="498"/>
      <c r="I490" s="442"/>
      <c r="J490" s="9"/>
      <c r="K490" s="542">
        <v>3</v>
      </c>
      <c r="L490" s="1223" t="s">
        <v>55</v>
      </c>
      <c r="M490" s="1223"/>
      <c r="N490" s="1223"/>
      <c r="O490" s="540" t="str">
        <f>E490</f>
        <v>N/A</v>
      </c>
      <c r="P490" s="498"/>
      <c r="Q490" s="498"/>
      <c r="R490" s="498"/>
      <c r="S490" s="442"/>
    </row>
    <row r="491" spans="1:19">
      <c r="A491" s="542"/>
      <c r="B491" s="421"/>
      <c r="C491" s="421"/>
      <c r="D491" s="421"/>
      <c r="E491" s="421"/>
      <c r="F491" s="9"/>
      <c r="G491" s="9"/>
      <c r="H491" s="9"/>
      <c r="I491" s="442"/>
      <c r="J491" s="9"/>
      <c r="K491" s="542"/>
      <c r="L491" s="421"/>
      <c r="M491" s="421"/>
      <c r="N491" s="421"/>
      <c r="O491" s="421"/>
      <c r="P491" s="9"/>
      <c r="Q491" s="9"/>
      <c r="R491" s="9"/>
      <c r="S491" s="442"/>
    </row>
    <row r="492" spans="1:19">
      <c r="A492" s="542">
        <v>4</v>
      </c>
      <c r="B492" s="1223" t="s">
        <v>56</v>
      </c>
      <c r="C492" s="1223"/>
      <c r="D492" s="1223"/>
      <c r="E492" s="544" t="s">
        <v>57</v>
      </c>
      <c r="F492" s="498"/>
      <c r="G492" s="498"/>
      <c r="H492" s="498"/>
      <c r="I492" s="442"/>
      <c r="J492" s="9"/>
      <c r="K492" s="542">
        <v>4</v>
      </c>
      <c r="L492" s="1223" t="s">
        <v>56</v>
      </c>
      <c r="M492" s="1223"/>
      <c r="N492" s="1223"/>
      <c r="O492" s="544" t="s">
        <v>57</v>
      </c>
      <c r="P492" s="498"/>
      <c r="Q492" s="498"/>
      <c r="R492" s="498"/>
      <c r="S492" s="442"/>
    </row>
    <row r="493" spans="1:19">
      <c r="A493" s="542"/>
      <c r="B493" s="421"/>
      <c r="C493" s="421"/>
      <c r="D493" s="421"/>
      <c r="E493" s="421"/>
      <c r="F493" s="9"/>
      <c r="G493" s="9"/>
      <c r="H493" s="9"/>
      <c r="I493" s="442"/>
      <c r="J493" s="9"/>
      <c r="K493" s="542"/>
      <c r="L493" s="421"/>
      <c r="M493" s="421"/>
      <c r="N493" s="421"/>
      <c r="O493" s="421"/>
      <c r="P493" s="9"/>
      <c r="Q493" s="9"/>
      <c r="R493" s="9"/>
      <c r="S493" s="442"/>
    </row>
    <row r="494" spans="1:19">
      <c r="A494" s="542">
        <v>5</v>
      </c>
      <c r="B494" s="1223" t="s">
        <v>58</v>
      </c>
      <c r="C494" s="1223"/>
      <c r="D494" s="1223"/>
      <c r="E494" s="492">
        <f>'04-221Master'!AM25</f>
        <v>108276.23875999999</v>
      </c>
      <c r="F494" s="9"/>
      <c r="G494" s="9"/>
      <c r="H494" s="9"/>
      <c r="I494" s="442"/>
      <c r="J494" s="9"/>
      <c r="K494" s="542">
        <v>5</v>
      </c>
      <c r="L494" s="1223" t="s">
        <v>58</v>
      </c>
      <c r="M494" s="1223"/>
      <c r="N494" s="1223"/>
      <c r="O494" s="492">
        <f>E494</f>
        <v>108276.23875999999</v>
      </c>
      <c r="P494" s="9"/>
      <c r="Q494" s="9"/>
      <c r="R494" s="9"/>
      <c r="S494" s="442"/>
    </row>
    <row r="495" spans="1:19">
      <c r="A495" s="542"/>
      <c r="B495" s="421"/>
      <c r="C495" s="421"/>
      <c r="D495" s="493" t="s">
        <v>59</v>
      </c>
      <c r="E495" s="493" t="s">
        <v>31</v>
      </c>
      <c r="F495" s="493" t="s">
        <v>33</v>
      </c>
      <c r="G495" s="493" t="s">
        <v>34</v>
      </c>
      <c r="H495" s="493" t="s">
        <v>377</v>
      </c>
      <c r="I495" s="494" t="s">
        <v>378</v>
      </c>
      <c r="J495" s="9"/>
      <c r="K495" s="542"/>
      <c r="L495" s="421"/>
      <c r="M495" s="421"/>
      <c r="N495" s="493" t="s">
        <v>59</v>
      </c>
      <c r="O495" s="493" t="s">
        <v>31</v>
      </c>
      <c r="P495" s="493" t="s">
        <v>33</v>
      </c>
      <c r="Q495" s="493" t="s">
        <v>34</v>
      </c>
      <c r="R495" s="493" t="s">
        <v>377</v>
      </c>
      <c r="S495" s="494" t="s">
        <v>378</v>
      </c>
    </row>
    <row r="496" spans="1:19">
      <c r="A496" s="542">
        <v>6</v>
      </c>
      <c r="B496" s="571" t="s">
        <v>60</v>
      </c>
      <c r="C496" s="571"/>
      <c r="D496" s="495">
        <f>'04-221Master'!AO25</f>
        <v>1800</v>
      </c>
      <c r="E496" s="495">
        <f>'04-221Master'!AN25</f>
        <v>0</v>
      </c>
      <c r="F496" s="496">
        <f>'04-221Master'!AP25</f>
        <v>200</v>
      </c>
      <c r="G496" s="495">
        <f>'04-221Master'!AQ25</f>
        <v>0</v>
      </c>
      <c r="H496" s="496">
        <f>'04-221Master'!AR25</f>
        <v>254</v>
      </c>
      <c r="I496" s="496">
        <f>SUM(D496:H496)</f>
        <v>2254</v>
      </c>
      <c r="J496" s="9"/>
      <c r="K496" s="542">
        <v>6</v>
      </c>
      <c r="L496" s="571" t="s">
        <v>60</v>
      </c>
      <c r="M496" s="571"/>
      <c r="N496" s="495">
        <f t="shared" ref="N496" si="45">D496</f>
        <v>1800</v>
      </c>
      <c r="O496" s="495">
        <f t="shared" ref="O496" si="46">E496</f>
        <v>0</v>
      </c>
      <c r="P496" s="496">
        <f t="shared" ref="P496" si="47">F496</f>
        <v>200</v>
      </c>
      <c r="Q496" s="495">
        <f t="shared" ref="Q496" si="48">G496</f>
        <v>0</v>
      </c>
      <c r="R496" s="496">
        <f t="shared" ref="R496" si="49">H496</f>
        <v>254</v>
      </c>
      <c r="S496" s="496">
        <f t="shared" ref="S496" si="50">I496</f>
        <v>2254</v>
      </c>
    </row>
    <row r="497" spans="1:19">
      <c r="A497" s="542"/>
      <c r="B497" s="421"/>
      <c r="C497" s="421"/>
      <c r="D497" s="421"/>
      <c r="E497" s="421"/>
      <c r="F497" s="9"/>
      <c r="G497" s="9"/>
      <c r="H497" s="9"/>
      <c r="I497" s="442"/>
      <c r="J497" s="9"/>
      <c r="K497" s="542"/>
      <c r="L497" s="421"/>
      <c r="M497" s="421"/>
      <c r="N497" s="421"/>
      <c r="O497" s="421"/>
      <c r="P497" s="9"/>
      <c r="Q497" s="9"/>
      <c r="R497" s="9"/>
      <c r="S497" s="442"/>
    </row>
    <row r="498" spans="1:19">
      <c r="A498" s="542">
        <v>7</v>
      </c>
      <c r="B498" s="1223" t="s">
        <v>61</v>
      </c>
      <c r="C498" s="1223"/>
      <c r="D498" s="1223"/>
      <c r="E498" s="497">
        <f>E494-I496</f>
        <v>106022.23875999999</v>
      </c>
      <c r="F498" s="498"/>
      <c r="G498" s="498"/>
      <c r="H498" s="498"/>
      <c r="I498" s="442"/>
      <c r="J498" s="9"/>
      <c r="K498" s="542">
        <v>7</v>
      </c>
      <c r="L498" s="1223" t="s">
        <v>61</v>
      </c>
      <c r="M498" s="1223"/>
      <c r="N498" s="1223"/>
      <c r="O498" s="497">
        <f>E498</f>
        <v>106022.23875999999</v>
      </c>
      <c r="P498" s="498"/>
      <c r="Q498" s="498"/>
      <c r="R498" s="498"/>
      <c r="S498" s="442"/>
    </row>
    <row r="499" spans="1:19">
      <c r="A499" s="441"/>
      <c r="B499" s="9"/>
      <c r="C499" s="9"/>
      <c r="D499" s="9"/>
      <c r="E499" s="9"/>
      <c r="F499" s="9"/>
      <c r="G499" s="9"/>
      <c r="H499" s="9"/>
      <c r="I499" s="442"/>
      <c r="J499" s="9"/>
      <c r="K499" s="441"/>
      <c r="L499" s="9"/>
      <c r="M499" s="9"/>
      <c r="N499" s="9"/>
      <c r="O499" s="9"/>
      <c r="P499" s="9"/>
      <c r="Q499" s="9"/>
      <c r="R499" s="9"/>
      <c r="S499" s="442"/>
    </row>
    <row r="500" spans="1:19">
      <c r="A500" s="441"/>
      <c r="B500" s="9"/>
      <c r="C500" s="9"/>
      <c r="D500" s="9"/>
      <c r="E500" s="9"/>
      <c r="F500" s="9"/>
      <c r="G500" s="9"/>
      <c r="H500" s="9"/>
      <c r="I500" s="442"/>
      <c r="J500" s="9"/>
      <c r="K500" s="441"/>
      <c r="L500" s="9"/>
      <c r="M500" s="9"/>
      <c r="N500" s="9"/>
      <c r="O500" s="9"/>
      <c r="P500" s="9"/>
      <c r="Q500" s="9"/>
      <c r="R500" s="9"/>
      <c r="S500" s="442"/>
    </row>
    <row r="501" spans="1:19" ht="15.75" thickBot="1">
      <c r="A501" s="441"/>
      <c r="B501" s="9"/>
      <c r="C501" s="9"/>
      <c r="D501" s="9"/>
      <c r="E501" s="9"/>
      <c r="F501" s="444"/>
      <c r="G501" s="444"/>
      <c r="H501" s="444"/>
      <c r="I501" s="445"/>
      <c r="J501" s="9"/>
      <c r="K501" s="441"/>
      <c r="L501" s="9"/>
      <c r="M501" s="9"/>
      <c r="N501" s="9"/>
      <c r="O501" s="9"/>
      <c r="P501" s="444"/>
      <c r="Q501" s="444"/>
      <c r="R501" s="444"/>
      <c r="S501" s="445"/>
    </row>
    <row r="502" spans="1:19" ht="15.75" thickBot="1">
      <c r="A502" s="443"/>
      <c r="B502" s="444"/>
      <c r="C502" s="444"/>
      <c r="D502" s="444"/>
      <c r="E502" s="444"/>
      <c r="F502" s="1224" t="s">
        <v>62</v>
      </c>
      <c r="G502" s="1224"/>
      <c r="H502" s="1224"/>
      <c r="I502" s="1225"/>
      <c r="J502" s="9"/>
      <c r="K502" s="443"/>
      <c r="L502" s="444"/>
      <c r="M502" s="444"/>
      <c r="N502" s="444"/>
      <c r="O502" s="444"/>
      <c r="P502" s="1224" t="s">
        <v>62</v>
      </c>
      <c r="Q502" s="1224"/>
      <c r="R502" s="1224"/>
      <c r="S502" s="1225"/>
    </row>
    <row r="503" spans="1:19">
      <c r="A503" s="9"/>
      <c r="B503" s="9"/>
      <c r="C503" s="9"/>
      <c r="D503" s="9"/>
      <c r="E503" s="9"/>
      <c r="F503" s="9"/>
      <c r="G503" s="9"/>
      <c r="H503" s="9"/>
      <c r="I503" s="9"/>
      <c r="J503" s="9"/>
      <c r="K503" s="9"/>
      <c r="L503" s="9"/>
      <c r="M503" s="9"/>
      <c r="N503" s="9"/>
      <c r="O503" s="9"/>
      <c r="P503" s="9"/>
      <c r="Q503" s="9"/>
      <c r="R503" s="9"/>
      <c r="S503" s="9"/>
    </row>
    <row r="504" spans="1:19">
      <c r="A504" s="9"/>
      <c r="B504" s="9"/>
      <c r="C504" s="9"/>
      <c r="D504" s="9"/>
      <c r="E504" s="9"/>
      <c r="F504" s="9"/>
      <c r="G504" s="9"/>
      <c r="H504" s="9"/>
      <c r="I504" s="9"/>
      <c r="J504" s="9"/>
      <c r="K504" s="9"/>
      <c r="L504" s="9"/>
      <c r="M504" s="9"/>
      <c r="N504" s="9"/>
      <c r="O504" s="9"/>
      <c r="P504" s="9"/>
      <c r="Q504" s="9"/>
      <c r="R504" s="9"/>
      <c r="S504" s="9"/>
    </row>
    <row r="505" spans="1:19">
      <c r="A505" s="9"/>
      <c r="B505" s="9"/>
      <c r="C505" s="9"/>
      <c r="D505" s="9"/>
      <c r="E505" s="9"/>
      <c r="F505" s="9"/>
      <c r="G505" s="9"/>
      <c r="H505" s="9"/>
      <c r="I505" s="9"/>
      <c r="J505" s="9"/>
      <c r="K505" s="9"/>
      <c r="L505" s="9"/>
      <c r="M505" s="9"/>
      <c r="N505" s="9"/>
      <c r="O505" s="9"/>
      <c r="P505" s="9"/>
      <c r="Q505" s="9"/>
      <c r="R505" s="9"/>
      <c r="S505" s="9"/>
    </row>
    <row r="506" spans="1:19">
      <c r="A506" s="9"/>
      <c r="B506" s="9"/>
      <c r="C506" s="9"/>
      <c r="D506" s="9"/>
      <c r="E506" s="9"/>
      <c r="F506" s="9"/>
      <c r="G506" s="9"/>
      <c r="H506" s="9"/>
      <c r="I506" s="9"/>
      <c r="J506" s="9"/>
      <c r="K506" s="9"/>
      <c r="L506" s="9"/>
      <c r="M506" s="9"/>
      <c r="N506" s="9"/>
      <c r="O506" s="9"/>
      <c r="P506" s="9"/>
      <c r="Q506" s="9"/>
      <c r="R506" s="9"/>
      <c r="S506" s="9"/>
    </row>
    <row r="507" spans="1:19">
      <c r="A507" s="9"/>
      <c r="B507" s="9"/>
      <c r="C507" s="9"/>
      <c r="D507" s="9"/>
      <c r="E507" s="9"/>
      <c r="F507" s="9"/>
      <c r="G507" s="9"/>
      <c r="H507" s="9"/>
      <c r="I507" s="9"/>
      <c r="J507" s="9"/>
      <c r="K507" s="9"/>
      <c r="L507" s="9"/>
      <c r="M507" s="9"/>
      <c r="N507" s="9"/>
      <c r="O507" s="9"/>
      <c r="P507" s="9"/>
      <c r="Q507" s="9"/>
      <c r="R507" s="9"/>
      <c r="S507" s="9"/>
    </row>
    <row r="508" spans="1:19">
      <c r="A508" s="9"/>
      <c r="B508" s="9"/>
      <c r="C508" s="9"/>
      <c r="D508" s="9"/>
      <c r="E508" s="9"/>
      <c r="F508" s="9"/>
      <c r="G508" s="9"/>
      <c r="H508" s="9"/>
      <c r="I508" s="9"/>
      <c r="J508" s="9"/>
      <c r="K508" s="9"/>
      <c r="L508" s="9"/>
      <c r="M508" s="9"/>
      <c r="N508" s="9"/>
      <c r="O508" s="9"/>
      <c r="P508" s="9"/>
      <c r="Q508" s="9"/>
      <c r="R508" s="9"/>
      <c r="S508" s="9"/>
    </row>
    <row r="509" spans="1:19">
      <c r="A509" s="9"/>
      <c r="B509" s="9"/>
      <c r="C509" s="9"/>
      <c r="D509" s="9"/>
      <c r="E509" s="9"/>
      <c r="F509" s="9"/>
      <c r="G509" s="9"/>
      <c r="H509" s="9"/>
      <c r="I509" s="9"/>
      <c r="J509" s="9"/>
      <c r="K509" s="9"/>
      <c r="L509" s="9"/>
      <c r="M509" s="9"/>
      <c r="N509" s="9"/>
      <c r="O509" s="9"/>
      <c r="P509" s="9"/>
      <c r="Q509" s="9"/>
      <c r="R509" s="9"/>
      <c r="S509" s="9"/>
    </row>
    <row r="516" spans="1:19" ht="15.75" thickBot="1"/>
    <row r="517" spans="1:19" ht="27" thickBot="1">
      <c r="A517" s="1228" t="s">
        <v>592</v>
      </c>
      <c r="B517" s="1229"/>
      <c r="C517" s="1229"/>
      <c r="D517" s="1229"/>
      <c r="E517" s="1229"/>
      <c r="F517" s="1229"/>
      <c r="G517" s="1229"/>
      <c r="H517" s="1229"/>
      <c r="I517" s="1230"/>
      <c r="J517" s="538"/>
      <c r="K517" s="1228" t="s">
        <v>592</v>
      </c>
      <c r="L517" s="1229"/>
      <c r="M517" s="1229"/>
      <c r="N517" s="1229"/>
      <c r="O517" s="1229"/>
      <c r="P517" s="1229"/>
      <c r="Q517" s="1229"/>
      <c r="R517" s="1229"/>
      <c r="S517" s="1230"/>
    </row>
    <row r="518" spans="1:19">
      <c r="A518" s="1231" t="s">
        <v>593</v>
      </c>
      <c r="B518" s="1232"/>
      <c r="C518" s="1232"/>
      <c r="D518" s="1232"/>
      <c r="E518" s="1232"/>
      <c r="F518" s="1232"/>
      <c r="G518" s="1232"/>
      <c r="H518" s="1232"/>
      <c r="I518" s="1233"/>
      <c r="J518" s="9"/>
      <c r="K518" s="1231" t="s">
        <v>593</v>
      </c>
      <c r="L518" s="1232"/>
      <c r="M518" s="1232"/>
      <c r="N518" s="1232"/>
      <c r="O518" s="1232"/>
      <c r="P518" s="1232"/>
      <c r="Q518" s="1232"/>
      <c r="R518" s="1232"/>
      <c r="S518" s="1233"/>
    </row>
    <row r="519" spans="1:19">
      <c r="A519" s="441"/>
      <c r="B519" s="9"/>
      <c r="C519" s="9"/>
      <c r="D519" s="9"/>
      <c r="E519" s="9"/>
      <c r="F519" s="9"/>
      <c r="G519" s="9"/>
      <c r="H519" s="9"/>
      <c r="I519" s="442"/>
      <c r="J519" s="9"/>
      <c r="K519" s="441"/>
      <c r="L519" s="9"/>
      <c r="M519" s="9"/>
      <c r="N519" s="9"/>
      <c r="O519" s="9"/>
      <c r="P519" s="9"/>
      <c r="Q519" s="9"/>
      <c r="R519" s="9"/>
      <c r="S519" s="442"/>
    </row>
    <row r="520" spans="1:19">
      <c r="A520" s="539" t="s">
        <v>49</v>
      </c>
      <c r="B520" s="421"/>
      <c r="C520" s="421"/>
      <c r="D520" s="419" t="s">
        <v>382</v>
      </c>
      <c r="E520" s="9"/>
      <c r="F520" s="9"/>
      <c r="G520" s="9"/>
      <c r="H520" s="9"/>
      <c r="I520" s="442"/>
      <c r="J520" s="9"/>
      <c r="K520" s="539" t="s">
        <v>49</v>
      </c>
      <c r="L520" s="421"/>
      <c r="M520" s="421"/>
      <c r="N520" s="419" t="s">
        <v>382</v>
      </c>
      <c r="O520" s="9"/>
      <c r="P520" s="9"/>
      <c r="Q520" s="9"/>
      <c r="R520" s="9"/>
      <c r="S520" s="442"/>
    </row>
    <row r="521" spans="1:19">
      <c r="A521" s="539"/>
      <c r="B521" s="421"/>
      <c r="C521" s="421"/>
      <c r="D521" s="421" t="s">
        <v>383</v>
      </c>
      <c r="E521" s="9"/>
      <c r="F521" s="9"/>
      <c r="G521" s="9"/>
      <c r="H521" s="9"/>
      <c r="I521" s="442"/>
      <c r="J521" s="9"/>
      <c r="K521" s="539"/>
      <c r="L521" s="421"/>
      <c r="M521" s="421"/>
      <c r="N521" s="421" t="s">
        <v>383</v>
      </c>
      <c r="O521" s="9"/>
      <c r="P521" s="9"/>
      <c r="Q521" s="9"/>
      <c r="R521" s="9"/>
      <c r="S521" s="442"/>
    </row>
    <row r="522" spans="1:19">
      <c r="A522" s="539"/>
      <c r="B522" s="421"/>
      <c r="C522" s="421"/>
      <c r="D522" s="421"/>
      <c r="E522" s="421"/>
      <c r="F522" s="9"/>
      <c r="G522" s="9"/>
      <c r="H522" s="9"/>
      <c r="I522" s="442"/>
      <c r="J522" s="9"/>
      <c r="K522" s="539"/>
      <c r="L522" s="421"/>
      <c r="M522" s="421"/>
      <c r="N522" s="421"/>
      <c r="O522" s="421"/>
      <c r="P522" s="9"/>
      <c r="Q522" s="9"/>
      <c r="R522" s="9"/>
      <c r="S522" s="442"/>
    </row>
    <row r="523" spans="1:19">
      <c r="A523" s="1234" t="s">
        <v>50</v>
      </c>
      <c r="B523" s="1227"/>
      <c r="C523" s="1227"/>
      <c r="D523" s="1227"/>
      <c r="E523" s="421"/>
      <c r="F523" s="9"/>
      <c r="G523" s="9"/>
      <c r="H523" s="9"/>
      <c r="I523" s="442"/>
      <c r="J523" s="9"/>
      <c r="K523" s="1234" t="s">
        <v>50</v>
      </c>
      <c r="L523" s="1227"/>
      <c r="M523" s="1227"/>
      <c r="N523" s="1227"/>
      <c r="O523" s="421"/>
      <c r="P523" s="9"/>
      <c r="Q523" s="9"/>
      <c r="R523" s="9"/>
      <c r="S523" s="442"/>
    </row>
    <row r="524" spans="1:19">
      <c r="A524" s="1234"/>
      <c r="B524" s="1227"/>
      <c r="C524" s="1227"/>
      <c r="D524" s="1227"/>
      <c r="E524" s="540" t="str">
        <f>'04-221Master'!B26</f>
        <v>FAZALAHMED IRKAL</v>
      </c>
      <c r="F524" s="498"/>
      <c r="G524" s="498"/>
      <c r="H524" s="498" t="str">
        <f>'04-221Master'!E26</f>
        <v>CHANDSAHEB IRKAL</v>
      </c>
      <c r="I524" s="442"/>
      <c r="J524" s="9"/>
      <c r="K524" s="1234"/>
      <c r="L524" s="1227"/>
      <c r="M524" s="1227"/>
      <c r="N524" s="1227"/>
      <c r="O524" s="540" t="str">
        <f>E524</f>
        <v>FAZALAHMED IRKAL</v>
      </c>
      <c r="P524" s="498"/>
      <c r="Q524" s="498"/>
      <c r="R524" s="498" t="str">
        <f>H524</f>
        <v>CHANDSAHEB IRKAL</v>
      </c>
      <c r="S524" s="442"/>
    </row>
    <row r="525" spans="1:19">
      <c r="A525" s="539"/>
      <c r="B525" s="421"/>
      <c r="C525" s="421"/>
      <c r="D525" s="421"/>
      <c r="E525" s="421"/>
      <c r="F525" s="9"/>
      <c r="G525" s="9"/>
      <c r="H525" s="9"/>
      <c r="I525" s="442"/>
      <c r="J525" s="9"/>
      <c r="K525" s="539"/>
      <c r="L525" s="421"/>
      <c r="M525" s="421"/>
      <c r="N525" s="421"/>
      <c r="O525" s="421"/>
      <c r="P525" s="9"/>
      <c r="Q525" s="9"/>
      <c r="R525" s="9"/>
      <c r="S525" s="442"/>
    </row>
    <row r="526" spans="1:19">
      <c r="A526" s="1226" t="s">
        <v>51</v>
      </c>
      <c r="B526" s="1223"/>
      <c r="C526" s="1223"/>
      <c r="D526" s="1223"/>
      <c r="E526" s="423" t="s">
        <v>373</v>
      </c>
      <c r="F526" s="498"/>
      <c r="G526" s="498"/>
      <c r="H526" s="498"/>
      <c r="I526" s="442"/>
      <c r="J526" s="9"/>
      <c r="K526" s="1226" t="s">
        <v>51</v>
      </c>
      <c r="L526" s="1223"/>
      <c r="M526" s="1223"/>
      <c r="N526" s="1223"/>
      <c r="O526" s="540" t="str">
        <f>E526</f>
        <v>IT SUPPORTIVE SERVICES</v>
      </c>
      <c r="P526" s="498"/>
      <c r="Q526" s="498"/>
      <c r="R526" s="498"/>
      <c r="S526" s="442"/>
    </row>
    <row r="527" spans="1:19">
      <c r="A527" s="539"/>
      <c r="B527" s="421"/>
      <c r="C527" s="421"/>
      <c r="D527" s="421"/>
      <c r="E527" s="421"/>
      <c r="F527" s="9"/>
      <c r="G527" s="9"/>
      <c r="H527" s="9"/>
      <c r="I527" s="442"/>
      <c r="J527" s="9"/>
      <c r="K527" s="539"/>
      <c r="L527" s="421"/>
      <c r="M527" s="421"/>
      <c r="N527" s="421"/>
      <c r="O527" s="421"/>
      <c r="P527" s="9"/>
      <c r="Q527" s="9"/>
      <c r="R527" s="9"/>
      <c r="S527" s="442"/>
    </row>
    <row r="528" spans="1:19">
      <c r="A528" s="1226" t="s">
        <v>52</v>
      </c>
      <c r="B528" s="1223"/>
      <c r="C528" s="1223"/>
      <c r="D528" s="1223"/>
      <c r="E528" s="541">
        <f>'04-221Master'!D10</f>
        <v>44652</v>
      </c>
      <c r="F528" s="498"/>
      <c r="G528" s="498"/>
      <c r="H528" s="498"/>
      <c r="I528" s="442"/>
      <c r="J528" s="9"/>
      <c r="K528" s="1226" t="s">
        <v>52</v>
      </c>
      <c r="L528" s="1223"/>
      <c r="M528" s="1223"/>
      <c r="N528" s="1223"/>
      <c r="O528" s="541">
        <f>E528</f>
        <v>44652</v>
      </c>
      <c r="P528" s="498"/>
      <c r="Q528" s="498"/>
      <c r="R528" s="498"/>
      <c r="S528" s="442"/>
    </row>
    <row r="529" spans="1:19">
      <c r="A529" s="539"/>
      <c r="B529" s="421"/>
      <c r="C529" s="421"/>
      <c r="D529" s="421"/>
      <c r="E529" s="421"/>
      <c r="F529" s="9"/>
      <c r="G529" s="9"/>
      <c r="H529" s="9"/>
      <c r="I529" s="442"/>
      <c r="J529" s="9"/>
      <c r="K529" s="539"/>
      <c r="L529" s="421"/>
      <c r="M529" s="421"/>
      <c r="N529" s="421"/>
      <c r="O529" s="421"/>
      <c r="P529" s="9"/>
      <c r="Q529" s="9"/>
      <c r="R529" s="9"/>
      <c r="S529" s="442"/>
    </row>
    <row r="530" spans="1:19">
      <c r="A530" s="542">
        <v>1</v>
      </c>
      <c r="B530" s="1223" t="s">
        <v>53</v>
      </c>
      <c r="C530" s="1223"/>
      <c r="D530" s="1223"/>
      <c r="E530" s="543">
        <f>'04-221Master'!W26</f>
        <v>22</v>
      </c>
      <c r="F530" s="498"/>
      <c r="G530" s="498"/>
      <c r="H530" s="498"/>
      <c r="I530" s="442"/>
      <c r="J530" s="9"/>
      <c r="K530" s="542">
        <v>1</v>
      </c>
      <c r="L530" s="1223" t="s">
        <v>53</v>
      </c>
      <c r="M530" s="1223"/>
      <c r="N530" s="1223"/>
      <c r="O530" s="543">
        <f>E530</f>
        <v>22</v>
      </c>
      <c r="P530" s="498"/>
      <c r="Q530" s="498"/>
      <c r="R530" s="498"/>
      <c r="S530" s="442"/>
    </row>
    <row r="531" spans="1:19">
      <c r="A531" s="542"/>
      <c r="B531" s="421"/>
      <c r="C531" s="421"/>
      <c r="D531" s="421"/>
      <c r="E531" s="421"/>
      <c r="F531" s="9"/>
      <c r="G531" s="9"/>
      <c r="H531" s="9"/>
      <c r="I531" s="442"/>
      <c r="J531" s="9"/>
      <c r="K531" s="542"/>
      <c r="L531" s="421"/>
      <c r="M531" s="421"/>
      <c r="N531" s="421"/>
      <c r="O531" s="421"/>
      <c r="P531" s="9"/>
      <c r="Q531" s="9"/>
      <c r="R531" s="9"/>
      <c r="S531" s="442"/>
    </row>
    <row r="532" spans="1:19">
      <c r="A532" s="542">
        <v>2</v>
      </c>
      <c r="B532" s="1227" t="s">
        <v>54</v>
      </c>
      <c r="C532" s="1227"/>
      <c r="D532" s="1227"/>
      <c r="E532" s="421"/>
      <c r="F532" s="9"/>
      <c r="G532" s="9"/>
      <c r="H532" s="9"/>
      <c r="I532" s="442"/>
      <c r="J532" s="9"/>
      <c r="K532" s="542">
        <v>2</v>
      </c>
      <c r="L532" s="1227" t="s">
        <v>54</v>
      </c>
      <c r="M532" s="1227"/>
      <c r="N532" s="1227"/>
      <c r="O532" s="421"/>
      <c r="P532" s="9"/>
      <c r="Q532" s="9"/>
      <c r="R532" s="9"/>
      <c r="S532" s="442"/>
    </row>
    <row r="533" spans="1:19">
      <c r="A533" s="542"/>
      <c r="B533" s="1227"/>
      <c r="C533" s="1227"/>
      <c r="D533" s="1227"/>
      <c r="E533" s="544" t="s">
        <v>37</v>
      </c>
      <c r="F533" s="498"/>
      <c r="G533" s="498"/>
      <c r="H533" s="498"/>
      <c r="I533" s="442"/>
      <c r="J533" s="9"/>
      <c r="K533" s="542"/>
      <c r="L533" s="1227"/>
      <c r="M533" s="1227"/>
      <c r="N533" s="1227"/>
      <c r="O533" s="544" t="s">
        <v>37</v>
      </c>
      <c r="P533" s="498"/>
      <c r="Q533" s="498"/>
      <c r="R533" s="498"/>
      <c r="S533" s="442"/>
    </row>
    <row r="534" spans="1:19">
      <c r="A534" s="542"/>
      <c r="B534" s="421"/>
      <c r="C534" s="421"/>
      <c r="D534" s="421"/>
      <c r="E534" s="421"/>
      <c r="F534" s="9"/>
      <c r="G534" s="9"/>
      <c r="H534" s="9"/>
      <c r="I534" s="442"/>
      <c r="J534" s="9"/>
      <c r="K534" s="542"/>
      <c r="L534" s="421"/>
      <c r="M534" s="421"/>
      <c r="N534" s="421"/>
      <c r="O534" s="421"/>
      <c r="P534" s="9"/>
      <c r="Q534" s="9"/>
      <c r="R534" s="9"/>
      <c r="S534" s="442"/>
    </row>
    <row r="535" spans="1:19">
      <c r="A535" s="542">
        <v>3</v>
      </c>
      <c r="B535" s="1223" t="s">
        <v>55</v>
      </c>
      <c r="C535" s="1223"/>
      <c r="D535" s="1223"/>
      <c r="E535" s="544" t="s">
        <v>37</v>
      </c>
      <c r="F535" s="498"/>
      <c r="G535" s="498"/>
      <c r="H535" s="498"/>
      <c r="I535" s="442"/>
      <c r="J535" s="9"/>
      <c r="K535" s="542">
        <v>3</v>
      </c>
      <c r="L535" s="1223" t="s">
        <v>55</v>
      </c>
      <c r="M535" s="1223"/>
      <c r="N535" s="1223"/>
      <c r="O535" s="540" t="str">
        <f>E535</f>
        <v>N/A</v>
      </c>
      <c r="P535" s="498"/>
      <c r="Q535" s="498"/>
      <c r="R535" s="498"/>
      <c r="S535" s="442"/>
    </row>
    <row r="536" spans="1:19">
      <c r="A536" s="542"/>
      <c r="B536" s="421"/>
      <c r="C536" s="421"/>
      <c r="D536" s="421"/>
      <c r="E536" s="421"/>
      <c r="F536" s="9"/>
      <c r="G536" s="9"/>
      <c r="H536" s="9"/>
      <c r="I536" s="442"/>
      <c r="J536" s="9"/>
      <c r="K536" s="542"/>
      <c r="L536" s="421"/>
      <c r="M536" s="421"/>
      <c r="N536" s="421"/>
      <c r="O536" s="421"/>
      <c r="P536" s="9"/>
      <c r="Q536" s="9"/>
      <c r="R536" s="9"/>
      <c r="S536" s="442"/>
    </row>
    <row r="537" spans="1:19">
      <c r="A537" s="542">
        <v>4</v>
      </c>
      <c r="B537" s="1223" t="s">
        <v>56</v>
      </c>
      <c r="C537" s="1223"/>
      <c r="D537" s="1223"/>
      <c r="E537" s="544" t="s">
        <v>57</v>
      </c>
      <c r="F537" s="498"/>
      <c r="G537" s="498"/>
      <c r="H537" s="498"/>
      <c r="I537" s="442"/>
      <c r="J537" s="9"/>
      <c r="K537" s="542">
        <v>4</v>
      </c>
      <c r="L537" s="1223" t="s">
        <v>56</v>
      </c>
      <c r="M537" s="1223"/>
      <c r="N537" s="1223"/>
      <c r="O537" s="544" t="s">
        <v>57</v>
      </c>
      <c r="P537" s="498"/>
      <c r="Q537" s="498"/>
      <c r="R537" s="498"/>
      <c r="S537" s="442"/>
    </row>
    <row r="538" spans="1:19">
      <c r="A538" s="542"/>
      <c r="B538" s="421"/>
      <c r="C538" s="421"/>
      <c r="D538" s="421"/>
      <c r="E538" s="421"/>
      <c r="F538" s="9"/>
      <c r="G538" s="9"/>
      <c r="H538" s="9"/>
      <c r="I538" s="442"/>
      <c r="J538" s="9"/>
      <c r="K538" s="542"/>
      <c r="L538" s="421"/>
      <c r="M538" s="421"/>
      <c r="N538" s="421"/>
      <c r="O538" s="421"/>
      <c r="P538" s="9"/>
      <c r="Q538" s="9"/>
      <c r="R538" s="9"/>
      <c r="S538" s="442"/>
    </row>
    <row r="539" spans="1:19">
      <c r="A539" s="542">
        <v>5</v>
      </c>
      <c r="B539" s="1223" t="s">
        <v>58</v>
      </c>
      <c r="C539" s="1223"/>
      <c r="D539" s="1223"/>
      <c r="E539" s="492">
        <f>'04-221Master'!AM26</f>
        <v>49047.256303999995</v>
      </c>
      <c r="F539" s="9"/>
      <c r="G539" s="9"/>
      <c r="H539" s="9"/>
      <c r="I539" s="442"/>
      <c r="J539" s="9"/>
      <c r="K539" s="542">
        <v>5</v>
      </c>
      <c r="L539" s="1223" t="s">
        <v>58</v>
      </c>
      <c r="M539" s="1223"/>
      <c r="N539" s="1223"/>
      <c r="O539" s="492">
        <f>E539</f>
        <v>49047.256303999995</v>
      </c>
      <c r="P539" s="9"/>
      <c r="Q539" s="9"/>
      <c r="R539" s="9"/>
      <c r="S539" s="442"/>
    </row>
    <row r="540" spans="1:19">
      <c r="A540" s="542"/>
      <c r="B540" s="421"/>
      <c r="C540" s="421"/>
      <c r="D540" s="493" t="s">
        <v>59</v>
      </c>
      <c r="E540" s="493" t="s">
        <v>31</v>
      </c>
      <c r="F540" s="493" t="s">
        <v>33</v>
      </c>
      <c r="G540" s="493" t="s">
        <v>34</v>
      </c>
      <c r="H540" s="493" t="s">
        <v>377</v>
      </c>
      <c r="I540" s="494" t="s">
        <v>378</v>
      </c>
      <c r="J540" s="9"/>
      <c r="K540" s="542"/>
      <c r="L540" s="421"/>
      <c r="M540" s="421"/>
      <c r="N540" s="493" t="s">
        <v>59</v>
      </c>
      <c r="O540" s="493" t="s">
        <v>31</v>
      </c>
      <c r="P540" s="493" t="s">
        <v>33</v>
      </c>
      <c r="Q540" s="493" t="s">
        <v>34</v>
      </c>
      <c r="R540" s="493" t="s">
        <v>377</v>
      </c>
      <c r="S540" s="494" t="s">
        <v>378</v>
      </c>
    </row>
    <row r="541" spans="1:19">
      <c r="A541" s="542">
        <v>6</v>
      </c>
      <c r="B541" s="571" t="s">
        <v>60</v>
      </c>
      <c r="C541" s="571"/>
      <c r="D541" s="495">
        <f>'04-221Master'!AO26</f>
        <v>1800</v>
      </c>
      <c r="E541" s="495">
        <f>'04-221Master'!AN26</f>
        <v>0</v>
      </c>
      <c r="F541" s="496">
        <f>'04-221Master'!AP26</f>
        <v>200</v>
      </c>
      <c r="G541" s="495">
        <f>'04-221Master'!AQ26</f>
        <v>0</v>
      </c>
      <c r="H541" s="496">
        <f>'04-221Master'!AR26</f>
        <v>254</v>
      </c>
      <c r="I541" s="496">
        <f>SUM(D541:H541)</f>
        <v>2254</v>
      </c>
      <c r="J541" s="9"/>
      <c r="K541" s="542">
        <v>6</v>
      </c>
      <c r="L541" s="571" t="s">
        <v>60</v>
      </c>
      <c r="M541" s="571"/>
      <c r="N541" s="495">
        <f t="shared" ref="N541" si="51">D541</f>
        <v>1800</v>
      </c>
      <c r="O541" s="495">
        <f t="shared" ref="O541" si="52">E541</f>
        <v>0</v>
      </c>
      <c r="P541" s="496">
        <f t="shared" ref="P541" si="53">F541</f>
        <v>200</v>
      </c>
      <c r="Q541" s="495">
        <f t="shared" ref="Q541" si="54">G541</f>
        <v>0</v>
      </c>
      <c r="R541" s="496">
        <f t="shared" ref="R541" si="55">H541</f>
        <v>254</v>
      </c>
      <c r="S541" s="496">
        <f t="shared" ref="S541" si="56">I541</f>
        <v>2254</v>
      </c>
    </row>
    <row r="542" spans="1:19">
      <c r="A542" s="542"/>
      <c r="B542" s="421"/>
      <c r="C542" s="421"/>
      <c r="D542" s="421"/>
      <c r="E542" s="421"/>
      <c r="F542" s="9"/>
      <c r="G542" s="9"/>
      <c r="H542" s="9"/>
      <c r="I542" s="442"/>
      <c r="J542" s="9"/>
      <c r="K542" s="542"/>
      <c r="L542" s="421"/>
      <c r="M542" s="421"/>
      <c r="N542" s="421"/>
      <c r="O542" s="421"/>
      <c r="P542" s="9"/>
      <c r="Q542" s="9"/>
      <c r="R542" s="9"/>
      <c r="S542" s="442"/>
    </row>
    <row r="543" spans="1:19">
      <c r="A543" s="542">
        <v>7</v>
      </c>
      <c r="B543" s="1223" t="s">
        <v>61</v>
      </c>
      <c r="C543" s="1223"/>
      <c r="D543" s="1223"/>
      <c r="E543" s="497">
        <f>E539-I541</f>
        <v>46793.256303999995</v>
      </c>
      <c r="F543" s="498"/>
      <c r="G543" s="498"/>
      <c r="H543" s="498"/>
      <c r="I543" s="442"/>
      <c r="J543" s="9"/>
      <c r="K543" s="542">
        <v>7</v>
      </c>
      <c r="L543" s="1223" t="s">
        <v>61</v>
      </c>
      <c r="M543" s="1223"/>
      <c r="N543" s="1223"/>
      <c r="O543" s="497">
        <f>E543</f>
        <v>46793.256303999995</v>
      </c>
      <c r="P543" s="498"/>
      <c r="Q543" s="498"/>
      <c r="R543" s="498"/>
      <c r="S543" s="442"/>
    </row>
    <row r="544" spans="1:19">
      <c r="A544" s="441"/>
      <c r="B544" s="9"/>
      <c r="C544" s="9"/>
      <c r="D544" s="9"/>
      <c r="E544" s="9"/>
      <c r="F544" s="9"/>
      <c r="G544" s="9"/>
      <c r="H544" s="9"/>
      <c r="I544" s="442"/>
      <c r="J544" s="9"/>
      <c r="K544" s="441"/>
      <c r="L544" s="9"/>
      <c r="M544" s="9"/>
      <c r="N544" s="9"/>
      <c r="O544" s="9"/>
      <c r="P544" s="9"/>
      <c r="Q544" s="9"/>
      <c r="R544" s="9"/>
      <c r="S544" s="442"/>
    </row>
    <row r="545" spans="1:19">
      <c r="A545" s="441"/>
      <c r="B545" s="9"/>
      <c r="C545" s="9"/>
      <c r="D545" s="9"/>
      <c r="E545" s="9"/>
      <c r="F545" s="9"/>
      <c r="G545" s="9"/>
      <c r="H545" s="9"/>
      <c r="I545" s="442"/>
      <c r="J545" s="9"/>
      <c r="K545" s="441"/>
      <c r="L545" s="9"/>
      <c r="M545" s="9"/>
      <c r="N545" s="9"/>
      <c r="O545" s="9"/>
      <c r="P545" s="9"/>
      <c r="Q545" s="9"/>
      <c r="R545" s="9"/>
      <c r="S545" s="442"/>
    </row>
    <row r="546" spans="1:19" ht="15.75" thickBot="1">
      <c r="A546" s="441"/>
      <c r="B546" s="9"/>
      <c r="C546" s="9"/>
      <c r="D546" s="9"/>
      <c r="E546" s="9"/>
      <c r="F546" s="444"/>
      <c r="G546" s="444"/>
      <c r="H546" s="444"/>
      <c r="I546" s="445"/>
      <c r="J546" s="9"/>
      <c r="K546" s="441"/>
      <c r="L546" s="9"/>
      <c r="M546" s="9"/>
      <c r="N546" s="9"/>
      <c r="O546" s="9"/>
      <c r="P546" s="444"/>
      <c r="Q546" s="444"/>
      <c r="R546" s="444"/>
      <c r="S546" s="445"/>
    </row>
    <row r="547" spans="1:19" ht="15.75" thickBot="1">
      <c r="A547" s="443"/>
      <c r="B547" s="444"/>
      <c r="C547" s="444"/>
      <c r="D547" s="444"/>
      <c r="E547" s="444"/>
      <c r="F547" s="1224" t="s">
        <v>62</v>
      </c>
      <c r="G547" s="1224"/>
      <c r="H547" s="1224"/>
      <c r="I547" s="1225"/>
      <c r="J547" s="9"/>
      <c r="K547" s="443"/>
      <c r="L547" s="444"/>
      <c r="M547" s="444"/>
      <c r="N547" s="444"/>
      <c r="O547" s="444"/>
      <c r="P547" s="1224" t="s">
        <v>62</v>
      </c>
      <c r="Q547" s="1224"/>
      <c r="R547" s="1224"/>
      <c r="S547" s="1225"/>
    </row>
    <row r="548" spans="1:19">
      <c r="A548" s="9"/>
      <c r="B548" s="9"/>
      <c r="C548" s="9"/>
      <c r="D548" s="9"/>
      <c r="E548" s="9"/>
      <c r="F548" s="9"/>
      <c r="G548" s="9"/>
      <c r="H548" s="9"/>
      <c r="I548" s="9"/>
      <c r="J548" s="9"/>
      <c r="K548" s="9"/>
      <c r="L548" s="9"/>
      <c r="M548" s="9"/>
      <c r="N548" s="9"/>
      <c r="O548" s="9"/>
      <c r="P548" s="9"/>
      <c r="Q548" s="9"/>
      <c r="R548" s="9"/>
      <c r="S548" s="9"/>
    </row>
    <row r="549" spans="1:19">
      <c r="A549" s="9"/>
      <c r="B549" s="9"/>
      <c r="C549" s="9"/>
      <c r="D549" s="9"/>
      <c r="E549" s="9"/>
      <c r="F549" s="9"/>
      <c r="G549" s="9"/>
      <c r="H549" s="9"/>
      <c r="I549" s="9"/>
      <c r="J549" s="9"/>
      <c r="K549" s="9"/>
      <c r="L549" s="9"/>
      <c r="M549" s="9"/>
      <c r="N549" s="9"/>
      <c r="O549" s="9"/>
      <c r="P549" s="9"/>
      <c r="Q549" s="9"/>
      <c r="R549" s="9"/>
      <c r="S549" s="9"/>
    </row>
    <row r="550" spans="1:19">
      <c r="A550" s="9"/>
      <c r="B550" s="9"/>
      <c r="C550" s="9"/>
      <c r="D550" s="9"/>
      <c r="E550" s="9"/>
      <c r="F550" s="9"/>
      <c r="G550" s="9"/>
      <c r="H550" s="9"/>
      <c r="I550" s="9"/>
      <c r="J550" s="9"/>
      <c r="K550" s="9"/>
      <c r="L550" s="9"/>
      <c r="M550" s="9"/>
      <c r="N550" s="9"/>
      <c r="O550" s="9"/>
      <c r="P550" s="9"/>
      <c r="Q550" s="9"/>
      <c r="R550" s="9"/>
      <c r="S550" s="9"/>
    </row>
    <row r="551" spans="1:19">
      <c r="A551" s="9"/>
      <c r="B551" s="9"/>
      <c r="C551" s="9"/>
      <c r="D551" s="9"/>
      <c r="E551" s="9"/>
      <c r="F551" s="9"/>
      <c r="G551" s="9"/>
      <c r="H551" s="9"/>
      <c r="I551" s="9"/>
      <c r="J551" s="9"/>
      <c r="K551" s="9"/>
      <c r="L551" s="9"/>
      <c r="M551" s="9"/>
      <c r="N551" s="9"/>
      <c r="O551" s="9"/>
      <c r="P551" s="9"/>
      <c r="Q551" s="9"/>
      <c r="R551" s="9"/>
      <c r="S551" s="9"/>
    </row>
    <row r="552" spans="1:19">
      <c r="A552" s="9"/>
      <c r="B552" s="9"/>
      <c r="C552" s="9"/>
      <c r="D552" s="9"/>
      <c r="E552" s="9"/>
      <c r="F552" s="9"/>
      <c r="G552" s="9"/>
      <c r="H552" s="9"/>
      <c r="I552" s="9"/>
      <c r="J552" s="9"/>
      <c r="K552" s="9"/>
      <c r="L552" s="9"/>
      <c r="M552" s="9"/>
      <c r="N552" s="9"/>
      <c r="O552" s="9"/>
      <c r="P552" s="9"/>
      <c r="Q552" s="9"/>
      <c r="R552" s="9"/>
      <c r="S552" s="9"/>
    </row>
    <row r="553" spans="1:19">
      <c r="A553" s="9"/>
      <c r="B553" s="9"/>
      <c r="C553" s="9"/>
      <c r="D553" s="9"/>
      <c r="E553" s="9"/>
      <c r="F553" s="9"/>
      <c r="G553" s="9"/>
      <c r="H553" s="9"/>
      <c r="I553" s="9"/>
      <c r="J553" s="9"/>
      <c r="K553" s="9"/>
      <c r="L553" s="9"/>
      <c r="M553" s="9"/>
      <c r="N553" s="9"/>
      <c r="O553" s="9"/>
      <c r="P553" s="9"/>
      <c r="Q553" s="9"/>
      <c r="R553" s="9"/>
      <c r="S553" s="9"/>
    </row>
    <row r="554" spans="1:19">
      <c r="A554" s="9"/>
      <c r="B554" s="9"/>
      <c r="C554" s="9"/>
      <c r="D554" s="9"/>
      <c r="E554" s="9"/>
      <c r="F554" s="9"/>
      <c r="G554" s="9"/>
      <c r="H554" s="9"/>
      <c r="I554" s="9"/>
      <c r="J554" s="9"/>
      <c r="K554" s="9"/>
      <c r="L554" s="9"/>
      <c r="M554" s="9"/>
      <c r="N554" s="9"/>
      <c r="O554" s="9"/>
      <c r="P554" s="9"/>
      <c r="Q554" s="9"/>
      <c r="R554" s="9"/>
      <c r="S554" s="9"/>
    </row>
    <row r="562" spans="1:19" ht="15.75" thickBot="1"/>
    <row r="563" spans="1:19" ht="27" thickBot="1">
      <c r="A563" s="1228" t="s">
        <v>592</v>
      </c>
      <c r="B563" s="1229"/>
      <c r="C563" s="1229"/>
      <c r="D563" s="1229"/>
      <c r="E563" s="1229"/>
      <c r="F563" s="1229"/>
      <c r="G563" s="1229"/>
      <c r="H563" s="1229"/>
      <c r="I563" s="1230"/>
      <c r="J563" s="538"/>
      <c r="K563" s="1228" t="s">
        <v>592</v>
      </c>
      <c r="L563" s="1229"/>
      <c r="M563" s="1229"/>
      <c r="N563" s="1229"/>
      <c r="O563" s="1229"/>
      <c r="P563" s="1229"/>
      <c r="Q563" s="1229"/>
      <c r="R563" s="1229"/>
      <c r="S563" s="1230"/>
    </row>
    <row r="564" spans="1:19">
      <c r="A564" s="1231" t="s">
        <v>593</v>
      </c>
      <c r="B564" s="1232"/>
      <c r="C564" s="1232"/>
      <c r="D564" s="1232"/>
      <c r="E564" s="1232"/>
      <c r="F564" s="1232"/>
      <c r="G564" s="1232"/>
      <c r="H564" s="1232"/>
      <c r="I564" s="1233"/>
      <c r="J564" s="9"/>
      <c r="K564" s="1231" t="s">
        <v>593</v>
      </c>
      <c r="L564" s="1232"/>
      <c r="M564" s="1232"/>
      <c r="N564" s="1232"/>
      <c r="O564" s="1232"/>
      <c r="P564" s="1232"/>
      <c r="Q564" s="1232"/>
      <c r="R564" s="1232"/>
      <c r="S564" s="1233"/>
    </row>
    <row r="565" spans="1:19">
      <c r="A565" s="441"/>
      <c r="B565" s="9"/>
      <c r="C565" s="9"/>
      <c r="D565" s="9"/>
      <c r="E565" s="9"/>
      <c r="F565" s="9"/>
      <c r="G565" s="9"/>
      <c r="H565" s="9"/>
      <c r="I565" s="442"/>
      <c r="J565" s="9"/>
      <c r="K565" s="441"/>
      <c r="L565" s="9"/>
      <c r="M565" s="9"/>
      <c r="N565" s="9"/>
      <c r="O565" s="9"/>
      <c r="P565" s="9"/>
      <c r="Q565" s="9"/>
      <c r="R565" s="9"/>
      <c r="S565" s="442"/>
    </row>
    <row r="566" spans="1:19">
      <c r="A566" s="539" t="s">
        <v>49</v>
      </c>
      <c r="B566" s="421"/>
      <c r="C566" s="421"/>
      <c r="D566" s="419" t="s">
        <v>382</v>
      </c>
      <c r="E566" s="9"/>
      <c r="F566" s="9"/>
      <c r="G566" s="9"/>
      <c r="H566" s="9"/>
      <c r="I566" s="442"/>
      <c r="J566" s="9"/>
      <c r="K566" s="539" t="s">
        <v>49</v>
      </c>
      <c r="L566" s="421"/>
      <c r="M566" s="421"/>
      <c r="N566" s="419" t="s">
        <v>382</v>
      </c>
      <c r="O566" s="9"/>
      <c r="P566" s="9"/>
      <c r="Q566" s="9"/>
      <c r="R566" s="9"/>
      <c r="S566" s="442"/>
    </row>
    <row r="567" spans="1:19">
      <c r="A567" s="539"/>
      <c r="B567" s="421"/>
      <c r="C567" s="421"/>
      <c r="D567" s="421" t="s">
        <v>383</v>
      </c>
      <c r="E567" s="9"/>
      <c r="F567" s="9"/>
      <c r="G567" s="9"/>
      <c r="H567" s="9"/>
      <c r="I567" s="442"/>
      <c r="J567" s="9"/>
      <c r="K567" s="539"/>
      <c r="L567" s="421"/>
      <c r="M567" s="421"/>
      <c r="N567" s="421" t="s">
        <v>383</v>
      </c>
      <c r="O567" s="9"/>
      <c r="P567" s="9"/>
      <c r="Q567" s="9"/>
      <c r="R567" s="9"/>
      <c r="S567" s="442"/>
    </row>
    <row r="568" spans="1:19">
      <c r="A568" s="539"/>
      <c r="B568" s="421"/>
      <c r="C568" s="421"/>
      <c r="D568" s="421"/>
      <c r="E568" s="421"/>
      <c r="F568" s="9"/>
      <c r="G568" s="9"/>
      <c r="H568" s="9"/>
      <c r="I568" s="442"/>
      <c r="J568" s="9"/>
      <c r="K568" s="539"/>
      <c r="L568" s="421"/>
      <c r="M568" s="421"/>
      <c r="N568" s="421"/>
      <c r="O568" s="421"/>
      <c r="P568" s="9"/>
      <c r="Q568" s="9"/>
      <c r="R568" s="9"/>
      <c r="S568" s="442"/>
    </row>
    <row r="569" spans="1:19">
      <c r="A569" s="1234" t="s">
        <v>50</v>
      </c>
      <c r="B569" s="1227"/>
      <c r="C569" s="1227"/>
      <c r="D569" s="1227"/>
      <c r="E569" s="421"/>
      <c r="F569" s="9"/>
      <c r="G569" s="9"/>
      <c r="H569" s="9"/>
      <c r="I569" s="442"/>
      <c r="J569" s="9"/>
      <c r="K569" s="1234" t="s">
        <v>50</v>
      </c>
      <c r="L569" s="1227"/>
      <c r="M569" s="1227"/>
      <c r="N569" s="1227"/>
      <c r="O569" s="421"/>
      <c r="P569" s="9"/>
      <c r="Q569" s="9"/>
      <c r="R569" s="9"/>
      <c r="S569" s="442"/>
    </row>
    <row r="570" spans="1:19">
      <c r="A570" s="1234"/>
      <c r="B570" s="1227"/>
      <c r="C570" s="1227"/>
      <c r="D570" s="1227"/>
      <c r="E570" s="540" t="str">
        <f>'04-221Master'!B27</f>
        <v>SUKRUTH YELLAMBOTLA</v>
      </c>
      <c r="F570" s="498"/>
      <c r="G570" s="498"/>
      <c r="H570" s="498" t="str">
        <f>'04-221Master'!E27</f>
        <v>Yellambotla Vijay Kumar</v>
      </c>
      <c r="I570" s="442"/>
      <c r="J570" s="9"/>
      <c r="K570" s="1234"/>
      <c r="L570" s="1227"/>
      <c r="M570" s="1227"/>
      <c r="N570" s="1227"/>
      <c r="O570" s="540" t="str">
        <f>E570</f>
        <v>SUKRUTH YELLAMBOTLA</v>
      </c>
      <c r="P570" s="498"/>
      <c r="Q570" s="498"/>
      <c r="R570" s="498" t="str">
        <f>H570</f>
        <v>Yellambotla Vijay Kumar</v>
      </c>
      <c r="S570" s="442"/>
    </row>
    <row r="571" spans="1:19">
      <c r="A571" s="539"/>
      <c r="B571" s="421"/>
      <c r="C571" s="421"/>
      <c r="D571" s="421"/>
      <c r="E571" s="421"/>
      <c r="F571" s="9"/>
      <c r="G571" s="9"/>
      <c r="H571" s="9"/>
      <c r="I571" s="442"/>
      <c r="J571" s="9"/>
      <c r="K571" s="539"/>
      <c r="L571" s="421"/>
      <c r="M571" s="421"/>
      <c r="N571" s="421"/>
      <c r="O571" s="421"/>
      <c r="P571" s="9"/>
      <c r="Q571" s="9"/>
      <c r="R571" s="9"/>
      <c r="S571" s="442"/>
    </row>
    <row r="572" spans="1:19">
      <c r="A572" s="1226" t="s">
        <v>51</v>
      </c>
      <c r="B572" s="1223"/>
      <c r="C572" s="1223"/>
      <c r="D572" s="1223"/>
      <c r="E572" s="423" t="s">
        <v>373</v>
      </c>
      <c r="F572" s="498"/>
      <c r="G572" s="498"/>
      <c r="H572" s="498"/>
      <c r="I572" s="442"/>
      <c r="J572" s="9"/>
      <c r="K572" s="1226" t="s">
        <v>51</v>
      </c>
      <c r="L572" s="1223"/>
      <c r="M572" s="1223"/>
      <c r="N572" s="1223"/>
      <c r="O572" s="540" t="str">
        <f>E572</f>
        <v>IT SUPPORTIVE SERVICES</v>
      </c>
      <c r="P572" s="498"/>
      <c r="Q572" s="498"/>
      <c r="R572" s="498"/>
      <c r="S572" s="442"/>
    </row>
    <row r="573" spans="1:19">
      <c r="A573" s="539"/>
      <c r="B573" s="421"/>
      <c r="C573" s="421"/>
      <c r="D573" s="421"/>
      <c r="E573" s="421"/>
      <c r="F573" s="9"/>
      <c r="G573" s="9"/>
      <c r="H573" s="9"/>
      <c r="I573" s="442"/>
      <c r="J573" s="9"/>
      <c r="K573" s="539"/>
      <c r="L573" s="421"/>
      <c r="M573" s="421"/>
      <c r="N573" s="421"/>
      <c r="O573" s="421"/>
      <c r="P573" s="9"/>
      <c r="Q573" s="9"/>
      <c r="R573" s="9"/>
      <c r="S573" s="442"/>
    </row>
    <row r="574" spans="1:19">
      <c r="A574" s="1226" t="s">
        <v>52</v>
      </c>
      <c r="B574" s="1223"/>
      <c r="C574" s="1223"/>
      <c r="D574" s="1223"/>
      <c r="E574" s="541">
        <f>'04-221Master'!D10</f>
        <v>44652</v>
      </c>
      <c r="F574" s="498"/>
      <c r="G574" s="498"/>
      <c r="H574" s="498"/>
      <c r="I574" s="442"/>
      <c r="J574" s="9"/>
      <c r="K574" s="1226" t="s">
        <v>52</v>
      </c>
      <c r="L574" s="1223"/>
      <c r="M574" s="1223"/>
      <c r="N574" s="1223"/>
      <c r="O574" s="541">
        <f>E574</f>
        <v>44652</v>
      </c>
      <c r="P574" s="498"/>
      <c r="Q574" s="498"/>
      <c r="R574" s="498"/>
      <c r="S574" s="442"/>
    </row>
    <row r="575" spans="1:19">
      <c r="A575" s="539"/>
      <c r="B575" s="421"/>
      <c r="C575" s="421"/>
      <c r="D575" s="421"/>
      <c r="E575" s="421"/>
      <c r="F575" s="9"/>
      <c r="G575" s="9"/>
      <c r="H575" s="9"/>
      <c r="I575" s="442"/>
      <c r="J575" s="9"/>
      <c r="K575" s="539"/>
      <c r="L575" s="421"/>
      <c r="M575" s="421"/>
      <c r="N575" s="421"/>
      <c r="O575" s="421"/>
      <c r="P575" s="9"/>
      <c r="Q575" s="9"/>
      <c r="R575" s="9"/>
      <c r="S575" s="442"/>
    </row>
    <row r="576" spans="1:19">
      <c r="A576" s="542">
        <v>1</v>
      </c>
      <c r="B576" s="1223" t="s">
        <v>53</v>
      </c>
      <c r="C576" s="1223"/>
      <c r="D576" s="1223"/>
      <c r="E576" s="543">
        <f>'04-221Master'!W27</f>
        <v>30</v>
      </c>
      <c r="F576" s="498"/>
      <c r="G576" s="498"/>
      <c r="H576" s="498"/>
      <c r="I576" s="442"/>
      <c r="J576" s="9"/>
      <c r="K576" s="542">
        <v>1</v>
      </c>
      <c r="L576" s="1223" t="s">
        <v>53</v>
      </c>
      <c r="M576" s="1223"/>
      <c r="N576" s="1223"/>
      <c r="O576" s="543">
        <f>E576</f>
        <v>30</v>
      </c>
      <c r="P576" s="498"/>
      <c r="Q576" s="498"/>
      <c r="R576" s="498"/>
      <c r="S576" s="442"/>
    </row>
    <row r="577" spans="1:19">
      <c r="A577" s="542"/>
      <c r="B577" s="421"/>
      <c r="C577" s="421"/>
      <c r="D577" s="421"/>
      <c r="E577" s="421"/>
      <c r="F577" s="9"/>
      <c r="G577" s="9"/>
      <c r="H577" s="9"/>
      <c r="I577" s="442"/>
      <c r="J577" s="9"/>
      <c r="K577" s="542"/>
      <c r="L577" s="421"/>
      <c r="M577" s="421"/>
      <c r="N577" s="421"/>
      <c r="O577" s="421"/>
      <c r="P577" s="9"/>
      <c r="Q577" s="9"/>
      <c r="R577" s="9"/>
      <c r="S577" s="442"/>
    </row>
    <row r="578" spans="1:19">
      <c r="A578" s="542">
        <v>2</v>
      </c>
      <c r="B578" s="1227" t="s">
        <v>54</v>
      </c>
      <c r="C578" s="1227"/>
      <c r="D578" s="1227"/>
      <c r="E578" s="421"/>
      <c r="F578" s="9"/>
      <c r="G578" s="9"/>
      <c r="H578" s="9"/>
      <c r="I578" s="442"/>
      <c r="J578" s="9"/>
      <c r="K578" s="542">
        <v>2</v>
      </c>
      <c r="L578" s="1227" t="s">
        <v>54</v>
      </c>
      <c r="M578" s="1227"/>
      <c r="N578" s="1227"/>
      <c r="O578" s="421"/>
      <c r="P578" s="9"/>
      <c r="Q578" s="9"/>
      <c r="R578" s="9"/>
      <c r="S578" s="442"/>
    </row>
    <row r="579" spans="1:19">
      <c r="A579" s="542"/>
      <c r="B579" s="1227"/>
      <c r="C579" s="1227"/>
      <c r="D579" s="1227"/>
      <c r="E579" s="544" t="s">
        <v>37</v>
      </c>
      <c r="F579" s="498"/>
      <c r="G579" s="498"/>
      <c r="H579" s="498"/>
      <c r="I579" s="442"/>
      <c r="J579" s="9"/>
      <c r="K579" s="542"/>
      <c r="L579" s="1227"/>
      <c r="M579" s="1227"/>
      <c r="N579" s="1227"/>
      <c r="O579" s="544" t="s">
        <v>37</v>
      </c>
      <c r="P579" s="498"/>
      <c r="Q579" s="498"/>
      <c r="R579" s="498"/>
      <c r="S579" s="442"/>
    </row>
    <row r="580" spans="1:19">
      <c r="A580" s="542"/>
      <c r="B580" s="421"/>
      <c r="C580" s="421"/>
      <c r="D580" s="421"/>
      <c r="E580" s="421"/>
      <c r="F580" s="9"/>
      <c r="G580" s="9"/>
      <c r="H580" s="9"/>
      <c r="I580" s="442"/>
      <c r="J580" s="9"/>
      <c r="K580" s="542"/>
      <c r="L580" s="421"/>
      <c r="M580" s="421"/>
      <c r="N580" s="421"/>
      <c r="O580" s="421"/>
      <c r="P580" s="9"/>
      <c r="Q580" s="9"/>
      <c r="R580" s="9"/>
      <c r="S580" s="442"/>
    </row>
    <row r="581" spans="1:19">
      <c r="A581" s="542">
        <v>3</v>
      </c>
      <c r="B581" s="1223" t="s">
        <v>55</v>
      </c>
      <c r="C581" s="1223"/>
      <c r="D581" s="1223"/>
      <c r="E581" s="544" t="s">
        <v>37</v>
      </c>
      <c r="F581" s="498"/>
      <c r="G581" s="498"/>
      <c r="H581" s="498"/>
      <c r="I581" s="442"/>
      <c r="J581" s="9"/>
      <c r="K581" s="542">
        <v>3</v>
      </c>
      <c r="L581" s="1223" t="s">
        <v>55</v>
      </c>
      <c r="M581" s="1223"/>
      <c r="N581" s="1223"/>
      <c r="O581" s="540" t="str">
        <f>E581</f>
        <v>N/A</v>
      </c>
      <c r="P581" s="498"/>
      <c r="Q581" s="498"/>
      <c r="R581" s="498"/>
      <c r="S581" s="442"/>
    </row>
    <row r="582" spans="1:19">
      <c r="A582" s="542"/>
      <c r="B582" s="421"/>
      <c r="C582" s="421"/>
      <c r="D582" s="421"/>
      <c r="E582" s="421"/>
      <c r="F582" s="9"/>
      <c r="G582" s="9"/>
      <c r="H582" s="9"/>
      <c r="I582" s="442"/>
      <c r="J582" s="9"/>
      <c r="K582" s="542"/>
      <c r="L582" s="421"/>
      <c r="M582" s="421"/>
      <c r="N582" s="421"/>
      <c r="O582" s="421"/>
      <c r="P582" s="9"/>
      <c r="Q582" s="9"/>
      <c r="R582" s="9"/>
      <c r="S582" s="442"/>
    </row>
    <row r="583" spans="1:19">
      <c r="A583" s="542">
        <v>4</v>
      </c>
      <c r="B583" s="1223" t="s">
        <v>56</v>
      </c>
      <c r="C583" s="1223"/>
      <c r="D583" s="1223"/>
      <c r="E583" s="544" t="s">
        <v>57</v>
      </c>
      <c r="F583" s="498"/>
      <c r="G583" s="498"/>
      <c r="H583" s="498"/>
      <c r="I583" s="442"/>
      <c r="J583" s="9"/>
      <c r="K583" s="542">
        <v>4</v>
      </c>
      <c r="L583" s="1223" t="s">
        <v>56</v>
      </c>
      <c r="M583" s="1223"/>
      <c r="N583" s="1223"/>
      <c r="O583" s="544" t="s">
        <v>57</v>
      </c>
      <c r="P583" s="498"/>
      <c r="Q583" s="498"/>
      <c r="R583" s="498"/>
      <c r="S583" s="442"/>
    </row>
    <row r="584" spans="1:19">
      <c r="A584" s="542"/>
      <c r="B584" s="421"/>
      <c r="C584" s="421"/>
      <c r="D584" s="421"/>
      <c r="E584" s="421"/>
      <c r="F584" s="9"/>
      <c r="G584" s="9"/>
      <c r="H584" s="9"/>
      <c r="I584" s="442"/>
      <c r="J584" s="9"/>
      <c r="K584" s="542"/>
      <c r="L584" s="421"/>
      <c r="M584" s="421"/>
      <c r="N584" s="421"/>
      <c r="O584" s="421"/>
      <c r="P584" s="9"/>
      <c r="Q584" s="9"/>
      <c r="R584" s="9"/>
      <c r="S584" s="442"/>
    </row>
    <row r="585" spans="1:19">
      <c r="A585" s="542">
        <v>5</v>
      </c>
      <c r="B585" s="1223" t="s">
        <v>58</v>
      </c>
      <c r="C585" s="1223"/>
      <c r="D585" s="1223"/>
      <c r="E585" s="492">
        <f>'04-221Master'!AM27</f>
        <v>40275.69296</v>
      </c>
      <c r="F585" s="9"/>
      <c r="G585" s="9"/>
      <c r="H585" s="9"/>
      <c r="I585" s="442"/>
      <c r="J585" s="9"/>
      <c r="K585" s="542">
        <v>5</v>
      </c>
      <c r="L585" s="1223" t="s">
        <v>58</v>
      </c>
      <c r="M585" s="1223"/>
      <c r="N585" s="1223"/>
      <c r="O585" s="492">
        <f>E585</f>
        <v>40275.69296</v>
      </c>
      <c r="P585" s="9"/>
      <c r="Q585" s="9"/>
      <c r="R585" s="9"/>
      <c r="S585" s="442"/>
    </row>
    <row r="586" spans="1:19">
      <c r="A586" s="542"/>
      <c r="B586" s="421"/>
      <c r="C586" s="421"/>
      <c r="D586" s="493" t="s">
        <v>59</v>
      </c>
      <c r="E586" s="493" t="s">
        <v>31</v>
      </c>
      <c r="F586" s="493" t="s">
        <v>33</v>
      </c>
      <c r="G586" s="493" t="s">
        <v>34</v>
      </c>
      <c r="H586" s="493" t="s">
        <v>377</v>
      </c>
      <c r="I586" s="494" t="s">
        <v>378</v>
      </c>
      <c r="J586" s="9"/>
      <c r="K586" s="542"/>
      <c r="L586" s="421"/>
      <c r="M586" s="421"/>
      <c r="N586" s="493" t="s">
        <v>59</v>
      </c>
      <c r="O586" s="493" t="s">
        <v>31</v>
      </c>
      <c r="P586" s="493" t="s">
        <v>33</v>
      </c>
      <c r="Q586" s="493" t="s">
        <v>34</v>
      </c>
      <c r="R586" s="493" t="s">
        <v>377</v>
      </c>
      <c r="S586" s="494" t="s">
        <v>378</v>
      </c>
    </row>
    <row r="587" spans="1:19">
      <c r="A587" s="542">
        <v>6</v>
      </c>
      <c r="B587" s="571" t="s">
        <v>60</v>
      </c>
      <c r="C587" s="571"/>
      <c r="D587" s="495">
        <f>'04-221Master'!AO27</f>
        <v>1800</v>
      </c>
      <c r="E587" s="495">
        <f>'04-221Master'!AN27</f>
        <v>0</v>
      </c>
      <c r="F587" s="496">
        <f>'04-221Master'!AP27</f>
        <v>200</v>
      </c>
      <c r="G587" s="495">
        <f>'04-221Master'!AQ27</f>
        <v>0</v>
      </c>
      <c r="H587" s="496">
        <f>'04-221Master'!AR27</f>
        <v>252</v>
      </c>
      <c r="I587" s="496">
        <f>SUM(D587:H587)</f>
        <v>2252</v>
      </c>
      <c r="J587" s="9"/>
      <c r="K587" s="542">
        <v>6</v>
      </c>
      <c r="L587" s="571" t="s">
        <v>60</v>
      </c>
      <c r="M587" s="571"/>
      <c r="N587" s="495">
        <f t="shared" ref="N587" si="57">D587</f>
        <v>1800</v>
      </c>
      <c r="O587" s="495">
        <f t="shared" ref="O587" si="58">E587</f>
        <v>0</v>
      </c>
      <c r="P587" s="496">
        <f t="shared" ref="P587" si="59">F587</f>
        <v>200</v>
      </c>
      <c r="Q587" s="495">
        <f t="shared" ref="Q587" si="60">G587</f>
        <v>0</v>
      </c>
      <c r="R587" s="496">
        <f t="shared" ref="R587" si="61">H587</f>
        <v>252</v>
      </c>
      <c r="S587" s="496">
        <f t="shared" ref="S587" si="62">I587</f>
        <v>2252</v>
      </c>
    </row>
    <row r="588" spans="1:19">
      <c r="A588" s="542"/>
      <c r="B588" s="421"/>
      <c r="C588" s="421"/>
      <c r="D588" s="421"/>
      <c r="E588" s="421"/>
      <c r="F588" s="9"/>
      <c r="G588" s="9"/>
      <c r="H588" s="9"/>
      <c r="I588" s="442"/>
      <c r="J588" s="9"/>
      <c r="K588" s="542"/>
      <c r="L588" s="421"/>
      <c r="M588" s="421"/>
      <c r="N588" s="421"/>
      <c r="O588" s="421"/>
      <c r="P588" s="9"/>
      <c r="Q588" s="9"/>
      <c r="R588" s="9"/>
      <c r="S588" s="442"/>
    </row>
    <row r="589" spans="1:19">
      <c r="A589" s="542">
        <v>7</v>
      </c>
      <c r="B589" s="1223" t="s">
        <v>61</v>
      </c>
      <c r="C589" s="1223"/>
      <c r="D589" s="1223"/>
      <c r="E589" s="497">
        <f>E585-I587</f>
        <v>38023.69296</v>
      </c>
      <c r="F589" s="498"/>
      <c r="G589" s="498"/>
      <c r="H589" s="498"/>
      <c r="I589" s="442"/>
      <c r="J589" s="9"/>
      <c r="K589" s="542">
        <v>7</v>
      </c>
      <c r="L589" s="1223" t="s">
        <v>61</v>
      </c>
      <c r="M589" s="1223"/>
      <c r="N589" s="1223"/>
      <c r="O589" s="497">
        <f>E589</f>
        <v>38023.69296</v>
      </c>
      <c r="P589" s="498"/>
      <c r="Q589" s="498"/>
      <c r="R589" s="498"/>
      <c r="S589" s="442"/>
    </row>
    <row r="590" spans="1:19">
      <c r="A590" s="441"/>
      <c r="B590" s="9"/>
      <c r="C590" s="9"/>
      <c r="D590" s="9"/>
      <c r="E590" s="9"/>
      <c r="F590" s="9"/>
      <c r="G590" s="9"/>
      <c r="H590" s="9"/>
      <c r="I590" s="442"/>
      <c r="J590" s="9"/>
      <c r="K590" s="441"/>
      <c r="L590" s="9"/>
      <c r="M590" s="9"/>
      <c r="N590" s="9"/>
      <c r="O590" s="9"/>
      <c r="P590" s="9"/>
      <c r="Q590" s="9"/>
      <c r="R590" s="9"/>
      <c r="S590" s="442"/>
    </row>
    <row r="591" spans="1:19">
      <c r="A591" s="441"/>
      <c r="B591" s="9"/>
      <c r="C591" s="9"/>
      <c r="D591" s="9"/>
      <c r="E591" s="9"/>
      <c r="F591" s="9"/>
      <c r="G591" s="9"/>
      <c r="H591" s="9"/>
      <c r="I591" s="442"/>
      <c r="J591" s="9"/>
      <c r="K591" s="441"/>
      <c r="L591" s="9"/>
      <c r="M591" s="9"/>
      <c r="N591" s="9"/>
      <c r="O591" s="9"/>
      <c r="P591" s="9"/>
      <c r="Q591" s="9"/>
      <c r="R591" s="9"/>
      <c r="S591" s="442"/>
    </row>
    <row r="592" spans="1:19" ht="15.75" thickBot="1">
      <c r="A592" s="441"/>
      <c r="B592" s="9"/>
      <c r="C592" s="9"/>
      <c r="D592" s="9"/>
      <c r="E592" s="9"/>
      <c r="F592" s="444"/>
      <c r="G592" s="444"/>
      <c r="H592" s="444"/>
      <c r="I592" s="445"/>
      <c r="J592" s="9"/>
      <c r="K592" s="441"/>
      <c r="L592" s="9"/>
      <c r="M592" s="9"/>
      <c r="N592" s="9"/>
      <c r="O592" s="9"/>
      <c r="P592" s="444"/>
      <c r="Q592" s="444"/>
      <c r="R592" s="444"/>
      <c r="S592" s="445"/>
    </row>
    <row r="593" spans="1:19" ht="15.75" thickBot="1">
      <c r="A593" s="443"/>
      <c r="B593" s="444"/>
      <c r="C593" s="444"/>
      <c r="D593" s="444"/>
      <c r="E593" s="444"/>
      <c r="F593" s="1224" t="s">
        <v>62</v>
      </c>
      <c r="G593" s="1224"/>
      <c r="H593" s="1224"/>
      <c r="I593" s="1225"/>
      <c r="J593" s="9"/>
      <c r="K593" s="443"/>
      <c r="L593" s="444"/>
      <c r="M593" s="444"/>
      <c r="N593" s="444"/>
      <c r="O593" s="444"/>
      <c r="P593" s="1224" t="s">
        <v>62</v>
      </c>
      <c r="Q593" s="1224"/>
      <c r="R593" s="1224"/>
      <c r="S593" s="1225"/>
    </row>
    <row r="594" spans="1:19">
      <c r="A594" s="9"/>
      <c r="B594" s="9"/>
      <c r="C594" s="9"/>
      <c r="D594" s="9"/>
      <c r="E594" s="9"/>
      <c r="F594" s="9"/>
      <c r="G594" s="9"/>
      <c r="H594" s="9"/>
      <c r="I594" s="9"/>
      <c r="J594" s="9"/>
      <c r="K594" s="9"/>
      <c r="L594" s="9"/>
      <c r="M594" s="9"/>
      <c r="N594" s="9"/>
      <c r="O594" s="9"/>
      <c r="P594" s="9"/>
      <c r="Q594" s="9"/>
      <c r="R594" s="9"/>
      <c r="S594" s="9"/>
    </row>
    <row r="595" spans="1:19">
      <c r="A595" s="9"/>
      <c r="B595" s="9"/>
      <c r="C595" s="9"/>
      <c r="D595" s="9"/>
      <c r="E595" s="9"/>
      <c r="F595" s="9"/>
      <c r="G595" s="9"/>
      <c r="H595" s="9"/>
      <c r="I595" s="9"/>
      <c r="J595" s="9"/>
      <c r="K595" s="9"/>
      <c r="L595" s="9"/>
      <c r="M595" s="9"/>
      <c r="N595" s="9"/>
      <c r="O595" s="9"/>
      <c r="P595" s="9"/>
      <c r="Q595" s="9"/>
      <c r="R595" s="9"/>
      <c r="S595" s="9"/>
    </row>
    <row r="596" spans="1:19">
      <c r="A596" s="9"/>
      <c r="B596" s="9"/>
      <c r="C596" s="9"/>
      <c r="D596" s="9"/>
      <c r="E596" s="9"/>
      <c r="F596" s="9"/>
      <c r="G596" s="9"/>
      <c r="H596" s="9"/>
      <c r="I596" s="9"/>
      <c r="J596" s="9"/>
      <c r="K596" s="9"/>
      <c r="L596" s="9"/>
      <c r="M596" s="9"/>
      <c r="N596" s="9"/>
      <c r="O596" s="9"/>
      <c r="P596" s="9"/>
      <c r="Q596" s="9"/>
      <c r="R596" s="9"/>
      <c r="S596" s="9"/>
    </row>
    <row r="597" spans="1:19">
      <c r="A597" s="9"/>
      <c r="B597" s="9"/>
      <c r="C597" s="9"/>
      <c r="D597" s="9"/>
      <c r="E597" s="9"/>
      <c r="F597" s="9"/>
      <c r="G597" s="9"/>
      <c r="H597" s="9"/>
      <c r="I597" s="9"/>
      <c r="J597" s="9"/>
      <c r="K597" s="9"/>
      <c r="L597" s="9"/>
      <c r="M597" s="9"/>
      <c r="N597" s="9"/>
      <c r="O597" s="9"/>
      <c r="P597" s="9"/>
      <c r="Q597" s="9"/>
      <c r="R597" s="9"/>
      <c r="S597" s="9"/>
    </row>
    <row r="598" spans="1:19">
      <c r="A598" s="9"/>
      <c r="B598" s="9"/>
      <c r="C598" s="9"/>
      <c r="D598" s="9"/>
      <c r="E598" s="9"/>
      <c r="F598" s="9"/>
      <c r="G598" s="9"/>
      <c r="H598" s="9"/>
      <c r="I598" s="9"/>
      <c r="J598" s="9"/>
      <c r="K598" s="9"/>
      <c r="L598" s="9"/>
      <c r="M598" s="9"/>
      <c r="N598" s="9"/>
      <c r="O598" s="9"/>
      <c r="P598" s="9"/>
      <c r="Q598" s="9"/>
      <c r="R598" s="9"/>
      <c r="S598" s="9"/>
    </row>
    <row r="599" spans="1:19">
      <c r="A599" s="9"/>
      <c r="B599" s="9"/>
      <c r="C599" s="9"/>
      <c r="D599" s="9"/>
      <c r="E599" s="9"/>
      <c r="F599" s="9"/>
      <c r="G599" s="9"/>
      <c r="H599" s="9"/>
      <c r="I599" s="9"/>
      <c r="J599" s="9"/>
      <c r="K599" s="9"/>
      <c r="L599" s="9"/>
      <c r="M599" s="9"/>
      <c r="N599" s="9"/>
      <c r="O599" s="9"/>
      <c r="P599" s="9"/>
      <c r="Q599" s="9"/>
      <c r="R599" s="9"/>
      <c r="S599" s="9"/>
    </row>
    <row r="600" spans="1:19">
      <c r="A600" s="9"/>
      <c r="B600" s="9"/>
      <c r="C600" s="9"/>
      <c r="D600" s="9"/>
      <c r="E600" s="9"/>
      <c r="F600" s="9"/>
      <c r="G600" s="9"/>
      <c r="H600" s="9"/>
      <c r="I600" s="9"/>
      <c r="J600" s="9"/>
      <c r="K600" s="9"/>
      <c r="L600" s="9"/>
      <c r="M600" s="9"/>
      <c r="N600" s="9"/>
      <c r="O600" s="9"/>
      <c r="P600" s="9"/>
      <c r="Q600" s="9"/>
      <c r="R600" s="9"/>
      <c r="S600" s="9"/>
    </row>
    <row r="601" spans="1:19">
      <c r="A601" s="388"/>
      <c r="B601" s="388"/>
      <c r="C601" s="388"/>
      <c r="D601" s="388"/>
      <c r="E601" s="388"/>
      <c r="F601" s="388"/>
      <c r="G601" s="388"/>
      <c r="H601" s="388"/>
      <c r="I601" s="388"/>
      <c r="J601" s="388"/>
      <c r="K601" s="388"/>
      <c r="L601" s="388"/>
      <c r="M601" s="388"/>
      <c r="N601" s="388"/>
      <c r="O601" s="388"/>
      <c r="P601" s="388"/>
      <c r="Q601" s="388"/>
      <c r="R601" s="388"/>
      <c r="S601" s="388"/>
    </row>
    <row r="602" spans="1:19">
      <c r="A602" s="388"/>
      <c r="B602" s="388"/>
      <c r="C602" s="388"/>
      <c r="D602" s="388"/>
      <c r="E602" s="388"/>
      <c r="F602" s="388"/>
      <c r="G602" s="388"/>
      <c r="H602" s="388"/>
      <c r="I602" s="388"/>
      <c r="J602" s="388"/>
      <c r="K602" s="388"/>
      <c r="L602" s="388"/>
      <c r="M602" s="388"/>
      <c r="N602" s="388"/>
      <c r="O602" s="388"/>
      <c r="P602" s="388"/>
      <c r="Q602" s="388"/>
      <c r="R602" s="388"/>
      <c r="S602" s="388"/>
    </row>
    <row r="603" spans="1:19">
      <c r="A603" s="388"/>
      <c r="B603" s="388"/>
      <c r="C603" s="388"/>
      <c r="D603" s="388"/>
      <c r="E603" s="388"/>
      <c r="F603" s="388"/>
      <c r="G603" s="388"/>
      <c r="H603" s="388"/>
      <c r="I603" s="388"/>
      <c r="J603" s="388"/>
      <c r="K603" s="388"/>
      <c r="L603" s="388"/>
      <c r="M603" s="388"/>
      <c r="N603" s="388"/>
      <c r="O603" s="388"/>
      <c r="P603" s="388"/>
      <c r="Q603" s="388"/>
      <c r="R603" s="388"/>
      <c r="S603" s="388"/>
    </row>
    <row r="604" spans="1:19">
      <c r="A604" s="388"/>
      <c r="B604" s="388"/>
      <c r="C604" s="388"/>
      <c r="D604" s="388"/>
      <c r="E604" s="388"/>
      <c r="F604" s="388"/>
      <c r="G604" s="388"/>
      <c r="H604" s="388"/>
      <c r="I604" s="388"/>
      <c r="J604" s="388"/>
      <c r="K604" s="388"/>
      <c r="L604" s="388"/>
      <c r="M604" s="388"/>
      <c r="N604" s="388"/>
      <c r="O604" s="388"/>
      <c r="P604" s="388"/>
      <c r="Q604" s="388"/>
      <c r="R604" s="388"/>
      <c r="S604" s="388"/>
    </row>
    <row r="605" spans="1:19">
      <c r="A605" s="388"/>
      <c r="B605" s="388"/>
      <c r="C605" s="388"/>
      <c r="D605" s="388"/>
      <c r="E605" s="388"/>
      <c r="F605" s="388"/>
      <c r="G605" s="388"/>
      <c r="H605" s="388"/>
      <c r="I605" s="388"/>
      <c r="J605" s="388"/>
      <c r="K605" s="388"/>
      <c r="L605" s="388"/>
      <c r="M605" s="388"/>
      <c r="N605" s="388"/>
      <c r="O605" s="388"/>
      <c r="P605" s="388"/>
      <c r="Q605" s="388"/>
      <c r="R605" s="388"/>
      <c r="S605" s="388"/>
    </row>
    <row r="606" spans="1:19">
      <c r="A606" s="388"/>
      <c r="B606" s="388"/>
      <c r="C606" s="388"/>
      <c r="D606" s="388"/>
      <c r="E606" s="388"/>
      <c r="F606" s="388"/>
      <c r="G606" s="388"/>
      <c r="H606" s="388"/>
      <c r="I606" s="388"/>
      <c r="J606" s="388"/>
      <c r="K606" s="388"/>
      <c r="L606" s="388"/>
      <c r="M606" s="388"/>
      <c r="N606" s="388"/>
      <c r="O606" s="388"/>
      <c r="P606" s="388"/>
      <c r="Q606" s="388"/>
      <c r="R606" s="388"/>
      <c r="S606" s="388"/>
    </row>
    <row r="607" spans="1:19">
      <c r="A607" s="388"/>
      <c r="B607" s="388"/>
      <c r="C607" s="388"/>
      <c r="D607" s="388"/>
      <c r="E607" s="388"/>
      <c r="F607" s="388"/>
      <c r="G607" s="388"/>
      <c r="H607" s="388"/>
      <c r="I607" s="388"/>
      <c r="J607" s="388"/>
      <c r="K607" s="388"/>
      <c r="L607" s="388"/>
      <c r="M607" s="388"/>
      <c r="N607" s="388"/>
      <c r="O607" s="388"/>
      <c r="P607" s="388"/>
      <c r="Q607" s="388"/>
      <c r="R607" s="388"/>
      <c r="S607" s="388"/>
    </row>
    <row r="608" spans="1:19" ht="15.75" thickBot="1">
      <c r="A608" s="388"/>
      <c r="B608" s="388"/>
      <c r="C608" s="388"/>
      <c r="D608" s="388"/>
      <c r="E608" s="388"/>
      <c r="F608" s="388"/>
      <c r="G608" s="388"/>
      <c r="H608" s="388"/>
      <c r="I608" s="388"/>
      <c r="J608" s="388"/>
      <c r="K608" s="388"/>
      <c r="L608" s="388"/>
      <c r="M608" s="388"/>
      <c r="N608" s="388"/>
      <c r="O608" s="388"/>
      <c r="P608" s="388"/>
      <c r="Q608" s="388"/>
      <c r="R608" s="388"/>
      <c r="S608" s="388"/>
    </row>
    <row r="609" spans="1:19" ht="27" thickBot="1">
      <c r="A609" s="1228" t="s">
        <v>592</v>
      </c>
      <c r="B609" s="1229"/>
      <c r="C609" s="1229"/>
      <c r="D609" s="1229"/>
      <c r="E609" s="1229"/>
      <c r="F609" s="1229"/>
      <c r="G609" s="1229"/>
      <c r="H609" s="1229"/>
      <c r="I609" s="1230"/>
      <c r="J609" s="538"/>
      <c r="K609" s="1228" t="s">
        <v>592</v>
      </c>
      <c r="L609" s="1229"/>
      <c r="M609" s="1229"/>
      <c r="N609" s="1229"/>
      <c r="O609" s="1229"/>
      <c r="P609" s="1229"/>
      <c r="Q609" s="1229"/>
      <c r="R609" s="1229"/>
      <c r="S609" s="1230"/>
    </row>
    <row r="610" spans="1:19">
      <c r="A610" s="1231" t="s">
        <v>593</v>
      </c>
      <c r="B610" s="1232"/>
      <c r="C610" s="1232"/>
      <c r="D610" s="1232"/>
      <c r="E610" s="1232"/>
      <c r="F610" s="1232"/>
      <c r="G610" s="1232"/>
      <c r="H610" s="1232"/>
      <c r="I610" s="1233"/>
      <c r="J610" s="9"/>
      <c r="K610" s="1231" t="s">
        <v>593</v>
      </c>
      <c r="L610" s="1232"/>
      <c r="M610" s="1232"/>
      <c r="N610" s="1232"/>
      <c r="O610" s="1232"/>
      <c r="P610" s="1232"/>
      <c r="Q610" s="1232"/>
      <c r="R610" s="1232"/>
      <c r="S610" s="1233"/>
    </row>
    <row r="611" spans="1:19">
      <c r="A611" s="441"/>
      <c r="B611" s="9"/>
      <c r="C611" s="9"/>
      <c r="D611" s="9"/>
      <c r="E611" s="9"/>
      <c r="F611" s="9"/>
      <c r="G611" s="9"/>
      <c r="H611" s="9"/>
      <c r="I611" s="442"/>
      <c r="J611" s="9"/>
      <c r="K611" s="441"/>
      <c r="L611" s="9"/>
      <c r="M611" s="9"/>
      <c r="N611" s="9"/>
      <c r="O611" s="9"/>
      <c r="P611" s="9"/>
      <c r="Q611" s="9"/>
      <c r="R611" s="9"/>
      <c r="S611" s="442"/>
    </row>
    <row r="612" spans="1:19">
      <c r="A612" s="539" t="s">
        <v>49</v>
      </c>
      <c r="B612" s="421"/>
      <c r="C612" s="421"/>
      <c r="D612" s="419" t="s">
        <v>382</v>
      </c>
      <c r="E612" s="9"/>
      <c r="F612" s="9"/>
      <c r="G612" s="9"/>
      <c r="H612" s="9"/>
      <c r="I612" s="442"/>
      <c r="J612" s="9"/>
      <c r="K612" s="539" t="s">
        <v>49</v>
      </c>
      <c r="L612" s="421"/>
      <c r="M612" s="421"/>
      <c r="N612" s="419" t="s">
        <v>382</v>
      </c>
      <c r="O612" s="9"/>
      <c r="P612" s="9"/>
      <c r="Q612" s="9"/>
      <c r="R612" s="9"/>
      <c r="S612" s="442"/>
    </row>
    <row r="613" spans="1:19">
      <c r="A613" s="539"/>
      <c r="B613" s="421"/>
      <c r="C613" s="421"/>
      <c r="D613" s="421" t="s">
        <v>383</v>
      </c>
      <c r="E613" s="9"/>
      <c r="F613" s="9"/>
      <c r="G613" s="9"/>
      <c r="H613" s="9"/>
      <c r="I613" s="442"/>
      <c r="J613" s="9"/>
      <c r="K613" s="539"/>
      <c r="L613" s="421"/>
      <c r="M613" s="421"/>
      <c r="N613" s="421" t="s">
        <v>383</v>
      </c>
      <c r="O613" s="9"/>
      <c r="P613" s="9"/>
      <c r="Q613" s="9"/>
      <c r="R613" s="9"/>
      <c r="S613" s="442"/>
    </row>
    <row r="614" spans="1:19">
      <c r="A614" s="539"/>
      <c r="B614" s="421"/>
      <c r="C614" s="421"/>
      <c r="D614" s="421"/>
      <c r="E614" s="421"/>
      <c r="F614" s="9"/>
      <c r="G614" s="9"/>
      <c r="H614" s="9"/>
      <c r="I614" s="442"/>
      <c r="J614" s="9"/>
      <c r="K614" s="539"/>
      <c r="L614" s="421"/>
      <c r="M614" s="421"/>
      <c r="N614" s="421"/>
      <c r="O614" s="421"/>
      <c r="P614" s="9"/>
      <c r="Q614" s="9"/>
      <c r="R614" s="9"/>
      <c r="S614" s="442"/>
    </row>
    <row r="615" spans="1:19">
      <c r="A615" s="1234" t="s">
        <v>50</v>
      </c>
      <c r="B615" s="1227"/>
      <c r="C615" s="1227"/>
      <c r="D615" s="1227"/>
      <c r="E615" s="421"/>
      <c r="F615" s="9"/>
      <c r="G615" s="9"/>
      <c r="H615" s="9"/>
      <c r="I615" s="442"/>
      <c r="J615" s="9"/>
      <c r="K615" s="1234" t="s">
        <v>50</v>
      </c>
      <c r="L615" s="1227"/>
      <c r="M615" s="1227"/>
      <c r="N615" s="1227"/>
      <c r="O615" s="421"/>
      <c r="P615" s="9"/>
      <c r="Q615" s="9"/>
      <c r="R615" s="9"/>
      <c r="S615" s="442"/>
    </row>
    <row r="616" spans="1:19">
      <c r="A616" s="1234"/>
      <c r="B616" s="1227"/>
      <c r="C616" s="1227"/>
      <c r="D616" s="1227"/>
      <c r="E616" s="540" t="str">
        <f>'04-221Master'!B28</f>
        <v>Ajay Singh</v>
      </c>
      <c r="F616" s="498"/>
      <c r="G616" s="498" t="str">
        <f>'04-221Master'!E28</f>
        <v>Santhosh Singh</v>
      </c>
      <c r="H616" s="498"/>
      <c r="I616" s="442"/>
      <c r="J616" s="9"/>
      <c r="K616" s="1234"/>
      <c r="L616" s="1227"/>
      <c r="M616" s="1227"/>
      <c r="N616" s="1227"/>
      <c r="O616" s="540" t="str">
        <f>E616</f>
        <v>Ajay Singh</v>
      </c>
      <c r="P616" s="498"/>
      <c r="Q616" s="498"/>
      <c r="R616" s="498" t="str">
        <f>G616</f>
        <v>Santhosh Singh</v>
      </c>
      <c r="S616" s="442"/>
    </row>
    <row r="617" spans="1:19">
      <c r="A617" s="539"/>
      <c r="B617" s="421"/>
      <c r="C617" s="421"/>
      <c r="D617" s="421"/>
      <c r="E617" s="421"/>
      <c r="F617" s="9"/>
      <c r="G617" s="9"/>
      <c r="H617" s="9"/>
      <c r="I617" s="442"/>
      <c r="J617" s="9"/>
      <c r="K617" s="539"/>
      <c r="L617" s="421"/>
      <c r="M617" s="421"/>
      <c r="N617" s="421"/>
      <c r="O617" s="421"/>
      <c r="P617" s="9"/>
      <c r="Q617" s="9"/>
      <c r="R617" s="9"/>
      <c r="S617" s="442"/>
    </row>
    <row r="618" spans="1:19">
      <c r="A618" s="1226" t="s">
        <v>51</v>
      </c>
      <c r="B618" s="1223"/>
      <c r="C618" s="1223"/>
      <c r="D618" s="1223"/>
      <c r="E618" s="423" t="s">
        <v>373</v>
      </c>
      <c r="F618" s="498"/>
      <c r="G618" s="498"/>
      <c r="H618" s="498"/>
      <c r="I618" s="442"/>
      <c r="J618" s="9"/>
      <c r="K618" s="1226" t="s">
        <v>51</v>
      </c>
      <c r="L618" s="1223"/>
      <c r="M618" s="1223"/>
      <c r="N618" s="1223"/>
      <c r="O618" s="540" t="str">
        <f>E618</f>
        <v>IT SUPPORTIVE SERVICES</v>
      </c>
      <c r="P618" s="498"/>
      <c r="Q618" s="498"/>
      <c r="R618" s="498"/>
      <c r="S618" s="442"/>
    </row>
    <row r="619" spans="1:19">
      <c r="A619" s="539"/>
      <c r="B619" s="421"/>
      <c r="C619" s="421"/>
      <c r="D619" s="421"/>
      <c r="E619" s="421"/>
      <c r="F619" s="9"/>
      <c r="G619" s="9"/>
      <c r="H619" s="9"/>
      <c r="I619" s="442"/>
      <c r="J619" s="9"/>
      <c r="K619" s="539"/>
      <c r="L619" s="421"/>
      <c r="M619" s="421"/>
      <c r="N619" s="421"/>
      <c r="O619" s="421"/>
      <c r="P619" s="9"/>
      <c r="Q619" s="9"/>
      <c r="R619" s="9"/>
      <c r="S619" s="442"/>
    </row>
    <row r="620" spans="1:19">
      <c r="A620" s="1226" t="s">
        <v>52</v>
      </c>
      <c r="B620" s="1223"/>
      <c r="C620" s="1223"/>
      <c r="D620" s="1223"/>
      <c r="E620" s="541">
        <f>'04-221Master'!D10</f>
        <v>44652</v>
      </c>
      <c r="F620" s="498"/>
      <c r="G620" s="498"/>
      <c r="H620" s="498"/>
      <c r="I620" s="442"/>
      <c r="J620" s="9"/>
      <c r="K620" s="1226" t="s">
        <v>52</v>
      </c>
      <c r="L620" s="1223"/>
      <c r="M620" s="1223"/>
      <c r="N620" s="1223"/>
      <c r="O620" s="541">
        <f>E620</f>
        <v>44652</v>
      </c>
      <c r="P620" s="498"/>
      <c r="Q620" s="498"/>
      <c r="R620" s="498"/>
      <c r="S620" s="442"/>
    </row>
    <row r="621" spans="1:19">
      <c r="A621" s="539"/>
      <c r="B621" s="421"/>
      <c r="C621" s="421"/>
      <c r="D621" s="421"/>
      <c r="E621" s="421"/>
      <c r="F621" s="9"/>
      <c r="G621" s="9"/>
      <c r="H621" s="9"/>
      <c r="I621" s="442"/>
      <c r="J621" s="9"/>
      <c r="K621" s="539"/>
      <c r="L621" s="421"/>
      <c r="M621" s="421"/>
      <c r="N621" s="421"/>
      <c r="O621" s="421"/>
      <c r="P621" s="9"/>
      <c r="Q621" s="9"/>
      <c r="R621" s="9"/>
      <c r="S621" s="442"/>
    </row>
    <row r="622" spans="1:19">
      <c r="A622" s="542">
        <v>1</v>
      </c>
      <c r="B622" s="1223" t="s">
        <v>53</v>
      </c>
      <c r="C622" s="1223"/>
      <c r="D622" s="1223"/>
      <c r="E622" s="497">
        <f>'04-221Master'!W28</f>
        <v>30</v>
      </c>
      <c r="F622" s="498"/>
      <c r="G622" s="498"/>
      <c r="H622" s="498"/>
      <c r="I622" s="442"/>
      <c r="J622" s="9"/>
      <c r="K622" s="542">
        <v>1</v>
      </c>
      <c r="L622" s="1223" t="s">
        <v>53</v>
      </c>
      <c r="M622" s="1223"/>
      <c r="N622" s="1223"/>
      <c r="O622" s="543">
        <f>E622</f>
        <v>30</v>
      </c>
      <c r="P622" s="498"/>
      <c r="Q622" s="498"/>
      <c r="R622" s="498"/>
      <c r="S622" s="442"/>
    </row>
    <row r="623" spans="1:19">
      <c r="A623" s="542"/>
      <c r="B623" s="421"/>
      <c r="C623" s="421"/>
      <c r="D623" s="421"/>
      <c r="E623" s="421"/>
      <c r="F623" s="9"/>
      <c r="G623" s="9"/>
      <c r="H623" s="9"/>
      <c r="I623" s="442"/>
      <c r="J623" s="9"/>
      <c r="K623" s="542"/>
      <c r="L623" s="421"/>
      <c r="M623" s="421"/>
      <c r="N623" s="421"/>
      <c r="O623" s="421"/>
      <c r="P623" s="9"/>
      <c r="Q623" s="9"/>
      <c r="R623" s="9"/>
      <c r="S623" s="442"/>
    </row>
    <row r="624" spans="1:19">
      <c r="A624" s="542">
        <v>2</v>
      </c>
      <c r="B624" s="1227" t="s">
        <v>54</v>
      </c>
      <c r="C624" s="1227"/>
      <c r="D624" s="1227"/>
      <c r="E624" s="421"/>
      <c r="F624" s="9"/>
      <c r="G624" s="9"/>
      <c r="H624" s="9"/>
      <c r="I624" s="442"/>
      <c r="J624" s="9"/>
      <c r="K624" s="542">
        <v>2</v>
      </c>
      <c r="L624" s="1227" t="s">
        <v>54</v>
      </c>
      <c r="M624" s="1227"/>
      <c r="N624" s="1227"/>
      <c r="O624" s="421"/>
      <c r="P624" s="9"/>
      <c r="Q624" s="9"/>
      <c r="R624" s="9"/>
      <c r="S624" s="442"/>
    </row>
    <row r="625" spans="1:19">
      <c r="A625" s="542"/>
      <c r="B625" s="1227"/>
      <c r="C625" s="1227"/>
      <c r="D625" s="1227"/>
      <c r="E625" s="544" t="s">
        <v>37</v>
      </c>
      <c r="F625" s="498"/>
      <c r="G625" s="498"/>
      <c r="H625" s="498"/>
      <c r="I625" s="442"/>
      <c r="J625" s="9"/>
      <c r="K625" s="542"/>
      <c r="L625" s="1227"/>
      <c r="M625" s="1227"/>
      <c r="N625" s="1227"/>
      <c r="O625" s="544" t="s">
        <v>37</v>
      </c>
      <c r="P625" s="498"/>
      <c r="Q625" s="498"/>
      <c r="R625" s="498"/>
      <c r="S625" s="442"/>
    </row>
    <row r="626" spans="1:19">
      <c r="A626" s="542"/>
      <c r="B626" s="421"/>
      <c r="C626" s="421"/>
      <c r="D626" s="421"/>
      <c r="E626" s="421"/>
      <c r="F626" s="9"/>
      <c r="G626" s="9"/>
      <c r="H626" s="9"/>
      <c r="I626" s="442"/>
      <c r="J626" s="9"/>
      <c r="K626" s="542"/>
      <c r="L626" s="421"/>
      <c r="M626" s="421"/>
      <c r="N626" s="421"/>
      <c r="O626" s="421"/>
      <c r="P626" s="9"/>
      <c r="Q626" s="9"/>
      <c r="R626" s="9"/>
      <c r="S626" s="442"/>
    </row>
    <row r="627" spans="1:19">
      <c r="A627" s="542">
        <v>3</v>
      </c>
      <c r="B627" s="1223" t="s">
        <v>55</v>
      </c>
      <c r="C627" s="1223"/>
      <c r="D627" s="1223"/>
      <c r="E627" s="544" t="s">
        <v>37</v>
      </c>
      <c r="F627" s="498"/>
      <c r="G627" s="498"/>
      <c r="H627" s="498"/>
      <c r="I627" s="442"/>
      <c r="J627" s="9"/>
      <c r="K627" s="542">
        <v>3</v>
      </c>
      <c r="L627" s="1223" t="s">
        <v>55</v>
      </c>
      <c r="M627" s="1223"/>
      <c r="N627" s="1223"/>
      <c r="O627" s="540" t="str">
        <f>E627</f>
        <v>N/A</v>
      </c>
      <c r="P627" s="498"/>
      <c r="Q627" s="498"/>
      <c r="R627" s="498"/>
      <c r="S627" s="442"/>
    </row>
    <row r="628" spans="1:19">
      <c r="A628" s="542"/>
      <c r="B628" s="421"/>
      <c r="C628" s="421"/>
      <c r="D628" s="421"/>
      <c r="E628" s="421"/>
      <c r="F628" s="9"/>
      <c r="G628" s="9"/>
      <c r="H628" s="9"/>
      <c r="I628" s="442"/>
      <c r="J628" s="9"/>
      <c r="K628" s="542"/>
      <c r="L628" s="421"/>
      <c r="M628" s="421"/>
      <c r="N628" s="421"/>
      <c r="O628" s="421"/>
      <c r="P628" s="9"/>
      <c r="Q628" s="9"/>
      <c r="R628" s="9"/>
      <c r="S628" s="442"/>
    </row>
    <row r="629" spans="1:19">
      <c r="A629" s="542">
        <v>4</v>
      </c>
      <c r="B629" s="1223" t="s">
        <v>56</v>
      </c>
      <c r="C629" s="1223"/>
      <c r="D629" s="1223"/>
      <c r="E629" s="544" t="s">
        <v>57</v>
      </c>
      <c r="F629" s="498"/>
      <c r="G629" s="498"/>
      <c r="H629" s="498"/>
      <c r="I629" s="442"/>
      <c r="J629" s="9"/>
      <c r="K629" s="542">
        <v>4</v>
      </c>
      <c r="L629" s="1223" t="s">
        <v>56</v>
      </c>
      <c r="M629" s="1223"/>
      <c r="N629" s="1223"/>
      <c r="O629" s="544" t="s">
        <v>57</v>
      </c>
      <c r="P629" s="498"/>
      <c r="Q629" s="498"/>
      <c r="R629" s="498"/>
      <c r="S629" s="442"/>
    </row>
    <row r="630" spans="1:19">
      <c r="A630" s="542"/>
      <c r="B630" s="421"/>
      <c r="C630" s="421"/>
      <c r="D630" s="421"/>
      <c r="E630" s="421"/>
      <c r="F630" s="9"/>
      <c r="G630" s="9"/>
      <c r="H630" s="9"/>
      <c r="I630" s="442"/>
      <c r="J630" s="9"/>
      <c r="K630" s="542"/>
      <c r="L630" s="421"/>
      <c r="M630" s="421"/>
      <c r="N630" s="421"/>
      <c r="O630" s="421"/>
      <c r="P630" s="9"/>
      <c r="Q630" s="9"/>
      <c r="R630" s="9"/>
      <c r="S630" s="442"/>
    </row>
    <row r="631" spans="1:19">
      <c r="A631" s="542">
        <v>5</v>
      </c>
      <c r="B631" s="1223" t="s">
        <v>58</v>
      </c>
      <c r="C631" s="1223"/>
      <c r="D631" s="1223"/>
      <c r="E631" s="492">
        <f>'04-221Master'!AM28</f>
        <v>140276.30522000001</v>
      </c>
      <c r="F631" s="9"/>
      <c r="G631" s="9"/>
      <c r="H631" s="9"/>
      <c r="I631" s="442"/>
      <c r="J631" s="9"/>
      <c r="K631" s="542">
        <v>5</v>
      </c>
      <c r="L631" s="1223" t="s">
        <v>58</v>
      </c>
      <c r="M631" s="1223"/>
      <c r="N631" s="1223"/>
      <c r="O631" s="492">
        <f>E631</f>
        <v>140276.30522000001</v>
      </c>
      <c r="P631" s="9"/>
      <c r="Q631" s="9"/>
      <c r="R631" s="9"/>
      <c r="S631" s="442"/>
    </row>
    <row r="632" spans="1:19">
      <c r="A632" s="542"/>
      <c r="B632" s="421"/>
      <c r="C632" s="421"/>
      <c r="D632" s="493" t="s">
        <v>59</v>
      </c>
      <c r="E632" s="493" t="s">
        <v>31</v>
      </c>
      <c r="F632" s="493" t="s">
        <v>33</v>
      </c>
      <c r="G632" s="493" t="s">
        <v>34</v>
      </c>
      <c r="H632" s="493" t="s">
        <v>377</v>
      </c>
      <c r="I632" s="494" t="s">
        <v>378</v>
      </c>
      <c r="J632" s="9"/>
      <c r="K632" s="542"/>
      <c r="L632" s="421"/>
      <c r="M632" s="421"/>
      <c r="N632" s="493" t="s">
        <v>59</v>
      </c>
      <c r="O632" s="493" t="s">
        <v>31</v>
      </c>
      <c r="P632" s="493" t="s">
        <v>33</v>
      </c>
      <c r="Q632" s="493" t="s">
        <v>34</v>
      </c>
      <c r="R632" s="493" t="s">
        <v>377</v>
      </c>
      <c r="S632" s="494" t="s">
        <v>378</v>
      </c>
    </row>
    <row r="633" spans="1:19">
      <c r="A633" s="542">
        <v>6</v>
      </c>
      <c r="B633" s="571" t="s">
        <v>60</v>
      </c>
      <c r="C633" s="571"/>
      <c r="D633" s="495">
        <f>'04-221Master'!AO28</f>
        <v>1800</v>
      </c>
      <c r="E633" s="495">
        <f>'04-221Master'!AN751</f>
        <v>0</v>
      </c>
      <c r="F633" s="496">
        <f>'04-221Master'!AP28</f>
        <v>200</v>
      </c>
      <c r="G633" s="495">
        <f>'04-221Master'!AQ28</f>
        <v>0</v>
      </c>
      <c r="H633" s="496">
        <f>'04-221Master'!AR28</f>
        <v>283</v>
      </c>
      <c r="I633" s="496">
        <f>SUM(D633:H633)</f>
        <v>2283</v>
      </c>
      <c r="J633" s="9"/>
      <c r="K633" s="542">
        <v>6</v>
      </c>
      <c r="L633" s="571" t="s">
        <v>60</v>
      </c>
      <c r="M633" s="571"/>
      <c r="N633" s="495">
        <f t="shared" ref="N633" si="63">D633</f>
        <v>1800</v>
      </c>
      <c r="O633" s="495">
        <f t="shared" ref="O633" si="64">E633</f>
        <v>0</v>
      </c>
      <c r="P633" s="496">
        <f t="shared" ref="P633" si="65">F633</f>
        <v>200</v>
      </c>
      <c r="Q633" s="495">
        <f t="shared" ref="Q633" si="66">G633</f>
        <v>0</v>
      </c>
      <c r="R633" s="496">
        <f t="shared" ref="R633" si="67">H633</f>
        <v>283</v>
      </c>
      <c r="S633" s="496">
        <f t="shared" ref="S633" si="68">I633</f>
        <v>2283</v>
      </c>
    </row>
    <row r="634" spans="1:19">
      <c r="A634" s="542"/>
      <c r="B634" s="421"/>
      <c r="C634" s="421"/>
      <c r="D634" s="421"/>
      <c r="E634" s="421"/>
      <c r="F634" s="9"/>
      <c r="G634" s="9"/>
      <c r="H634" s="9"/>
      <c r="I634" s="442"/>
      <c r="J634" s="9"/>
      <c r="K634" s="542"/>
      <c r="L634" s="421"/>
      <c r="M634" s="421"/>
      <c r="N634" s="421"/>
      <c r="O634" s="421"/>
      <c r="P634" s="9"/>
      <c r="Q634" s="9"/>
      <c r="R634" s="9"/>
      <c r="S634" s="442"/>
    </row>
    <row r="635" spans="1:19">
      <c r="A635" s="542">
        <v>7</v>
      </c>
      <c r="B635" s="1223" t="s">
        <v>61</v>
      </c>
      <c r="C635" s="1223"/>
      <c r="D635" s="1223"/>
      <c r="E635" s="497">
        <f>E631-I633</f>
        <v>137993.30522000001</v>
      </c>
      <c r="F635" s="498"/>
      <c r="G635" s="498"/>
      <c r="H635" s="498"/>
      <c r="I635" s="442"/>
      <c r="J635" s="9"/>
      <c r="K635" s="542">
        <v>7</v>
      </c>
      <c r="L635" s="1223" t="s">
        <v>61</v>
      </c>
      <c r="M635" s="1223"/>
      <c r="N635" s="1223"/>
      <c r="O635" s="497">
        <f>E635</f>
        <v>137993.30522000001</v>
      </c>
      <c r="P635" s="498"/>
      <c r="Q635" s="498"/>
      <c r="R635" s="498"/>
      <c r="S635" s="442"/>
    </row>
    <row r="636" spans="1:19">
      <c r="A636" s="441"/>
      <c r="B636" s="9"/>
      <c r="C636" s="9"/>
      <c r="D636" s="9"/>
      <c r="E636" s="9"/>
      <c r="F636" s="9"/>
      <c r="G636" s="9"/>
      <c r="H636" s="9"/>
      <c r="I636" s="442"/>
      <c r="J636" s="9"/>
      <c r="K636" s="441"/>
      <c r="L636" s="9"/>
      <c r="M636" s="9"/>
      <c r="N636" s="9"/>
      <c r="O636" s="9"/>
      <c r="P636" s="9"/>
      <c r="Q636" s="9"/>
      <c r="R636" s="9"/>
      <c r="S636" s="442"/>
    </row>
    <row r="637" spans="1:19">
      <c r="A637" s="441"/>
      <c r="B637" s="9"/>
      <c r="C637" s="9"/>
      <c r="D637" s="9"/>
      <c r="E637" s="9"/>
      <c r="F637" s="9"/>
      <c r="G637" s="9"/>
      <c r="H637" s="9"/>
      <c r="I637" s="442"/>
      <c r="J637" s="9"/>
      <c r="K637" s="441"/>
      <c r="L637" s="9"/>
      <c r="M637" s="9"/>
      <c r="N637" s="9"/>
      <c r="O637" s="9"/>
      <c r="P637" s="9"/>
      <c r="Q637" s="9"/>
      <c r="R637" s="9"/>
      <c r="S637" s="442"/>
    </row>
    <row r="638" spans="1:19" ht="15.75" thickBot="1">
      <c r="A638" s="441"/>
      <c r="B638" s="9"/>
      <c r="C638" s="9"/>
      <c r="D638" s="9"/>
      <c r="E638" s="9"/>
      <c r="F638" s="444"/>
      <c r="G638" s="444"/>
      <c r="H638" s="444"/>
      <c r="I638" s="445"/>
      <c r="J638" s="9"/>
      <c r="K638" s="441"/>
      <c r="L638" s="9"/>
      <c r="M638" s="9"/>
      <c r="N638" s="9"/>
      <c r="O638" s="9"/>
      <c r="P638" s="444"/>
      <c r="Q638" s="444"/>
      <c r="R638" s="444"/>
      <c r="S638" s="445"/>
    </row>
    <row r="639" spans="1:19" ht="15.75" thickBot="1">
      <c r="A639" s="443"/>
      <c r="B639" s="444"/>
      <c r="C639" s="444"/>
      <c r="D639" s="444"/>
      <c r="E639" s="444"/>
      <c r="F639" s="1224" t="s">
        <v>62</v>
      </c>
      <c r="G639" s="1224"/>
      <c r="H639" s="1224"/>
      <c r="I639" s="1225"/>
      <c r="J639" s="9"/>
      <c r="K639" s="443"/>
      <c r="L639" s="444"/>
      <c r="M639" s="444"/>
      <c r="N639" s="444"/>
      <c r="O639" s="444"/>
      <c r="P639" s="1224" t="s">
        <v>62</v>
      </c>
      <c r="Q639" s="1224"/>
      <c r="R639" s="1224"/>
      <c r="S639" s="1225"/>
    </row>
    <row r="640" spans="1:19">
      <c r="A640" s="9"/>
      <c r="B640" s="9"/>
      <c r="C640" s="9"/>
      <c r="D640" s="9"/>
      <c r="E640" s="9"/>
      <c r="F640" s="9"/>
      <c r="G640" s="9"/>
      <c r="H640" s="9"/>
      <c r="I640" s="9"/>
      <c r="J640" s="9"/>
      <c r="K640" s="9"/>
      <c r="L640" s="9"/>
      <c r="M640" s="9"/>
      <c r="N640" s="9"/>
      <c r="O640" s="9"/>
      <c r="P640" s="9"/>
      <c r="Q640" s="9"/>
      <c r="R640" s="9"/>
      <c r="S640" s="9"/>
    </row>
    <row r="641" spans="1:19">
      <c r="A641" s="9"/>
      <c r="B641" s="9"/>
      <c r="C641" s="9"/>
      <c r="D641" s="9"/>
      <c r="E641" s="9"/>
      <c r="F641" s="9"/>
      <c r="G641" s="9"/>
      <c r="H641" s="9"/>
      <c r="I641" s="9"/>
      <c r="J641" s="9"/>
      <c r="K641" s="9"/>
      <c r="L641" s="9"/>
      <c r="M641" s="9"/>
      <c r="N641" s="9"/>
      <c r="O641" s="9"/>
      <c r="P641" s="9"/>
      <c r="Q641" s="9"/>
      <c r="R641" s="9"/>
      <c r="S641" s="9"/>
    </row>
    <row r="642" spans="1:19">
      <c r="A642" s="9"/>
      <c r="B642" s="9"/>
      <c r="C642" s="9"/>
      <c r="D642" s="9"/>
      <c r="E642" s="9"/>
      <c r="F642" s="9"/>
      <c r="G642" s="9"/>
      <c r="H642" s="9"/>
      <c r="I642" s="9"/>
      <c r="J642" s="9"/>
      <c r="K642" s="9"/>
      <c r="L642" s="9"/>
      <c r="M642" s="9"/>
      <c r="N642" s="9"/>
      <c r="O642" s="9"/>
      <c r="P642" s="9"/>
      <c r="Q642" s="9"/>
      <c r="R642" s="9"/>
      <c r="S642" s="9"/>
    </row>
    <row r="643" spans="1:19">
      <c r="A643" s="9"/>
      <c r="B643" s="9"/>
      <c r="C643" s="9"/>
      <c r="D643" s="9"/>
      <c r="E643" s="9"/>
      <c r="F643" s="9"/>
      <c r="G643" s="9"/>
      <c r="H643" s="9"/>
      <c r="I643" s="9"/>
      <c r="J643" s="9"/>
      <c r="K643" s="9"/>
      <c r="L643" s="9"/>
      <c r="M643" s="9"/>
      <c r="N643" s="9"/>
      <c r="O643" s="9"/>
      <c r="P643" s="9"/>
      <c r="Q643" s="9"/>
      <c r="R643" s="9"/>
      <c r="S643" s="9"/>
    </row>
    <row r="644" spans="1:19">
      <c r="A644" s="9"/>
      <c r="B644" s="9"/>
      <c r="C644" s="9"/>
      <c r="D644" s="9"/>
      <c r="E644" s="9"/>
      <c r="F644" s="9"/>
      <c r="G644" s="9"/>
      <c r="H644" s="9"/>
      <c r="I644" s="9"/>
      <c r="J644" s="9"/>
      <c r="K644" s="9"/>
      <c r="L644" s="9"/>
      <c r="M644" s="9"/>
      <c r="N644" s="9"/>
      <c r="O644" s="9"/>
      <c r="P644" s="9"/>
      <c r="Q644" s="9"/>
      <c r="R644" s="9"/>
      <c r="S644" s="9"/>
    </row>
    <row r="645" spans="1:19">
      <c r="A645" s="9"/>
      <c r="B645" s="9"/>
      <c r="C645" s="9"/>
      <c r="D645" s="9"/>
      <c r="E645" s="9"/>
      <c r="F645" s="9"/>
      <c r="G645" s="9"/>
      <c r="H645" s="9"/>
      <c r="I645" s="9"/>
      <c r="J645" s="9"/>
      <c r="K645" s="9"/>
      <c r="L645" s="9"/>
      <c r="M645" s="9"/>
      <c r="N645" s="9"/>
      <c r="O645" s="9"/>
      <c r="P645" s="9"/>
      <c r="Q645" s="9"/>
      <c r="R645" s="9"/>
      <c r="S645" s="9"/>
    </row>
    <row r="646" spans="1:19">
      <c r="A646" s="9"/>
      <c r="B646" s="9"/>
      <c r="C646" s="9"/>
      <c r="D646" s="9"/>
      <c r="E646" s="9"/>
      <c r="F646" s="9"/>
      <c r="G646" s="9"/>
      <c r="H646" s="9"/>
      <c r="I646" s="9"/>
      <c r="J646" s="9"/>
      <c r="K646" s="9"/>
      <c r="L646" s="9"/>
      <c r="M646" s="9"/>
      <c r="N646" s="9"/>
      <c r="O646" s="9"/>
      <c r="P646" s="9"/>
      <c r="Q646" s="9"/>
      <c r="R646" s="9"/>
      <c r="S646" s="9"/>
    </row>
    <row r="647" spans="1:19">
      <c r="A647" s="388"/>
      <c r="B647" s="388"/>
      <c r="C647" s="388"/>
      <c r="D647" s="388"/>
      <c r="E647" s="388"/>
      <c r="F647" s="388"/>
      <c r="G647" s="388"/>
      <c r="H647" s="388"/>
      <c r="I647" s="388"/>
      <c r="J647" s="388"/>
      <c r="K647" s="388"/>
      <c r="L647" s="388"/>
      <c r="M647" s="388"/>
      <c r="N647" s="388"/>
      <c r="O647" s="388"/>
      <c r="P647" s="388"/>
      <c r="Q647" s="388"/>
      <c r="R647" s="388"/>
      <c r="S647" s="388"/>
    </row>
    <row r="648" spans="1:19">
      <c r="A648" s="388"/>
      <c r="B648" s="388"/>
      <c r="C648" s="388"/>
      <c r="D648" s="388"/>
      <c r="E648" s="388"/>
      <c r="F648" s="388"/>
      <c r="G648" s="388"/>
      <c r="H648" s="388"/>
      <c r="I648" s="388"/>
      <c r="J648" s="388"/>
      <c r="K648" s="388"/>
      <c r="L648" s="388"/>
      <c r="M648" s="388"/>
      <c r="N648" s="388"/>
      <c r="O648" s="388"/>
      <c r="P648" s="388"/>
      <c r="Q648" s="388"/>
      <c r="R648" s="388"/>
      <c r="S648" s="388"/>
    </row>
    <row r="649" spans="1:19">
      <c r="A649" s="388"/>
      <c r="B649" s="388"/>
      <c r="C649" s="388"/>
      <c r="D649" s="388"/>
      <c r="E649" s="388"/>
      <c r="F649" s="388"/>
      <c r="G649" s="388"/>
      <c r="H649" s="388"/>
      <c r="I649" s="388"/>
      <c r="J649" s="388"/>
      <c r="K649" s="388"/>
      <c r="L649" s="388"/>
      <c r="M649" s="388"/>
      <c r="N649" s="388"/>
      <c r="O649" s="388"/>
      <c r="P649" s="388"/>
      <c r="Q649" s="388"/>
      <c r="R649" s="388"/>
      <c r="S649" s="388"/>
    </row>
    <row r="650" spans="1:19">
      <c r="A650" s="388"/>
      <c r="B650" s="388"/>
      <c r="C650" s="388"/>
      <c r="D650" s="388"/>
      <c r="E650" s="388"/>
      <c r="F650" s="388"/>
      <c r="G650" s="388"/>
      <c r="H650" s="388"/>
      <c r="I650" s="388"/>
      <c r="J650" s="388"/>
      <c r="K650" s="388"/>
      <c r="L650" s="388"/>
      <c r="M650" s="388"/>
      <c r="N650" s="388"/>
      <c r="O650" s="388"/>
      <c r="P650" s="388"/>
      <c r="Q650" s="388"/>
      <c r="R650" s="388"/>
      <c r="S650" s="388"/>
    </row>
    <row r="651" spans="1:19">
      <c r="A651" s="388"/>
      <c r="B651" s="388"/>
      <c r="C651" s="388"/>
      <c r="D651" s="388"/>
      <c r="E651" s="388"/>
      <c r="F651" s="388"/>
      <c r="G651" s="388"/>
      <c r="H651" s="388"/>
      <c r="I651" s="388"/>
      <c r="J651" s="388"/>
      <c r="K651" s="388"/>
      <c r="L651" s="388"/>
      <c r="M651" s="388"/>
      <c r="N651" s="388"/>
      <c r="O651" s="388"/>
      <c r="P651" s="388"/>
      <c r="Q651" s="388"/>
      <c r="R651" s="388"/>
      <c r="S651" s="388"/>
    </row>
    <row r="652" spans="1:19">
      <c r="A652" s="388"/>
      <c r="B652" s="388"/>
      <c r="C652" s="388"/>
      <c r="D652" s="388"/>
      <c r="E652" s="388"/>
      <c r="F652" s="388"/>
      <c r="G652" s="388"/>
      <c r="H652" s="388"/>
      <c r="I652" s="388"/>
      <c r="J652" s="388"/>
      <c r="K652" s="388"/>
      <c r="L652" s="388"/>
      <c r="M652" s="388"/>
      <c r="N652" s="388"/>
      <c r="O652" s="388"/>
      <c r="P652" s="388"/>
      <c r="Q652" s="388"/>
      <c r="R652" s="388"/>
      <c r="S652" s="388"/>
    </row>
    <row r="653" spans="1:19" ht="15.75" thickBot="1">
      <c r="A653" s="388"/>
      <c r="B653" s="388"/>
      <c r="C653" s="388"/>
      <c r="D653" s="388"/>
      <c r="E653" s="388"/>
      <c r="F653" s="388"/>
      <c r="G653" s="388"/>
      <c r="H653" s="388"/>
      <c r="I653" s="388"/>
      <c r="J653" s="388"/>
      <c r="K653" s="388"/>
      <c r="L653" s="388"/>
      <c r="M653" s="388"/>
      <c r="N653" s="388"/>
      <c r="O653" s="388"/>
      <c r="P653" s="388"/>
      <c r="Q653" s="388"/>
      <c r="R653" s="388"/>
      <c r="S653" s="388"/>
    </row>
    <row r="654" spans="1:19" ht="27" thickBot="1">
      <c r="A654" s="1228" t="s">
        <v>592</v>
      </c>
      <c r="B654" s="1229"/>
      <c r="C654" s="1229"/>
      <c r="D654" s="1229"/>
      <c r="E654" s="1229"/>
      <c r="F654" s="1229"/>
      <c r="G654" s="1229"/>
      <c r="H654" s="1229"/>
      <c r="I654" s="1230"/>
      <c r="J654" s="538"/>
      <c r="K654" s="1228" t="s">
        <v>592</v>
      </c>
      <c r="L654" s="1229"/>
      <c r="M654" s="1229"/>
      <c r="N654" s="1229"/>
      <c r="O654" s="1229"/>
      <c r="P654" s="1229"/>
      <c r="Q654" s="1229"/>
      <c r="R654" s="1229"/>
      <c r="S654" s="1230"/>
    </row>
    <row r="655" spans="1:19">
      <c r="A655" s="1231" t="s">
        <v>593</v>
      </c>
      <c r="B655" s="1232"/>
      <c r="C655" s="1232"/>
      <c r="D655" s="1232"/>
      <c r="E655" s="1232"/>
      <c r="F655" s="1232"/>
      <c r="G655" s="1232"/>
      <c r="H655" s="1232"/>
      <c r="I655" s="1233"/>
      <c r="J655" s="9"/>
      <c r="K655" s="1231" t="s">
        <v>593</v>
      </c>
      <c r="L655" s="1232"/>
      <c r="M655" s="1232"/>
      <c r="N655" s="1232"/>
      <c r="O655" s="1232"/>
      <c r="P655" s="1232"/>
      <c r="Q655" s="1232"/>
      <c r="R655" s="1232"/>
      <c r="S655" s="1233"/>
    </row>
    <row r="656" spans="1:19">
      <c r="A656" s="441"/>
      <c r="B656" s="9"/>
      <c r="C656" s="9"/>
      <c r="D656" s="9"/>
      <c r="E656" s="9"/>
      <c r="F656" s="9"/>
      <c r="G656" s="9"/>
      <c r="H656" s="9"/>
      <c r="I656" s="442"/>
      <c r="J656" s="9"/>
      <c r="K656" s="441"/>
      <c r="L656" s="9"/>
      <c r="M656" s="9"/>
      <c r="N656" s="9"/>
      <c r="O656" s="9"/>
      <c r="P656" s="9"/>
      <c r="Q656" s="9"/>
      <c r="R656" s="9"/>
      <c r="S656" s="442"/>
    </row>
    <row r="657" spans="1:19">
      <c r="A657" s="539" t="s">
        <v>49</v>
      </c>
      <c r="B657" s="421"/>
      <c r="C657" s="421"/>
      <c r="D657" s="419" t="s">
        <v>382</v>
      </c>
      <c r="E657" s="9"/>
      <c r="F657" s="9"/>
      <c r="G657" s="9"/>
      <c r="H657" s="9"/>
      <c r="I657" s="442"/>
      <c r="J657" s="9"/>
      <c r="K657" s="539" t="s">
        <v>49</v>
      </c>
      <c r="L657" s="421"/>
      <c r="M657" s="421"/>
      <c r="N657" s="419" t="s">
        <v>382</v>
      </c>
      <c r="O657" s="9"/>
      <c r="P657" s="9"/>
      <c r="Q657" s="9"/>
      <c r="R657" s="9"/>
      <c r="S657" s="442"/>
    </row>
    <row r="658" spans="1:19">
      <c r="A658" s="539"/>
      <c r="B658" s="421"/>
      <c r="C658" s="421"/>
      <c r="D658" s="421" t="s">
        <v>383</v>
      </c>
      <c r="E658" s="9"/>
      <c r="F658" s="9"/>
      <c r="G658" s="9"/>
      <c r="H658" s="9"/>
      <c r="I658" s="442"/>
      <c r="J658" s="9"/>
      <c r="K658" s="539"/>
      <c r="L658" s="421"/>
      <c r="M658" s="421"/>
      <c r="N658" s="421" t="s">
        <v>383</v>
      </c>
      <c r="O658" s="9"/>
      <c r="P658" s="9"/>
      <c r="Q658" s="9"/>
      <c r="R658" s="9"/>
      <c r="S658" s="442"/>
    </row>
    <row r="659" spans="1:19">
      <c r="A659" s="539"/>
      <c r="B659" s="421"/>
      <c r="C659" s="421"/>
      <c r="D659" s="421"/>
      <c r="E659" s="421"/>
      <c r="F659" s="9"/>
      <c r="G659" s="9"/>
      <c r="H659" s="9"/>
      <c r="I659" s="442"/>
      <c r="J659" s="9"/>
      <c r="K659" s="539"/>
      <c r="L659" s="421"/>
      <c r="M659" s="421"/>
      <c r="N659" s="421"/>
      <c r="O659" s="421"/>
      <c r="P659" s="9"/>
      <c r="Q659" s="9"/>
      <c r="R659" s="9"/>
      <c r="S659" s="442"/>
    </row>
    <row r="660" spans="1:19">
      <c r="A660" s="1234" t="s">
        <v>50</v>
      </c>
      <c r="B660" s="1227"/>
      <c r="C660" s="1227"/>
      <c r="D660" s="1227"/>
      <c r="E660" s="421"/>
      <c r="F660" s="9"/>
      <c r="G660" s="9"/>
      <c r="H660" s="9"/>
      <c r="I660" s="442"/>
      <c r="J660" s="9"/>
      <c r="K660" s="1234" t="s">
        <v>50</v>
      </c>
      <c r="L660" s="1227"/>
      <c r="M660" s="1227"/>
      <c r="N660" s="1227"/>
      <c r="O660" s="421"/>
      <c r="P660" s="9"/>
      <c r="Q660" s="9"/>
      <c r="R660" s="9"/>
      <c r="S660" s="442"/>
    </row>
    <row r="661" spans="1:19">
      <c r="A661" s="1234"/>
      <c r="B661" s="1227"/>
      <c r="C661" s="1227"/>
      <c r="D661" s="1227"/>
      <c r="E661" s="540" t="str">
        <f>'04-221Master'!B29</f>
        <v> Rajesh Dhumal</v>
      </c>
      <c r="F661" s="498"/>
      <c r="G661" s="498" t="str">
        <f>'04-221Master'!E29</f>
        <v>Ramakrishna</v>
      </c>
      <c r="H661" s="498"/>
      <c r="I661" s="442"/>
      <c r="J661" s="9"/>
      <c r="K661" s="1234"/>
      <c r="L661" s="1227"/>
      <c r="M661" s="1227"/>
      <c r="N661" s="1227"/>
      <c r="O661" s="540" t="str">
        <f>E661</f>
        <v> Rajesh Dhumal</v>
      </c>
      <c r="P661" s="498"/>
      <c r="Q661" s="498" t="str">
        <f>G661</f>
        <v>Ramakrishna</v>
      </c>
      <c r="R661" s="498"/>
      <c r="S661" s="442"/>
    </row>
    <row r="662" spans="1:19">
      <c r="A662" s="539"/>
      <c r="B662" s="421"/>
      <c r="C662" s="421"/>
      <c r="D662" s="421"/>
      <c r="E662" s="421"/>
      <c r="F662" s="9"/>
      <c r="G662" s="9"/>
      <c r="H662" s="9"/>
      <c r="I662" s="442"/>
      <c r="J662" s="9"/>
      <c r="K662" s="539"/>
      <c r="L662" s="421"/>
      <c r="M662" s="421"/>
      <c r="N662" s="421"/>
      <c r="O662" s="421"/>
      <c r="P662" s="9"/>
      <c r="Q662" s="9"/>
      <c r="R662" s="9"/>
      <c r="S662" s="442"/>
    </row>
    <row r="663" spans="1:19">
      <c r="A663" s="1226" t="s">
        <v>51</v>
      </c>
      <c r="B663" s="1223"/>
      <c r="C663" s="1223"/>
      <c r="D663" s="1223"/>
      <c r="E663" s="423" t="s">
        <v>373</v>
      </c>
      <c r="F663" s="498"/>
      <c r="G663" s="498"/>
      <c r="H663" s="498"/>
      <c r="I663" s="442"/>
      <c r="J663" s="9"/>
      <c r="K663" s="1226" t="s">
        <v>51</v>
      </c>
      <c r="L663" s="1223"/>
      <c r="M663" s="1223"/>
      <c r="N663" s="1223"/>
      <c r="O663" s="540" t="str">
        <f>E663</f>
        <v>IT SUPPORTIVE SERVICES</v>
      </c>
      <c r="P663" s="498"/>
      <c r="Q663" s="498"/>
      <c r="R663" s="498"/>
      <c r="S663" s="442"/>
    </row>
    <row r="664" spans="1:19">
      <c r="A664" s="539"/>
      <c r="B664" s="421"/>
      <c r="C664" s="421"/>
      <c r="D664" s="421"/>
      <c r="E664" s="421"/>
      <c r="F664" s="9"/>
      <c r="G664" s="9"/>
      <c r="H664" s="9"/>
      <c r="I664" s="442"/>
      <c r="J664" s="9"/>
      <c r="K664" s="539"/>
      <c r="L664" s="421"/>
      <c r="M664" s="421"/>
      <c r="N664" s="421"/>
      <c r="O664" s="421"/>
      <c r="P664" s="9"/>
      <c r="Q664" s="9"/>
      <c r="R664" s="9"/>
      <c r="S664" s="442"/>
    </row>
    <row r="665" spans="1:19">
      <c r="A665" s="1226" t="s">
        <v>52</v>
      </c>
      <c r="B665" s="1223"/>
      <c r="C665" s="1223"/>
      <c r="D665" s="1223"/>
      <c r="E665" s="541">
        <f>'04-221Master'!D10</f>
        <v>44652</v>
      </c>
      <c r="F665" s="498"/>
      <c r="G665" s="498"/>
      <c r="H665" s="498"/>
      <c r="I665" s="442"/>
      <c r="J665" s="9"/>
      <c r="K665" s="1226" t="s">
        <v>52</v>
      </c>
      <c r="L665" s="1223"/>
      <c r="M665" s="1223"/>
      <c r="N665" s="1223"/>
      <c r="O665" s="541">
        <f>E665</f>
        <v>44652</v>
      </c>
      <c r="P665" s="498"/>
      <c r="Q665" s="498"/>
      <c r="R665" s="498"/>
      <c r="S665" s="442"/>
    </row>
    <row r="666" spans="1:19">
      <c r="A666" s="539"/>
      <c r="B666" s="421"/>
      <c r="C666" s="421"/>
      <c r="D666" s="421"/>
      <c r="E666" s="421"/>
      <c r="F666" s="9"/>
      <c r="G666" s="9"/>
      <c r="H666" s="9"/>
      <c r="I666" s="442"/>
      <c r="J666" s="9"/>
      <c r="K666" s="539"/>
      <c r="L666" s="421"/>
      <c r="M666" s="421"/>
      <c r="N666" s="421"/>
      <c r="O666" s="421"/>
      <c r="P666" s="9"/>
      <c r="Q666" s="9"/>
      <c r="R666" s="9"/>
      <c r="S666" s="442"/>
    </row>
    <row r="667" spans="1:19">
      <c r="A667" s="542">
        <v>1</v>
      </c>
      <c r="B667" s="1223" t="s">
        <v>53</v>
      </c>
      <c r="C667" s="1223"/>
      <c r="D667" s="1223"/>
      <c r="E667" s="543">
        <f>'04-221Master'!W29</f>
        <v>30</v>
      </c>
      <c r="F667" s="498"/>
      <c r="G667" s="498"/>
      <c r="H667" s="498"/>
      <c r="I667" s="442"/>
      <c r="J667" s="9"/>
      <c r="K667" s="542">
        <v>1</v>
      </c>
      <c r="L667" s="1223" t="s">
        <v>53</v>
      </c>
      <c r="M667" s="1223"/>
      <c r="N667" s="1223"/>
      <c r="O667" s="543">
        <f>E667</f>
        <v>30</v>
      </c>
      <c r="P667" s="498"/>
      <c r="Q667" s="498"/>
      <c r="R667" s="498"/>
      <c r="S667" s="442"/>
    </row>
    <row r="668" spans="1:19">
      <c r="A668" s="542"/>
      <c r="B668" s="421"/>
      <c r="C668" s="421"/>
      <c r="D668" s="421"/>
      <c r="E668" s="421"/>
      <c r="F668" s="9"/>
      <c r="G668" s="9"/>
      <c r="H668" s="9"/>
      <c r="I668" s="442"/>
      <c r="J668" s="9"/>
      <c r="K668" s="542"/>
      <c r="L668" s="421"/>
      <c r="M668" s="421"/>
      <c r="N668" s="421"/>
      <c r="O668" s="421"/>
      <c r="P668" s="9"/>
      <c r="Q668" s="9"/>
      <c r="R668" s="9"/>
      <c r="S668" s="442"/>
    </row>
    <row r="669" spans="1:19">
      <c r="A669" s="542">
        <v>2</v>
      </c>
      <c r="B669" s="1227" t="s">
        <v>54</v>
      </c>
      <c r="C669" s="1227"/>
      <c r="D669" s="1227"/>
      <c r="E669" s="421"/>
      <c r="F669" s="9"/>
      <c r="G669" s="9"/>
      <c r="H669" s="9"/>
      <c r="I669" s="442"/>
      <c r="J669" s="9"/>
      <c r="K669" s="542">
        <v>2</v>
      </c>
      <c r="L669" s="1227" t="s">
        <v>54</v>
      </c>
      <c r="M669" s="1227"/>
      <c r="N669" s="1227"/>
      <c r="O669" s="421"/>
      <c r="P669" s="9"/>
      <c r="Q669" s="9"/>
      <c r="R669" s="9"/>
      <c r="S669" s="442"/>
    </row>
    <row r="670" spans="1:19">
      <c r="A670" s="542"/>
      <c r="B670" s="1227"/>
      <c r="C670" s="1227"/>
      <c r="D670" s="1227"/>
      <c r="E670" s="544" t="s">
        <v>37</v>
      </c>
      <c r="F670" s="498"/>
      <c r="G670" s="498"/>
      <c r="H670" s="498"/>
      <c r="I670" s="442"/>
      <c r="J670" s="9"/>
      <c r="K670" s="542"/>
      <c r="L670" s="1227"/>
      <c r="M670" s="1227"/>
      <c r="N670" s="1227"/>
      <c r="O670" s="544" t="s">
        <v>37</v>
      </c>
      <c r="P670" s="498"/>
      <c r="Q670" s="498"/>
      <c r="R670" s="498"/>
      <c r="S670" s="442"/>
    </row>
    <row r="671" spans="1:19">
      <c r="A671" s="542"/>
      <c r="B671" s="421"/>
      <c r="C671" s="421"/>
      <c r="D671" s="421"/>
      <c r="E671" s="421"/>
      <c r="F671" s="9"/>
      <c r="G671" s="9"/>
      <c r="H671" s="9"/>
      <c r="I671" s="442"/>
      <c r="J671" s="9"/>
      <c r="K671" s="542"/>
      <c r="L671" s="421"/>
      <c r="M671" s="421"/>
      <c r="N671" s="421"/>
      <c r="O671" s="421"/>
      <c r="P671" s="9"/>
      <c r="Q671" s="9"/>
      <c r="R671" s="9"/>
      <c r="S671" s="442"/>
    </row>
    <row r="672" spans="1:19">
      <c r="A672" s="542">
        <v>3</v>
      </c>
      <c r="B672" s="1223" t="s">
        <v>55</v>
      </c>
      <c r="C672" s="1223"/>
      <c r="D672" s="1223"/>
      <c r="E672" s="544" t="s">
        <v>37</v>
      </c>
      <c r="F672" s="498"/>
      <c r="G672" s="498"/>
      <c r="H672" s="498"/>
      <c r="I672" s="442"/>
      <c r="J672" s="9"/>
      <c r="K672" s="542">
        <v>3</v>
      </c>
      <c r="L672" s="1223" t="s">
        <v>55</v>
      </c>
      <c r="M672" s="1223"/>
      <c r="N672" s="1223"/>
      <c r="O672" s="540" t="str">
        <f>E672</f>
        <v>N/A</v>
      </c>
      <c r="P672" s="498"/>
      <c r="Q672" s="498"/>
      <c r="R672" s="498"/>
      <c r="S672" s="442"/>
    </row>
    <row r="673" spans="1:19">
      <c r="A673" s="542"/>
      <c r="B673" s="421"/>
      <c r="C673" s="421"/>
      <c r="D673" s="421"/>
      <c r="E673" s="421"/>
      <c r="F673" s="9"/>
      <c r="G673" s="9"/>
      <c r="H673" s="9"/>
      <c r="I673" s="442"/>
      <c r="J673" s="9"/>
      <c r="K673" s="542"/>
      <c r="L673" s="421"/>
      <c r="M673" s="421"/>
      <c r="N673" s="421"/>
      <c r="O673" s="421"/>
      <c r="P673" s="9"/>
      <c r="Q673" s="9"/>
      <c r="R673" s="9"/>
      <c r="S673" s="442"/>
    </row>
    <row r="674" spans="1:19">
      <c r="A674" s="542">
        <v>4</v>
      </c>
      <c r="B674" s="1223" t="s">
        <v>56</v>
      </c>
      <c r="C674" s="1223"/>
      <c r="D674" s="1223"/>
      <c r="E674" s="544" t="s">
        <v>57</v>
      </c>
      <c r="F674" s="498"/>
      <c r="G674" s="498"/>
      <c r="H674" s="498"/>
      <c r="I674" s="442"/>
      <c r="J674" s="9"/>
      <c r="K674" s="542">
        <v>4</v>
      </c>
      <c r="L674" s="1223" t="s">
        <v>56</v>
      </c>
      <c r="M674" s="1223"/>
      <c r="N674" s="1223"/>
      <c r="O674" s="544" t="s">
        <v>57</v>
      </c>
      <c r="P674" s="498"/>
      <c r="Q674" s="498"/>
      <c r="R674" s="498"/>
      <c r="S674" s="442"/>
    </row>
    <row r="675" spans="1:19">
      <c r="A675" s="542"/>
      <c r="B675" s="421"/>
      <c r="C675" s="421"/>
      <c r="D675" s="421"/>
      <c r="E675" s="421"/>
      <c r="F675" s="9"/>
      <c r="G675" s="9"/>
      <c r="H675" s="9"/>
      <c r="I675" s="442"/>
      <c r="J675" s="9"/>
      <c r="K675" s="542"/>
      <c r="L675" s="421"/>
      <c r="M675" s="421"/>
      <c r="N675" s="421"/>
      <c r="O675" s="421"/>
      <c r="P675" s="9"/>
      <c r="Q675" s="9"/>
      <c r="R675" s="9"/>
      <c r="S675" s="442"/>
    </row>
    <row r="676" spans="1:19">
      <c r="A676" s="542">
        <v>5</v>
      </c>
      <c r="B676" s="1223" t="s">
        <v>58</v>
      </c>
      <c r="C676" s="1223"/>
      <c r="D676" s="1223"/>
      <c r="E676" s="492">
        <f>'04-221Master'!AM29</f>
        <v>82275.712759999995</v>
      </c>
      <c r="F676" s="9"/>
      <c r="G676" s="9"/>
      <c r="H676" s="9"/>
      <c r="I676" s="442"/>
      <c r="J676" s="9"/>
      <c r="K676" s="542">
        <v>5</v>
      </c>
      <c r="L676" s="1223" t="s">
        <v>58</v>
      </c>
      <c r="M676" s="1223"/>
      <c r="N676" s="1223"/>
      <c r="O676" s="492">
        <f>E676</f>
        <v>82275.712759999995</v>
      </c>
      <c r="P676" s="9"/>
      <c r="Q676" s="9"/>
      <c r="R676" s="9"/>
      <c r="S676" s="442"/>
    </row>
    <row r="677" spans="1:19">
      <c r="A677" s="542"/>
      <c r="B677" s="421"/>
      <c r="C677" s="421"/>
      <c r="D677" s="493" t="s">
        <v>59</v>
      </c>
      <c r="E677" s="493" t="s">
        <v>31</v>
      </c>
      <c r="F677" s="493" t="s">
        <v>33</v>
      </c>
      <c r="G677" s="493" t="s">
        <v>34</v>
      </c>
      <c r="H677" s="493" t="s">
        <v>377</v>
      </c>
      <c r="I677" s="494" t="s">
        <v>378</v>
      </c>
      <c r="J677" s="9"/>
      <c r="K677" s="542"/>
      <c r="L677" s="421"/>
      <c r="M677" s="421"/>
      <c r="N677" s="493" t="s">
        <v>59</v>
      </c>
      <c r="O677" s="493" t="s">
        <v>31</v>
      </c>
      <c r="P677" s="493" t="s">
        <v>33</v>
      </c>
      <c r="Q677" s="493" t="s">
        <v>34</v>
      </c>
      <c r="R677" s="493" t="s">
        <v>377</v>
      </c>
      <c r="S677" s="494" t="s">
        <v>378</v>
      </c>
    </row>
    <row r="678" spans="1:19">
      <c r="A678" s="542">
        <v>6</v>
      </c>
      <c r="B678" s="571" t="s">
        <v>60</v>
      </c>
      <c r="C678" s="571"/>
      <c r="D678" s="495">
        <f>'04-221Master'!AO29</f>
        <v>1800</v>
      </c>
      <c r="E678" s="495">
        <f>'04-221Master'!AN796</f>
        <v>0</v>
      </c>
      <c r="F678" s="496">
        <f>'04-221Master'!AP29</f>
        <v>200</v>
      </c>
      <c r="G678" s="495" t="b">
        <f>'Empl Cards'!K785='04-221Master'!AQ29</f>
        <v>1</v>
      </c>
      <c r="H678" s="496">
        <f>'04-221Master'!AR29</f>
        <v>283</v>
      </c>
      <c r="I678" s="496">
        <f>SUM(D678:H678)</f>
        <v>2283</v>
      </c>
      <c r="J678" s="9"/>
      <c r="K678" s="542">
        <v>6</v>
      </c>
      <c r="L678" s="571" t="s">
        <v>60</v>
      </c>
      <c r="M678" s="571"/>
      <c r="N678" s="495">
        <f t="shared" ref="N678" si="69">D678</f>
        <v>1800</v>
      </c>
      <c r="O678" s="495">
        <f t="shared" ref="O678" si="70">E678</f>
        <v>0</v>
      </c>
      <c r="P678" s="496">
        <f t="shared" ref="P678" si="71">F678</f>
        <v>200</v>
      </c>
      <c r="Q678" s="495" t="b">
        <f t="shared" ref="Q678" si="72">G678</f>
        <v>1</v>
      </c>
      <c r="R678" s="496">
        <f t="shared" ref="R678" si="73">H678</f>
        <v>283</v>
      </c>
      <c r="S678" s="496">
        <f t="shared" ref="S678" si="74">I678</f>
        <v>2283</v>
      </c>
    </row>
    <row r="679" spans="1:19">
      <c r="A679" s="542"/>
      <c r="B679" s="421"/>
      <c r="C679" s="421"/>
      <c r="D679" s="421"/>
      <c r="E679" s="421"/>
      <c r="F679" s="9"/>
      <c r="G679" s="9"/>
      <c r="H679" s="9"/>
      <c r="I679" s="442"/>
      <c r="J679" s="9"/>
      <c r="K679" s="542"/>
      <c r="L679" s="421"/>
      <c r="M679" s="421"/>
      <c r="N679" s="421"/>
      <c r="O679" s="421"/>
      <c r="P679" s="9"/>
      <c r="Q679" s="9"/>
      <c r="R679" s="9"/>
      <c r="S679" s="442"/>
    </row>
    <row r="680" spans="1:19">
      <c r="A680" s="542">
        <v>7</v>
      </c>
      <c r="B680" s="1223" t="s">
        <v>61</v>
      </c>
      <c r="C680" s="1223"/>
      <c r="D680" s="1223"/>
      <c r="E680" s="497">
        <f>E676-I678</f>
        <v>79992.712759999995</v>
      </c>
      <c r="F680" s="498"/>
      <c r="G680" s="498"/>
      <c r="H680" s="498"/>
      <c r="I680" s="442"/>
      <c r="J680" s="9"/>
      <c r="K680" s="542">
        <v>7</v>
      </c>
      <c r="L680" s="1223" t="s">
        <v>61</v>
      </c>
      <c r="M680" s="1223"/>
      <c r="N680" s="1223"/>
      <c r="O680" s="497">
        <f>E680</f>
        <v>79992.712759999995</v>
      </c>
      <c r="P680" s="498"/>
      <c r="Q680" s="498"/>
      <c r="R680" s="498"/>
      <c r="S680" s="442"/>
    </row>
    <row r="681" spans="1:19">
      <c r="A681" s="441"/>
      <c r="B681" s="9"/>
      <c r="C681" s="9"/>
      <c r="D681" s="9"/>
      <c r="E681" s="9"/>
      <c r="F681" s="9"/>
      <c r="G681" s="9"/>
      <c r="H681" s="9"/>
      <c r="I681" s="442"/>
      <c r="J681" s="9"/>
      <c r="K681" s="441"/>
      <c r="L681" s="9"/>
      <c r="M681" s="9"/>
      <c r="N681" s="9"/>
      <c r="O681" s="9"/>
      <c r="P681" s="9"/>
      <c r="Q681" s="9"/>
      <c r="R681" s="9"/>
      <c r="S681" s="442"/>
    </row>
    <row r="682" spans="1:19">
      <c r="A682" s="441"/>
      <c r="B682" s="9"/>
      <c r="C682" s="9"/>
      <c r="D682" s="9"/>
      <c r="E682" s="9"/>
      <c r="F682" s="9"/>
      <c r="G682" s="9"/>
      <c r="H682" s="9"/>
      <c r="I682" s="442"/>
      <c r="J682" s="9"/>
      <c r="K682" s="441"/>
      <c r="L682" s="9"/>
      <c r="M682" s="9"/>
      <c r="N682" s="9"/>
      <c r="O682" s="9"/>
      <c r="P682" s="9"/>
      <c r="Q682" s="9"/>
      <c r="R682" s="9"/>
      <c r="S682" s="442"/>
    </row>
    <row r="683" spans="1:19" ht="15.75" thickBot="1">
      <c r="A683" s="441"/>
      <c r="B683" s="9"/>
      <c r="C683" s="9"/>
      <c r="D683" s="9"/>
      <c r="E683" s="9"/>
      <c r="F683" s="444"/>
      <c r="G683" s="444"/>
      <c r="H683" s="444"/>
      <c r="I683" s="445"/>
      <c r="J683" s="9"/>
      <c r="K683" s="441"/>
      <c r="L683" s="9"/>
      <c r="M683" s="9"/>
      <c r="N683" s="9"/>
      <c r="O683" s="9"/>
      <c r="P683" s="444"/>
      <c r="Q683" s="444"/>
      <c r="R683" s="444"/>
      <c r="S683" s="445"/>
    </row>
    <row r="684" spans="1:19" ht="15.75" thickBot="1">
      <c r="A684" s="443"/>
      <c r="B684" s="444"/>
      <c r="C684" s="444"/>
      <c r="D684" s="444"/>
      <c r="E684" s="444"/>
      <c r="F684" s="1224" t="s">
        <v>62</v>
      </c>
      <c r="G684" s="1224"/>
      <c r="H684" s="1224"/>
      <c r="I684" s="1225"/>
      <c r="J684" s="9"/>
      <c r="K684" s="443"/>
      <c r="L684" s="444"/>
      <c r="M684" s="444"/>
      <c r="N684" s="444"/>
      <c r="O684" s="444"/>
      <c r="P684" s="1224" t="s">
        <v>62</v>
      </c>
      <c r="Q684" s="1224"/>
      <c r="R684" s="1224"/>
      <c r="S684" s="1225"/>
    </row>
    <row r="685" spans="1:19">
      <c r="A685" s="9"/>
      <c r="B685" s="9"/>
      <c r="C685" s="9"/>
      <c r="D685" s="9"/>
      <c r="E685" s="9"/>
      <c r="F685" s="9"/>
      <c r="G685" s="9"/>
      <c r="H685" s="9"/>
      <c r="I685" s="9"/>
      <c r="J685" s="9"/>
      <c r="K685" s="9"/>
      <c r="L685" s="9"/>
      <c r="M685" s="9"/>
      <c r="N685" s="9"/>
      <c r="O685" s="9"/>
      <c r="P685" s="9"/>
      <c r="Q685" s="9"/>
      <c r="R685" s="9"/>
      <c r="S685" s="9"/>
    </row>
    <row r="686" spans="1:19">
      <c r="A686" s="9"/>
      <c r="B686" s="9"/>
      <c r="C686" s="9"/>
      <c r="D686" s="9"/>
      <c r="E686" s="9"/>
      <c r="F686" s="9"/>
      <c r="G686" s="9"/>
      <c r="H686" s="9"/>
      <c r="I686" s="9"/>
      <c r="J686" s="9"/>
      <c r="K686" s="9"/>
      <c r="L686" s="9"/>
      <c r="M686" s="9"/>
      <c r="N686" s="9"/>
      <c r="O686" s="9"/>
      <c r="P686" s="9"/>
      <c r="Q686" s="9"/>
      <c r="R686" s="9"/>
      <c r="S686" s="9"/>
    </row>
    <row r="687" spans="1:19">
      <c r="A687" s="9"/>
      <c r="B687" s="9"/>
      <c r="C687" s="9"/>
      <c r="D687" s="9"/>
      <c r="E687" s="9"/>
      <c r="F687" s="9"/>
      <c r="G687" s="9"/>
      <c r="H687" s="9"/>
      <c r="I687" s="9"/>
      <c r="J687" s="9"/>
      <c r="K687" s="9"/>
      <c r="L687" s="9"/>
      <c r="M687" s="9"/>
      <c r="N687" s="9"/>
      <c r="O687" s="9"/>
      <c r="P687" s="9"/>
      <c r="Q687" s="9"/>
      <c r="R687" s="9"/>
      <c r="S687" s="9"/>
    </row>
    <row r="688" spans="1:19">
      <c r="A688" s="9"/>
      <c r="B688" s="9"/>
      <c r="C688" s="9"/>
      <c r="D688" s="9"/>
      <c r="E688" s="9"/>
      <c r="F688" s="9"/>
      <c r="G688" s="9"/>
      <c r="H688" s="9"/>
      <c r="I688" s="9"/>
      <c r="J688" s="9"/>
      <c r="K688" s="9"/>
      <c r="L688" s="9"/>
      <c r="M688" s="9"/>
      <c r="N688" s="9"/>
      <c r="O688" s="9"/>
      <c r="P688" s="9"/>
      <c r="Q688" s="9"/>
      <c r="R688" s="9"/>
      <c r="S688" s="9"/>
    </row>
    <row r="689" spans="1:19">
      <c r="A689" s="9"/>
      <c r="B689" s="9"/>
      <c r="C689" s="9"/>
      <c r="D689" s="9"/>
      <c r="E689" s="9"/>
      <c r="F689" s="9"/>
      <c r="G689" s="9"/>
      <c r="H689" s="9"/>
      <c r="I689" s="9"/>
      <c r="J689" s="9"/>
      <c r="K689" s="9"/>
      <c r="L689" s="9"/>
      <c r="M689" s="9"/>
      <c r="N689" s="9"/>
      <c r="O689" s="9"/>
      <c r="P689" s="9"/>
      <c r="Q689" s="9"/>
      <c r="R689" s="9"/>
      <c r="S689" s="9"/>
    </row>
    <row r="690" spans="1:19">
      <c r="A690" s="9"/>
      <c r="B690" s="9"/>
      <c r="C690" s="9"/>
      <c r="D690" s="9"/>
      <c r="E690" s="9"/>
      <c r="F690" s="9"/>
      <c r="G690" s="9"/>
      <c r="H690" s="9"/>
      <c r="I690" s="9"/>
      <c r="J690" s="9"/>
      <c r="K690" s="9"/>
      <c r="L690" s="9"/>
      <c r="M690" s="9"/>
      <c r="N690" s="9"/>
      <c r="O690" s="9"/>
      <c r="P690" s="9"/>
      <c r="Q690" s="9"/>
      <c r="R690" s="9"/>
      <c r="S690" s="9"/>
    </row>
    <row r="691" spans="1:19">
      <c r="A691" s="9"/>
      <c r="B691" s="9"/>
      <c r="C691" s="9"/>
      <c r="D691" s="9"/>
      <c r="E691" s="9"/>
      <c r="F691" s="9"/>
      <c r="G691" s="9"/>
      <c r="H691" s="9"/>
      <c r="I691" s="9"/>
      <c r="J691" s="9"/>
      <c r="K691" s="9"/>
      <c r="L691" s="9"/>
      <c r="M691" s="9"/>
      <c r="N691" s="9"/>
      <c r="O691" s="9"/>
      <c r="P691" s="9"/>
      <c r="Q691" s="9"/>
      <c r="R691" s="9"/>
      <c r="S691" s="9"/>
    </row>
    <row r="692" spans="1:19">
      <c r="A692" s="9"/>
      <c r="B692" s="9"/>
      <c r="C692" s="9"/>
      <c r="D692" s="9"/>
      <c r="E692" s="9"/>
      <c r="F692" s="9"/>
      <c r="G692" s="9"/>
      <c r="H692" s="9"/>
      <c r="I692" s="9"/>
      <c r="J692" s="9"/>
      <c r="K692" s="9"/>
      <c r="L692" s="9"/>
      <c r="M692" s="9"/>
      <c r="N692" s="9"/>
      <c r="O692" s="9"/>
      <c r="P692" s="9"/>
      <c r="Q692" s="9"/>
      <c r="R692" s="9"/>
      <c r="S692" s="9"/>
    </row>
    <row r="693" spans="1:19">
      <c r="A693" s="9"/>
      <c r="B693" s="9"/>
      <c r="C693" s="9"/>
      <c r="D693" s="9"/>
      <c r="E693" s="9"/>
      <c r="F693" s="9"/>
      <c r="G693" s="9"/>
      <c r="H693" s="9"/>
      <c r="I693" s="9"/>
      <c r="J693" s="9"/>
      <c r="K693" s="9"/>
      <c r="L693" s="9"/>
      <c r="M693" s="9"/>
      <c r="N693" s="9"/>
      <c r="O693" s="9"/>
      <c r="P693" s="9"/>
      <c r="Q693" s="9"/>
      <c r="R693" s="9"/>
      <c r="S693" s="9"/>
    </row>
    <row r="694" spans="1:19">
      <c r="A694" s="388"/>
      <c r="B694" s="388"/>
      <c r="C694" s="388"/>
      <c r="D694" s="388"/>
      <c r="E694" s="388"/>
      <c r="F694" s="388"/>
      <c r="G694" s="388"/>
      <c r="H694" s="388"/>
      <c r="I694" s="388"/>
      <c r="J694" s="388"/>
      <c r="K694" s="388"/>
      <c r="L694" s="388"/>
      <c r="M694" s="388"/>
      <c r="N694" s="388"/>
      <c r="O694" s="388"/>
      <c r="P694" s="388"/>
      <c r="Q694" s="388"/>
      <c r="R694" s="388"/>
      <c r="S694" s="388"/>
    </row>
    <row r="695" spans="1:19">
      <c r="A695" s="388"/>
      <c r="B695" s="388"/>
      <c r="C695" s="388"/>
      <c r="D695" s="388"/>
      <c r="E695" s="388"/>
      <c r="F695" s="388"/>
      <c r="G695" s="388"/>
      <c r="H695" s="388"/>
      <c r="I695" s="388"/>
      <c r="J695" s="388"/>
      <c r="K695" s="388"/>
      <c r="L695" s="388"/>
      <c r="M695" s="388"/>
      <c r="N695" s="388"/>
      <c r="O695" s="388"/>
      <c r="P695" s="388"/>
      <c r="Q695" s="388"/>
      <c r="R695" s="388"/>
      <c r="S695" s="388"/>
    </row>
    <row r="696" spans="1:19">
      <c r="A696" s="388"/>
      <c r="B696" s="388"/>
      <c r="C696" s="388"/>
      <c r="D696" s="388"/>
      <c r="E696" s="388"/>
      <c r="F696" s="388"/>
      <c r="G696" s="388"/>
      <c r="H696" s="388"/>
      <c r="I696" s="388"/>
      <c r="J696" s="388"/>
      <c r="K696" s="388"/>
      <c r="L696" s="388"/>
      <c r="M696" s="388"/>
      <c r="N696" s="388"/>
      <c r="O696" s="388"/>
      <c r="P696" s="388"/>
      <c r="Q696" s="388"/>
      <c r="R696" s="388"/>
      <c r="S696" s="388"/>
    </row>
    <row r="697" spans="1:19">
      <c r="A697" s="388"/>
      <c r="B697" s="388"/>
      <c r="C697" s="388"/>
      <c r="D697" s="388"/>
      <c r="E697" s="388"/>
      <c r="F697" s="388"/>
      <c r="G697" s="388"/>
      <c r="H697" s="388"/>
      <c r="I697" s="388"/>
      <c r="J697" s="388"/>
      <c r="K697" s="388"/>
      <c r="L697" s="388"/>
      <c r="M697" s="388"/>
      <c r="N697" s="388"/>
      <c r="O697" s="388"/>
      <c r="P697" s="388"/>
      <c r="Q697" s="388"/>
      <c r="R697" s="388"/>
      <c r="S697" s="388"/>
    </row>
    <row r="698" spans="1:19">
      <c r="A698" s="388"/>
      <c r="B698" s="388"/>
      <c r="C698" s="388"/>
      <c r="D698" s="388"/>
      <c r="E698" s="388"/>
      <c r="F698" s="388"/>
      <c r="G698" s="388"/>
      <c r="H698" s="388"/>
      <c r="I698" s="388"/>
      <c r="J698" s="388"/>
      <c r="K698" s="388"/>
      <c r="L698" s="388"/>
      <c r="M698" s="388"/>
      <c r="N698" s="388"/>
      <c r="O698" s="388"/>
      <c r="P698" s="388"/>
      <c r="Q698" s="388"/>
      <c r="R698" s="388"/>
      <c r="S698" s="388"/>
    </row>
    <row r="699" spans="1:19">
      <c r="A699" s="388"/>
      <c r="B699" s="388"/>
      <c r="C699" s="388"/>
      <c r="D699" s="388"/>
      <c r="E699" s="388"/>
      <c r="F699" s="388"/>
      <c r="G699" s="388"/>
      <c r="H699" s="388"/>
      <c r="I699" s="388"/>
      <c r="J699" s="388"/>
      <c r="K699" s="388"/>
      <c r="L699" s="388"/>
      <c r="M699" s="388"/>
      <c r="N699" s="388"/>
      <c r="O699" s="388"/>
      <c r="P699" s="388"/>
      <c r="Q699" s="388"/>
      <c r="R699" s="388"/>
      <c r="S699" s="388"/>
    </row>
    <row r="700" spans="1:19">
      <c r="A700" s="388"/>
      <c r="B700" s="388"/>
      <c r="C700" s="388"/>
      <c r="D700" s="388"/>
      <c r="E700" s="388"/>
      <c r="F700" s="388"/>
      <c r="G700" s="388"/>
      <c r="H700" s="388"/>
      <c r="I700" s="388"/>
      <c r="J700" s="388"/>
      <c r="K700" s="388"/>
      <c r="L700" s="388"/>
      <c r="M700" s="388"/>
      <c r="N700" s="388"/>
      <c r="O700" s="388"/>
      <c r="P700" s="388"/>
      <c r="Q700" s="388"/>
      <c r="R700" s="388"/>
      <c r="S700" s="388"/>
    </row>
    <row r="701" spans="1:19" ht="15.75" thickBot="1">
      <c r="A701" s="388"/>
      <c r="B701" s="388"/>
      <c r="C701" s="388"/>
      <c r="D701" s="388"/>
      <c r="E701" s="388"/>
      <c r="F701" s="388"/>
      <c r="G701" s="388"/>
      <c r="H701" s="388"/>
      <c r="I701" s="388"/>
      <c r="J701" s="388"/>
      <c r="K701" s="388"/>
      <c r="L701" s="388"/>
      <c r="M701" s="388"/>
      <c r="N701" s="388"/>
      <c r="O701" s="388"/>
      <c r="P701" s="388"/>
      <c r="Q701" s="388"/>
      <c r="R701" s="388"/>
      <c r="S701" s="388"/>
    </row>
    <row r="702" spans="1:19" ht="27" thickBot="1">
      <c r="A702" s="1228" t="s">
        <v>592</v>
      </c>
      <c r="B702" s="1229"/>
      <c r="C702" s="1229"/>
      <c r="D702" s="1229"/>
      <c r="E702" s="1229"/>
      <c r="F702" s="1229"/>
      <c r="G702" s="1229"/>
      <c r="H702" s="1229"/>
      <c r="I702" s="1230"/>
      <c r="J702" s="538"/>
      <c r="K702" s="1228" t="s">
        <v>592</v>
      </c>
      <c r="L702" s="1229"/>
      <c r="M702" s="1229"/>
      <c r="N702" s="1229"/>
      <c r="O702" s="1229"/>
      <c r="P702" s="1229"/>
      <c r="Q702" s="1229"/>
      <c r="R702" s="1229"/>
      <c r="S702" s="1230"/>
    </row>
    <row r="703" spans="1:19">
      <c r="A703" s="1231" t="s">
        <v>593</v>
      </c>
      <c r="B703" s="1232"/>
      <c r="C703" s="1232"/>
      <c r="D703" s="1232"/>
      <c r="E703" s="1232"/>
      <c r="F703" s="1232"/>
      <c r="G703" s="1232"/>
      <c r="H703" s="1232"/>
      <c r="I703" s="1233"/>
      <c r="J703" s="9"/>
      <c r="K703" s="1231" t="s">
        <v>593</v>
      </c>
      <c r="L703" s="1232"/>
      <c r="M703" s="1232"/>
      <c r="N703" s="1232"/>
      <c r="O703" s="1232"/>
      <c r="P703" s="1232"/>
      <c r="Q703" s="1232"/>
      <c r="R703" s="1232"/>
      <c r="S703" s="1233"/>
    </row>
    <row r="704" spans="1:19">
      <c r="A704" s="441"/>
      <c r="B704" s="9"/>
      <c r="C704" s="9"/>
      <c r="D704" s="9"/>
      <c r="E704" s="9"/>
      <c r="F704" s="9"/>
      <c r="G704" s="9"/>
      <c r="H704" s="9"/>
      <c r="I704" s="442"/>
      <c r="J704" s="9"/>
      <c r="K704" s="441"/>
      <c r="L704" s="9"/>
      <c r="M704" s="9"/>
      <c r="N704" s="9"/>
      <c r="O704" s="9"/>
      <c r="P704" s="9"/>
      <c r="Q704" s="9"/>
      <c r="R704" s="9"/>
      <c r="S704" s="442"/>
    </row>
    <row r="705" spans="1:19">
      <c r="A705" s="539" t="s">
        <v>49</v>
      </c>
      <c r="B705" s="421"/>
      <c r="C705" s="421"/>
      <c r="D705" s="419" t="s">
        <v>382</v>
      </c>
      <c r="E705" s="9"/>
      <c r="F705" s="9"/>
      <c r="G705" s="9"/>
      <c r="H705" s="9"/>
      <c r="I705" s="442"/>
      <c r="J705" s="9"/>
      <c r="K705" s="539" t="s">
        <v>49</v>
      </c>
      <c r="L705" s="421"/>
      <c r="M705" s="421"/>
      <c r="N705" s="419" t="s">
        <v>382</v>
      </c>
      <c r="O705" s="9"/>
      <c r="P705" s="9"/>
      <c r="Q705" s="9"/>
      <c r="R705" s="9"/>
      <c r="S705" s="442"/>
    </row>
    <row r="706" spans="1:19">
      <c r="A706" s="539"/>
      <c r="B706" s="421"/>
      <c r="C706" s="421"/>
      <c r="D706" s="421" t="s">
        <v>383</v>
      </c>
      <c r="E706" s="9"/>
      <c r="F706" s="9"/>
      <c r="G706" s="9"/>
      <c r="H706" s="9"/>
      <c r="I706" s="442"/>
      <c r="J706" s="9"/>
      <c r="K706" s="539"/>
      <c r="L706" s="421"/>
      <c r="M706" s="421"/>
      <c r="N706" s="421" t="s">
        <v>383</v>
      </c>
      <c r="O706" s="9"/>
      <c r="P706" s="9"/>
      <c r="Q706" s="9"/>
      <c r="R706" s="9"/>
      <c r="S706" s="442"/>
    </row>
    <row r="707" spans="1:19">
      <c r="A707" s="539"/>
      <c r="B707" s="421"/>
      <c r="C707" s="421"/>
      <c r="D707" s="421"/>
      <c r="E707" s="421"/>
      <c r="F707" s="9"/>
      <c r="G707" s="9"/>
      <c r="H707" s="9"/>
      <c r="I707" s="442"/>
      <c r="J707" s="9"/>
      <c r="K707" s="539"/>
      <c r="L707" s="421"/>
      <c r="M707" s="421"/>
      <c r="N707" s="421"/>
      <c r="O707" s="421"/>
      <c r="P707" s="9"/>
      <c r="Q707" s="9"/>
      <c r="R707" s="9"/>
      <c r="S707" s="442"/>
    </row>
    <row r="708" spans="1:19">
      <c r="A708" s="1234" t="s">
        <v>50</v>
      </c>
      <c r="B708" s="1227"/>
      <c r="C708" s="1227"/>
      <c r="D708" s="1227"/>
      <c r="E708" s="421"/>
      <c r="F708" s="9"/>
      <c r="G708" s="9"/>
      <c r="H708" s="9"/>
      <c r="I708" s="442"/>
      <c r="J708" s="9"/>
      <c r="K708" s="1234" t="s">
        <v>50</v>
      </c>
      <c r="L708" s="1227"/>
      <c r="M708" s="1227"/>
      <c r="N708" s="1227"/>
      <c r="O708" s="421"/>
      <c r="P708" s="9"/>
      <c r="Q708" s="9"/>
      <c r="R708" s="9"/>
      <c r="S708" s="442"/>
    </row>
    <row r="709" spans="1:19">
      <c r="A709" s="1234"/>
      <c r="B709" s="1227"/>
      <c r="C709" s="1227"/>
      <c r="D709" s="1227"/>
      <c r="E709" s="540" t="str">
        <f>'04-221Master'!B30</f>
        <v>Ajay Pal Singh</v>
      </c>
      <c r="F709" s="498"/>
      <c r="G709" s="498"/>
      <c r="H709" s="498" t="str">
        <f>'04-221Master'!E30</f>
        <v>kunwar rohitash singh</v>
      </c>
      <c r="I709" s="442"/>
      <c r="J709" s="9"/>
      <c r="K709" s="1234"/>
      <c r="L709" s="1227"/>
      <c r="M709" s="1227"/>
      <c r="N709" s="1227"/>
      <c r="O709" s="540" t="str">
        <f>E709</f>
        <v>Ajay Pal Singh</v>
      </c>
      <c r="P709" s="498"/>
      <c r="Q709" s="498"/>
      <c r="R709" s="498" t="str">
        <f>H709</f>
        <v>kunwar rohitash singh</v>
      </c>
      <c r="S709" s="442"/>
    </row>
    <row r="710" spans="1:19">
      <c r="A710" s="539"/>
      <c r="B710" s="421"/>
      <c r="C710" s="421"/>
      <c r="D710" s="421"/>
      <c r="E710" s="421"/>
      <c r="F710" s="9"/>
      <c r="G710" s="9"/>
      <c r="H710" s="9"/>
      <c r="I710" s="442"/>
      <c r="J710" s="9"/>
      <c r="K710" s="539"/>
      <c r="L710" s="421"/>
      <c r="M710" s="421"/>
      <c r="N710" s="421"/>
      <c r="O710" s="421"/>
      <c r="P710" s="9"/>
      <c r="Q710" s="9"/>
      <c r="R710" s="9"/>
      <c r="S710" s="442"/>
    </row>
    <row r="711" spans="1:19">
      <c r="A711" s="1226" t="s">
        <v>51</v>
      </c>
      <c r="B711" s="1223"/>
      <c r="C711" s="1223"/>
      <c r="D711" s="1223"/>
      <c r="E711" s="423" t="s">
        <v>373</v>
      </c>
      <c r="F711" s="498"/>
      <c r="G711" s="498"/>
      <c r="H711" s="498"/>
      <c r="I711" s="442"/>
      <c r="J711" s="9"/>
      <c r="K711" s="1226" t="s">
        <v>51</v>
      </c>
      <c r="L711" s="1223"/>
      <c r="M711" s="1223"/>
      <c r="N711" s="1223"/>
      <c r="O711" s="540" t="str">
        <f>E711</f>
        <v>IT SUPPORTIVE SERVICES</v>
      </c>
      <c r="P711" s="498"/>
      <c r="Q711" s="498"/>
      <c r="R711" s="498"/>
      <c r="S711" s="442"/>
    </row>
    <row r="712" spans="1:19">
      <c r="A712" s="539"/>
      <c r="B712" s="421"/>
      <c r="C712" s="421"/>
      <c r="D712" s="421"/>
      <c r="E712" s="421"/>
      <c r="F712" s="9"/>
      <c r="G712" s="9"/>
      <c r="H712" s="9"/>
      <c r="I712" s="442"/>
      <c r="J712" s="9"/>
      <c r="K712" s="539"/>
      <c r="L712" s="421"/>
      <c r="M712" s="421"/>
      <c r="N712" s="421"/>
      <c r="O712" s="421"/>
      <c r="P712" s="9"/>
      <c r="Q712" s="9"/>
      <c r="R712" s="9"/>
      <c r="S712" s="442"/>
    </row>
    <row r="713" spans="1:19">
      <c r="A713" s="1226" t="s">
        <v>52</v>
      </c>
      <c r="B713" s="1223"/>
      <c r="C713" s="1223"/>
      <c r="D713" s="1223"/>
      <c r="E713" s="541">
        <f>E665</f>
        <v>44652</v>
      </c>
      <c r="F713" s="498"/>
      <c r="G713" s="498"/>
      <c r="H713" s="498"/>
      <c r="I713" s="442"/>
      <c r="J713" s="9"/>
      <c r="K713" s="1226" t="s">
        <v>52</v>
      </c>
      <c r="L713" s="1223"/>
      <c r="M713" s="1223"/>
      <c r="N713" s="1223"/>
      <c r="O713" s="541">
        <f>E713</f>
        <v>44652</v>
      </c>
      <c r="P713" s="498"/>
      <c r="Q713" s="498"/>
      <c r="R713" s="498"/>
      <c r="S713" s="442"/>
    </row>
    <row r="714" spans="1:19">
      <c r="A714" s="539"/>
      <c r="B714" s="421"/>
      <c r="C714" s="421"/>
      <c r="D714" s="421"/>
      <c r="E714" s="421"/>
      <c r="F714" s="9"/>
      <c r="G714" s="9"/>
      <c r="H714" s="9"/>
      <c r="I714" s="442"/>
      <c r="J714" s="9"/>
      <c r="K714" s="539"/>
      <c r="L714" s="421"/>
      <c r="M714" s="421"/>
      <c r="N714" s="421"/>
      <c r="O714" s="421"/>
      <c r="P714" s="9"/>
      <c r="Q714" s="9"/>
      <c r="R714" s="9"/>
      <c r="S714" s="442"/>
    </row>
    <row r="715" spans="1:19">
      <c r="A715" s="542">
        <v>1</v>
      </c>
      <c r="B715" s="1223" t="s">
        <v>53</v>
      </c>
      <c r="C715" s="1223"/>
      <c r="D715" s="1223"/>
      <c r="E715" s="543">
        <f>'04-221Master'!W30</f>
        <v>30</v>
      </c>
      <c r="F715" s="498"/>
      <c r="G715" s="498"/>
      <c r="H715" s="498"/>
      <c r="I715" s="442"/>
      <c r="J715" s="9"/>
      <c r="K715" s="542">
        <v>1</v>
      </c>
      <c r="L715" s="1223" t="s">
        <v>53</v>
      </c>
      <c r="M715" s="1223"/>
      <c r="N715" s="1223"/>
      <c r="O715" s="543">
        <f>E715</f>
        <v>30</v>
      </c>
      <c r="P715" s="498"/>
      <c r="Q715" s="498"/>
      <c r="R715" s="498"/>
      <c r="S715" s="442"/>
    </row>
    <row r="716" spans="1:19">
      <c r="A716" s="542"/>
      <c r="B716" s="421"/>
      <c r="C716" s="421"/>
      <c r="D716" s="421"/>
      <c r="E716" s="421"/>
      <c r="F716" s="9"/>
      <c r="G716" s="9"/>
      <c r="H716" s="9"/>
      <c r="I716" s="442"/>
      <c r="J716" s="9"/>
      <c r="K716" s="542"/>
      <c r="L716" s="421"/>
      <c r="M716" s="421"/>
      <c r="N716" s="421"/>
      <c r="O716" s="421"/>
      <c r="P716" s="9"/>
      <c r="Q716" s="9"/>
      <c r="R716" s="9"/>
      <c r="S716" s="442"/>
    </row>
    <row r="717" spans="1:19">
      <c r="A717" s="542">
        <v>2</v>
      </c>
      <c r="B717" s="1227" t="s">
        <v>54</v>
      </c>
      <c r="C717" s="1227"/>
      <c r="D717" s="1227"/>
      <c r="E717" s="421"/>
      <c r="F717" s="9"/>
      <c r="G717" s="9"/>
      <c r="H717" s="9"/>
      <c r="I717" s="442"/>
      <c r="J717" s="9"/>
      <c r="K717" s="542">
        <v>2</v>
      </c>
      <c r="L717" s="1227" t="s">
        <v>54</v>
      </c>
      <c r="M717" s="1227"/>
      <c r="N717" s="1227"/>
      <c r="O717" s="421"/>
      <c r="P717" s="9"/>
      <c r="Q717" s="9"/>
      <c r="R717" s="9"/>
      <c r="S717" s="442"/>
    </row>
    <row r="718" spans="1:19">
      <c r="A718" s="542"/>
      <c r="B718" s="1227"/>
      <c r="C718" s="1227"/>
      <c r="D718" s="1227"/>
      <c r="E718" s="544" t="s">
        <v>37</v>
      </c>
      <c r="F718" s="498"/>
      <c r="G718" s="498"/>
      <c r="H718" s="498"/>
      <c r="I718" s="442"/>
      <c r="J718" s="9"/>
      <c r="K718" s="542"/>
      <c r="L718" s="1227"/>
      <c r="M718" s="1227"/>
      <c r="N718" s="1227"/>
      <c r="O718" s="544" t="s">
        <v>37</v>
      </c>
      <c r="P718" s="498"/>
      <c r="Q718" s="498"/>
      <c r="R718" s="498"/>
      <c r="S718" s="442"/>
    </row>
    <row r="719" spans="1:19">
      <c r="A719" s="542"/>
      <c r="B719" s="421"/>
      <c r="C719" s="421"/>
      <c r="D719" s="421"/>
      <c r="E719" s="421"/>
      <c r="F719" s="9"/>
      <c r="G719" s="9"/>
      <c r="H719" s="9"/>
      <c r="I719" s="442"/>
      <c r="J719" s="9"/>
      <c r="K719" s="542"/>
      <c r="L719" s="421"/>
      <c r="M719" s="421"/>
      <c r="N719" s="421"/>
      <c r="O719" s="421"/>
      <c r="P719" s="9"/>
      <c r="Q719" s="9"/>
      <c r="R719" s="9"/>
      <c r="S719" s="442"/>
    </row>
    <row r="720" spans="1:19">
      <c r="A720" s="542">
        <v>3</v>
      </c>
      <c r="B720" s="1223" t="s">
        <v>55</v>
      </c>
      <c r="C720" s="1223"/>
      <c r="D720" s="1223"/>
      <c r="E720" s="544" t="s">
        <v>37</v>
      </c>
      <c r="F720" s="498"/>
      <c r="G720" s="498"/>
      <c r="H720" s="498"/>
      <c r="I720" s="442"/>
      <c r="J720" s="9"/>
      <c r="K720" s="542">
        <v>3</v>
      </c>
      <c r="L720" s="1223" t="s">
        <v>55</v>
      </c>
      <c r="M720" s="1223"/>
      <c r="N720" s="1223"/>
      <c r="O720" s="540" t="str">
        <f>E720</f>
        <v>N/A</v>
      </c>
      <c r="P720" s="498"/>
      <c r="Q720" s="498"/>
      <c r="R720" s="498"/>
      <c r="S720" s="442"/>
    </row>
    <row r="721" spans="1:19">
      <c r="A721" s="542"/>
      <c r="B721" s="421"/>
      <c r="C721" s="421"/>
      <c r="D721" s="421"/>
      <c r="E721" s="421"/>
      <c r="F721" s="9"/>
      <c r="G721" s="9"/>
      <c r="H721" s="9"/>
      <c r="I721" s="442"/>
      <c r="J721" s="9"/>
      <c r="K721" s="542"/>
      <c r="L721" s="421"/>
      <c r="M721" s="421"/>
      <c r="N721" s="421"/>
      <c r="O721" s="421"/>
      <c r="P721" s="9"/>
      <c r="Q721" s="9"/>
      <c r="R721" s="9"/>
      <c r="S721" s="442"/>
    </row>
    <row r="722" spans="1:19">
      <c r="A722" s="542">
        <v>4</v>
      </c>
      <c r="B722" s="1223" t="s">
        <v>56</v>
      </c>
      <c r="C722" s="1223"/>
      <c r="D722" s="1223"/>
      <c r="E722" s="544" t="s">
        <v>57</v>
      </c>
      <c r="F722" s="498"/>
      <c r="G722" s="498"/>
      <c r="H722" s="498"/>
      <c r="I722" s="442"/>
      <c r="J722" s="9"/>
      <c r="K722" s="542">
        <v>4</v>
      </c>
      <c r="L722" s="1223" t="s">
        <v>56</v>
      </c>
      <c r="M722" s="1223"/>
      <c r="N722" s="1223"/>
      <c r="O722" s="544" t="s">
        <v>57</v>
      </c>
      <c r="P722" s="498"/>
      <c r="Q722" s="498"/>
      <c r="R722" s="498"/>
      <c r="S722" s="442"/>
    </row>
    <row r="723" spans="1:19">
      <c r="A723" s="542"/>
      <c r="B723" s="421"/>
      <c r="C723" s="421"/>
      <c r="D723" s="421"/>
      <c r="E723" s="421"/>
      <c r="F723" s="9"/>
      <c r="G723" s="9"/>
      <c r="H723" s="9"/>
      <c r="I723" s="442"/>
      <c r="J723" s="9"/>
      <c r="K723" s="542"/>
      <c r="L723" s="421"/>
      <c r="M723" s="421"/>
      <c r="N723" s="421"/>
      <c r="O723" s="421"/>
      <c r="P723" s="9"/>
      <c r="Q723" s="9"/>
      <c r="R723" s="9"/>
      <c r="S723" s="442"/>
    </row>
    <row r="724" spans="1:19">
      <c r="A724" s="542">
        <v>5</v>
      </c>
      <c r="B724" s="1223" t="s">
        <v>58</v>
      </c>
      <c r="C724" s="1223"/>
      <c r="D724" s="1223"/>
      <c r="E724" s="492">
        <f>'04-221Master'!AM30</f>
        <v>78276.37874</v>
      </c>
      <c r="F724" s="9"/>
      <c r="G724" s="9"/>
      <c r="H724" s="9"/>
      <c r="I724" s="442"/>
      <c r="J724" s="9"/>
      <c r="K724" s="542">
        <v>5</v>
      </c>
      <c r="L724" s="1223" t="s">
        <v>58</v>
      </c>
      <c r="M724" s="1223"/>
      <c r="N724" s="1223"/>
      <c r="O724" s="492">
        <f>E724</f>
        <v>78276.37874</v>
      </c>
      <c r="P724" s="9"/>
      <c r="Q724" s="9"/>
      <c r="R724" s="9"/>
      <c r="S724" s="442"/>
    </row>
    <row r="725" spans="1:19">
      <c r="A725" s="542"/>
      <c r="B725" s="421"/>
      <c r="C725" s="421"/>
      <c r="D725" s="493" t="s">
        <v>59</v>
      </c>
      <c r="E725" s="493" t="s">
        <v>31</v>
      </c>
      <c r="F725" s="493" t="s">
        <v>33</v>
      </c>
      <c r="G725" s="493" t="s">
        <v>34</v>
      </c>
      <c r="H725" s="493" t="s">
        <v>377</v>
      </c>
      <c r="I725" s="494" t="s">
        <v>378</v>
      </c>
      <c r="J725" s="9"/>
      <c r="K725" s="542"/>
      <c r="L725" s="421"/>
      <c r="M725" s="421"/>
      <c r="N725" s="493" t="s">
        <v>59</v>
      </c>
      <c r="O725" s="493" t="s">
        <v>31</v>
      </c>
      <c r="P725" s="493" t="s">
        <v>33</v>
      </c>
      <c r="Q725" s="493" t="s">
        <v>34</v>
      </c>
      <c r="R725" s="493" t="s">
        <v>377</v>
      </c>
      <c r="S725" s="494" t="s">
        <v>378</v>
      </c>
    </row>
    <row r="726" spans="1:19">
      <c r="A726" s="542">
        <v>6</v>
      </c>
      <c r="B726" s="643" t="s">
        <v>60</v>
      </c>
      <c r="C726" s="643"/>
      <c r="D726" s="495">
        <f>'04-221Master'!AO30</f>
        <v>1800</v>
      </c>
      <c r="E726" s="495">
        <f>'04-221Master'!AN844</f>
        <v>0</v>
      </c>
      <c r="F726" s="496">
        <f>'04-221Master'!AP30</f>
        <v>200</v>
      </c>
      <c r="G726" s="495">
        <f>'04-221Master'!AQ30</f>
        <v>0</v>
      </c>
      <c r="H726" s="496">
        <f>'04-221Master'!AR30</f>
        <v>283</v>
      </c>
      <c r="I726" s="496">
        <f>SUM(D726:H726)</f>
        <v>2283</v>
      </c>
      <c r="J726" s="9"/>
      <c r="K726" s="542">
        <v>6</v>
      </c>
      <c r="L726" s="643" t="s">
        <v>60</v>
      </c>
      <c r="M726" s="643"/>
      <c r="N726" s="495">
        <f t="shared" ref="N726" si="75">D726</f>
        <v>1800</v>
      </c>
      <c r="O726" s="495">
        <f t="shared" ref="O726" si="76">E726</f>
        <v>0</v>
      </c>
      <c r="P726" s="496">
        <f t="shared" ref="P726" si="77">F726</f>
        <v>200</v>
      </c>
      <c r="Q726" s="495">
        <f t="shared" ref="Q726" si="78">G726</f>
        <v>0</v>
      </c>
      <c r="R726" s="496">
        <f t="shared" ref="R726" si="79">H726</f>
        <v>283</v>
      </c>
      <c r="S726" s="496">
        <f t="shared" ref="S726" si="80">I726</f>
        <v>2283</v>
      </c>
    </row>
    <row r="727" spans="1:19">
      <c r="A727" s="542"/>
      <c r="B727" s="421"/>
      <c r="C727" s="421"/>
      <c r="D727" s="421"/>
      <c r="E727" s="421"/>
      <c r="F727" s="9"/>
      <c r="G727" s="9"/>
      <c r="H727" s="9"/>
      <c r="I727" s="442"/>
      <c r="J727" s="9"/>
      <c r="K727" s="542"/>
      <c r="L727" s="421"/>
      <c r="M727" s="421"/>
      <c r="N727" s="421"/>
      <c r="O727" s="421"/>
      <c r="P727" s="9"/>
      <c r="Q727" s="9"/>
      <c r="R727" s="9"/>
      <c r="S727" s="442"/>
    </row>
    <row r="728" spans="1:19">
      <c r="A728" s="542">
        <v>7</v>
      </c>
      <c r="B728" s="1223" t="s">
        <v>61</v>
      </c>
      <c r="C728" s="1223"/>
      <c r="D728" s="1223"/>
      <c r="E728" s="497">
        <f>E724-I726</f>
        <v>75993.37874</v>
      </c>
      <c r="F728" s="498"/>
      <c r="G728" s="498"/>
      <c r="H728" s="498"/>
      <c r="I728" s="442"/>
      <c r="J728" s="9"/>
      <c r="K728" s="542">
        <v>7</v>
      </c>
      <c r="L728" s="1223" t="s">
        <v>61</v>
      </c>
      <c r="M728" s="1223"/>
      <c r="N728" s="1223"/>
      <c r="O728" s="497">
        <f>E728</f>
        <v>75993.37874</v>
      </c>
      <c r="P728" s="498"/>
      <c r="Q728" s="498"/>
      <c r="R728" s="498"/>
      <c r="S728" s="442"/>
    </row>
    <row r="729" spans="1:19">
      <c r="A729" s="441"/>
      <c r="B729" s="9"/>
      <c r="C729" s="9"/>
      <c r="D729" s="9"/>
      <c r="E729" s="9"/>
      <c r="F729" s="9"/>
      <c r="G729" s="9"/>
      <c r="H729" s="9"/>
      <c r="I729" s="442"/>
      <c r="J729" s="9"/>
      <c r="K729" s="441"/>
      <c r="L729" s="9"/>
      <c r="M729" s="9"/>
      <c r="N729" s="9"/>
      <c r="O729" s="9"/>
      <c r="P729" s="9"/>
      <c r="Q729" s="9"/>
      <c r="R729" s="9"/>
      <c r="S729" s="442"/>
    </row>
    <row r="730" spans="1:19">
      <c r="A730" s="441"/>
      <c r="B730" s="9"/>
      <c r="C730" s="9"/>
      <c r="D730" s="9"/>
      <c r="E730" s="9"/>
      <c r="F730" s="9"/>
      <c r="G730" s="9"/>
      <c r="H730" s="9"/>
      <c r="I730" s="442"/>
      <c r="J730" s="9"/>
      <c r="K730" s="441"/>
      <c r="L730" s="9"/>
      <c r="M730" s="9"/>
      <c r="N730" s="9"/>
      <c r="O730" s="9"/>
      <c r="P730" s="9"/>
      <c r="Q730" s="9"/>
      <c r="R730" s="9"/>
      <c r="S730" s="442"/>
    </row>
    <row r="731" spans="1:19" ht="15.75" thickBot="1">
      <c r="A731" s="441"/>
      <c r="B731" s="9"/>
      <c r="C731" s="9"/>
      <c r="D731" s="9"/>
      <c r="E731" s="9"/>
      <c r="F731" s="444"/>
      <c r="G731" s="444"/>
      <c r="H731" s="444"/>
      <c r="I731" s="445"/>
      <c r="J731" s="9"/>
      <c r="K731" s="441"/>
      <c r="L731" s="9"/>
      <c r="M731" s="9"/>
      <c r="N731" s="9"/>
      <c r="O731" s="9"/>
      <c r="P731" s="444"/>
      <c r="Q731" s="444"/>
      <c r="R731" s="444"/>
      <c r="S731" s="445"/>
    </row>
    <row r="732" spans="1:19" ht="15.75" thickBot="1">
      <c r="A732" s="443"/>
      <c r="B732" s="444"/>
      <c r="C732" s="444"/>
      <c r="D732" s="444"/>
      <c r="E732" s="444"/>
      <c r="F732" s="1224" t="s">
        <v>62</v>
      </c>
      <c r="G732" s="1224"/>
      <c r="H732" s="1224"/>
      <c r="I732" s="1225"/>
      <c r="J732" s="9"/>
      <c r="K732" s="443"/>
      <c r="L732" s="444"/>
      <c r="M732" s="444"/>
      <c r="N732" s="444"/>
      <c r="O732" s="444"/>
      <c r="P732" s="1224" t="s">
        <v>62</v>
      </c>
      <c r="Q732" s="1224"/>
      <c r="R732" s="1224"/>
      <c r="S732" s="1225"/>
    </row>
    <row r="733" spans="1:19">
      <c r="A733" s="9"/>
      <c r="B733" s="9"/>
      <c r="C733" s="9"/>
      <c r="D733" s="9"/>
      <c r="E733" s="9"/>
      <c r="F733" s="9"/>
      <c r="G733" s="9"/>
      <c r="H733" s="9"/>
      <c r="I733" s="9"/>
      <c r="J733" s="9"/>
      <c r="K733" s="9"/>
      <c r="L733" s="9"/>
      <c r="M733" s="9"/>
      <c r="N733" s="9"/>
      <c r="O733" s="9"/>
      <c r="P733" s="9"/>
      <c r="Q733" s="9"/>
      <c r="R733" s="9"/>
      <c r="S733" s="9"/>
    </row>
    <row r="734" spans="1:19">
      <c r="A734" s="9"/>
      <c r="B734" s="9"/>
      <c r="C734" s="9"/>
      <c r="D734" s="9"/>
      <c r="E734" s="9"/>
      <c r="F734" s="9"/>
      <c r="G734" s="9"/>
      <c r="H734" s="9"/>
      <c r="I734" s="9"/>
      <c r="J734" s="9"/>
      <c r="K734" s="9"/>
      <c r="L734" s="9"/>
      <c r="M734" s="9"/>
      <c r="N734" s="9"/>
      <c r="O734" s="9"/>
      <c r="P734" s="9"/>
      <c r="Q734" s="9"/>
      <c r="R734" s="9"/>
      <c r="S734" s="9"/>
    </row>
    <row r="735" spans="1:19">
      <c r="A735" s="9"/>
      <c r="B735" s="9"/>
      <c r="C735" s="9"/>
      <c r="D735" s="9"/>
      <c r="E735" s="9"/>
      <c r="F735" s="9"/>
      <c r="G735" s="9"/>
      <c r="H735" s="9"/>
      <c r="I735" s="9"/>
      <c r="J735" s="9"/>
      <c r="K735" s="9"/>
      <c r="L735" s="9"/>
      <c r="M735" s="9"/>
      <c r="N735" s="9"/>
      <c r="O735" s="9"/>
      <c r="P735" s="9"/>
      <c r="Q735" s="9"/>
      <c r="R735" s="9"/>
      <c r="S735" s="9"/>
    </row>
    <row r="736" spans="1:19">
      <c r="A736" s="9"/>
      <c r="B736" s="9"/>
      <c r="C736" s="9"/>
      <c r="D736" s="9"/>
      <c r="E736" s="9"/>
      <c r="F736" s="9"/>
      <c r="G736" s="9"/>
      <c r="H736" s="9"/>
      <c r="I736" s="9"/>
      <c r="J736" s="9"/>
      <c r="K736" s="9"/>
      <c r="L736" s="9"/>
      <c r="M736" s="9"/>
      <c r="N736" s="9"/>
      <c r="O736" s="9"/>
      <c r="P736" s="9"/>
      <c r="Q736" s="9"/>
      <c r="R736" s="9"/>
      <c r="S736" s="9"/>
    </row>
    <row r="737" spans="1:19">
      <c r="A737" s="9"/>
      <c r="B737" s="9"/>
      <c r="C737" s="9"/>
      <c r="D737" s="9"/>
      <c r="E737" s="9"/>
      <c r="F737" s="9"/>
      <c r="G737" s="9"/>
      <c r="H737" s="9"/>
      <c r="I737" s="9"/>
      <c r="J737" s="9"/>
      <c r="K737" s="9"/>
      <c r="L737" s="9"/>
      <c r="M737" s="9"/>
      <c r="N737" s="9"/>
      <c r="O737" s="9"/>
      <c r="P737" s="9"/>
      <c r="Q737" s="9"/>
      <c r="R737" s="9"/>
      <c r="S737" s="9"/>
    </row>
    <row r="738" spans="1:19">
      <c r="A738" s="9"/>
      <c r="B738" s="9"/>
      <c r="C738" s="9"/>
      <c r="D738" s="9"/>
      <c r="E738" s="9"/>
      <c r="F738" s="9"/>
      <c r="G738" s="9"/>
      <c r="H738" s="9"/>
      <c r="I738" s="9"/>
      <c r="J738" s="9"/>
      <c r="K738" s="9"/>
      <c r="L738" s="9"/>
      <c r="M738" s="9"/>
      <c r="N738" s="9"/>
      <c r="O738" s="9"/>
      <c r="P738" s="9"/>
      <c r="Q738" s="9"/>
      <c r="R738" s="9"/>
      <c r="S738" s="9"/>
    </row>
    <row r="739" spans="1:19">
      <c r="A739" s="9"/>
      <c r="B739" s="9"/>
      <c r="C739" s="9"/>
      <c r="D739" s="9"/>
      <c r="E739" s="9"/>
      <c r="F739" s="9"/>
      <c r="G739" s="9"/>
      <c r="H739" s="9"/>
      <c r="I739" s="9"/>
      <c r="J739" s="9"/>
      <c r="K739" s="9"/>
      <c r="L739" s="9"/>
      <c r="M739" s="9"/>
      <c r="N739" s="9"/>
      <c r="O739" s="9"/>
      <c r="P739" s="9"/>
      <c r="Q739" s="9"/>
      <c r="R739" s="9"/>
      <c r="S739" s="9"/>
    </row>
    <row r="740" spans="1:19">
      <c r="A740" s="388"/>
      <c r="B740" s="388"/>
      <c r="C740" s="388"/>
      <c r="D740" s="388"/>
      <c r="E740" s="388"/>
      <c r="F740" s="388"/>
      <c r="G740" s="388"/>
      <c r="H740" s="388"/>
      <c r="I740" s="388"/>
      <c r="J740" s="388"/>
      <c r="K740" s="388"/>
      <c r="L740" s="388"/>
      <c r="M740" s="388"/>
      <c r="N740" s="388"/>
      <c r="O740" s="388"/>
      <c r="P740" s="388"/>
      <c r="Q740" s="388"/>
      <c r="R740" s="388"/>
      <c r="S740" s="388"/>
    </row>
    <row r="741" spans="1:19">
      <c r="A741" s="388"/>
      <c r="B741" s="388"/>
      <c r="C741" s="388"/>
      <c r="D741" s="388"/>
      <c r="E741" s="388"/>
      <c r="F741" s="388"/>
      <c r="G741" s="388"/>
      <c r="H741" s="388"/>
      <c r="I741" s="388"/>
      <c r="J741" s="388"/>
      <c r="K741" s="388"/>
      <c r="L741" s="388"/>
      <c r="M741" s="388"/>
      <c r="N741" s="388"/>
      <c r="O741" s="388"/>
      <c r="P741" s="388"/>
      <c r="Q741" s="388"/>
      <c r="R741" s="388"/>
      <c r="S741" s="388"/>
    </row>
    <row r="742" spans="1:19">
      <c r="A742" s="388"/>
      <c r="B742" s="388"/>
      <c r="C742" s="388"/>
      <c r="D742" s="388"/>
      <c r="E742" s="388"/>
      <c r="F742" s="388"/>
      <c r="G742" s="388"/>
      <c r="H742" s="388"/>
      <c r="I742" s="388"/>
      <c r="J742" s="388"/>
      <c r="K742" s="388"/>
      <c r="L742" s="388"/>
      <c r="M742" s="388"/>
      <c r="N742" s="388"/>
      <c r="O742" s="388"/>
      <c r="P742" s="388"/>
      <c r="Q742" s="388"/>
      <c r="R742" s="388"/>
      <c r="S742" s="388"/>
    </row>
    <row r="743" spans="1:19">
      <c r="A743" s="388"/>
      <c r="B743" s="388"/>
      <c r="C743" s="388"/>
      <c r="D743" s="388"/>
      <c r="E743" s="388"/>
      <c r="F743" s="388"/>
      <c r="G743" s="388"/>
      <c r="H743" s="388"/>
      <c r="I743" s="388"/>
      <c r="J743" s="388"/>
      <c r="K743" s="388"/>
      <c r="L743" s="388"/>
      <c r="M743" s="388"/>
      <c r="N743" s="388"/>
      <c r="O743" s="388"/>
      <c r="P743" s="388"/>
      <c r="Q743" s="388"/>
      <c r="R743" s="388"/>
      <c r="S743" s="388"/>
    </row>
    <row r="744" spans="1:19">
      <c r="A744" s="388"/>
      <c r="B744" s="388"/>
      <c r="C744" s="388"/>
      <c r="D744" s="388"/>
      <c r="E744" s="388"/>
      <c r="F744" s="388"/>
      <c r="G744" s="388"/>
      <c r="H744" s="388"/>
      <c r="I744" s="388"/>
      <c r="J744" s="388"/>
      <c r="K744" s="388"/>
      <c r="L744" s="388"/>
      <c r="M744" s="388"/>
      <c r="N744" s="388"/>
      <c r="O744" s="388"/>
      <c r="P744" s="388"/>
      <c r="Q744" s="388"/>
      <c r="R744" s="388"/>
      <c r="S744" s="388"/>
    </row>
    <row r="745" spans="1:19">
      <c r="A745" s="388"/>
      <c r="B745" s="388"/>
      <c r="C745" s="388"/>
      <c r="D745" s="388"/>
      <c r="E745" s="388"/>
      <c r="F745" s="388"/>
      <c r="G745" s="388"/>
      <c r="H745" s="388"/>
      <c r="I745" s="388"/>
      <c r="J745" s="388"/>
      <c r="K745" s="388"/>
      <c r="L745" s="388"/>
      <c r="M745" s="388"/>
      <c r="N745" s="388"/>
      <c r="O745" s="388"/>
      <c r="P745" s="388"/>
      <c r="Q745" s="388"/>
      <c r="R745" s="388"/>
      <c r="S745" s="388"/>
    </row>
    <row r="746" spans="1:19" ht="15.75" thickBot="1">
      <c r="A746" s="388"/>
      <c r="B746" s="388"/>
      <c r="C746" s="388"/>
      <c r="D746" s="388"/>
      <c r="E746" s="388"/>
      <c r="F746" s="388"/>
      <c r="G746" s="388"/>
      <c r="H746" s="388"/>
      <c r="I746" s="388"/>
      <c r="J746" s="388"/>
      <c r="K746" s="388"/>
      <c r="L746" s="388"/>
      <c r="M746" s="388"/>
      <c r="N746" s="388"/>
      <c r="O746" s="388"/>
      <c r="P746" s="388"/>
      <c r="Q746" s="388"/>
      <c r="R746" s="388"/>
      <c r="S746" s="388"/>
    </row>
    <row r="747" spans="1:19" ht="27" thickBot="1">
      <c r="A747" s="1228" t="s">
        <v>592</v>
      </c>
      <c r="B747" s="1229"/>
      <c r="C747" s="1229"/>
      <c r="D747" s="1229"/>
      <c r="E747" s="1229"/>
      <c r="F747" s="1229"/>
      <c r="G747" s="1229"/>
      <c r="H747" s="1229"/>
      <c r="I747" s="1230"/>
      <c r="J747" s="538"/>
      <c r="K747" s="1228" t="s">
        <v>592</v>
      </c>
      <c r="L747" s="1229"/>
      <c r="M747" s="1229"/>
      <c r="N747" s="1229"/>
      <c r="O747" s="1229"/>
      <c r="P747" s="1229"/>
      <c r="Q747" s="1229"/>
      <c r="R747" s="1229"/>
      <c r="S747" s="1230"/>
    </row>
    <row r="748" spans="1:19">
      <c r="A748" s="1231" t="s">
        <v>593</v>
      </c>
      <c r="B748" s="1232"/>
      <c r="C748" s="1232"/>
      <c r="D748" s="1232"/>
      <c r="E748" s="1232"/>
      <c r="F748" s="1232"/>
      <c r="G748" s="1232"/>
      <c r="H748" s="1232"/>
      <c r="I748" s="1233"/>
      <c r="J748" s="9"/>
      <c r="K748" s="1231" t="s">
        <v>593</v>
      </c>
      <c r="L748" s="1232"/>
      <c r="M748" s="1232"/>
      <c r="N748" s="1232"/>
      <c r="O748" s="1232"/>
      <c r="P748" s="1232"/>
      <c r="Q748" s="1232"/>
      <c r="R748" s="1232"/>
      <c r="S748" s="1233"/>
    </row>
    <row r="749" spans="1:19">
      <c r="A749" s="441"/>
      <c r="B749" s="9"/>
      <c r="C749" s="9"/>
      <c r="D749" s="9"/>
      <c r="E749" s="9"/>
      <c r="F749" s="9"/>
      <c r="G749" s="9"/>
      <c r="H749" s="9"/>
      <c r="I749" s="442"/>
      <c r="J749" s="9"/>
      <c r="K749" s="441"/>
      <c r="L749" s="9"/>
      <c r="M749" s="9"/>
      <c r="N749" s="9"/>
      <c r="O749" s="9"/>
      <c r="P749" s="9"/>
      <c r="Q749" s="9"/>
      <c r="R749" s="9"/>
      <c r="S749" s="442"/>
    </row>
    <row r="750" spans="1:19">
      <c r="A750" s="539" t="s">
        <v>49</v>
      </c>
      <c r="B750" s="421"/>
      <c r="C750" s="421"/>
      <c r="D750" s="419" t="s">
        <v>382</v>
      </c>
      <c r="E750" s="9"/>
      <c r="F750" s="9"/>
      <c r="G750" s="9"/>
      <c r="H750" s="9"/>
      <c r="I750" s="442"/>
      <c r="J750" s="9"/>
      <c r="K750" s="539" t="s">
        <v>49</v>
      </c>
      <c r="L750" s="421"/>
      <c r="M750" s="421"/>
      <c r="N750" s="419" t="s">
        <v>382</v>
      </c>
      <c r="O750" s="9"/>
      <c r="P750" s="9"/>
      <c r="Q750" s="9"/>
      <c r="R750" s="9"/>
      <c r="S750" s="442"/>
    </row>
    <row r="751" spans="1:19">
      <c r="A751" s="539"/>
      <c r="B751" s="421"/>
      <c r="C751" s="421"/>
      <c r="D751" s="421" t="s">
        <v>383</v>
      </c>
      <c r="E751" s="9"/>
      <c r="F751" s="9"/>
      <c r="G751" s="9"/>
      <c r="H751" s="9"/>
      <c r="I751" s="442"/>
      <c r="J751" s="9"/>
      <c r="K751" s="539"/>
      <c r="L751" s="421"/>
      <c r="M751" s="421"/>
      <c r="N751" s="421" t="s">
        <v>383</v>
      </c>
      <c r="O751" s="9"/>
      <c r="P751" s="9"/>
      <c r="Q751" s="9"/>
      <c r="R751" s="9"/>
      <c r="S751" s="442"/>
    </row>
    <row r="752" spans="1:19">
      <c r="A752" s="539"/>
      <c r="B752" s="421"/>
      <c r="C752" s="421"/>
      <c r="D752" s="421"/>
      <c r="E752" s="421"/>
      <c r="F752" s="9"/>
      <c r="G752" s="9"/>
      <c r="H752" s="9"/>
      <c r="I752" s="442"/>
      <c r="J752" s="9"/>
      <c r="K752" s="539"/>
      <c r="L752" s="421"/>
      <c r="M752" s="421"/>
      <c r="N752" s="421"/>
      <c r="O752" s="421"/>
      <c r="P752" s="9"/>
      <c r="Q752" s="9"/>
      <c r="R752" s="9"/>
      <c r="S752" s="442"/>
    </row>
    <row r="753" spans="1:19">
      <c r="A753" s="1234" t="s">
        <v>50</v>
      </c>
      <c r="B753" s="1227"/>
      <c r="C753" s="1227"/>
      <c r="D753" s="1227"/>
      <c r="E753" s="421"/>
      <c r="F753" s="9"/>
      <c r="G753" s="9"/>
      <c r="H753" s="9"/>
      <c r="I753" s="442"/>
      <c r="J753" s="9"/>
      <c r="K753" s="1234" t="s">
        <v>50</v>
      </c>
      <c r="L753" s="1227"/>
      <c r="M753" s="1227"/>
      <c r="N753" s="1227"/>
      <c r="O753" s="421"/>
      <c r="P753" s="9"/>
      <c r="Q753" s="9"/>
      <c r="R753" s="9"/>
      <c r="S753" s="442"/>
    </row>
    <row r="754" spans="1:19">
      <c r="A754" s="1234"/>
      <c r="B754" s="1227"/>
      <c r="C754" s="1227"/>
      <c r="D754" s="1227"/>
      <c r="E754" s="540" t="str">
        <f>'04-221Master'!B31</f>
        <v>PAVANKUMAR</v>
      </c>
      <c r="F754" s="498"/>
      <c r="G754" s="498"/>
      <c r="H754" s="498" t="str">
        <f>'04-221Master'!E30</f>
        <v>kunwar rohitash singh</v>
      </c>
      <c r="I754" s="442"/>
      <c r="J754" s="9"/>
      <c r="K754" s="1234"/>
      <c r="L754" s="1227"/>
      <c r="M754" s="1227"/>
      <c r="N754" s="1227"/>
      <c r="O754" s="540" t="str">
        <f>E754</f>
        <v>PAVANKUMAR</v>
      </c>
      <c r="P754" s="498"/>
      <c r="Q754" s="498"/>
      <c r="R754" s="498" t="str">
        <f>H754</f>
        <v>kunwar rohitash singh</v>
      </c>
      <c r="S754" s="442"/>
    </row>
    <row r="755" spans="1:19">
      <c r="A755" s="539"/>
      <c r="B755" s="421"/>
      <c r="C755" s="421"/>
      <c r="D755" s="421"/>
      <c r="E755" s="421"/>
      <c r="F755" s="9"/>
      <c r="G755" s="9"/>
      <c r="H755" s="9"/>
      <c r="I755" s="442"/>
      <c r="J755" s="9"/>
      <c r="K755" s="539"/>
      <c r="L755" s="421"/>
      <c r="M755" s="421"/>
      <c r="N755" s="421"/>
      <c r="O755" s="421"/>
      <c r="P755" s="9"/>
      <c r="Q755" s="9"/>
      <c r="R755" s="9"/>
      <c r="S755" s="442"/>
    </row>
    <row r="756" spans="1:19">
      <c r="A756" s="1226" t="s">
        <v>51</v>
      </c>
      <c r="B756" s="1223"/>
      <c r="C756" s="1223"/>
      <c r="D756" s="1223"/>
      <c r="E756" s="423" t="s">
        <v>373</v>
      </c>
      <c r="F756" s="498"/>
      <c r="G756" s="498"/>
      <c r="H756" s="498"/>
      <c r="I756" s="442"/>
      <c r="J756" s="9"/>
      <c r="K756" s="1226" t="s">
        <v>51</v>
      </c>
      <c r="L756" s="1223"/>
      <c r="M756" s="1223"/>
      <c r="N756" s="1223"/>
      <c r="O756" s="540" t="str">
        <f>E756</f>
        <v>IT SUPPORTIVE SERVICES</v>
      </c>
      <c r="P756" s="498"/>
      <c r="Q756" s="498"/>
      <c r="R756" s="498"/>
      <c r="S756" s="442"/>
    </row>
    <row r="757" spans="1:19">
      <c r="A757" s="539"/>
      <c r="B757" s="421"/>
      <c r="C757" s="421"/>
      <c r="D757" s="421"/>
      <c r="E757" s="421"/>
      <c r="F757" s="9"/>
      <c r="G757" s="9"/>
      <c r="H757" s="9"/>
      <c r="I757" s="442"/>
      <c r="J757" s="9"/>
      <c r="K757" s="539"/>
      <c r="L757" s="421"/>
      <c r="M757" s="421"/>
      <c r="N757" s="421"/>
      <c r="O757" s="421"/>
      <c r="P757" s="9"/>
      <c r="Q757" s="9"/>
      <c r="R757" s="9"/>
      <c r="S757" s="442"/>
    </row>
    <row r="758" spans="1:19">
      <c r="A758" s="1226" t="s">
        <v>52</v>
      </c>
      <c r="B758" s="1223"/>
      <c r="C758" s="1223"/>
      <c r="D758" s="1223"/>
      <c r="E758" s="541">
        <f>'04-221Master'!D10</f>
        <v>44652</v>
      </c>
      <c r="F758" s="498"/>
      <c r="G758" s="498"/>
      <c r="H758" s="498"/>
      <c r="I758" s="442"/>
      <c r="J758" s="9"/>
      <c r="K758" s="1226" t="s">
        <v>52</v>
      </c>
      <c r="L758" s="1223"/>
      <c r="M758" s="1223"/>
      <c r="N758" s="1223"/>
      <c r="O758" s="541">
        <f>E758</f>
        <v>44652</v>
      </c>
      <c r="P758" s="498"/>
      <c r="Q758" s="498"/>
      <c r="R758" s="498"/>
      <c r="S758" s="442"/>
    </row>
    <row r="759" spans="1:19">
      <c r="A759" s="539"/>
      <c r="B759" s="421"/>
      <c r="C759" s="421"/>
      <c r="D759" s="421"/>
      <c r="E759" s="421"/>
      <c r="F759" s="9"/>
      <c r="G759" s="9"/>
      <c r="H759" s="9"/>
      <c r="I759" s="442"/>
      <c r="J759" s="9"/>
      <c r="K759" s="539"/>
      <c r="L759" s="421"/>
      <c r="M759" s="421"/>
      <c r="N759" s="421"/>
      <c r="O759" s="421"/>
      <c r="P759" s="9"/>
      <c r="Q759" s="9"/>
      <c r="R759" s="9"/>
      <c r="S759" s="442"/>
    </row>
    <row r="760" spans="1:19">
      <c r="A760" s="542">
        <v>1</v>
      </c>
      <c r="B760" s="1223" t="s">
        <v>53</v>
      </c>
      <c r="C760" s="1223"/>
      <c r="D760" s="1223"/>
      <c r="E760" s="543">
        <f>'04-221Master'!W31</f>
        <v>30</v>
      </c>
      <c r="F760" s="498"/>
      <c r="G760" s="498"/>
      <c r="H760" s="498"/>
      <c r="I760" s="442"/>
      <c r="J760" s="9"/>
      <c r="K760" s="542">
        <v>1</v>
      </c>
      <c r="L760" s="1223" t="s">
        <v>53</v>
      </c>
      <c r="M760" s="1223"/>
      <c r="N760" s="1223"/>
      <c r="O760" s="543">
        <f>E760</f>
        <v>30</v>
      </c>
      <c r="P760" s="498"/>
      <c r="Q760" s="498"/>
      <c r="R760" s="498"/>
      <c r="S760" s="442"/>
    </row>
    <row r="761" spans="1:19">
      <c r="A761" s="542"/>
      <c r="B761" s="421"/>
      <c r="C761" s="421"/>
      <c r="D761" s="421"/>
      <c r="E761" s="421"/>
      <c r="F761" s="9"/>
      <c r="G761" s="9"/>
      <c r="H761" s="9"/>
      <c r="I761" s="442"/>
      <c r="J761" s="9"/>
      <c r="K761" s="542"/>
      <c r="L761" s="421"/>
      <c r="M761" s="421"/>
      <c r="N761" s="421"/>
      <c r="O761" s="421"/>
      <c r="P761" s="9"/>
      <c r="Q761" s="9"/>
      <c r="R761" s="9"/>
      <c r="S761" s="442"/>
    </row>
    <row r="762" spans="1:19">
      <c r="A762" s="542">
        <v>2</v>
      </c>
      <c r="B762" s="1227" t="s">
        <v>54</v>
      </c>
      <c r="C762" s="1227"/>
      <c r="D762" s="1227"/>
      <c r="E762" s="421"/>
      <c r="F762" s="9"/>
      <c r="G762" s="9"/>
      <c r="H762" s="9"/>
      <c r="I762" s="442"/>
      <c r="J762" s="9"/>
      <c r="K762" s="542">
        <v>2</v>
      </c>
      <c r="L762" s="1227" t="s">
        <v>54</v>
      </c>
      <c r="M762" s="1227"/>
      <c r="N762" s="1227"/>
      <c r="O762" s="421"/>
      <c r="P762" s="9"/>
      <c r="Q762" s="9"/>
      <c r="R762" s="9"/>
      <c r="S762" s="442"/>
    </row>
    <row r="763" spans="1:19">
      <c r="A763" s="542"/>
      <c r="B763" s="1227"/>
      <c r="C763" s="1227"/>
      <c r="D763" s="1227"/>
      <c r="E763" s="544" t="s">
        <v>37</v>
      </c>
      <c r="F763" s="498"/>
      <c r="G763" s="498"/>
      <c r="H763" s="498"/>
      <c r="I763" s="442"/>
      <c r="J763" s="9"/>
      <c r="K763" s="542"/>
      <c r="L763" s="1227"/>
      <c r="M763" s="1227"/>
      <c r="N763" s="1227"/>
      <c r="O763" s="544" t="s">
        <v>37</v>
      </c>
      <c r="P763" s="498"/>
      <c r="Q763" s="498"/>
      <c r="R763" s="498"/>
      <c r="S763" s="442"/>
    </row>
    <row r="764" spans="1:19">
      <c r="A764" s="542"/>
      <c r="B764" s="421"/>
      <c r="C764" s="421"/>
      <c r="D764" s="421"/>
      <c r="E764" s="421"/>
      <c r="F764" s="9"/>
      <c r="G764" s="9"/>
      <c r="H764" s="9"/>
      <c r="I764" s="442"/>
      <c r="J764" s="9"/>
      <c r="K764" s="542"/>
      <c r="L764" s="421"/>
      <c r="M764" s="421"/>
      <c r="N764" s="421"/>
      <c r="O764" s="421"/>
      <c r="P764" s="9"/>
      <c r="Q764" s="9"/>
      <c r="R764" s="9"/>
      <c r="S764" s="442"/>
    </row>
    <row r="765" spans="1:19">
      <c r="A765" s="542">
        <v>3</v>
      </c>
      <c r="B765" s="1223" t="s">
        <v>55</v>
      </c>
      <c r="C765" s="1223"/>
      <c r="D765" s="1223"/>
      <c r="E765" s="544" t="s">
        <v>37</v>
      </c>
      <c r="F765" s="498"/>
      <c r="G765" s="498"/>
      <c r="H765" s="498"/>
      <c r="I765" s="442"/>
      <c r="J765" s="9"/>
      <c r="K765" s="542">
        <v>3</v>
      </c>
      <c r="L765" s="1223" t="s">
        <v>55</v>
      </c>
      <c r="M765" s="1223"/>
      <c r="N765" s="1223"/>
      <c r="O765" s="540" t="str">
        <f>E765</f>
        <v>N/A</v>
      </c>
      <c r="P765" s="498"/>
      <c r="Q765" s="498"/>
      <c r="R765" s="498"/>
      <c r="S765" s="442"/>
    </row>
    <row r="766" spans="1:19">
      <c r="A766" s="542"/>
      <c r="B766" s="421"/>
      <c r="C766" s="421"/>
      <c r="D766" s="421"/>
      <c r="E766" s="421"/>
      <c r="F766" s="9"/>
      <c r="G766" s="9"/>
      <c r="H766" s="9"/>
      <c r="I766" s="442"/>
      <c r="J766" s="9"/>
      <c r="K766" s="542"/>
      <c r="L766" s="421"/>
      <c r="M766" s="421"/>
      <c r="N766" s="421"/>
      <c r="O766" s="421"/>
      <c r="P766" s="9"/>
      <c r="Q766" s="9"/>
      <c r="R766" s="9"/>
      <c r="S766" s="442"/>
    </row>
    <row r="767" spans="1:19">
      <c r="A767" s="542">
        <v>4</v>
      </c>
      <c r="B767" s="1223" t="s">
        <v>56</v>
      </c>
      <c r="C767" s="1223"/>
      <c r="D767" s="1223"/>
      <c r="E767" s="544" t="s">
        <v>57</v>
      </c>
      <c r="F767" s="498"/>
      <c r="G767" s="498"/>
      <c r="H767" s="498"/>
      <c r="I767" s="442"/>
      <c r="J767" s="9"/>
      <c r="K767" s="542">
        <v>4</v>
      </c>
      <c r="L767" s="1223" t="s">
        <v>56</v>
      </c>
      <c r="M767" s="1223"/>
      <c r="N767" s="1223"/>
      <c r="O767" s="544" t="s">
        <v>57</v>
      </c>
      <c r="P767" s="498"/>
      <c r="Q767" s="498"/>
      <c r="R767" s="498"/>
      <c r="S767" s="442"/>
    </row>
    <row r="768" spans="1:19">
      <c r="A768" s="542"/>
      <c r="B768" s="421"/>
      <c r="C768" s="421"/>
      <c r="D768" s="421"/>
      <c r="E768" s="421"/>
      <c r="F768" s="9"/>
      <c r="G768" s="9"/>
      <c r="H768" s="9"/>
      <c r="I768" s="442"/>
      <c r="J768" s="9"/>
      <c r="K768" s="542"/>
      <c r="L768" s="421"/>
      <c r="M768" s="421"/>
      <c r="N768" s="421"/>
      <c r="O768" s="421"/>
      <c r="P768" s="9"/>
      <c r="Q768" s="9"/>
      <c r="R768" s="9"/>
      <c r="S768" s="442"/>
    </row>
    <row r="769" spans="1:19">
      <c r="A769" s="542">
        <v>5</v>
      </c>
      <c r="B769" s="1223" t="s">
        <v>58</v>
      </c>
      <c r="C769" s="1223"/>
      <c r="D769" s="1223"/>
      <c r="E769" s="492">
        <f>'04-221Master'!AM31</f>
        <v>43276.002619999992</v>
      </c>
      <c r="F769" s="9"/>
      <c r="G769" s="9"/>
      <c r="H769" s="9"/>
      <c r="I769" s="442"/>
      <c r="J769" s="9"/>
      <c r="K769" s="542">
        <v>5</v>
      </c>
      <c r="L769" s="1223" t="s">
        <v>58</v>
      </c>
      <c r="M769" s="1223"/>
      <c r="N769" s="1223"/>
      <c r="O769" s="492">
        <f>E769</f>
        <v>43276.002619999992</v>
      </c>
      <c r="P769" s="9"/>
      <c r="Q769" s="9"/>
      <c r="R769" s="9"/>
      <c r="S769" s="442"/>
    </row>
    <row r="770" spans="1:19">
      <c r="A770" s="542"/>
      <c r="B770" s="421"/>
      <c r="C770" s="421"/>
      <c r="D770" s="493" t="s">
        <v>59</v>
      </c>
      <c r="E770" s="493" t="s">
        <v>31</v>
      </c>
      <c r="F770" s="493" t="s">
        <v>33</v>
      </c>
      <c r="G770" s="493" t="s">
        <v>34</v>
      </c>
      <c r="H770" s="493" t="s">
        <v>377</v>
      </c>
      <c r="I770" s="494" t="s">
        <v>378</v>
      </c>
      <c r="J770" s="9"/>
      <c r="K770" s="542"/>
      <c r="L770" s="421"/>
      <c r="M770" s="421"/>
      <c r="N770" s="493" t="s">
        <v>59</v>
      </c>
      <c r="O770" s="493" t="s">
        <v>31</v>
      </c>
      <c r="P770" s="493" t="s">
        <v>33</v>
      </c>
      <c r="Q770" s="493" t="s">
        <v>34</v>
      </c>
      <c r="R770" s="493" t="s">
        <v>377</v>
      </c>
      <c r="S770" s="494" t="s">
        <v>378</v>
      </c>
    </row>
    <row r="771" spans="1:19">
      <c r="A771" s="542">
        <v>6</v>
      </c>
      <c r="B771" s="643" t="s">
        <v>60</v>
      </c>
      <c r="C771" s="643"/>
      <c r="D771" s="495">
        <f>'04-221Master'!AO30</f>
        <v>1800</v>
      </c>
      <c r="E771" s="495">
        <f>'04-221Master'!AN889</f>
        <v>0</v>
      </c>
      <c r="F771" s="496">
        <f>'04-221Master'!AP31</f>
        <v>200</v>
      </c>
      <c r="G771" s="495">
        <f>'04-221Master'!AQ31</f>
        <v>0</v>
      </c>
      <c r="H771" s="496">
        <f>'04-221Master'!AR31</f>
        <v>283</v>
      </c>
      <c r="I771" s="496">
        <f>SUM(D771:H771)</f>
        <v>2283</v>
      </c>
      <c r="J771" s="9"/>
      <c r="K771" s="542">
        <v>6</v>
      </c>
      <c r="L771" s="643" t="s">
        <v>60</v>
      </c>
      <c r="M771" s="643"/>
      <c r="N771" s="495">
        <f t="shared" ref="N771" si="81">D771</f>
        <v>1800</v>
      </c>
      <c r="O771" s="495">
        <f t="shared" ref="O771" si="82">E771</f>
        <v>0</v>
      </c>
      <c r="P771" s="496">
        <f t="shared" ref="P771" si="83">F771</f>
        <v>200</v>
      </c>
      <c r="Q771" s="495">
        <f t="shared" ref="Q771" si="84">G771</f>
        <v>0</v>
      </c>
      <c r="R771" s="496">
        <f t="shared" ref="R771" si="85">H771</f>
        <v>283</v>
      </c>
      <c r="S771" s="496">
        <f t="shared" ref="S771" si="86">I771</f>
        <v>2283</v>
      </c>
    </row>
    <row r="772" spans="1:19">
      <c r="A772" s="542"/>
      <c r="B772" s="421"/>
      <c r="C772" s="421"/>
      <c r="D772" s="421"/>
      <c r="E772" s="421"/>
      <c r="F772" s="9"/>
      <c r="G772" s="9"/>
      <c r="H772" s="9"/>
      <c r="I772" s="442"/>
      <c r="J772" s="9"/>
      <c r="K772" s="542"/>
      <c r="L772" s="421"/>
      <c r="M772" s="421"/>
      <c r="N772" s="421"/>
      <c r="O772" s="421"/>
      <c r="P772" s="9"/>
      <c r="Q772" s="9"/>
      <c r="R772" s="9"/>
      <c r="S772" s="442"/>
    </row>
    <row r="773" spans="1:19">
      <c r="A773" s="542">
        <v>7</v>
      </c>
      <c r="B773" s="1223" t="s">
        <v>61</v>
      </c>
      <c r="C773" s="1223"/>
      <c r="D773" s="1223"/>
      <c r="E773" s="497">
        <f>E769-I771</f>
        <v>40993.002619999992</v>
      </c>
      <c r="F773" s="498"/>
      <c r="G773" s="498"/>
      <c r="H773" s="498"/>
      <c r="I773" s="442"/>
      <c r="J773" s="9"/>
      <c r="K773" s="542">
        <v>7</v>
      </c>
      <c r="L773" s="1223" t="s">
        <v>61</v>
      </c>
      <c r="M773" s="1223"/>
      <c r="N773" s="1223"/>
      <c r="O773" s="497">
        <f>E773</f>
        <v>40993.002619999992</v>
      </c>
      <c r="P773" s="498"/>
      <c r="Q773" s="498"/>
      <c r="R773" s="498"/>
      <c r="S773" s="442"/>
    </row>
    <row r="774" spans="1:19">
      <c r="A774" s="441"/>
      <c r="B774" s="9"/>
      <c r="C774" s="9"/>
      <c r="D774" s="9"/>
      <c r="E774" s="9"/>
      <c r="F774" s="9"/>
      <c r="G774" s="9"/>
      <c r="H774" s="9"/>
      <c r="I774" s="442"/>
      <c r="J774" s="9"/>
      <c r="K774" s="441"/>
      <c r="L774" s="9"/>
      <c r="M774" s="9"/>
      <c r="N774" s="9"/>
      <c r="O774" s="9"/>
      <c r="P774" s="9"/>
      <c r="Q774" s="9"/>
      <c r="R774" s="9"/>
      <c r="S774" s="442"/>
    </row>
    <row r="775" spans="1:19">
      <c r="A775" s="441"/>
      <c r="B775" s="9"/>
      <c r="C775" s="9"/>
      <c r="D775" s="9"/>
      <c r="E775" s="9"/>
      <c r="F775" s="9"/>
      <c r="G775" s="9"/>
      <c r="H775" s="9"/>
      <c r="I775" s="442"/>
      <c r="J775" s="9"/>
      <c r="K775" s="441"/>
      <c r="L775" s="9"/>
      <c r="M775" s="9"/>
      <c r="N775" s="9"/>
      <c r="O775" s="9"/>
      <c r="P775" s="9"/>
      <c r="Q775" s="9"/>
      <c r="R775" s="9"/>
      <c r="S775" s="442"/>
    </row>
    <row r="776" spans="1:19" ht="15.75" thickBot="1">
      <c r="A776" s="441"/>
      <c r="B776" s="9"/>
      <c r="C776" s="9"/>
      <c r="D776" s="9"/>
      <c r="E776" s="9"/>
      <c r="F776" s="444"/>
      <c r="G776" s="444"/>
      <c r="H776" s="444"/>
      <c r="I776" s="445"/>
      <c r="J776" s="9"/>
      <c r="K776" s="441"/>
      <c r="L776" s="9"/>
      <c r="M776" s="9"/>
      <c r="N776" s="9"/>
      <c r="O776" s="9"/>
      <c r="P776" s="444"/>
      <c r="Q776" s="444"/>
      <c r="R776" s="444"/>
      <c r="S776" s="445"/>
    </row>
    <row r="777" spans="1:19" ht="15.75" thickBot="1">
      <c r="A777" s="443"/>
      <c r="B777" s="444"/>
      <c r="C777" s="444"/>
      <c r="D777" s="444"/>
      <c r="E777" s="444"/>
      <c r="F777" s="1224" t="s">
        <v>62</v>
      </c>
      <c r="G777" s="1224"/>
      <c r="H777" s="1224"/>
      <c r="I777" s="1225"/>
      <c r="J777" s="9"/>
      <c r="K777" s="443"/>
      <c r="L777" s="444"/>
      <c r="M777" s="444"/>
      <c r="N777" s="444"/>
      <c r="O777" s="444"/>
      <c r="P777" s="1224" t="s">
        <v>62</v>
      </c>
      <c r="Q777" s="1224"/>
      <c r="R777" s="1224"/>
      <c r="S777" s="1225"/>
    </row>
    <row r="778" spans="1:19">
      <c r="A778" s="9"/>
      <c r="B778" s="9"/>
      <c r="C778" s="9"/>
      <c r="D778" s="9"/>
      <c r="E778" s="9"/>
      <c r="F778" s="9"/>
      <c r="G778" s="9"/>
      <c r="H778" s="9"/>
      <c r="I778" s="9"/>
      <c r="J778" s="9"/>
      <c r="K778" s="9"/>
      <c r="L778" s="9"/>
      <c r="M778" s="9"/>
      <c r="N778" s="9"/>
      <c r="O778" s="9"/>
      <c r="P778" s="9"/>
      <c r="Q778" s="9"/>
      <c r="R778" s="9"/>
      <c r="S778" s="9"/>
    </row>
    <row r="779" spans="1:19">
      <c r="A779" s="9"/>
      <c r="B779" s="9"/>
      <c r="C779" s="9"/>
      <c r="D779" s="9"/>
      <c r="E779" s="9"/>
      <c r="F779" s="9"/>
      <c r="G779" s="9"/>
      <c r="H779" s="9"/>
      <c r="I779" s="9"/>
      <c r="J779" s="9"/>
      <c r="K779" s="9"/>
      <c r="L779" s="9"/>
      <c r="M779" s="9"/>
      <c r="N779" s="9"/>
      <c r="O779" s="9"/>
      <c r="P779" s="9"/>
      <c r="Q779" s="9"/>
      <c r="R779" s="9"/>
      <c r="S779" s="9"/>
    </row>
    <row r="780" spans="1:19">
      <c r="A780" s="9"/>
      <c r="B780" s="9"/>
      <c r="C780" s="9"/>
      <c r="D780" s="9"/>
      <c r="E780" s="9"/>
      <c r="F780" s="9"/>
      <c r="G780" s="9"/>
      <c r="H780" s="9"/>
      <c r="I780" s="9"/>
      <c r="J780" s="9"/>
      <c r="K780" s="9"/>
      <c r="L780" s="9"/>
      <c r="M780" s="9"/>
      <c r="N780" s="9"/>
      <c r="O780" s="9"/>
      <c r="P780" s="9"/>
      <c r="Q780" s="9"/>
      <c r="R780" s="9"/>
      <c r="S780" s="9"/>
    </row>
    <row r="781" spans="1:19">
      <c r="A781" s="9"/>
      <c r="B781" s="9"/>
      <c r="C781" s="9"/>
      <c r="D781" s="9"/>
      <c r="E781" s="9"/>
      <c r="F781" s="9"/>
      <c r="G781" s="9"/>
      <c r="H781" s="9"/>
      <c r="I781" s="9"/>
      <c r="J781" s="9"/>
      <c r="K781" s="9"/>
      <c r="L781" s="9"/>
      <c r="M781" s="9"/>
      <c r="N781" s="9"/>
      <c r="O781" s="9"/>
      <c r="P781" s="9"/>
      <c r="Q781" s="9"/>
      <c r="R781" s="9"/>
      <c r="S781" s="9"/>
    </row>
    <row r="782" spans="1:19">
      <c r="A782" s="9"/>
      <c r="B782" s="9"/>
      <c r="C782" s="9"/>
      <c r="D782" s="9"/>
      <c r="E782" s="9"/>
      <c r="F782" s="9"/>
      <c r="G782" s="9"/>
      <c r="H782" s="9"/>
      <c r="I782" s="9"/>
      <c r="J782" s="9"/>
      <c r="K782" s="9"/>
      <c r="L782" s="9"/>
      <c r="M782" s="9"/>
      <c r="N782" s="9"/>
      <c r="O782" s="9"/>
      <c r="P782" s="9"/>
      <c r="Q782" s="9"/>
      <c r="R782" s="9"/>
      <c r="S782" s="9"/>
    </row>
    <row r="783" spans="1:19">
      <c r="A783" s="9"/>
      <c r="B783" s="9"/>
      <c r="C783" s="9"/>
      <c r="D783" s="9"/>
      <c r="E783" s="9"/>
      <c r="F783" s="9"/>
      <c r="G783" s="9"/>
      <c r="H783" s="9"/>
      <c r="I783" s="9"/>
      <c r="J783" s="9"/>
      <c r="K783" s="9"/>
      <c r="L783" s="9"/>
      <c r="M783" s="9"/>
      <c r="N783" s="9"/>
      <c r="O783" s="9"/>
      <c r="P783" s="9"/>
      <c r="Q783" s="9"/>
      <c r="R783" s="9"/>
      <c r="S783" s="9"/>
    </row>
    <row r="784" spans="1:19" s="9" customFormat="1"/>
    <row r="785" spans="1:19" s="9" customFormat="1"/>
    <row r="786" spans="1:19" s="9" customFormat="1"/>
    <row r="787" spans="1:19" s="9" customFormat="1"/>
    <row r="788" spans="1:19" s="9" customFormat="1"/>
    <row r="789" spans="1:19" s="9" customFormat="1"/>
    <row r="790" spans="1:19" s="9" customFormat="1"/>
    <row r="791" spans="1:19">
      <c r="A791" s="388"/>
      <c r="B791" s="388"/>
      <c r="C791" s="388"/>
      <c r="D791" s="388"/>
      <c r="E791" s="388"/>
      <c r="F791" s="388"/>
      <c r="G791" s="388"/>
      <c r="H791" s="388"/>
      <c r="I791" s="388"/>
      <c r="J791" s="388"/>
      <c r="K791" s="388"/>
      <c r="L791" s="388"/>
      <c r="M791" s="388"/>
      <c r="N791" s="388"/>
      <c r="O791" s="388"/>
      <c r="P791" s="388"/>
      <c r="Q791" s="388"/>
      <c r="R791" s="388"/>
      <c r="S791" s="388"/>
    </row>
    <row r="792" spans="1:19">
      <c r="A792" s="388"/>
      <c r="B792" s="388"/>
      <c r="C792" s="388"/>
      <c r="D792" s="388"/>
      <c r="E792" s="388"/>
      <c r="F792" s="388"/>
      <c r="G792" s="388"/>
      <c r="H792" s="388"/>
      <c r="I792" s="388"/>
      <c r="J792" s="388"/>
      <c r="K792" s="388"/>
      <c r="L792" s="388"/>
      <c r="M792" s="388"/>
      <c r="N792" s="388"/>
      <c r="O792" s="388"/>
      <c r="P792" s="388"/>
      <c r="Q792" s="388"/>
      <c r="R792" s="388"/>
      <c r="S792" s="388"/>
    </row>
    <row r="793" spans="1:19">
      <c r="A793" s="388"/>
      <c r="B793" s="388"/>
      <c r="C793" s="388"/>
      <c r="D793" s="388"/>
      <c r="E793" s="388"/>
      <c r="F793" s="388"/>
      <c r="G793" s="388"/>
      <c r="H793" s="388"/>
      <c r="I793" s="388"/>
      <c r="J793" s="388"/>
      <c r="K793" s="388"/>
      <c r="L793" s="388"/>
      <c r="M793" s="388"/>
      <c r="N793" s="388"/>
      <c r="O793" s="388"/>
      <c r="P793" s="388"/>
      <c r="Q793" s="388"/>
      <c r="R793" s="388"/>
      <c r="S793" s="388"/>
    </row>
    <row r="794" spans="1:19">
      <c r="A794" s="388"/>
      <c r="B794" s="388"/>
      <c r="C794" s="388"/>
      <c r="D794" s="388"/>
      <c r="E794" s="388"/>
      <c r="F794" s="388"/>
      <c r="G794" s="388"/>
      <c r="H794" s="388"/>
      <c r="I794" s="388"/>
      <c r="J794" s="388"/>
      <c r="K794" s="388"/>
      <c r="L794" s="388"/>
      <c r="M794" s="388"/>
      <c r="N794" s="388"/>
      <c r="O794" s="388"/>
      <c r="P794" s="388"/>
      <c r="Q794" s="388"/>
      <c r="R794" s="388"/>
      <c r="S794" s="388"/>
    </row>
    <row r="795" spans="1:19">
      <c r="A795" s="388"/>
      <c r="B795" s="388"/>
      <c r="C795" s="388"/>
      <c r="D795" s="388"/>
      <c r="E795" s="388"/>
      <c r="F795" s="388"/>
      <c r="G795" s="388"/>
      <c r="H795" s="388"/>
      <c r="I795" s="388"/>
      <c r="J795" s="388"/>
      <c r="K795" s="388"/>
      <c r="L795" s="388"/>
      <c r="M795" s="388"/>
      <c r="N795" s="388"/>
      <c r="O795" s="388"/>
      <c r="P795" s="388"/>
      <c r="Q795" s="388"/>
      <c r="R795" s="388"/>
      <c r="S795" s="388"/>
    </row>
    <row r="796" spans="1:19" ht="15.75" thickBot="1">
      <c r="A796" s="388"/>
      <c r="B796" s="388"/>
      <c r="C796" s="388"/>
      <c r="D796" s="388"/>
      <c r="E796" s="388"/>
      <c r="F796" s="388"/>
      <c r="G796" s="388"/>
      <c r="H796" s="388"/>
      <c r="I796" s="388"/>
      <c r="J796" s="388"/>
      <c r="K796" s="388"/>
      <c r="L796" s="388"/>
      <c r="M796" s="388"/>
      <c r="N796" s="388"/>
      <c r="O796" s="388"/>
      <c r="P796" s="388"/>
      <c r="Q796" s="388"/>
      <c r="R796" s="388"/>
      <c r="S796" s="388"/>
    </row>
    <row r="797" spans="1:19" ht="27" thickBot="1">
      <c r="A797" s="1228" t="s">
        <v>592</v>
      </c>
      <c r="B797" s="1229"/>
      <c r="C797" s="1229"/>
      <c r="D797" s="1229"/>
      <c r="E797" s="1229"/>
      <c r="F797" s="1229"/>
      <c r="G797" s="1229"/>
      <c r="H797" s="1229"/>
      <c r="I797" s="1230"/>
      <c r="J797" s="538"/>
      <c r="K797" s="1228" t="s">
        <v>592</v>
      </c>
      <c r="L797" s="1229"/>
      <c r="M797" s="1229"/>
      <c r="N797" s="1229"/>
      <c r="O797" s="1229"/>
      <c r="P797" s="1229"/>
      <c r="Q797" s="1229"/>
      <c r="R797" s="1229"/>
      <c r="S797" s="1230"/>
    </row>
    <row r="798" spans="1:19">
      <c r="A798" s="1231" t="s">
        <v>593</v>
      </c>
      <c r="B798" s="1232"/>
      <c r="C798" s="1232"/>
      <c r="D798" s="1232"/>
      <c r="E798" s="1232"/>
      <c r="F798" s="1232"/>
      <c r="G798" s="1232"/>
      <c r="H798" s="1232"/>
      <c r="I798" s="1233"/>
      <c r="J798" s="9"/>
      <c r="K798" s="1231" t="s">
        <v>593</v>
      </c>
      <c r="L798" s="1232"/>
      <c r="M798" s="1232"/>
      <c r="N798" s="1232"/>
      <c r="O798" s="1232"/>
      <c r="P798" s="1232"/>
      <c r="Q798" s="1232"/>
      <c r="R798" s="1232"/>
      <c r="S798" s="1233"/>
    </row>
    <row r="799" spans="1:19">
      <c r="A799" s="441"/>
      <c r="B799" s="9"/>
      <c r="C799" s="9"/>
      <c r="D799" s="9"/>
      <c r="E799" s="9"/>
      <c r="F799" s="9"/>
      <c r="G799" s="9"/>
      <c r="H799" s="9"/>
      <c r="I799" s="442"/>
      <c r="J799" s="9"/>
      <c r="K799" s="441"/>
      <c r="L799" s="9"/>
      <c r="M799" s="9"/>
      <c r="N799" s="9"/>
      <c r="O799" s="9"/>
      <c r="P799" s="9"/>
      <c r="Q799" s="9"/>
      <c r="R799" s="9"/>
      <c r="S799" s="442"/>
    </row>
    <row r="800" spans="1:19">
      <c r="A800" s="539" t="s">
        <v>49</v>
      </c>
      <c r="B800" s="421"/>
      <c r="C800" s="421"/>
      <c r="D800" s="419" t="s">
        <v>382</v>
      </c>
      <c r="E800" s="9"/>
      <c r="F800" s="9"/>
      <c r="G800" s="9"/>
      <c r="H800" s="9"/>
      <c r="I800" s="442"/>
      <c r="J800" s="9"/>
      <c r="K800" s="539" t="s">
        <v>49</v>
      </c>
      <c r="L800" s="421"/>
      <c r="M800" s="421"/>
      <c r="N800" s="419" t="s">
        <v>382</v>
      </c>
      <c r="O800" s="9"/>
      <c r="P800" s="9"/>
      <c r="Q800" s="9"/>
      <c r="R800" s="9"/>
      <c r="S800" s="442"/>
    </row>
    <row r="801" spans="1:19">
      <c r="A801" s="539"/>
      <c r="B801" s="421"/>
      <c r="C801" s="421"/>
      <c r="D801" s="421" t="s">
        <v>383</v>
      </c>
      <c r="E801" s="9"/>
      <c r="F801" s="9"/>
      <c r="G801" s="9"/>
      <c r="H801" s="9"/>
      <c r="I801" s="442"/>
      <c r="J801" s="9"/>
      <c r="K801" s="539"/>
      <c r="L801" s="421"/>
      <c r="M801" s="421"/>
      <c r="N801" s="421" t="s">
        <v>383</v>
      </c>
      <c r="O801" s="9"/>
      <c r="P801" s="9"/>
      <c r="Q801" s="9"/>
      <c r="R801" s="9"/>
      <c r="S801" s="442"/>
    </row>
    <row r="802" spans="1:19">
      <c r="A802" s="539"/>
      <c r="B802" s="421"/>
      <c r="C802" s="421"/>
      <c r="D802" s="421"/>
      <c r="E802" s="421"/>
      <c r="F802" s="9"/>
      <c r="G802" s="9"/>
      <c r="H802" s="9"/>
      <c r="I802" s="442"/>
      <c r="J802" s="9"/>
      <c r="K802" s="539"/>
      <c r="L802" s="421"/>
      <c r="M802" s="421"/>
      <c r="N802" s="421"/>
      <c r="O802" s="421"/>
      <c r="P802" s="9"/>
      <c r="Q802" s="9"/>
      <c r="R802" s="9"/>
      <c r="S802" s="442"/>
    </row>
    <row r="803" spans="1:19">
      <c r="A803" s="1234" t="s">
        <v>50</v>
      </c>
      <c r="B803" s="1227"/>
      <c r="C803" s="1227"/>
      <c r="D803" s="1227"/>
      <c r="E803" s="421"/>
      <c r="F803" s="9"/>
      <c r="G803" s="9"/>
      <c r="H803" s="9"/>
      <c r="I803" s="442"/>
      <c r="J803" s="9"/>
      <c r="K803" s="1234" t="s">
        <v>50</v>
      </c>
      <c r="L803" s="1227"/>
      <c r="M803" s="1227"/>
      <c r="N803" s="1227"/>
      <c r="O803" s="421"/>
      <c r="P803" s="9"/>
      <c r="Q803" s="9"/>
      <c r="R803" s="9"/>
      <c r="S803" s="442"/>
    </row>
    <row r="804" spans="1:19">
      <c r="A804" s="1234"/>
      <c r="B804" s="1227"/>
      <c r="C804" s="1227"/>
      <c r="D804" s="1227"/>
      <c r="E804" s="540" t="str">
        <f>'04-221Master'!B32</f>
        <v>Rahul Suryawanshi</v>
      </c>
      <c r="F804" s="498"/>
      <c r="G804" s="498"/>
      <c r="H804" s="498" t="str">
        <f>'04-221Master'!E32</f>
        <v>Tarun Suryawanshi</v>
      </c>
      <c r="I804" s="442"/>
      <c r="J804" s="9"/>
      <c r="K804" s="1234"/>
      <c r="L804" s="1227"/>
      <c r="M804" s="1227"/>
      <c r="N804" s="1227"/>
      <c r="O804" s="540" t="str">
        <f>E804</f>
        <v>Rahul Suryawanshi</v>
      </c>
      <c r="P804" s="498"/>
      <c r="Q804" s="498"/>
      <c r="R804" s="498" t="str">
        <f>H804</f>
        <v>Tarun Suryawanshi</v>
      </c>
      <c r="S804" s="442"/>
    </row>
    <row r="805" spans="1:19">
      <c r="A805" s="539"/>
      <c r="B805" s="421"/>
      <c r="C805" s="421"/>
      <c r="D805" s="421"/>
      <c r="E805" s="421"/>
      <c r="F805" s="9"/>
      <c r="G805" s="9"/>
      <c r="H805" s="9"/>
      <c r="I805" s="442"/>
      <c r="J805" s="9"/>
      <c r="K805" s="539"/>
      <c r="L805" s="421"/>
      <c r="M805" s="421"/>
      <c r="N805" s="421"/>
      <c r="O805" s="421"/>
      <c r="P805" s="9"/>
      <c r="Q805" s="9"/>
      <c r="R805" s="9"/>
      <c r="S805" s="442"/>
    </row>
    <row r="806" spans="1:19">
      <c r="A806" s="1226" t="s">
        <v>51</v>
      </c>
      <c r="B806" s="1223"/>
      <c r="C806" s="1223"/>
      <c r="D806" s="1223"/>
      <c r="E806" s="423" t="s">
        <v>373</v>
      </c>
      <c r="F806" s="498"/>
      <c r="G806" s="498"/>
      <c r="H806" s="498"/>
      <c r="I806" s="442"/>
      <c r="J806" s="9"/>
      <c r="K806" s="1226" t="s">
        <v>51</v>
      </c>
      <c r="L806" s="1223"/>
      <c r="M806" s="1223"/>
      <c r="N806" s="1223"/>
      <c r="O806" s="540" t="str">
        <f>E806</f>
        <v>IT SUPPORTIVE SERVICES</v>
      </c>
      <c r="P806" s="498"/>
      <c r="Q806" s="498"/>
      <c r="R806" s="498"/>
      <c r="S806" s="442"/>
    </row>
    <row r="807" spans="1:19">
      <c r="A807" s="539"/>
      <c r="B807" s="421"/>
      <c r="C807" s="421"/>
      <c r="D807" s="421"/>
      <c r="E807" s="421"/>
      <c r="F807" s="9"/>
      <c r="G807" s="9"/>
      <c r="H807" s="9"/>
      <c r="I807" s="442"/>
      <c r="J807" s="9"/>
      <c r="K807" s="539"/>
      <c r="L807" s="421"/>
      <c r="M807" s="421"/>
      <c r="N807" s="421"/>
      <c r="O807" s="421"/>
      <c r="P807" s="9"/>
      <c r="Q807" s="9"/>
      <c r="R807" s="9"/>
      <c r="S807" s="442"/>
    </row>
    <row r="808" spans="1:19">
      <c r="A808" s="1226" t="s">
        <v>52</v>
      </c>
      <c r="B808" s="1223"/>
      <c r="C808" s="1223"/>
      <c r="D808" s="1223"/>
      <c r="E808" s="541">
        <f>'04-221Master'!D10</f>
        <v>44652</v>
      </c>
      <c r="F808" s="498"/>
      <c r="G808" s="498"/>
      <c r="H808" s="498"/>
      <c r="I808" s="442"/>
      <c r="J808" s="9"/>
      <c r="K808" s="1226" t="s">
        <v>52</v>
      </c>
      <c r="L808" s="1223"/>
      <c r="M808" s="1223"/>
      <c r="N808" s="1223"/>
      <c r="O808" s="541">
        <f>E808</f>
        <v>44652</v>
      </c>
      <c r="P808" s="498"/>
      <c r="Q808" s="498"/>
      <c r="R808" s="498"/>
      <c r="S808" s="442"/>
    </row>
    <row r="809" spans="1:19">
      <c r="A809" s="539"/>
      <c r="B809" s="421"/>
      <c r="C809" s="421"/>
      <c r="D809" s="421"/>
      <c r="E809" s="421"/>
      <c r="F809" s="9"/>
      <c r="G809" s="9"/>
      <c r="H809" s="9"/>
      <c r="I809" s="442"/>
      <c r="J809" s="9"/>
      <c r="K809" s="539"/>
      <c r="L809" s="421"/>
      <c r="M809" s="421"/>
      <c r="N809" s="421"/>
      <c r="O809" s="421"/>
      <c r="P809" s="9"/>
      <c r="Q809" s="9"/>
      <c r="R809" s="9"/>
      <c r="S809" s="442"/>
    </row>
    <row r="810" spans="1:19">
      <c r="A810" s="542">
        <v>1</v>
      </c>
      <c r="B810" s="1223" t="s">
        <v>53</v>
      </c>
      <c r="C810" s="1223"/>
      <c r="D810" s="1223"/>
      <c r="E810" s="543">
        <f>'04-221Master'!W32</f>
        <v>30</v>
      </c>
      <c r="F810" s="498"/>
      <c r="G810" s="498"/>
      <c r="H810" s="498"/>
      <c r="I810" s="442"/>
      <c r="J810" s="9"/>
      <c r="K810" s="542">
        <v>1</v>
      </c>
      <c r="L810" s="1223" t="s">
        <v>53</v>
      </c>
      <c r="M810" s="1223"/>
      <c r="N810" s="1223"/>
      <c r="O810" s="543">
        <f>E810</f>
        <v>30</v>
      </c>
      <c r="P810" s="498"/>
      <c r="Q810" s="498"/>
      <c r="R810" s="498"/>
      <c r="S810" s="442"/>
    </row>
    <row r="811" spans="1:19">
      <c r="A811" s="542"/>
      <c r="B811" s="421"/>
      <c r="C811" s="421"/>
      <c r="D811" s="421"/>
      <c r="E811" s="421"/>
      <c r="F811" s="9"/>
      <c r="G811" s="9"/>
      <c r="H811" s="9"/>
      <c r="I811" s="442"/>
      <c r="J811" s="9"/>
      <c r="K811" s="542"/>
      <c r="L811" s="421"/>
      <c r="M811" s="421"/>
      <c r="N811" s="421"/>
      <c r="O811" s="421"/>
      <c r="P811" s="9"/>
      <c r="Q811" s="9"/>
      <c r="R811" s="9"/>
      <c r="S811" s="442"/>
    </row>
    <row r="812" spans="1:19">
      <c r="A812" s="542">
        <v>2</v>
      </c>
      <c r="B812" s="1227" t="s">
        <v>54</v>
      </c>
      <c r="C812" s="1227"/>
      <c r="D812" s="1227"/>
      <c r="E812" s="421"/>
      <c r="F812" s="9"/>
      <c r="G812" s="9"/>
      <c r="H812" s="9"/>
      <c r="I812" s="442"/>
      <c r="J812" s="9"/>
      <c r="K812" s="542">
        <v>2</v>
      </c>
      <c r="L812" s="1227" t="s">
        <v>54</v>
      </c>
      <c r="M812" s="1227"/>
      <c r="N812" s="1227"/>
      <c r="O812" s="421"/>
      <c r="P812" s="9"/>
      <c r="Q812" s="9"/>
      <c r="R812" s="9"/>
      <c r="S812" s="442"/>
    </row>
    <row r="813" spans="1:19">
      <c r="A813" s="542"/>
      <c r="B813" s="1227"/>
      <c r="C813" s="1227"/>
      <c r="D813" s="1227"/>
      <c r="E813" s="544" t="s">
        <v>37</v>
      </c>
      <c r="F813" s="498"/>
      <c r="G813" s="498"/>
      <c r="H813" s="498"/>
      <c r="I813" s="442"/>
      <c r="J813" s="9"/>
      <c r="K813" s="542"/>
      <c r="L813" s="1227"/>
      <c r="M813" s="1227"/>
      <c r="N813" s="1227"/>
      <c r="O813" s="544" t="s">
        <v>37</v>
      </c>
      <c r="P813" s="498"/>
      <c r="Q813" s="498"/>
      <c r="R813" s="498"/>
      <c r="S813" s="442"/>
    </row>
    <row r="814" spans="1:19">
      <c r="A814" s="542"/>
      <c r="B814" s="421"/>
      <c r="C814" s="421"/>
      <c r="D814" s="421"/>
      <c r="E814" s="421"/>
      <c r="F814" s="9"/>
      <c r="G814" s="9"/>
      <c r="H814" s="9"/>
      <c r="I814" s="442"/>
      <c r="J814" s="9"/>
      <c r="K814" s="542"/>
      <c r="L814" s="421"/>
      <c r="M814" s="421"/>
      <c r="N814" s="421"/>
      <c r="O814" s="421"/>
      <c r="P814" s="9"/>
      <c r="Q814" s="9"/>
      <c r="R814" s="9"/>
      <c r="S814" s="442"/>
    </row>
    <row r="815" spans="1:19">
      <c r="A815" s="542">
        <v>3</v>
      </c>
      <c r="B815" s="1223" t="s">
        <v>55</v>
      </c>
      <c r="C815" s="1223"/>
      <c r="D815" s="1223"/>
      <c r="E815" s="544" t="s">
        <v>37</v>
      </c>
      <c r="F815" s="498"/>
      <c r="G815" s="498"/>
      <c r="H815" s="498"/>
      <c r="I815" s="442"/>
      <c r="J815" s="9"/>
      <c r="K815" s="542">
        <v>3</v>
      </c>
      <c r="L815" s="1223" t="s">
        <v>55</v>
      </c>
      <c r="M815" s="1223"/>
      <c r="N815" s="1223"/>
      <c r="O815" s="540" t="str">
        <f>E815</f>
        <v>N/A</v>
      </c>
      <c r="P815" s="498"/>
      <c r="Q815" s="498"/>
      <c r="R815" s="498"/>
      <c r="S815" s="442"/>
    </row>
    <row r="816" spans="1:19">
      <c r="A816" s="542"/>
      <c r="B816" s="421"/>
      <c r="C816" s="421"/>
      <c r="D816" s="421"/>
      <c r="E816" s="421"/>
      <c r="F816" s="9"/>
      <c r="G816" s="9"/>
      <c r="H816" s="9"/>
      <c r="I816" s="442"/>
      <c r="J816" s="9"/>
      <c r="K816" s="542"/>
      <c r="L816" s="421"/>
      <c r="M816" s="421"/>
      <c r="N816" s="421"/>
      <c r="O816" s="421"/>
      <c r="P816" s="9"/>
      <c r="Q816" s="9"/>
      <c r="R816" s="9"/>
      <c r="S816" s="442"/>
    </row>
    <row r="817" spans="1:19">
      <c r="A817" s="542">
        <v>4</v>
      </c>
      <c r="B817" s="1223" t="s">
        <v>56</v>
      </c>
      <c r="C817" s="1223"/>
      <c r="D817" s="1223"/>
      <c r="E817" s="544" t="s">
        <v>57</v>
      </c>
      <c r="F817" s="498"/>
      <c r="G817" s="498"/>
      <c r="H817" s="498"/>
      <c r="I817" s="442"/>
      <c r="J817" s="9"/>
      <c r="K817" s="542">
        <v>4</v>
      </c>
      <c r="L817" s="1223" t="s">
        <v>56</v>
      </c>
      <c r="M817" s="1223"/>
      <c r="N817" s="1223"/>
      <c r="O817" s="544" t="s">
        <v>57</v>
      </c>
      <c r="P817" s="498"/>
      <c r="Q817" s="498"/>
      <c r="R817" s="498"/>
      <c r="S817" s="442"/>
    </row>
    <row r="818" spans="1:19">
      <c r="A818" s="542"/>
      <c r="B818" s="421"/>
      <c r="C818" s="421"/>
      <c r="D818" s="421"/>
      <c r="E818" s="421"/>
      <c r="F818" s="9"/>
      <c r="G818" s="9"/>
      <c r="H818" s="9"/>
      <c r="I818" s="442"/>
      <c r="J818" s="9"/>
      <c r="K818" s="542"/>
      <c r="L818" s="421"/>
      <c r="M818" s="421"/>
      <c r="N818" s="421"/>
      <c r="O818" s="421"/>
      <c r="P818" s="9"/>
      <c r="Q818" s="9"/>
      <c r="R818" s="9"/>
      <c r="S818" s="442"/>
    </row>
    <row r="819" spans="1:19">
      <c r="A819" s="542">
        <v>5</v>
      </c>
      <c r="B819" s="1223" t="s">
        <v>58</v>
      </c>
      <c r="C819" s="1223"/>
      <c r="D819" s="1223"/>
      <c r="E819" s="492">
        <f>'04-221Master'!AM32</f>
        <v>88276.332079999993</v>
      </c>
      <c r="F819" s="9"/>
      <c r="G819" s="9"/>
      <c r="H819" s="9"/>
      <c r="I819" s="442"/>
      <c r="J819" s="9"/>
      <c r="K819" s="542">
        <v>5</v>
      </c>
      <c r="L819" s="1223" t="s">
        <v>58</v>
      </c>
      <c r="M819" s="1223"/>
      <c r="N819" s="1223"/>
      <c r="O819" s="492">
        <f>E819</f>
        <v>88276.332079999993</v>
      </c>
      <c r="P819" s="9"/>
      <c r="Q819" s="9"/>
      <c r="R819" s="9"/>
      <c r="S819" s="442"/>
    </row>
    <row r="820" spans="1:19">
      <c r="A820" s="542"/>
      <c r="B820" s="421"/>
      <c r="C820" s="421"/>
      <c r="D820" s="493" t="s">
        <v>59</v>
      </c>
      <c r="E820" s="493" t="s">
        <v>31</v>
      </c>
      <c r="F820" s="493" t="s">
        <v>33</v>
      </c>
      <c r="G820" s="493" t="s">
        <v>34</v>
      </c>
      <c r="H820" s="493" t="s">
        <v>377</v>
      </c>
      <c r="I820" s="494" t="s">
        <v>378</v>
      </c>
      <c r="J820" s="9"/>
      <c r="K820" s="542"/>
      <c r="L820" s="421"/>
      <c r="M820" s="421"/>
      <c r="N820" s="493" t="s">
        <v>59</v>
      </c>
      <c r="O820" s="493" t="s">
        <v>31</v>
      </c>
      <c r="P820" s="493" t="s">
        <v>33</v>
      </c>
      <c r="Q820" s="493" t="s">
        <v>34</v>
      </c>
      <c r="R820" s="493" t="s">
        <v>377</v>
      </c>
      <c r="S820" s="494" t="s">
        <v>378</v>
      </c>
    </row>
    <row r="821" spans="1:19">
      <c r="A821" s="542">
        <v>6</v>
      </c>
      <c r="B821" s="791" t="s">
        <v>60</v>
      </c>
      <c r="C821" s="791"/>
      <c r="D821" s="495">
        <f>'04-221Master'!AO32</f>
        <v>1800</v>
      </c>
      <c r="E821" s="495">
        <f>'04-221Master'!AN939</f>
        <v>0</v>
      </c>
      <c r="F821" s="496">
        <f>'04-221Master'!AP32</f>
        <v>200</v>
      </c>
      <c r="G821" s="495">
        <f>'04-221Master'!AQ32</f>
        <v>0</v>
      </c>
      <c r="H821" s="496">
        <f>'04-221Master'!AR32</f>
        <v>283</v>
      </c>
      <c r="I821" s="496">
        <f>SUM(D821:H821)</f>
        <v>2283</v>
      </c>
      <c r="J821" s="9"/>
      <c r="K821" s="542">
        <v>6</v>
      </c>
      <c r="L821" s="791" t="s">
        <v>60</v>
      </c>
      <c r="M821" s="791"/>
      <c r="N821" s="495">
        <f t="shared" ref="N821" si="87">D821</f>
        <v>1800</v>
      </c>
      <c r="O821" s="495">
        <f t="shared" ref="O821" si="88">E821</f>
        <v>0</v>
      </c>
      <c r="P821" s="496">
        <f t="shared" ref="P821" si="89">F821</f>
        <v>200</v>
      </c>
      <c r="Q821" s="495">
        <f t="shared" ref="Q821" si="90">G821</f>
        <v>0</v>
      </c>
      <c r="R821" s="496">
        <f t="shared" ref="R821" si="91">H821</f>
        <v>283</v>
      </c>
      <c r="S821" s="496">
        <f t="shared" ref="S821" si="92">I821</f>
        <v>2283</v>
      </c>
    </row>
    <row r="822" spans="1:19">
      <c r="A822" s="542"/>
      <c r="B822" s="421"/>
      <c r="C822" s="421"/>
      <c r="D822" s="421"/>
      <c r="E822" s="421"/>
      <c r="F822" s="9"/>
      <c r="G822" s="9"/>
      <c r="H822" s="9"/>
      <c r="I822" s="442"/>
      <c r="J822" s="9"/>
      <c r="K822" s="542"/>
      <c r="L822" s="421"/>
      <c r="M822" s="421"/>
      <c r="N822" s="421"/>
      <c r="O822" s="421"/>
      <c r="P822" s="9"/>
      <c r="Q822" s="9"/>
      <c r="R822" s="9"/>
      <c r="S822" s="442"/>
    </row>
    <row r="823" spans="1:19">
      <c r="A823" s="542">
        <v>7</v>
      </c>
      <c r="B823" s="1223" t="s">
        <v>61</v>
      </c>
      <c r="C823" s="1223"/>
      <c r="D823" s="1223"/>
      <c r="E823" s="497">
        <f>E819-I821</f>
        <v>85993.332079999993</v>
      </c>
      <c r="F823" s="498"/>
      <c r="G823" s="498"/>
      <c r="H823" s="498"/>
      <c r="I823" s="442"/>
      <c r="J823" s="9"/>
      <c r="K823" s="542">
        <v>7</v>
      </c>
      <c r="L823" s="1223" t="s">
        <v>61</v>
      </c>
      <c r="M823" s="1223"/>
      <c r="N823" s="1223"/>
      <c r="O823" s="497">
        <f>E823</f>
        <v>85993.332079999993</v>
      </c>
      <c r="P823" s="498"/>
      <c r="Q823" s="498"/>
      <c r="R823" s="498"/>
      <c r="S823" s="442"/>
    </row>
    <row r="824" spans="1:19">
      <c r="A824" s="441"/>
      <c r="B824" s="9"/>
      <c r="C824" s="9"/>
      <c r="D824" s="9"/>
      <c r="E824" s="9"/>
      <c r="F824" s="9"/>
      <c r="G824" s="9"/>
      <c r="H824" s="9"/>
      <c r="I824" s="442"/>
      <c r="J824" s="9"/>
      <c r="K824" s="441"/>
      <c r="L824" s="9"/>
      <c r="M824" s="9"/>
      <c r="N824" s="9"/>
      <c r="O824" s="9"/>
      <c r="P824" s="9"/>
      <c r="Q824" s="9"/>
      <c r="R824" s="9"/>
      <c r="S824" s="442"/>
    </row>
    <row r="825" spans="1:19">
      <c r="A825" s="441"/>
      <c r="B825" s="9"/>
      <c r="C825" s="9"/>
      <c r="D825" s="9"/>
      <c r="E825" s="9"/>
      <c r="F825" s="9"/>
      <c r="G825" s="9"/>
      <c r="H825" s="9"/>
      <c r="I825" s="442"/>
      <c r="J825" s="9"/>
      <c r="K825" s="441"/>
      <c r="L825" s="9"/>
      <c r="M825" s="9"/>
      <c r="N825" s="9"/>
      <c r="O825" s="9"/>
      <c r="P825" s="9"/>
      <c r="Q825" s="9"/>
      <c r="R825" s="9"/>
      <c r="S825" s="442"/>
    </row>
    <row r="826" spans="1:19" ht="15.75" thickBot="1">
      <c r="A826" s="441"/>
      <c r="B826" s="9"/>
      <c r="C826" s="9"/>
      <c r="D826" s="9"/>
      <c r="E826" s="9"/>
      <c r="F826" s="444"/>
      <c r="G826" s="444"/>
      <c r="H826" s="444"/>
      <c r="I826" s="445"/>
      <c r="J826" s="9"/>
      <c r="K826" s="441"/>
      <c r="L826" s="9"/>
      <c r="M826" s="9"/>
      <c r="N826" s="9"/>
      <c r="O826" s="9"/>
      <c r="P826" s="444"/>
      <c r="Q826" s="444"/>
      <c r="R826" s="444"/>
      <c r="S826" s="445"/>
    </row>
    <row r="827" spans="1:19" ht="15.75" thickBot="1">
      <c r="A827" s="443"/>
      <c r="B827" s="444"/>
      <c r="C827" s="444"/>
      <c r="D827" s="444"/>
      <c r="E827" s="444"/>
      <c r="F827" s="1224" t="s">
        <v>62</v>
      </c>
      <c r="G827" s="1224"/>
      <c r="H827" s="1224"/>
      <c r="I827" s="1225"/>
      <c r="J827" s="9"/>
      <c r="K827" s="443"/>
      <c r="L827" s="444"/>
      <c r="M827" s="444"/>
      <c r="N827" s="444"/>
      <c r="O827" s="444"/>
      <c r="P827" s="1224" t="s">
        <v>62</v>
      </c>
      <c r="Q827" s="1224"/>
      <c r="R827" s="1224"/>
      <c r="S827" s="1225"/>
    </row>
    <row r="828" spans="1:19">
      <c r="A828" s="9"/>
      <c r="B828" s="9"/>
      <c r="C828" s="9"/>
      <c r="D828" s="9"/>
      <c r="E828" s="9"/>
      <c r="F828" s="9"/>
      <c r="G828" s="9"/>
      <c r="H828" s="9"/>
      <c r="I828" s="9"/>
      <c r="J828" s="9"/>
      <c r="K828" s="9"/>
      <c r="L828" s="9"/>
      <c r="M828" s="9"/>
      <c r="N828" s="9"/>
      <c r="O828" s="9"/>
      <c r="P828" s="9"/>
      <c r="Q828" s="9"/>
      <c r="R828" s="9"/>
      <c r="S828" s="9"/>
    </row>
    <row r="829" spans="1:19">
      <c r="A829" s="9"/>
      <c r="B829" s="9"/>
      <c r="C829" s="9"/>
      <c r="D829" s="9"/>
      <c r="E829" s="9"/>
      <c r="F829" s="9"/>
      <c r="G829" s="9"/>
      <c r="H829" s="9"/>
      <c r="I829" s="9"/>
      <c r="J829" s="9"/>
      <c r="K829" s="9"/>
      <c r="L829" s="9"/>
      <c r="M829" s="9"/>
      <c r="N829" s="9"/>
      <c r="O829" s="9"/>
      <c r="P829" s="9"/>
      <c r="Q829" s="9"/>
      <c r="R829" s="9"/>
      <c r="S829" s="9"/>
    </row>
    <row r="830" spans="1:19">
      <c r="A830" s="9"/>
      <c r="B830" s="9"/>
      <c r="C830" s="9"/>
      <c r="D830" s="9"/>
      <c r="E830" s="9"/>
      <c r="F830" s="9"/>
      <c r="G830" s="9"/>
      <c r="H830" s="9"/>
      <c r="I830" s="9"/>
      <c r="J830" s="9"/>
      <c r="K830" s="9"/>
      <c r="L830" s="9"/>
      <c r="M830" s="9"/>
      <c r="N830" s="9"/>
      <c r="O830" s="9"/>
      <c r="P830" s="9"/>
      <c r="Q830" s="9"/>
      <c r="R830" s="9"/>
      <c r="S830" s="9"/>
    </row>
    <row r="831" spans="1:19">
      <c r="A831" s="9"/>
      <c r="B831" s="9"/>
      <c r="C831" s="9"/>
      <c r="D831" s="9"/>
      <c r="E831" s="9"/>
      <c r="F831" s="9"/>
      <c r="G831" s="9"/>
      <c r="H831" s="9"/>
      <c r="I831" s="9"/>
      <c r="J831" s="9"/>
      <c r="K831" s="9"/>
      <c r="L831" s="9"/>
      <c r="M831" s="9"/>
      <c r="N831" s="9"/>
      <c r="O831" s="9"/>
      <c r="P831" s="9"/>
      <c r="Q831" s="9"/>
      <c r="R831" s="9"/>
      <c r="S831" s="9"/>
    </row>
    <row r="832" spans="1:19">
      <c r="A832" s="9"/>
      <c r="B832" s="9"/>
      <c r="C832" s="9"/>
      <c r="D832" s="9"/>
      <c r="E832" s="9"/>
      <c r="F832" s="9"/>
      <c r="G832" s="9"/>
      <c r="H832" s="9"/>
      <c r="I832" s="9"/>
      <c r="J832" s="9"/>
      <c r="K832" s="9"/>
      <c r="L832" s="9"/>
      <c r="M832" s="9"/>
      <c r="N832" s="9"/>
      <c r="O832" s="9"/>
      <c r="P832" s="9"/>
      <c r="Q832" s="9"/>
      <c r="R832" s="9"/>
      <c r="S832" s="9"/>
    </row>
    <row r="833" spans="1:19">
      <c r="A833" s="9"/>
      <c r="B833" s="9"/>
      <c r="C833" s="9"/>
      <c r="D833" s="9"/>
      <c r="E833" s="9"/>
      <c r="F833" s="9"/>
      <c r="G833" s="9"/>
      <c r="H833" s="9"/>
      <c r="I833" s="9"/>
      <c r="J833" s="9"/>
      <c r="K833" s="9"/>
      <c r="L833" s="9"/>
      <c r="M833" s="9"/>
      <c r="N833" s="9"/>
      <c r="O833" s="9"/>
      <c r="P833" s="9"/>
      <c r="Q833" s="9"/>
      <c r="R833" s="9"/>
      <c r="S833" s="9"/>
    </row>
    <row r="834" spans="1:19">
      <c r="A834" s="9"/>
      <c r="B834" s="9"/>
      <c r="C834" s="9"/>
      <c r="D834" s="9"/>
      <c r="E834" s="9"/>
      <c r="F834" s="9"/>
      <c r="G834" s="9"/>
      <c r="H834" s="9"/>
      <c r="I834" s="9"/>
      <c r="J834" s="9"/>
      <c r="K834" s="9"/>
      <c r="L834" s="9"/>
      <c r="M834" s="9"/>
      <c r="N834" s="9"/>
      <c r="O834" s="9"/>
      <c r="P834" s="9"/>
      <c r="Q834" s="9"/>
      <c r="R834" s="9"/>
      <c r="S834" s="9"/>
    </row>
    <row r="835" spans="1:19">
      <c r="A835" s="388"/>
      <c r="B835" s="388"/>
      <c r="C835" s="388"/>
      <c r="D835" s="388"/>
      <c r="E835" s="388"/>
      <c r="F835" s="388"/>
      <c r="G835" s="388"/>
      <c r="H835" s="388"/>
      <c r="I835" s="388"/>
      <c r="J835" s="388"/>
      <c r="K835" s="388"/>
      <c r="L835" s="388"/>
      <c r="M835" s="388"/>
      <c r="N835" s="388"/>
      <c r="O835" s="388"/>
      <c r="P835" s="388"/>
      <c r="Q835" s="388"/>
      <c r="R835" s="388"/>
      <c r="S835" s="388"/>
    </row>
    <row r="836" spans="1:19">
      <c r="A836" s="388"/>
      <c r="B836" s="388"/>
      <c r="C836" s="388"/>
      <c r="D836" s="388"/>
      <c r="E836" s="388"/>
      <c r="F836" s="388"/>
      <c r="G836" s="388"/>
      <c r="H836" s="388"/>
      <c r="I836" s="388"/>
      <c r="J836" s="388"/>
      <c r="K836" s="388"/>
      <c r="L836" s="388"/>
      <c r="M836" s="388"/>
      <c r="N836" s="388"/>
      <c r="O836" s="388"/>
      <c r="P836" s="388"/>
      <c r="Q836" s="388"/>
      <c r="R836" s="388"/>
      <c r="S836" s="388"/>
    </row>
    <row r="837" spans="1:19">
      <c r="A837" s="388"/>
      <c r="B837" s="388"/>
      <c r="C837" s="388"/>
      <c r="D837" s="388"/>
      <c r="E837" s="388"/>
      <c r="F837" s="388"/>
      <c r="G837" s="388"/>
      <c r="H837" s="388"/>
      <c r="I837" s="388"/>
      <c r="J837" s="388"/>
      <c r="K837" s="388"/>
      <c r="L837" s="388"/>
      <c r="M837" s="388"/>
      <c r="N837" s="388"/>
      <c r="O837" s="388"/>
      <c r="P837" s="388"/>
      <c r="Q837" s="388"/>
      <c r="R837" s="388"/>
      <c r="S837" s="388"/>
    </row>
    <row r="838" spans="1:19">
      <c r="A838" s="388"/>
      <c r="B838" s="388"/>
      <c r="C838" s="388"/>
      <c r="D838" s="388"/>
      <c r="E838" s="388"/>
      <c r="F838" s="388"/>
      <c r="G838" s="388"/>
      <c r="H838" s="388"/>
      <c r="I838" s="388"/>
      <c r="J838" s="388"/>
      <c r="K838" s="388"/>
      <c r="L838" s="388"/>
      <c r="M838" s="388"/>
      <c r="N838" s="388"/>
      <c r="O838" s="388"/>
      <c r="P838" s="388"/>
      <c r="Q838" s="388"/>
      <c r="R838" s="388"/>
      <c r="S838" s="388"/>
    </row>
    <row r="839" spans="1:19">
      <c r="A839" s="388"/>
      <c r="B839" s="388"/>
      <c r="C839" s="388"/>
      <c r="D839" s="388"/>
      <c r="E839" s="388"/>
      <c r="F839" s="388"/>
      <c r="G839" s="388"/>
      <c r="H839" s="388"/>
      <c r="I839" s="388"/>
      <c r="J839" s="388"/>
      <c r="K839" s="388"/>
      <c r="L839" s="388"/>
      <c r="M839" s="388"/>
      <c r="N839" s="388"/>
      <c r="O839" s="388"/>
      <c r="P839" s="388"/>
      <c r="Q839" s="388"/>
      <c r="R839" s="388"/>
      <c r="S839" s="388"/>
    </row>
    <row r="840" spans="1:19">
      <c r="A840" s="388"/>
      <c r="B840" s="388"/>
      <c r="C840" s="388"/>
      <c r="D840" s="388"/>
      <c r="E840" s="388"/>
      <c r="F840" s="388"/>
      <c r="G840" s="388"/>
      <c r="H840" s="388"/>
      <c r="I840" s="388"/>
      <c r="J840" s="388"/>
      <c r="K840" s="388"/>
      <c r="L840" s="388"/>
      <c r="M840" s="388"/>
      <c r="N840" s="388"/>
      <c r="O840" s="388"/>
      <c r="P840" s="388"/>
      <c r="Q840" s="388"/>
      <c r="R840" s="388"/>
      <c r="S840" s="388"/>
    </row>
    <row r="841" spans="1:19" ht="15.75" thickBot="1">
      <c r="A841" s="388"/>
      <c r="B841" s="388"/>
      <c r="C841" s="388"/>
      <c r="D841" s="388"/>
      <c r="E841" s="388"/>
      <c r="F841" s="388"/>
      <c r="G841" s="388"/>
      <c r="H841" s="388"/>
      <c r="I841" s="388"/>
      <c r="J841" s="388"/>
      <c r="K841" s="388"/>
      <c r="L841" s="388"/>
      <c r="M841" s="388"/>
      <c r="N841" s="388"/>
      <c r="O841" s="388"/>
      <c r="P841" s="388"/>
      <c r="Q841" s="388"/>
      <c r="R841" s="388"/>
      <c r="S841" s="388"/>
    </row>
    <row r="842" spans="1:19" ht="27" thickBot="1">
      <c r="A842" s="1228" t="s">
        <v>592</v>
      </c>
      <c r="B842" s="1229"/>
      <c r="C842" s="1229"/>
      <c r="D842" s="1229"/>
      <c r="E842" s="1229"/>
      <c r="F842" s="1229"/>
      <c r="G842" s="1229"/>
      <c r="H842" s="1229"/>
      <c r="I842" s="1230"/>
      <c r="J842" s="538"/>
      <c r="K842" s="1228" t="s">
        <v>592</v>
      </c>
      <c r="L842" s="1229"/>
      <c r="M842" s="1229"/>
      <c r="N842" s="1229"/>
      <c r="O842" s="1229"/>
      <c r="P842" s="1229"/>
      <c r="Q842" s="1229"/>
      <c r="R842" s="1229"/>
      <c r="S842" s="1230"/>
    </row>
    <row r="843" spans="1:19">
      <c r="A843" s="1231" t="s">
        <v>593</v>
      </c>
      <c r="B843" s="1232"/>
      <c r="C843" s="1232"/>
      <c r="D843" s="1232"/>
      <c r="E843" s="1232"/>
      <c r="F843" s="1232"/>
      <c r="G843" s="1232"/>
      <c r="H843" s="1232"/>
      <c r="I843" s="1233"/>
      <c r="J843" s="9"/>
      <c r="K843" s="1231" t="s">
        <v>593</v>
      </c>
      <c r="L843" s="1232"/>
      <c r="M843" s="1232"/>
      <c r="N843" s="1232"/>
      <c r="O843" s="1232"/>
      <c r="P843" s="1232"/>
      <c r="Q843" s="1232"/>
      <c r="R843" s="1232"/>
      <c r="S843" s="1233"/>
    </row>
    <row r="844" spans="1:19">
      <c r="A844" s="441"/>
      <c r="B844" s="9"/>
      <c r="C844" s="9"/>
      <c r="D844" s="9"/>
      <c r="E844" s="9"/>
      <c r="F844" s="9"/>
      <c r="G844" s="9"/>
      <c r="H844" s="9"/>
      <c r="I844" s="442"/>
      <c r="J844" s="9"/>
      <c r="K844" s="441"/>
      <c r="L844" s="9"/>
      <c r="M844" s="9"/>
      <c r="N844" s="9"/>
      <c r="O844" s="9"/>
      <c r="P844" s="9"/>
      <c r="Q844" s="9"/>
      <c r="R844" s="9"/>
      <c r="S844" s="442"/>
    </row>
    <row r="845" spans="1:19">
      <c r="A845" s="539" t="s">
        <v>49</v>
      </c>
      <c r="B845" s="421"/>
      <c r="C845" s="421"/>
      <c r="D845" s="419" t="s">
        <v>382</v>
      </c>
      <c r="E845" s="9"/>
      <c r="F845" s="9"/>
      <c r="G845" s="9"/>
      <c r="H845" s="9"/>
      <c r="I845" s="442"/>
      <c r="J845" s="9"/>
      <c r="K845" s="539" t="s">
        <v>49</v>
      </c>
      <c r="L845" s="421"/>
      <c r="M845" s="421"/>
      <c r="N845" s="419" t="s">
        <v>382</v>
      </c>
      <c r="O845" s="9"/>
      <c r="P845" s="9"/>
      <c r="Q845" s="9"/>
      <c r="R845" s="9"/>
      <c r="S845" s="442"/>
    </row>
    <row r="846" spans="1:19">
      <c r="A846" s="539"/>
      <c r="B846" s="421"/>
      <c r="C846" s="421"/>
      <c r="D846" s="421" t="s">
        <v>383</v>
      </c>
      <c r="E846" s="9"/>
      <c r="F846" s="9"/>
      <c r="G846" s="9"/>
      <c r="H846" s="9"/>
      <c r="I846" s="442"/>
      <c r="J846" s="9"/>
      <c r="K846" s="539"/>
      <c r="L846" s="421"/>
      <c r="M846" s="421"/>
      <c r="N846" s="421" t="s">
        <v>383</v>
      </c>
      <c r="O846" s="9"/>
      <c r="P846" s="9"/>
      <c r="Q846" s="9"/>
      <c r="R846" s="9"/>
      <c r="S846" s="442"/>
    </row>
    <row r="847" spans="1:19">
      <c r="A847" s="539"/>
      <c r="B847" s="421"/>
      <c r="C847" s="421"/>
      <c r="D847" s="421"/>
      <c r="E847" s="421"/>
      <c r="F847" s="9"/>
      <c r="G847" s="9"/>
      <c r="H847" s="9"/>
      <c r="I847" s="442"/>
      <c r="J847" s="9"/>
      <c r="K847" s="539"/>
      <c r="L847" s="421"/>
      <c r="M847" s="421"/>
      <c r="N847" s="421"/>
      <c r="O847" s="421"/>
      <c r="P847" s="9"/>
      <c r="Q847" s="9"/>
      <c r="R847" s="9"/>
      <c r="S847" s="442"/>
    </row>
    <row r="848" spans="1:19">
      <c r="A848" s="1234" t="s">
        <v>50</v>
      </c>
      <c r="B848" s="1227"/>
      <c r="C848" s="1227"/>
      <c r="D848" s="1227"/>
      <c r="E848" s="421"/>
      <c r="F848" s="9"/>
      <c r="G848" s="9"/>
      <c r="H848" s="9"/>
      <c r="I848" s="442"/>
      <c r="J848" s="9"/>
      <c r="K848" s="1234" t="s">
        <v>50</v>
      </c>
      <c r="L848" s="1227"/>
      <c r="M848" s="1227"/>
      <c r="N848" s="1227"/>
      <c r="O848" s="421"/>
      <c r="P848" s="9"/>
      <c r="Q848" s="9"/>
      <c r="R848" s="9"/>
      <c r="S848" s="442"/>
    </row>
    <row r="849" spans="1:19">
      <c r="A849" s="1234"/>
      <c r="B849" s="1227"/>
      <c r="C849" s="1227"/>
      <c r="D849" s="1227"/>
      <c r="E849" s="540" t="str">
        <f>'04-221Master'!B33</f>
        <v xml:space="preserve">Shantanu Patankar </v>
      </c>
      <c r="F849" s="498"/>
      <c r="G849" s="498"/>
      <c r="H849" s="498" t="str">
        <f>'04-221Master'!E33</f>
        <v>shivajirao balasaheb</v>
      </c>
      <c r="I849" s="442"/>
      <c r="J849" s="9"/>
      <c r="K849" s="1234"/>
      <c r="L849" s="1227"/>
      <c r="M849" s="1227"/>
      <c r="N849" s="1227"/>
      <c r="O849" s="540" t="str">
        <f>E849</f>
        <v xml:space="preserve">Shantanu Patankar </v>
      </c>
      <c r="P849" s="498"/>
      <c r="Q849" s="498"/>
      <c r="R849" s="498" t="str">
        <f>H849</f>
        <v>shivajirao balasaheb</v>
      </c>
      <c r="S849" s="442"/>
    </row>
    <row r="850" spans="1:19">
      <c r="A850" s="539"/>
      <c r="B850" s="421"/>
      <c r="C850" s="421"/>
      <c r="D850" s="421"/>
      <c r="E850" s="421"/>
      <c r="F850" s="9"/>
      <c r="G850" s="9"/>
      <c r="H850" s="9"/>
      <c r="I850" s="442"/>
      <c r="J850" s="9"/>
      <c r="K850" s="539"/>
      <c r="L850" s="421"/>
      <c r="M850" s="421"/>
      <c r="N850" s="421"/>
      <c r="O850" s="421"/>
      <c r="P850" s="9"/>
      <c r="Q850" s="9"/>
      <c r="R850" s="9"/>
      <c r="S850" s="442"/>
    </row>
    <row r="851" spans="1:19">
      <c r="A851" s="1226" t="s">
        <v>51</v>
      </c>
      <c r="B851" s="1223"/>
      <c r="C851" s="1223"/>
      <c r="D851" s="1223"/>
      <c r="E851" s="423" t="s">
        <v>373</v>
      </c>
      <c r="F851" s="498"/>
      <c r="G851" s="498"/>
      <c r="H851" s="498"/>
      <c r="I851" s="442"/>
      <c r="J851" s="9"/>
      <c r="K851" s="1226" t="s">
        <v>51</v>
      </c>
      <c r="L851" s="1223"/>
      <c r="M851" s="1223"/>
      <c r="N851" s="1223"/>
      <c r="O851" s="540" t="str">
        <f>E851</f>
        <v>IT SUPPORTIVE SERVICES</v>
      </c>
      <c r="P851" s="498"/>
      <c r="Q851" s="498"/>
      <c r="R851" s="498"/>
      <c r="S851" s="442"/>
    </row>
    <row r="852" spans="1:19">
      <c r="A852" s="539"/>
      <c r="B852" s="421"/>
      <c r="C852" s="421"/>
      <c r="D852" s="421"/>
      <c r="E852" s="421"/>
      <c r="F852" s="9"/>
      <c r="G852" s="9"/>
      <c r="H852" s="9"/>
      <c r="I852" s="442"/>
      <c r="J852" s="9"/>
      <c r="K852" s="539"/>
      <c r="L852" s="421"/>
      <c r="M852" s="421"/>
      <c r="N852" s="421"/>
      <c r="O852" s="421"/>
      <c r="P852" s="9"/>
      <c r="Q852" s="9"/>
      <c r="R852" s="9"/>
      <c r="S852" s="442"/>
    </row>
    <row r="853" spans="1:19">
      <c r="A853" s="1226" t="s">
        <v>52</v>
      </c>
      <c r="B853" s="1223"/>
      <c r="C853" s="1223"/>
      <c r="D853" s="1223"/>
      <c r="E853" s="541">
        <f>'04-221Master'!D10</f>
        <v>44652</v>
      </c>
      <c r="F853" s="498"/>
      <c r="G853" s="498"/>
      <c r="H853" s="498"/>
      <c r="I853" s="442"/>
      <c r="J853" s="9"/>
      <c r="K853" s="1226" t="s">
        <v>52</v>
      </c>
      <c r="L853" s="1223"/>
      <c r="M853" s="1223"/>
      <c r="N853" s="1223"/>
      <c r="O853" s="541">
        <f>E853</f>
        <v>44652</v>
      </c>
      <c r="P853" s="498"/>
      <c r="Q853" s="498"/>
      <c r="R853" s="498"/>
      <c r="S853" s="442"/>
    </row>
    <row r="854" spans="1:19">
      <c r="A854" s="539"/>
      <c r="B854" s="421"/>
      <c r="C854" s="421"/>
      <c r="D854" s="421"/>
      <c r="E854" s="421"/>
      <c r="F854" s="9"/>
      <c r="G854" s="9"/>
      <c r="H854" s="9"/>
      <c r="I854" s="442"/>
      <c r="J854" s="9"/>
      <c r="K854" s="539"/>
      <c r="L854" s="421"/>
      <c r="M854" s="421"/>
      <c r="N854" s="421"/>
      <c r="O854" s="421"/>
      <c r="P854" s="9"/>
      <c r="Q854" s="9"/>
      <c r="R854" s="9"/>
      <c r="S854" s="442"/>
    </row>
    <row r="855" spans="1:19">
      <c r="A855" s="542">
        <v>1</v>
      </c>
      <c r="B855" s="1223" t="s">
        <v>53</v>
      </c>
      <c r="C855" s="1223"/>
      <c r="D855" s="1223"/>
      <c r="E855" s="543">
        <f>'04-221Master'!W33</f>
        <v>30</v>
      </c>
      <c r="F855" s="498"/>
      <c r="G855" s="498"/>
      <c r="H855" s="498"/>
      <c r="I855" s="442"/>
      <c r="J855" s="9"/>
      <c r="K855" s="542">
        <v>1</v>
      </c>
      <c r="L855" s="1223" t="s">
        <v>53</v>
      </c>
      <c r="M855" s="1223"/>
      <c r="N855" s="1223"/>
      <c r="O855" s="543">
        <f>E855</f>
        <v>30</v>
      </c>
      <c r="P855" s="498"/>
      <c r="Q855" s="498"/>
      <c r="R855" s="498"/>
      <c r="S855" s="442"/>
    </row>
    <row r="856" spans="1:19">
      <c r="A856" s="542"/>
      <c r="B856" s="421"/>
      <c r="C856" s="421"/>
      <c r="D856" s="421"/>
      <c r="E856" s="421"/>
      <c r="F856" s="9"/>
      <c r="G856" s="9"/>
      <c r="H856" s="9"/>
      <c r="I856" s="442"/>
      <c r="J856" s="9"/>
      <c r="K856" s="542"/>
      <c r="L856" s="421"/>
      <c r="M856" s="421"/>
      <c r="N856" s="421"/>
      <c r="O856" s="421"/>
      <c r="P856" s="9"/>
      <c r="Q856" s="9"/>
      <c r="R856" s="9"/>
      <c r="S856" s="442"/>
    </row>
    <row r="857" spans="1:19">
      <c r="A857" s="542">
        <v>2</v>
      </c>
      <c r="B857" s="1227" t="s">
        <v>54</v>
      </c>
      <c r="C857" s="1227"/>
      <c r="D857" s="1227"/>
      <c r="E857" s="421"/>
      <c r="F857" s="9"/>
      <c r="G857" s="9"/>
      <c r="H857" s="9"/>
      <c r="I857" s="442"/>
      <c r="J857" s="9"/>
      <c r="K857" s="542">
        <v>2</v>
      </c>
      <c r="L857" s="1227" t="s">
        <v>54</v>
      </c>
      <c r="M857" s="1227"/>
      <c r="N857" s="1227"/>
      <c r="O857" s="421"/>
      <c r="P857" s="9"/>
      <c r="Q857" s="9"/>
      <c r="R857" s="9"/>
      <c r="S857" s="442"/>
    </row>
    <row r="858" spans="1:19">
      <c r="A858" s="542"/>
      <c r="B858" s="1227"/>
      <c r="C858" s="1227"/>
      <c r="D858" s="1227"/>
      <c r="E858" s="544" t="s">
        <v>37</v>
      </c>
      <c r="F858" s="498"/>
      <c r="G858" s="498"/>
      <c r="H858" s="498"/>
      <c r="I858" s="442"/>
      <c r="J858" s="9"/>
      <c r="K858" s="542"/>
      <c r="L858" s="1227"/>
      <c r="M858" s="1227"/>
      <c r="N858" s="1227"/>
      <c r="O858" s="544" t="s">
        <v>37</v>
      </c>
      <c r="P858" s="498"/>
      <c r="Q858" s="498"/>
      <c r="R858" s="498"/>
      <c r="S858" s="442"/>
    </row>
    <row r="859" spans="1:19">
      <c r="A859" s="542"/>
      <c r="B859" s="421"/>
      <c r="C859" s="421"/>
      <c r="D859" s="421"/>
      <c r="E859" s="421"/>
      <c r="F859" s="9"/>
      <c r="G859" s="9"/>
      <c r="H859" s="9"/>
      <c r="I859" s="442"/>
      <c r="J859" s="9"/>
      <c r="K859" s="542"/>
      <c r="L859" s="421"/>
      <c r="M859" s="421"/>
      <c r="N859" s="421"/>
      <c r="O859" s="421"/>
      <c r="P859" s="9"/>
      <c r="Q859" s="9"/>
      <c r="R859" s="9"/>
      <c r="S859" s="442"/>
    </row>
    <row r="860" spans="1:19">
      <c r="A860" s="542">
        <v>3</v>
      </c>
      <c r="B860" s="1223" t="s">
        <v>55</v>
      </c>
      <c r="C860" s="1223"/>
      <c r="D860" s="1223"/>
      <c r="E860" s="544" t="s">
        <v>37</v>
      </c>
      <c r="F860" s="498"/>
      <c r="G860" s="498"/>
      <c r="H860" s="498"/>
      <c r="I860" s="442"/>
      <c r="J860" s="9"/>
      <c r="K860" s="542">
        <v>3</v>
      </c>
      <c r="L860" s="1223" t="s">
        <v>55</v>
      </c>
      <c r="M860" s="1223"/>
      <c r="N860" s="1223"/>
      <c r="O860" s="540" t="str">
        <f>E860</f>
        <v>N/A</v>
      </c>
      <c r="P860" s="498"/>
      <c r="Q860" s="498"/>
      <c r="R860" s="498"/>
      <c r="S860" s="442"/>
    </row>
    <row r="861" spans="1:19">
      <c r="A861" s="542"/>
      <c r="B861" s="421"/>
      <c r="C861" s="421"/>
      <c r="D861" s="421"/>
      <c r="E861" s="421"/>
      <c r="F861" s="9"/>
      <c r="G861" s="9"/>
      <c r="H861" s="9"/>
      <c r="I861" s="442"/>
      <c r="J861" s="9"/>
      <c r="K861" s="542"/>
      <c r="L861" s="421"/>
      <c r="M861" s="421"/>
      <c r="N861" s="421"/>
      <c r="O861" s="421"/>
      <c r="P861" s="9"/>
      <c r="Q861" s="9"/>
      <c r="R861" s="9"/>
      <c r="S861" s="442"/>
    </row>
    <row r="862" spans="1:19">
      <c r="A862" s="542">
        <v>4</v>
      </c>
      <c r="B862" s="1223" t="s">
        <v>56</v>
      </c>
      <c r="C862" s="1223"/>
      <c r="D862" s="1223"/>
      <c r="E862" s="544" t="s">
        <v>57</v>
      </c>
      <c r="F862" s="498"/>
      <c r="G862" s="498"/>
      <c r="H862" s="498"/>
      <c r="I862" s="442"/>
      <c r="J862" s="9"/>
      <c r="K862" s="542">
        <v>4</v>
      </c>
      <c r="L862" s="1223" t="s">
        <v>56</v>
      </c>
      <c r="M862" s="1223"/>
      <c r="N862" s="1223"/>
      <c r="O862" s="544" t="s">
        <v>57</v>
      </c>
      <c r="P862" s="498"/>
      <c r="Q862" s="498"/>
      <c r="R862" s="498"/>
      <c r="S862" s="442"/>
    </row>
    <row r="863" spans="1:19">
      <c r="A863" s="542"/>
      <c r="B863" s="421"/>
      <c r="C863" s="421"/>
      <c r="D863" s="421"/>
      <c r="E863" s="421"/>
      <c r="F863" s="9"/>
      <c r="G863" s="9"/>
      <c r="H863" s="9"/>
      <c r="I863" s="442"/>
      <c r="J863" s="9"/>
      <c r="K863" s="542"/>
      <c r="L863" s="421"/>
      <c r="M863" s="421"/>
      <c r="N863" s="421"/>
      <c r="O863" s="421"/>
      <c r="P863" s="9"/>
      <c r="Q863" s="9"/>
      <c r="R863" s="9"/>
      <c r="S863" s="442"/>
    </row>
    <row r="864" spans="1:19">
      <c r="A864" s="542">
        <v>5</v>
      </c>
      <c r="B864" s="1223" t="s">
        <v>58</v>
      </c>
      <c r="C864" s="1223"/>
      <c r="D864" s="1223"/>
      <c r="E864" s="492">
        <f>'04-221Master'!AM33</f>
        <v>123275.62934</v>
      </c>
      <c r="F864" s="9"/>
      <c r="G864" s="9"/>
      <c r="H864" s="9"/>
      <c r="I864" s="442"/>
      <c r="J864" s="9"/>
      <c r="K864" s="542">
        <v>5</v>
      </c>
      <c r="L864" s="1223" t="s">
        <v>58</v>
      </c>
      <c r="M864" s="1223"/>
      <c r="N864" s="1223"/>
      <c r="O864" s="492">
        <f>E864</f>
        <v>123275.62934</v>
      </c>
      <c r="P864" s="9"/>
      <c r="Q864" s="9"/>
      <c r="R864" s="9"/>
      <c r="S864" s="442"/>
    </row>
    <row r="865" spans="1:19">
      <c r="A865" s="542"/>
      <c r="B865" s="421"/>
      <c r="C865" s="421"/>
      <c r="D865" s="493" t="s">
        <v>59</v>
      </c>
      <c r="E865" s="493" t="s">
        <v>31</v>
      </c>
      <c r="F865" s="493" t="s">
        <v>33</v>
      </c>
      <c r="G865" s="493" t="s">
        <v>34</v>
      </c>
      <c r="H865" s="493" t="s">
        <v>377</v>
      </c>
      <c r="I865" s="494" t="s">
        <v>378</v>
      </c>
      <c r="J865" s="9"/>
      <c r="K865" s="542"/>
      <c r="L865" s="421"/>
      <c r="M865" s="421"/>
      <c r="N865" s="493" t="s">
        <v>59</v>
      </c>
      <c r="O865" s="493" t="s">
        <v>31</v>
      </c>
      <c r="P865" s="493" t="s">
        <v>33</v>
      </c>
      <c r="Q865" s="493" t="s">
        <v>34</v>
      </c>
      <c r="R865" s="493" t="s">
        <v>377</v>
      </c>
      <c r="S865" s="494" t="s">
        <v>378</v>
      </c>
    </row>
    <row r="866" spans="1:19">
      <c r="A866" s="542">
        <v>6</v>
      </c>
      <c r="B866" s="791" t="s">
        <v>60</v>
      </c>
      <c r="C866" s="791"/>
      <c r="D866" s="495">
        <f>'04-221Master'!AO33</f>
        <v>1800</v>
      </c>
      <c r="E866" s="495">
        <f>'04-221Master'!AN984</f>
        <v>0</v>
      </c>
      <c r="F866" s="496">
        <f>'04-221Master'!AP33</f>
        <v>200</v>
      </c>
      <c r="G866" s="495">
        <f>'04-221Master'!AQ33</f>
        <v>0</v>
      </c>
      <c r="H866" s="496">
        <f>'04-221Master'!AR33</f>
        <v>283</v>
      </c>
      <c r="I866" s="496">
        <f>SUM(D866:H866)</f>
        <v>2283</v>
      </c>
      <c r="J866" s="9"/>
      <c r="K866" s="542">
        <v>6</v>
      </c>
      <c r="L866" s="791" t="s">
        <v>60</v>
      </c>
      <c r="M866" s="791"/>
      <c r="N866" s="495">
        <f t="shared" ref="N866" si="93">D866</f>
        <v>1800</v>
      </c>
      <c r="O866" s="495">
        <f t="shared" ref="O866" si="94">E866</f>
        <v>0</v>
      </c>
      <c r="P866" s="496">
        <f t="shared" ref="P866" si="95">F866</f>
        <v>200</v>
      </c>
      <c r="Q866" s="495">
        <f t="shared" ref="Q866" si="96">G866</f>
        <v>0</v>
      </c>
      <c r="R866" s="496">
        <f t="shared" ref="R866" si="97">H866</f>
        <v>283</v>
      </c>
      <c r="S866" s="496">
        <f t="shared" ref="S866" si="98">I866</f>
        <v>2283</v>
      </c>
    </row>
    <row r="867" spans="1:19">
      <c r="A867" s="542"/>
      <c r="B867" s="421"/>
      <c r="C867" s="421"/>
      <c r="D867" s="421"/>
      <c r="E867" s="421"/>
      <c r="F867" s="9"/>
      <c r="G867" s="9"/>
      <c r="H867" s="9"/>
      <c r="I867" s="442"/>
      <c r="J867" s="9"/>
      <c r="K867" s="542"/>
      <c r="L867" s="421"/>
      <c r="M867" s="421"/>
      <c r="N867" s="421"/>
      <c r="O867" s="421"/>
      <c r="P867" s="9"/>
      <c r="Q867" s="9"/>
      <c r="R867" s="9"/>
      <c r="S867" s="442"/>
    </row>
    <row r="868" spans="1:19">
      <c r="A868" s="542">
        <v>7</v>
      </c>
      <c r="B868" s="1223" t="s">
        <v>61</v>
      </c>
      <c r="C868" s="1223"/>
      <c r="D868" s="1223"/>
      <c r="E868" s="497">
        <f>E864-I866</f>
        <v>120992.62934</v>
      </c>
      <c r="F868" s="498"/>
      <c r="G868" s="498"/>
      <c r="H868" s="498"/>
      <c r="I868" s="442"/>
      <c r="J868" s="9"/>
      <c r="K868" s="542">
        <v>7</v>
      </c>
      <c r="L868" s="1223" t="s">
        <v>61</v>
      </c>
      <c r="M868" s="1223"/>
      <c r="N868" s="1223"/>
      <c r="O868" s="497">
        <f>E868</f>
        <v>120992.62934</v>
      </c>
      <c r="P868" s="498"/>
      <c r="Q868" s="498"/>
      <c r="R868" s="498"/>
      <c r="S868" s="442"/>
    </row>
    <row r="869" spans="1:19">
      <c r="A869" s="441"/>
      <c r="B869" s="9"/>
      <c r="C869" s="9"/>
      <c r="D869" s="9"/>
      <c r="E869" s="9"/>
      <c r="F869" s="9"/>
      <c r="G869" s="9"/>
      <c r="H869" s="9"/>
      <c r="I869" s="442"/>
      <c r="J869" s="9"/>
      <c r="K869" s="441"/>
      <c r="L869" s="9"/>
      <c r="M869" s="9"/>
      <c r="N869" s="9"/>
      <c r="O869" s="9"/>
      <c r="P869" s="9"/>
      <c r="Q869" s="9"/>
      <c r="R869" s="9"/>
      <c r="S869" s="442"/>
    </row>
    <row r="870" spans="1:19">
      <c r="A870" s="441"/>
      <c r="B870" s="9"/>
      <c r="C870" s="9"/>
      <c r="D870" s="9"/>
      <c r="E870" s="9"/>
      <c r="F870" s="9"/>
      <c r="G870" s="9"/>
      <c r="H870" s="9"/>
      <c r="I870" s="442"/>
      <c r="J870" s="9"/>
      <c r="K870" s="441"/>
      <c r="L870" s="9"/>
      <c r="M870" s="9"/>
      <c r="N870" s="9"/>
      <c r="O870" s="9"/>
      <c r="P870" s="9"/>
      <c r="Q870" s="9"/>
      <c r="R870" s="9"/>
      <c r="S870" s="442"/>
    </row>
    <row r="871" spans="1:19" ht="15.75" thickBot="1">
      <c r="A871" s="441"/>
      <c r="B871" s="9"/>
      <c r="C871" s="9"/>
      <c r="D871" s="9"/>
      <c r="E871" s="9"/>
      <c r="F871" s="444"/>
      <c r="G871" s="444"/>
      <c r="H871" s="444"/>
      <c r="I871" s="445"/>
      <c r="J871" s="9"/>
      <c r="K871" s="441"/>
      <c r="L871" s="9"/>
      <c r="M871" s="9"/>
      <c r="N871" s="9"/>
      <c r="O871" s="9"/>
      <c r="P871" s="444"/>
      <c r="Q871" s="444"/>
      <c r="R871" s="444"/>
      <c r="S871" s="445"/>
    </row>
    <row r="872" spans="1:19" ht="15.75" thickBot="1">
      <c r="A872" s="443"/>
      <c r="B872" s="444"/>
      <c r="C872" s="444"/>
      <c r="D872" s="444"/>
      <c r="E872" s="444"/>
      <c r="F872" s="1224" t="s">
        <v>62</v>
      </c>
      <c r="G872" s="1224"/>
      <c r="H872" s="1224"/>
      <c r="I872" s="1225"/>
      <c r="J872" s="9"/>
      <c r="K872" s="443"/>
      <c r="L872" s="444"/>
      <c r="M872" s="444"/>
      <c r="N872" s="444"/>
      <c r="O872" s="444"/>
      <c r="P872" s="1224" t="s">
        <v>62</v>
      </c>
      <c r="Q872" s="1224"/>
      <c r="R872" s="1224"/>
      <c r="S872" s="1225"/>
    </row>
    <row r="873" spans="1:19">
      <c r="A873" s="9"/>
      <c r="B873" s="9"/>
      <c r="C873" s="9"/>
      <c r="D873" s="9"/>
      <c r="E873" s="9"/>
      <c r="F873" s="9"/>
      <c r="G873" s="9"/>
      <c r="H873" s="9"/>
      <c r="I873" s="9"/>
      <c r="J873" s="9"/>
      <c r="K873" s="9"/>
      <c r="L873" s="9"/>
      <c r="M873" s="9"/>
      <c r="N873" s="9"/>
      <c r="O873" s="9"/>
      <c r="P873" s="9"/>
      <c r="Q873" s="9"/>
      <c r="R873" s="9"/>
      <c r="S873" s="9"/>
    </row>
    <row r="874" spans="1:19">
      <c r="A874" s="9"/>
      <c r="B874" s="9"/>
      <c r="C874" s="9"/>
      <c r="D874" s="9"/>
      <c r="E874" s="9"/>
      <c r="F874" s="9"/>
      <c r="G874" s="9"/>
      <c r="H874" s="9"/>
      <c r="I874" s="9"/>
      <c r="J874" s="9"/>
      <c r="K874" s="9"/>
      <c r="L874" s="9"/>
      <c r="M874" s="9"/>
      <c r="N874" s="9"/>
      <c r="O874" s="9"/>
      <c r="P874" s="9"/>
      <c r="Q874" s="9"/>
      <c r="R874" s="9"/>
      <c r="S874" s="9"/>
    </row>
    <row r="875" spans="1:19">
      <c r="A875" s="9"/>
      <c r="B875" s="9"/>
      <c r="C875" s="9"/>
      <c r="D875" s="9"/>
      <c r="E875" s="9"/>
      <c r="F875" s="9"/>
      <c r="G875" s="9"/>
      <c r="H875" s="9"/>
      <c r="I875" s="9"/>
      <c r="J875" s="9"/>
      <c r="K875" s="9"/>
      <c r="L875" s="9"/>
      <c r="M875" s="9"/>
      <c r="N875" s="9"/>
      <c r="O875" s="9"/>
      <c r="P875" s="9"/>
      <c r="Q875" s="9"/>
      <c r="R875" s="9"/>
      <c r="S875" s="9"/>
    </row>
    <row r="876" spans="1:19">
      <c r="A876" s="9"/>
      <c r="B876" s="9"/>
      <c r="C876" s="9"/>
      <c r="D876" s="9"/>
      <c r="E876" s="9"/>
      <c r="F876" s="9"/>
      <c r="G876" s="9"/>
      <c r="H876" s="9"/>
      <c r="I876" s="9"/>
      <c r="J876" s="9"/>
      <c r="K876" s="9"/>
      <c r="L876" s="9"/>
      <c r="M876" s="9"/>
      <c r="N876" s="9"/>
      <c r="O876" s="9"/>
      <c r="P876" s="9"/>
      <c r="Q876" s="9"/>
      <c r="R876" s="9"/>
      <c r="S876" s="9"/>
    </row>
    <row r="877" spans="1:19">
      <c r="A877" s="9"/>
      <c r="B877" s="9"/>
      <c r="C877" s="9"/>
      <c r="D877" s="9"/>
      <c r="E877" s="9"/>
      <c r="F877" s="9"/>
      <c r="G877" s="9"/>
      <c r="H877" s="9"/>
      <c r="I877" s="9"/>
      <c r="J877" s="9"/>
      <c r="K877" s="9"/>
      <c r="L877" s="9"/>
      <c r="M877" s="9"/>
      <c r="N877" s="9"/>
      <c r="O877" s="9"/>
      <c r="P877" s="9"/>
      <c r="Q877" s="9"/>
      <c r="R877" s="9"/>
      <c r="S877" s="9"/>
    </row>
    <row r="878" spans="1:19">
      <c r="A878" s="9"/>
      <c r="B878" s="9"/>
      <c r="C878" s="9"/>
      <c r="D878" s="9"/>
      <c r="E878" s="9"/>
      <c r="F878" s="9"/>
      <c r="G878" s="9"/>
      <c r="H878" s="9"/>
      <c r="I878" s="9"/>
      <c r="J878" s="9"/>
      <c r="K878" s="9"/>
      <c r="L878" s="9"/>
      <c r="M878" s="9"/>
      <c r="N878" s="9"/>
      <c r="O878" s="9"/>
      <c r="P878" s="9"/>
      <c r="Q878" s="9"/>
      <c r="R878" s="9"/>
      <c r="S878" s="9"/>
    </row>
    <row r="879" spans="1:19">
      <c r="A879" s="9"/>
      <c r="B879" s="9"/>
      <c r="C879" s="9"/>
      <c r="D879" s="9"/>
      <c r="E879" s="9"/>
      <c r="F879" s="9"/>
      <c r="G879" s="9"/>
      <c r="H879" s="9"/>
      <c r="I879" s="9"/>
      <c r="J879" s="9"/>
      <c r="K879" s="9"/>
      <c r="L879" s="9"/>
      <c r="M879" s="9"/>
      <c r="N879" s="9"/>
      <c r="O879" s="9"/>
      <c r="P879" s="9"/>
      <c r="Q879" s="9"/>
      <c r="R879" s="9"/>
      <c r="S879" s="9"/>
    </row>
    <row r="880" spans="1:19">
      <c r="A880" s="9"/>
      <c r="B880" s="9"/>
      <c r="C880" s="9"/>
      <c r="D880" s="9"/>
      <c r="E880" s="9"/>
      <c r="F880" s="9"/>
      <c r="G880" s="9"/>
      <c r="H880" s="9"/>
      <c r="I880" s="9"/>
      <c r="J880" s="9"/>
      <c r="K880" s="9"/>
      <c r="L880" s="9"/>
      <c r="M880" s="9"/>
      <c r="N880" s="9"/>
      <c r="O880" s="9"/>
      <c r="P880" s="9"/>
      <c r="Q880" s="9"/>
      <c r="R880" s="9"/>
      <c r="S880" s="9"/>
    </row>
    <row r="881" spans="1:19">
      <c r="A881" s="9"/>
      <c r="B881" s="9"/>
      <c r="C881" s="9"/>
      <c r="D881" s="9"/>
      <c r="E881" s="9"/>
      <c r="F881" s="9"/>
      <c r="G881" s="9"/>
      <c r="H881" s="9"/>
      <c r="I881" s="9"/>
      <c r="J881" s="9"/>
      <c r="K881" s="9"/>
      <c r="L881" s="9"/>
      <c r="M881" s="9"/>
      <c r="N881" s="9"/>
      <c r="O881" s="9"/>
      <c r="P881" s="9"/>
      <c r="Q881" s="9"/>
      <c r="R881" s="9"/>
      <c r="S881" s="9"/>
    </row>
    <row r="882" spans="1:19">
      <c r="A882" s="9"/>
      <c r="B882" s="9"/>
      <c r="C882" s="9"/>
      <c r="D882" s="9"/>
      <c r="E882" s="9"/>
      <c r="F882" s="9"/>
      <c r="G882" s="9"/>
      <c r="H882" s="9"/>
      <c r="I882" s="9"/>
      <c r="J882" s="9"/>
      <c r="K882" s="9"/>
      <c r="L882" s="9"/>
      <c r="M882" s="9"/>
      <c r="N882" s="9"/>
      <c r="O882" s="9"/>
      <c r="P882" s="9"/>
      <c r="Q882" s="9"/>
      <c r="R882" s="9"/>
      <c r="S882" s="9"/>
    </row>
    <row r="883" spans="1:19">
      <c r="A883" s="9"/>
      <c r="B883" s="9"/>
      <c r="C883" s="9"/>
      <c r="D883" s="9"/>
      <c r="E883" s="9"/>
      <c r="F883" s="9"/>
      <c r="G883" s="9"/>
      <c r="H883" s="9"/>
      <c r="I883" s="9"/>
      <c r="J883" s="9"/>
      <c r="K883" s="9"/>
      <c r="L883" s="9"/>
      <c r="M883" s="9"/>
      <c r="N883" s="9"/>
      <c r="O883" s="9"/>
      <c r="P883" s="9"/>
      <c r="Q883" s="9"/>
      <c r="R883" s="9"/>
      <c r="S883" s="9"/>
    </row>
    <row r="884" spans="1:19">
      <c r="A884" s="388"/>
      <c r="B884" s="388"/>
      <c r="C884" s="388"/>
      <c r="D884" s="388"/>
      <c r="E884" s="388"/>
      <c r="F884" s="388"/>
      <c r="G884" s="388"/>
      <c r="H884" s="388"/>
      <c r="I884" s="388"/>
      <c r="J884" s="388"/>
      <c r="K884" s="388"/>
      <c r="L884" s="388"/>
      <c r="M884" s="388"/>
      <c r="N884" s="388"/>
      <c r="O884" s="388"/>
      <c r="P884" s="388"/>
      <c r="Q884" s="388"/>
      <c r="R884" s="388"/>
      <c r="S884" s="388"/>
    </row>
    <row r="885" spans="1:19">
      <c r="A885" s="388"/>
      <c r="B885" s="388"/>
      <c r="C885" s="388"/>
      <c r="D885" s="388"/>
      <c r="E885" s="388"/>
      <c r="F885" s="388"/>
      <c r="G885" s="388"/>
      <c r="H885" s="388"/>
      <c r="I885" s="388"/>
      <c r="J885" s="388"/>
      <c r="K885" s="388"/>
      <c r="L885" s="388"/>
      <c r="M885" s="388"/>
      <c r="N885" s="388"/>
      <c r="O885" s="388"/>
      <c r="P885" s="388"/>
      <c r="Q885" s="388"/>
      <c r="R885" s="388"/>
      <c r="S885" s="388"/>
    </row>
    <row r="886" spans="1:19">
      <c r="A886" s="388"/>
      <c r="B886" s="388"/>
      <c r="C886" s="388"/>
      <c r="D886" s="388"/>
      <c r="E886" s="388"/>
      <c r="F886" s="388"/>
      <c r="G886" s="388"/>
      <c r="H886" s="388"/>
      <c r="I886" s="388"/>
      <c r="J886" s="388"/>
      <c r="K886" s="388"/>
      <c r="L886" s="388"/>
      <c r="M886" s="388"/>
      <c r="N886" s="388"/>
      <c r="O886" s="388"/>
      <c r="P886" s="388"/>
      <c r="Q886" s="388"/>
      <c r="R886" s="388"/>
      <c r="S886" s="388"/>
    </row>
    <row r="887" spans="1:19">
      <c r="A887" s="388"/>
      <c r="B887" s="388"/>
      <c r="C887" s="388"/>
      <c r="D887" s="388"/>
      <c r="E887" s="388"/>
      <c r="F887" s="388"/>
      <c r="G887" s="388"/>
      <c r="H887" s="388"/>
      <c r="I887" s="388"/>
      <c r="J887" s="388"/>
      <c r="K887" s="388"/>
      <c r="L887" s="388"/>
      <c r="M887" s="388"/>
      <c r="N887" s="388"/>
      <c r="O887" s="388"/>
      <c r="P887" s="388"/>
      <c r="Q887" s="388"/>
      <c r="R887" s="388"/>
      <c r="S887" s="388"/>
    </row>
    <row r="888" spans="1:19">
      <c r="A888" s="388"/>
      <c r="B888" s="388"/>
      <c r="C888" s="388"/>
      <c r="D888" s="388"/>
      <c r="E888" s="388"/>
      <c r="F888" s="388"/>
      <c r="G888" s="388"/>
      <c r="H888" s="388"/>
      <c r="I888" s="388"/>
      <c r="J888" s="388"/>
      <c r="K888" s="388"/>
      <c r="L888" s="388"/>
      <c r="M888" s="388"/>
      <c r="N888" s="388"/>
      <c r="O888" s="388"/>
      <c r="P888" s="388"/>
      <c r="Q888" s="388"/>
      <c r="R888" s="388"/>
      <c r="S888" s="388"/>
    </row>
    <row r="889" spans="1:19">
      <c r="A889" s="388"/>
      <c r="B889" s="388"/>
      <c r="C889" s="388"/>
      <c r="D889" s="388"/>
      <c r="E889" s="388"/>
      <c r="F889" s="388"/>
      <c r="G889" s="388"/>
      <c r="H889" s="388"/>
      <c r="I889" s="388"/>
      <c r="J889" s="388"/>
      <c r="K889" s="388"/>
      <c r="L889" s="388"/>
      <c r="M889" s="388"/>
      <c r="N889" s="388"/>
      <c r="O889" s="388"/>
      <c r="P889" s="388"/>
      <c r="Q889" s="388"/>
      <c r="R889" s="388"/>
      <c r="S889" s="388"/>
    </row>
    <row r="890" spans="1:19">
      <c r="A890" s="388"/>
      <c r="B890" s="388"/>
      <c r="C890" s="388"/>
      <c r="D890" s="388"/>
      <c r="E890" s="388"/>
      <c r="F890" s="388"/>
      <c r="G890" s="388"/>
      <c r="H890" s="388"/>
      <c r="I890" s="388"/>
      <c r="J890" s="388"/>
      <c r="K890" s="388"/>
      <c r="L890" s="388"/>
      <c r="M890" s="388"/>
      <c r="N890" s="388"/>
      <c r="O890" s="388"/>
      <c r="P890" s="388"/>
      <c r="Q890" s="388"/>
      <c r="R890" s="388"/>
      <c r="S890" s="388"/>
    </row>
    <row r="891" spans="1:19" ht="15.75" thickBot="1">
      <c r="A891" s="388"/>
      <c r="B891" s="388"/>
      <c r="C891" s="388"/>
      <c r="D891" s="388"/>
      <c r="E891" s="388"/>
      <c r="F891" s="388"/>
      <c r="G891" s="388"/>
      <c r="H891" s="388"/>
      <c r="I891" s="388"/>
      <c r="J891" s="388"/>
      <c r="K891" s="388"/>
      <c r="L891" s="388"/>
      <c r="M891" s="388"/>
      <c r="N891" s="388"/>
      <c r="O891" s="388"/>
      <c r="P891" s="388"/>
      <c r="Q891" s="388"/>
      <c r="R891" s="388"/>
      <c r="S891" s="388"/>
    </row>
    <row r="892" spans="1:19" ht="27" thickBot="1">
      <c r="A892" s="1228" t="s">
        <v>592</v>
      </c>
      <c r="B892" s="1229"/>
      <c r="C892" s="1229"/>
      <c r="D892" s="1229"/>
      <c r="E892" s="1229"/>
      <c r="F892" s="1229"/>
      <c r="G892" s="1229"/>
      <c r="H892" s="1229"/>
      <c r="I892" s="1230"/>
      <c r="J892" s="538"/>
      <c r="K892" s="1228" t="s">
        <v>592</v>
      </c>
      <c r="L892" s="1229"/>
      <c r="M892" s="1229"/>
      <c r="N892" s="1229"/>
      <c r="O892" s="1229"/>
      <c r="P892" s="1229"/>
      <c r="Q892" s="1229"/>
      <c r="R892" s="1229"/>
      <c r="S892" s="1230"/>
    </row>
    <row r="893" spans="1:19">
      <c r="A893" s="1231" t="s">
        <v>593</v>
      </c>
      <c r="B893" s="1232"/>
      <c r="C893" s="1232"/>
      <c r="D893" s="1232"/>
      <c r="E893" s="1232"/>
      <c r="F893" s="1232"/>
      <c r="G893" s="1232"/>
      <c r="H893" s="1232"/>
      <c r="I893" s="1233"/>
      <c r="J893" s="9"/>
      <c r="K893" s="1231" t="s">
        <v>593</v>
      </c>
      <c r="L893" s="1232"/>
      <c r="M893" s="1232"/>
      <c r="N893" s="1232"/>
      <c r="O893" s="1232"/>
      <c r="P893" s="1232"/>
      <c r="Q893" s="1232"/>
      <c r="R893" s="1232"/>
      <c r="S893" s="1233"/>
    </row>
    <row r="894" spans="1:19">
      <c r="A894" s="441"/>
      <c r="B894" s="9"/>
      <c r="C894" s="9"/>
      <c r="D894" s="9"/>
      <c r="E894" s="9"/>
      <c r="F894" s="9"/>
      <c r="G894" s="9"/>
      <c r="H894" s="9"/>
      <c r="I894" s="442"/>
      <c r="J894" s="9"/>
      <c r="K894" s="441"/>
      <c r="L894" s="9"/>
      <c r="M894" s="9"/>
      <c r="N894" s="9"/>
      <c r="O894" s="9"/>
      <c r="P894" s="9"/>
      <c r="Q894" s="9"/>
      <c r="R894" s="9"/>
      <c r="S894" s="442"/>
    </row>
    <row r="895" spans="1:19">
      <c r="A895" s="539" t="s">
        <v>49</v>
      </c>
      <c r="B895" s="421"/>
      <c r="C895" s="421"/>
      <c r="D895" s="419" t="s">
        <v>382</v>
      </c>
      <c r="E895" s="9"/>
      <c r="F895" s="9"/>
      <c r="G895" s="9"/>
      <c r="H895" s="9"/>
      <c r="I895" s="442"/>
      <c r="J895" s="9"/>
      <c r="K895" s="539" t="s">
        <v>49</v>
      </c>
      <c r="L895" s="421"/>
      <c r="M895" s="421"/>
      <c r="N895" s="419" t="s">
        <v>382</v>
      </c>
      <c r="O895" s="9"/>
      <c r="P895" s="9"/>
      <c r="Q895" s="9"/>
      <c r="R895" s="9"/>
      <c r="S895" s="442"/>
    </row>
    <row r="896" spans="1:19">
      <c r="A896" s="539"/>
      <c r="B896" s="421"/>
      <c r="C896" s="421"/>
      <c r="D896" s="421" t="s">
        <v>383</v>
      </c>
      <c r="E896" s="9"/>
      <c r="F896" s="9"/>
      <c r="G896" s="9"/>
      <c r="H896" s="9"/>
      <c r="I896" s="442"/>
      <c r="J896" s="9"/>
      <c r="K896" s="539"/>
      <c r="L896" s="421"/>
      <c r="M896" s="421"/>
      <c r="N896" s="421" t="s">
        <v>383</v>
      </c>
      <c r="O896" s="9"/>
      <c r="P896" s="9"/>
      <c r="Q896" s="9"/>
      <c r="R896" s="9"/>
      <c r="S896" s="442"/>
    </row>
    <row r="897" spans="1:19">
      <c r="A897" s="539"/>
      <c r="B897" s="421"/>
      <c r="C897" s="421"/>
      <c r="D897" s="421"/>
      <c r="E897" s="421"/>
      <c r="F897" s="9"/>
      <c r="G897" s="9"/>
      <c r="H897" s="9"/>
      <c r="I897" s="442"/>
      <c r="J897" s="9"/>
      <c r="K897" s="539"/>
      <c r="L897" s="421"/>
      <c r="M897" s="421"/>
      <c r="N897" s="421"/>
      <c r="O897" s="421"/>
      <c r="P897" s="9"/>
      <c r="Q897" s="9"/>
      <c r="R897" s="9"/>
      <c r="S897" s="442"/>
    </row>
    <row r="898" spans="1:19">
      <c r="A898" s="1234" t="s">
        <v>50</v>
      </c>
      <c r="B898" s="1227"/>
      <c r="C898" s="1227"/>
      <c r="D898" s="1227"/>
      <c r="E898" s="421"/>
      <c r="F898" s="9"/>
      <c r="G898" s="9"/>
      <c r="H898" s="9"/>
      <c r="I898" s="442"/>
      <c r="J898" s="9"/>
      <c r="K898" s="1234" t="s">
        <v>50</v>
      </c>
      <c r="L898" s="1227"/>
      <c r="M898" s="1227"/>
      <c r="N898" s="1227"/>
      <c r="O898" s="421"/>
      <c r="P898" s="9"/>
      <c r="Q898" s="9"/>
      <c r="R898" s="9"/>
      <c r="S898" s="442"/>
    </row>
    <row r="899" spans="1:19">
      <c r="A899" s="1234"/>
      <c r="B899" s="1227"/>
      <c r="C899" s="1227"/>
      <c r="D899" s="1227"/>
      <c r="E899" s="540" t="str">
        <f>'04-221Master'!B34</f>
        <v>Varalakshmi Vijay</v>
      </c>
      <c r="F899" s="498"/>
      <c r="G899" s="498"/>
      <c r="H899" s="498" t="str">
        <f>'04-221Master'!E33</f>
        <v>shivajirao balasaheb</v>
      </c>
      <c r="I899" s="442"/>
      <c r="J899" s="9"/>
      <c r="K899" s="1234"/>
      <c r="L899" s="1227"/>
      <c r="M899" s="1227"/>
      <c r="N899" s="1227"/>
      <c r="O899" s="540" t="str">
        <f>E899</f>
        <v>Varalakshmi Vijay</v>
      </c>
      <c r="P899" s="498"/>
      <c r="Q899" s="498"/>
      <c r="R899" s="498" t="str">
        <f>H899</f>
        <v>shivajirao balasaheb</v>
      </c>
      <c r="S899" s="442"/>
    </row>
    <row r="900" spans="1:19">
      <c r="A900" s="539"/>
      <c r="B900" s="421"/>
      <c r="C900" s="421"/>
      <c r="D900" s="421"/>
      <c r="E900" s="421"/>
      <c r="F900" s="9"/>
      <c r="G900" s="9"/>
      <c r="H900" s="9"/>
      <c r="I900" s="442"/>
      <c r="J900" s="9"/>
      <c r="K900" s="539"/>
      <c r="L900" s="421"/>
      <c r="M900" s="421"/>
      <c r="N900" s="421"/>
      <c r="O900" s="421"/>
      <c r="P900" s="9"/>
      <c r="Q900" s="9"/>
      <c r="R900" s="9"/>
      <c r="S900" s="442"/>
    </row>
    <row r="901" spans="1:19">
      <c r="A901" s="1226" t="s">
        <v>51</v>
      </c>
      <c r="B901" s="1223"/>
      <c r="C901" s="1223"/>
      <c r="D901" s="1223"/>
      <c r="E901" s="540" t="s">
        <v>373</v>
      </c>
      <c r="F901" s="498"/>
      <c r="G901" s="498"/>
      <c r="H901" s="498"/>
      <c r="I901" s="442"/>
      <c r="J901" s="9"/>
      <c r="K901" s="1226" t="s">
        <v>51</v>
      </c>
      <c r="L901" s="1223"/>
      <c r="M901" s="1223"/>
      <c r="N901" s="1223"/>
      <c r="O901" s="540" t="str">
        <f>E901</f>
        <v>IT SUPPORTIVE SERVICES</v>
      </c>
      <c r="P901" s="498"/>
      <c r="Q901" s="498"/>
      <c r="R901" s="498"/>
      <c r="S901" s="442"/>
    </row>
    <row r="902" spans="1:19">
      <c r="A902" s="539"/>
      <c r="B902" s="421"/>
      <c r="C902" s="421"/>
      <c r="D902" s="421"/>
      <c r="E902" s="421"/>
      <c r="F902" s="9"/>
      <c r="G902" s="9"/>
      <c r="H902" s="9"/>
      <c r="I902" s="442"/>
      <c r="J902" s="9"/>
      <c r="K902" s="539"/>
      <c r="L902" s="421"/>
      <c r="M902" s="421"/>
      <c r="N902" s="421"/>
      <c r="O902" s="421"/>
      <c r="P902" s="9"/>
      <c r="Q902" s="9"/>
      <c r="R902" s="9"/>
      <c r="S902" s="442"/>
    </row>
    <row r="903" spans="1:19">
      <c r="A903" s="1226" t="s">
        <v>52</v>
      </c>
      <c r="B903" s="1223"/>
      <c r="C903" s="1223"/>
      <c r="D903" s="1223"/>
      <c r="E903" s="541">
        <f>'04-221Master'!D10</f>
        <v>44652</v>
      </c>
      <c r="F903" s="498"/>
      <c r="G903" s="498"/>
      <c r="H903" s="498"/>
      <c r="I903" s="442"/>
      <c r="J903" s="9"/>
      <c r="K903" s="1226" t="s">
        <v>52</v>
      </c>
      <c r="L903" s="1223"/>
      <c r="M903" s="1223"/>
      <c r="N903" s="1223"/>
      <c r="O903" s="541">
        <f>E903</f>
        <v>44652</v>
      </c>
      <c r="P903" s="498"/>
      <c r="Q903" s="498"/>
      <c r="R903" s="498"/>
      <c r="S903" s="442"/>
    </row>
    <row r="904" spans="1:19">
      <c r="A904" s="539"/>
      <c r="B904" s="421"/>
      <c r="C904" s="421"/>
      <c r="D904" s="421"/>
      <c r="E904" s="421"/>
      <c r="F904" s="9"/>
      <c r="G904" s="9"/>
      <c r="H904" s="9"/>
      <c r="I904" s="442"/>
      <c r="J904" s="9"/>
      <c r="K904" s="539"/>
      <c r="L904" s="421"/>
      <c r="M904" s="421"/>
      <c r="N904" s="421"/>
      <c r="O904" s="421"/>
      <c r="P904" s="9"/>
      <c r="Q904" s="9"/>
      <c r="R904" s="9"/>
      <c r="S904" s="442"/>
    </row>
    <row r="905" spans="1:19">
      <c r="A905" s="542">
        <v>1</v>
      </c>
      <c r="B905" s="1223" t="s">
        <v>53</v>
      </c>
      <c r="C905" s="1223"/>
      <c r="D905" s="1223"/>
      <c r="E905" s="543">
        <f>'04-221Master'!W34</f>
        <v>30</v>
      </c>
      <c r="F905" s="498"/>
      <c r="G905" s="498"/>
      <c r="H905" s="498"/>
      <c r="I905" s="442"/>
      <c r="J905" s="9"/>
      <c r="K905" s="542">
        <v>1</v>
      </c>
      <c r="L905" s="1223" t="s">
        <v>53</v>
      </c>
      <c r="M905" s="1223"/>
      <c r="N905" s="1223"/>
      <c r="O905" s="543">
        <f>E905</f>
        <v>30</v>
      </c>
      <c r="P905" s="498"/>
      <c r="Q905" s="498"/>
      <c r="R905" s="498"/>
      <c r="S905" s="442"/>
    </row>
    <row r="906" spans="1:19">
      <c r="A906" s="542"/>
      <c r="B906" s="421"/>
      <c r="C906" s="421"/>
      <c r="D906" s="421"/>
      <c r="E906" s="421"/>
      <c r="F906" s="9"/>
      <c r="G906" s="9"/>
      <c r="H906" s="9"/>
      <c r="I906" s="442"/>
      <c r="J906" s="9"/>
      <c r="K906" s="542"/>
      <c r="L906" s="421"/>
      <c r="M906" s="421"/>
      <c r="N906" s="421"/>
      <c r="O906" s="421"/>
      <c r="P906" s="9"/>
      <c r="Q906" s="9"/>
      <c r="R906" s="9"/>
      <c r="S906" s="442"/>
    </row>
    <row r="907" spans="1:19">
      <c r="A907" s="542">
        <v>2</v>
      </c>
      <c r="B907" s="1227" t="s">
        <v>54</v>
      </c>
      <c r="C907" s="1227"/>
      <c r="D907" s="1227"/>
      <c r="E907" s="421"/>
      <c r="F907" s="9"/>
      <c r="G907" s="9"/>
      <c r="H907" s="9"/>
      <c r="I907" s="442"/>
      <c r="J907" s="9"/>
      <c r="K907" s="542">
        <v>2</v>
      </c>
      <c r="L907" s="1227" t="s">
        <v>54</v>
      </c>
      <c r="M907" s="1227"/>
      <c r="N907" s="1227"/>
      <c r="O907" s="421"/>
      <c r="P907" s="9"/>
      <c r="Q907" s="9"/>
      <c r="R907" s="9"/>
      <c r="S907" s="442"/>
    </row>
    <row r="908" spans="1:19">
      <c r="A908" s="542"/>
      <c r="B908" s="1227"/>
      <c r="C908" s="1227"/>
      <c r="D908" s="1227"/>
      <c r="E908" s="544" t="s">
        <v>37</v>
      </c>
      <c r="F908" s="498"/>
      <c r="G908" s="498"/>
      <c r="H908" s="498"/>
      <c r="I908" s="442"/>
      <c r="J908" s="9"/>
      <c r="K908" s="542"/>
      <c r="L908" s="1227"/>
      <c r="M908" s="1227"/>
      <c r="N908" s="1227"/>
      <c r="O908" s="544" t="s">
        <v>37</v>
      </c>
      <c r="P908" s="498"/>
      <c r="Q908" s="498"/>
      <c r="R908" s="498"/>
      <c r="S908" s="442"/>
    </row>
    <row r="909" spans="1:19">
      <c r="A909" s="542"/>
      <c r="B909" s="421"/>
      <c r="C909" s="421"/>
      <c r="D909" s="421"/>
      <c r="E909" s="421"/>
      <c r="F909" s="9"/>
      <c r="G909" s="9"/>
      <c r="H909" s="9"/>
      <c r="I909" s="442"/>
      <c r="J909" s="9"/>
      <c r="K909" s="542"/>
      <c r="L909" s="421"/>
      <c r="M909" s="421"/>
      <c r="N909" s="421"/>
      <c r="O909" s="421"/>
      <c r="P909" s="9"/>
      <c r="Q909" s="9"/>
      <c r="R909" s="9"/>
      <c r="S909" s="442"/>
    </row>
    <row r="910" spans="1:19">
      <c r="A910" s="542">
        <v>3</v>
      </c>
      <c r="B910" s="1223" t="s">
        <v>55</v>
      </c>
      <c r="C910" s="1223"/>
      <c r="D910" s="1223"/>
      <c r="E910" s="544" t="s">
        <v>37</v>
      </c>
      <c r="F910" s="498"/>
      <c r="G910" s="498"/>
      <c r="H910" s="498"/>
      <c r="I910" s="442"/>
      <c r="J910" s="9"/>
      <c r="K910" s="542">
        <v>3</v>
      </c>
      <c r="L910" s="1223" t="s">
        <v>55</v>
      </c>
      <c r="M910" s="1223"/>
      <c r="N910" s="1223"/>
      <c r="O910" s="540" t="str">
        <f>E910</f>
        <v>N/A</v>
      </c>
      <c r="P910" s="498"/>
      <c r="Q910" s="498"/>
      <c r="R910" s="498"/>
      <c r="S910" s="442"/>
    </row>
    <row r="911" spans="1:19">
      <c r="A911" s="542"/>
      <c r="B911" s="421"/>
      <c r="C911" s="421"/>
      <c r="D911" s="421"/>
      <c r="E911" s="421"/>
      <c r="F911" s="9"/>
      <c r="G911" s="9"/>
      <c r="H911" s="9"/>
      <c r="I911" s="442"/>
      <c r="J911" s="9"/>
      <c r="K911" s="542"/>
      <c r="L911" s="421"/>
      <c r="M911" s="421"/>
      <c r="N911" s="421"/>
      <c r="O911" s="421"/>
      <c r="P911" s="9"/>
      <c r="Q911" s="9"/>
      <c r="R911" s="9"/>
      <c r="S911" s="442"/>
    </row>
    <row r="912" spans="1:19">
      <c r="A912" s="542">
        <v>4</v>
      </c>
      <c r="B912" s="1223" t="s">
        <v>56</v>
      </c>
      <c r="C912" s="1223"/>
      <c r="D912" s="1223"/>
      <c r="E912" s="544" t="s">
        <v>57</v>
      </c>
      <c r="F912" s="498"/>
      <c r="G912" s="498"/>
      <c r="H912" s="498"/>
      <c r="I912" s="442"/>
      <c r="J912" s="9"/>
      <c r="K912" s="542">
        <v>4</v>
      </c>
      <c r="L912" s="1223" t="s">
        <v>56</v>
      </c>
      <c r="M912" s="1223"/>
      <c r="N912" s="1223"/>
      <c r="O912" s="544" t="s">
        <v>57</v>
      </c>
      <c r="P912" s="498"/>
      <c r="Q912" s="498"/>
      <c r="R912" s="498"/>
      <c r="S912" s="442"/>
    </row>
    <row r="913" spans="1:19">
      <c r="A913" s="542"/>
      <c r="B913" s="421"/>
      <c r="C913" s="421"/>
      <c r="D913" s="421"/>
      <c r="E913" s="421"/>
      <c r="F913" s="9"/>
      <c r="G913" s="9"/>
      <c r="H913" s="9"/>
      <c r="I913" s="442"/>
      <c r="J913" s="9"/>
      <c r="K913" s="542"/>
      <c r="L913" s="421"/>
      <c r="M913" s="421"/>
      <c r="N913" s="421"/>
      <c r="O913" s="421"/>
      <c r="P913" s="9"/>
      <c r="Q913" s="9"/>
      <c r="R913" s="9"/>
      <c r="S913" s="442"/>
    </row>
    <row r="914" spans="1:19">
      <c r="A914" s="542">
        <v>5</v>
      </c>
      <c r="B914" s="1223" t="s">
        <v>58</v>
      </c>
      <c r="C914" s="1223"/>
      <c r="D914" s="1223"/>
      <c r="E914" s="492">
        <f>'04-221Master'!AM34</f>
        <v>73275.862639999992</v>
      </c>
      <c r="F914" s="9"/>
      <c r="G914" s="9"/>
      <c r="H914" s="9"/>
      <c r="I914" s="442"/>
      <c r="J914" s="9"/>
      <c r="K914" s="542">
        <v>5</v>
      </c>
      <c r="L914" s="1223" t="s">
        <v>58</v>
      </c>
      <c r="M914" s="1223"/>
      <c r="N914" s="1223"/>
      <c r="O914" s="492">
        <f>E914</f>
        <v>73275.862639999992</v>
      </c>
      <c r="P914" s="9"/>
      <c r="Q914" s="9"/>
      <c r="R914" s="9"/>
      <c r="S914" s="442"/>
    </row>
    <row r="915" spans="1:19">
      <c r="A915" s="542"/>
      <c r="B915" s="421"/>
      <c r="C915" s="421"/>
      <c r="D915" s="493" t="s">
        <v>59</v>
      </c>
      <c r="E915" s="493" t="s">
        <v>31</v>
      </c>
      <c r="F915" s="493" t="s">
        <v>33</v>
      </c>
      <c r="G915" s="493" t="s">
        <v>34</v>
      </c>
      <c r="H915" s="493" t="s">
        <v>377</v>
      </c>
      <c r="I915" s="494" t="s">
        <v>378</v>
      </c>
      <c r="J915" s="9"/>
      <c r="K915" s="542"/>
      <c r="L915" s="421"/>
      <c r="M915" s="421"/>
      <c r="N915" s="493" t="s">
        <v>59</v>
      </c>
      <c r="O915" s="493" t="s">
        <v>31</v>
      </c>
      <c r="P915" s="493" t="s">
        <v>33</v>
      </c>
      <c r="Q915" s="493" t="s">
        <v>34</v>
      </c>
      <c r="R915" s="493" t="s">
        <v>377</v>
      </c>
      <c r="S915" s="494" t="s">
        <v>378</v>
      </c>
    </row>
    <row r="916" spans="1:19">
      <c r="A916" s="542">
        <v>6</v>
      </c>
      <c r="B916" s="791" t="s">
        <v>60</v>
      </c>
      <c r="C916" s="791"/>
      <c r="D916" s="495">
        <f>'04-221Master'!AO34</f>
        <v>1800</v>
      </c>
      <c r="E916" s="495">
        <f>'04-221Master'!AN1034</f>
        <v>0</v>
      </c>
      <c r="F916" s="496">
        <f>'04-221Master'!AP34</f>
        <v>200</v>
      </c>
      <c r="G916" s="495">
        <f>'04-221Master'!AQ34</f>
        <v>0</v>
      </c>
      <c r="H916" s="496">
        <f>'04-221Master'!AR34</f>
        <v>283</v>
      </c>
      <c r="I916" s="496">
        <f>SUM(D916:H916)</f>
        <v>2283</v>
      </c>
      <c r="J916" s="9"/>
      <c r="K916" s="542">
        <v>6</v>
      </c>
      <c r="L916" s="791" t="s">
        <v>60</v>
      </c>
      <c r="M916" s="791"/>
      <c r="N916" s="495">
        <f t="shared" ref="N916" si="99">D916</f>
        <v>1800</v>
      </c>
      <c r="O916" s="495">
        <f t="shared" ref="O916" si="100">E916</f>
        <v>0</v>
      </c>
      <c r="P916" s="496">
        <f t="shared" ref="P916" si="101">F916</f>
        <v>200</v>
      </c>
      <c r="Q916" s="495">
        <f t="shared" ref="Q916" si="102">G916</f>
        <v>0</v>
      </c>
      <c r="R916" s="496">
        <f t="shared" ref="R916" si="103">H916</f>
        <v>283</v>
      </c>
      <c r="S916" s="496">
        <f t="shared" ref="S916" si="104">I916</f>
        <v>2283</v>
      </c>
    </row>
    <row r="917" spans="1:19">
      <c r="A917" s="542"/>
      <c r="B917" s="421"/>
      <c r="C917" s="421"/>
      <c r="D917" s="421"/>
      <c r="E917" s="421"/>
      <c r="F917" s="9"/>
      <c r="G917" s="9"/>
      <c r="H917" s="9"/>
      <c r="I917" s="442"/>
      <c r="J917" s="9"/>
      <c r="K917" s="542"/>
      <c r="L917" s="421"/>
      <c r="M917" s="421"/>
      <c r="N917" s="421"/>
      <c r="O917" s="421"/>
      <c r="P917" s="9"/>
      <c r="Q917" s="9"/>
      <c r="R917" s="9"/>
      <c r="S917" s="442"/>
    </row>
    <row r="918" spans="1:19">
      <c r="A918" s="542">
        <v>7</v>
      </c>
      <c r="B918" s="1223" t="s">
        <v>61</v>
      </c>
      <c r="C918" s="1223"/>
      <c r="D918" s="1223"/>
      <c r="E918" s="497">
        <f>E914-I916</f>
        <v>70992.862639999992</v>
      </c>
      <c r="F918" s="498"/>
      <c r="G918" s="498"/>
      <c r="H918" s="498"/>
      <c r="I918" s="442"/>
      <c r="J918" s="9"/>
      <c r="K918" s="542">
        <v>7</v>
      </c>
      <c r="L918" s="1223" t="s">
        <v>61</v>
      </c>
      <c r="M918" s="1223"/>
      <c r="N918" s="1223"/>
      <c r="O918" s="497">
        <f>E918</f>
        <v>70992.862639999992</v>
      </c>
      <c r="P918" s="498"/>
      <c r="Q918" s="498"/>
      <c r="R918" s="498"/>
      <c r="S918" s="442"/>
    </row>
    <row r="919" spans="1:19">
      <c r="A919" s="441"/>
      <c r="B919" s="9"/>
      <c r="C919" s="9"/>
      <c r="D919" s="9"/>
      <c r="E919" s="9"/>
      <c r="F919" s="9"/>
      <c r="G919" s="9"/>
      <c r="H919" s="9"/>
      <c r="I919" s="442"/>
      <c r="J919" s="9"/>
      <c r="K919" s="441"/>
      <c r="L919" s="9"/>
      <c r="M919" s="9"/>
      <c r="N919" s="9"/>
      <c r="O919" s="9"/>
      <c r="P919" s="9"/>
      <c r="Q919" s="9"/>
      <c r="R919" s="9"/>
      <c r="S919" s="442"/>
    </row>
    <row r="920" spans="1:19">
      <c r="A920" s="441"/>
      <c r="B920" s="9"/>
      <c r="C920" s="9"/>
      <c r="D920" s="9"/>
      <c r="E920" s="9"/>
      <c r="F920" s="9"/>
      <c r="G920" s="9"/>
      <c r="H920" s="9"/>
      <c r="I920" s="442"/>
      <c r="J920" s="9"/>
      <c r="K920" s="441"/>
      <c r="L920" s="9"/>
      <c r="M920" s="9"/>
      <c r="N920" s="9"/>
      <c r="O920" s="9"/>
      <c r="P920" s="9"/>
      <c r="Q920" s="9"/>
      <c r="R920" s="9"/>
      <c r="S920" s="442"/>
    </row>
    <row r="921" spans="1:19" ht="15.75" thickBot="1">
      <c r="A921" s="441"/>
      <c r="B921" s="9"/>
      <c r="C921" s="9"/>
      <c r="D921" s="9"/>
      <c r="E921" s="9"/>
      <c r="F921" s="444"/>
      <c r="G921" s="444"/>
      <c r="H921" s="444"/>
      <c r="I921" s="445"/>
      <c r="J921" s="9"/>
      <c r="K921" s="441"/>
      <c r="L921" s="9"/>
      <c r="M921" s="9"/>
      <c r="N921" s="9"/>
      <c r="O921" s="9"/>
      <c r="P921" s="444"/>
      <c r="Q921" s="444"/>
      <c r="R921" s="444"/>
      <c r="S921" s="445"/>
    </row>
    <row r="922" spans="1:19" ht="15.75" thickBot="1">
      <c r="A922" s="443"/>
      <c r="B922" s="444"/>
      <c r="C922" s="444"/>
      <c r="D922" s="444"/>
      <c r="E922" s="444"/>
      <c r="F922" s="1224" t="s">
        <v>62</v>
      </c>
      <c r="G922" s="1224"/>
      <c r="H922" s="1224"/>
      <c r="I922" s="1225"/>
      <c r="J922" s="9"/>
      <c r="K922" s="443"/>
      <c r="L922" s="444"/>
      <c r="M922" s="444"/>
      <c r="N922" s="444"/>
      <c r="O922" s="444"/>
      <c r="P922" s="1224" t="s">
        <v>62</v>
      </c>
      <c r="Q922" s="1224"/>
      <c r="R922" s="1224"/>
      <c r="S922" s="1225"/>
    </row>
    <row r="923" spans="1:19">
      <c r="A923" s="9"/>
      <c r="B923" s="9"/>
      <c r="C923" s="9"/>
      <c r="D923" s="9"/>
      <c r="E923" s="9"/>
      <c r="F923" s="9"/>
      <c r="G923" s="9"/>
      <c r="H923" s="9"/>
      <c r="I923" s="9"/>
      <c r="J923" s="9"/>
      <c r="K923" s="9"/>
      <c r="L923" s="9"/>
      <c r="M923" s="9"/>
      <c r="N923" s="9"/>
      <c r="O923" s="9"/>
      <c r="P923" s="9"/>
      <c r="Q923" s="9"/>
      <c r="R923" s="9"/>
      <c r="S923" s="9"/>
    </row>
    <row r="924" spans="1:19">
      <c r="A924" s="9"/>
      <c r="B924" s="9"/>
      <c r="C924" s="9"/>
      <c r="D924" s="9"/>
      <c r="E924" s="9"/>
      <c r="F924" s="9"/>
      <c r="G924" s="9"/>
      <c r="H924" s="9"/>
      <c r="I924" s="9"/>
      <c r="J924" s="9"/>
      <c r="K924" s="9"/>
      <c r="L924" s="9"/>
      <c r="M924" s="9"/>
      <c r="N924" s="9"/>
      <c r="O924" s="9"/>
      <c r="P924" s="9"/>
      <c r="Q924" s="9"/>
      <c r="R924" s="9"/>
      <c r="S924" s="9"/>
    </row>
    <row r="925" spans="1:19">
      <c r="A925" s="9"/>
      <c r="B925" s="9"/>
      <c r="C925" s="9"/>
      <c r="D925" s="9"/>
      <c r="E925" s="9"/>
      <c r="F925" s="9"/>
      <c r="G925" s="9"/>
      <c r="H925" s="9"/>
      <c r="I925" s="9"/>
      <c r="J925" s="9"/>
      <c r="K925" s="9"/>
      <c r="L925" s="9"/>
      <c r="M925" s="9"/>
      <c r="N925" s="9"/>
      <c r="O925" s="9"/>
      <c r="P925" s="9"/>
      <c r="Q925" s="9"/>
      <c r="R925" s="9"/>
      <c r="S925" s="9"/>
    </row>
    <row r="926" spans="1:19">
      <c r="A926" s="9"/>
      <c r="B926" s="9"/>
      <c r="C926" s="9"/>
      <c r="D926" s="9"/>
      <c r="E926" s="9"/>
      <c r="F926" s="9"/>
      <c r="G926" s="9"/>
      <c r="H926" s="9"/>
      <c r="I926" s="9"/>
      <c r="J926" s="9"/>
      <c r="K926" s="9"/>
      <c r="L926" s="9"/>
      <c r="M926" s="9"/>
      <c r="N926" s="9"/>
      <c r="O926" s="9"/>
      <c r="P926" s="9"/>
      <c r="Q926" s="9"/>
      <c r="R926" s="9"/>
      <c r="S926" s="9"/>
    </row>
    <row r="927" spans="1:19">
      <c r="A927" s="9"/>
      <c r="B927" s="9"/>
      <c r="C927" s="9"/>
      <c r="D927" s="9"/>
      <c r="E927" s="9"/>
      <c r="F927" s="9"/>
      <c r="G927" s="9"/>
      <c r="H927" s="9"/>
      <c r="I927" s="9"/>
      <c r="J927" s="9"/>
      <c r="K927" s="9"/>
      <c r="L927" s="9"/>
      <c r="M927" s="9"/>
      <c r="N927" s="9"/>
      <c r="O927" s="9"/>
      <c r="P927" s="9"/>
      <c r="Q927" s="9"/>
      <c r="R927" s="9"/>
      <c r="S927" s="9"/>
    </row>
    <row r="928" spans="1:19">
      <c r="A928" s="9"/>
      <c r="B928" s="9"/>
      <c r="C928" s="9"/>
      <c r="D928" s="9"/>
      <c r="E928" s="9"/>
      <c r="F928" s="9"/>
      <c r="G928" s="9"/>
      <c r="H928" s="9"/>
      <c r="I928" s="9"/>
      <c r="J928" s="9"/>
      <c r="K928" s="9"/>
      <c r="L928" s="9"/>
      <c r="M928" s="9"/>
      <c r="N928" s="9"/>
      <c r="O928" s="9"/>
      <c r="P928" s="9"/>
      <c r="Q928" s="9"/>
      <c r="R928" s="9"/>
      <c r="S928" s="9"/>
    </row>
    <row r="929" spans="1:19">
      <c r="A929" s="9"/>
      <c r="B929" s="9"/>
      <c r="C929" s="9"/>
      <c r="D929" s="9"/>
      <c r="E929" s="9"/>
      <c r="F929" s="9"/>
      <c r="G929" s="9"/>
      <c r="H929" s="9"/>
      <c r="I929" s="9"/>
      <c r="J929" s="9"/>
      <c r="K929" s="9"/>
      <c r="L929" s="9"/>
      <c r="M929" s="9"/>
      <c r="N929" s="9"/>
      <c r="O929" s="9"/>
      <c r="P929" s="9"/>
      <c r="Q929" s="9"/>
      <c r="R929" s="9"/>
      <c r="S929" s="9"/>
    </row>
    <row r="930" spans="1:19">
      <c r="A930" s="388"/>
      <c r="B930" s="388"/>
      <c r="C930" s="388"/>
      <c r="D930" s="388"/>
      <c r="E930" s="388"/>
      <c r="F930" s="388"/>
      <c r="G930" s="388"/>
      <c r="H930" s="388"/>
      <c r="I930" s="388"/>
      <c r="J930" s="388"/>
      <c r="K930" s="388"/>
      <c r="L930" s="388"/>
      <c r="M930" s="388"/>
      <c r="N930" s="388"/>
      <c r="O930" s="388"/>
      <c r="P930" s="388"/>
      <c r="Q930" s="388"/>
      <c r="R930" s="388"/>
      <c r="S930" s="388"/>
    </row>
    <row r="931" spans="1:19">
      <c r="A931" s="388"/>
      <c r="B931" s="388"/>
      <c r="C931" s="388"/>
      <c r="D931" s="388"/>
      <c r="E931" s="388"/>
      <c r="F931" s="388"/>
      <c r="G931" s="388"/>
      <c r="H931" s="388"/>
      <c r="I931" s="388"/>
      <c r="J931" s="388"/>
      <c r="K931" s="388"/>
      <c r="L931" s="388"/>
      <c r="M931" s="388"/>
      <c r="N931" s="388"/>
      <c r="O931" s="388"/>
      <c r="P931" s="388"/>
      <c r="Q931" s="388"/>
      <c r="R931" s="388"/>
      <c r="S931" s="388"/>
    </row>
    <row r="932" spans="1:19">
      <c r="A932" s="388"/>
      <c r="B932" s="388"/>
      <c r="C932" s="388"/>
      <c r="D932" s="388"/>
      <c r="E932" s="388"/>
      <c r="F932" s="388"/>
      <c r="G932" s="388"/>
      <c r="H932" s="388"/>
      <c r="I932" s="388"/>
      <c r="J932" s="388"/>
      <c r="K932" s="388"/>
      <c r="L932" s="388"/>
      <c r="M932" s="388"/>
      <c r="N932" s="388"/>
      <c r="O932" s="388"/>
      <c r="P932" s="388"/>
      <c r="Q932" s="388"/>
      <c r="R932" s="388"/>
      <c r="S932" s="388"/>
    </row>
    <row r="933" spans="1:19">
      <c r="A933" s="388"/>
      <c r="B933" s="388"/>
      <c r="C933" s="388"/>
      <c r="D933" s="388"/>
      <c r="E933" s="388"/>
      <c r="F933" s="388"/>
      <c r="G933" s="388"/>
      <c r="H933" s="388"/>
      <c r="I933" s="388"/>
      <c r="J933" s="388"/>
      <c r="K933" s="388"/>
      <c r="L933" s="388"/>
      <c r="M933" s="388"/>
      <c r="N933" s="388"/>
      <c r="O933" s="388"/>
      <c r="P933" s="388"/>
      <c r="Q933" s="388"/>
      <c r="R933" s="388"/>
      <c r="S933" s="388"/>
    </row>
    <row r="934" spans="1:19">
      <c r="A934" s="388"/>
      <c r="B934" s="388"/>
      <c r="C934" s="388"/>
      <c r="D934" s="388"/>
      <c r="E934" s="388"/>
      <c r="F934" s="388"/>
      <c r="G934" s="388"/>
      <c r="H934" s="388"/>
      <c r="I934" s="388"/>
      <c r="J934" s="388"/>
      <c r="K934" s="388"/>
      <c r="L934" s="388"/>
      <c r="M934" s="388"/>
      <c r="N934" s="388"/>
      <c r="O934" s="388"/>
      <c r="P934" s="388"/>
      <c r="Q934" s="388"/>
      <c r="R934" s="388"/>
      <c r="S934" s="388"/>
    </row>
    <row r="935" spans="1:19">
      <c r="A935" s="388"/>
      <c r="B935" s="388"/>
      <c r="C935" s="388"/>
      <c r="D935" s="388"/>
      <c r="E935" s="388"/>
      <c r="F935" s="388"/>
      <c r="G935" s="388"/>
      <c r="H935" s="388"/>
      <c r="I935" s="388"/>
      <c r="J935" s="388"/>
      <c r="K935" s="388"/>
      <c r="L935" s="388"/>
      <c r="M935" s="388"/>
      <c r="N935" s="388"/>
      <c r="O935" s="388"/>
      <c r="P935" s="388"/>
      <c r="Q935" s="388"/>
      <c r="R935" s="388"/>
      <c r="S935" s="388"/>
    </row>
    <row r="936" spans="1:19" ht="15.75" thickBot="1">
      <c r="A936" s="388"/>
      <c r="B936" s="388"/>
      <c r="C936" s="388"/>
      <c r="D936" s="388"/>
      <c r="E936" s="388"/>
      <c r="F936" s="388"/>
      <c r="G936" s="388"/>
      <c r="H936" s="388"/>
      <c r="I936" s="388"/>
      <c r="J936" s="388"/>
      <c r="K936" s="388"/>
      <c r="L936" s="388"/>
      <c r="M936" s="388"/>
      <c r="N936" s="388"/>
      <c r="O936" s="388"/>
      <c r="P936" s="388"/>
      <c r="Q936" s="388"/>
      <c r="R936" s="388"/>
      <c r="S936" s="388"/>
    </row>
    <row r="937" spans="1:19" ht="27" thickBot="1">
      <c r="A937" s="1228" t="s">
        <v>592</v>
      </c>
      <c r="B937" s="1229"/>
      <c r="C937" s="1229"/>
      <c r="D937" s="1229"/>
      <c r="E937" s="1229"/>
      <c r="F937" s="1229"/>
      <c r="G937" s="1229"/>
      <c r="H937" s="1229"/>
      <c r="I937" s="1230"/>
      <c r="J937" s="538"/>
      <c r="K937" s="1228" t="s">
        <v>592</v>
      </c>
      <c r="L937" s="1229"/>
      <c r="M937" s="1229"/>
      <c r="N937" s="1229"/>
      <c r="O937" s="1229"/>
      <c r="P937" s="1229"/>
      <c r="Q937" s="1229"/>
      <c r="R937" s="1229"/>
      <c r="S937" s="1230"/>
    </row>
    <row r="938" spans="1:19">
      <c r="A938" s="1231" t="s">
        <v>593</v>
      </c>
      <c r="B938" s="1232"/>
      <c r="C938" s="1232"/>
      <c r="D938" s="1232"/>
      <c r="E938" s="1232"/>
      <c r="F938" s="1232"/>
      <c r="G938" s="1232"/>
      <c r="H938" s="1232"/>
      <c r="I938" s="1233"/>
      <c r="J938" s="9"/>
      <c r="K938" s="1231" t="s">
        <v>593</v>
      </c>
      <c r="L938" s="1232"/>
      <c r="M938" s="1232"/>
      <c r="N938" s="1232"/>
      <c r="O938" s="1232"/>
      <c r="P938" s="1232"/>
      <c r="Q938" s="1232"/>
      <c r="R938" s="1232"/>
      <c r="S938" s="1233"/>
    </row>
    <row r="939" spans="1:19">
      <c r="A939" s="441"/>
      <c r="B939" s="9"/>
      <c r="C939" s="9"/>
      <c r="D939" s="9"/>
      <c r="E939" s="9"/>
      <c r="F939" s="9"/>
      <c r="G939" s="9"/>
      <c r="H939" s="9"/>
      <c r="I939" s="442"/>
      <c r="J939" s="9"/>
      <c r="K939" s="441"/>
      <c r="L939" s="9"/>
      <c r="M939" s="9"/>
      <c r="N939" s="9"/>
      <c r="O939" s="9"/>
      <c r="P939" s="9"/>
      <c r="Q939" s="9"/>
      <c r="R939" s="9"/>
      <c r="S939" s="442"/>
    </row>
    <row r="940" spans="1:19">
      <c r="A940" s="539" t="s">
        <v>49</v>
      </c>
      <c r="B940" s="421"/>
      <c r="C940" s="421"/>
      <c r="D940" s="419" t="s">
        <v>382</v>
      </c>
      <c r="E940" s="9"/>
      <c r="F940" s="9"/>
      <c r="G940" s="9"/>
      <c r="H940" s="9"/>
      <c r="I940" s="442"/>
      <c r="J940" s="9"/>
      <c r="K940" s="539" t="s">
        <v>49</v>
      </c>
      <c r="L940" s="421"/>
      <c r="M940" s="421"/>
      <c r="N940" s="419" t="s">
        <v>382</v>
      </c>
      <c r="O940" s="9"/>
      <c r="P940" s="9"/>
      <c r="Q940" s="9"/>
      <c r="R940" s="9"/>
      <c r="S940" s="442"/>
    </row>
    <row r="941" spans="1:19">
      <c r="A941" s="539"/>
      <c r="B941" s="421"/>
      <c r="C941" s="421"/>
      <c r="D941" s="421" t="s">
        <v>383</v>
      </c>
      <c r="E941" s="9"/>
      <c r="F941" s="9"/>
      <c r="G941" s="9"/>
      <c r="H941" s="9"/>
      <c r="I941" s="442"/>
      <c r="J941" s="9"/>
      <c r="K941" s="539"/>
      <c r="L941" s="421"/>
      <c r="M941" s="421"/>
      <c r="N941" s="421" t="s">
        <v>383</v>
      </c>
      <c r="O941" s="9"/>
      <c r="P941" s="9"/>
      <c r="Q941" s="9"/>
      <c r="R941" s="9"/>
      <c r="S941" s="442"/>
    </row>
    <row r="942" spans="1:19">
      <c r="A942" s="539"/>
      <c r="B942" s="421"/>
      <c r="C942" s="421"/>
      <c r="D942" s="421"/>
      <c r="E942" s="421"/>
      <c r="F942" s="9"/>
      <c r="G942" s="9"/>
      <c r="H942" s="9"/>
      <c r="I942" s="442"/>
      <c r="J942" s="9"/>
      <c r="K942" s="539"/>
      <c r="L942" s="421"/>
      <c r="M942" s="421"/>
      <c r="N942" s="421"/>
      <c r="O942" s="421"/>
      <c r="P942" s="9"/>
      <c r="Q942" s="9"/>
      <c r="R942" s="9"/>
      <c r="S942" s="442"/>
    </row>
    <row r="943" spans="1:19">
      <c r="A943" s="1234" t="s">
        <v>50</v>
      </c>
      <c r="B943" s="1227"/>
      <c r="C943" s="1227"/>
      <c r="D943" s="1227"/>
      <c r="E943" s="421"/>
      <c r="F943" s="9"/>
      <c r="G943" s="9"/>
      <c r="H943" s="9"/>
      <c r="I943" s="442"/>
      <c r="J943" s="9"/>
      <c r="K943" s="1234" t="s">
        <v>50</v>
      </c>
      <c r="L943" s="1227"/>
      <c r="M943" s="1227"/>
      <c r="N943" s="1227"/>
      <c r="O943" s="421"/>
      <c r="P943" s="9"/>
      <c r="Q943" s="9"/>
      <c r="R943" s="9"/>
      <c r="S943" s="442"/>
    </row>
    <row r="944" spans="1:19">
      <c r="A944" s="1234"/>
      <c r="B944" s="1227"/>
      <c r="C944" s="1227"/>
      <c r="D944" s="1227"/>
      <c r="E944" s="540" t="str">
        <f>'04-221Master'!B35</f>
        <v xml:space="preserve">OMPRAKASH PURI </v>
      </c>
      <c r="F944" s="498"/>
      <c r="G944" s="498"/>
      <c r="H944" s="498" t="str">
        <f>'04-221Master'!E35</f>
        <v>Shankarnath Singh</v>
      </c>
      <c r="I944" s="442"/>
      <c r="J944" s="9"/>
      <c r="K944" s="1234"/>
      <c r="L944" s="1227"/>
      <c r="M944" s="1227"/>
      <c r="N944" s="1227"/>
      <c r="O944" s="540" t="str">
        <f>E944</f>
        <v xml:space="preserve">OMPRAKASH PURI </v>
      </c>
      <c r="P944" s="498"/>
      <c r="Q944" s="498"/>
      <c r="R944" s="498" t="str">
        <f>H944</f>
        <v>Shankarnath Singh</v>
      </c>
      <c r="S944" s="442"/>
    </row>
    <row r="945" spans="1:19">
      <c r="A945" s="539"/>
      <c r="B945" s="421"/>
      <c r="C945" s="421"/>
      <c r="D945" s="421"/>
      <c r="E945" s="421"/>
      <c r="F945" s="9"/>
      <c r="G945" s="9"/>
      <c r="H945" s="9"/>
      <c r="I945" s="442"/>
      <c r="J945" s="9"/>
      <c r="K945" s="539"/>
      <c r="L945" s="421"/>
      <c r="M945" s="421"/>
      <c r="N945" s="421"/>
      <c r="O945" s="421"/>
      <c r="P945" s="9"/>
      <c r="Q945" s="9"/>
      <c r="R945" s="9"/>
      <c r="S945" s="442"/>
    </row>
    <row r="946" spans="1:19">
      <c r="A946" s="1226" t="s">
        <v>51</v>
      </c>
      <c r="B946" s="1223"/>
      <c r="C946" s="1223"/>
      <c r="D946" s="1223"/>
      <c r="E946" s="423" t="s">
        <v>373</v>
      </c>
      <c r="F946" s="498"/>
      <c r="G946" s="498"/>
      <c r="H946" s="498"/>
      <c r="I946" s="442"/>
      <c r="J946" s="9"/>
      <c r="K946" s="1226" t="s">
        <v>51</v>
      </c>
      <c r="L946" s="1223"/>
      <c r="M946" s="1223"/>
      <c r="N946" s="1223"/>
      <c r="O946" s="540" t="str">
        <f>E946</f>
        <v>IT SUPPORTIVE SERVICES</v>
      </c>
      <c r="P946" s="498"/>
      <c r="Q946" s="498"/>
      <c r="R946" s="498"/>
      <c r="S946" s="442"/>
    </row>
    <row r="947" spans="1:19">
      <c r="A947" s="539"/>
      <c r="B947" s="421"/>
      <c r="C947" s="421"/>
      <c r="D947" s="421"/>
      <c r="E947" s="421"/>
      <c r="F947" s="9"/>
      <c r="G947" s="9"/>
      <c r="H947" s="9"/>
      <c r="I947" s="442"/>
      <c r="J947" s="9"/>
      <c r="K947" s="539"/>
      <c r="L947" s="421"/>
      <c r="M947" s="421"/>
      <c r="N947" s="421"/>
      <c r="O947" s="421"/>
      <c r="P947" s="9"/>
      <c r="Q947" s="9"/>
      <c r="R947" s="9"/>
      <c r="S947" s="442"/>
    </row>
    <row r="948" spans="1:19">
      <c r="A948" s="1226" t="s">
        <v>52</v>
      </c>
      <c r="B948" s="1223"/>
      <c r="C948" s="1223"/>
      <c r="D948" s="1223"/>
      <c r="E948" s="541">
        <f>'04-221Master'!D10</f>
        <v>44652</v>
      </c>
      <c r="F948" s="498"/>
      <c r="G948" s="498"/>
      <c r="H948" s="498"/>
      <c r="I948" s="442"/>
      <c r="J948" s="9"/>
      <c r="K948" s="1226" t="s">
        <v>52</v>
      </c>
      <c r="L948" s="1223"/>
      <c r="M948" s="1223"/>
      <c r="N948" s="1223"/>
      <c r="O948" s="541">
        <f>E948</f>
        <v>44652</v>
      </c>
      <c r="P948" s="498"/>
      <c r="Q948" s="498"/>
      <c r="R948" s="498"/>
      <c r="S948" s="442"/>
    </row>
    <row r="949" spans="1:19">
      <c r="A949" s="539"/>
      <c r="B949" s="421"/>
      <c r="C949" s="421"/>
      <c r="D949" s="421"/>
      <c r="E949" s="421"/>
      <c r="F949" s="9"/>
      <c r="G949" s="9"/>
      <c r="H949" s="9"/>
      <c r="I949" s="442"/>
      <c r="J949" s="9"/>
      <c r="K949" s="539"/>
      <c r="L949" s="421"/>
      <c r="M949" s="421"/>
      <c r="N949" s="421"/>
      <c r="O949" s="421"/>
      <c r="P949" s="9"/>
      <c r="Q949" s="9"/>
      <c r="R949" s="9"/>
      <c r="S949" s="442"/>
    </row>
    <row r="950" spans="1:19">
      <c r="A950" s="542">
        <v>1</v>
      </c>
      <c r="B950" s="1223" t="s">
        <v>53</v>
      </c>
      <c r="C950" s="1223"/>
      <c r="D950" s="1223"/>
      <c r="E950" s="543">
        <f>'04-221Master'!W35</f>
        <v>30</v>
      </c>
      <c r="F950" s="498"/>
      <c r="G950" s="498"/>
      <c r="H950" s="498"/>
      <c r="I950" s="442"/>
      <c r="J950" s="9"/>
      <c r="K950" s="542">
        <v>1</v>
      </c>
      <c r="L950" s="1223" t="s">
        <v>53</v>
      </c>
      <c r="M950" s="1223"/>
      <c r="N950" s="1223"/>
      <c r="O950" s="543">
        <f>E950</f>
        <v>30</v>
      </c>
      <c r="P950" s="498"/>
      <c r="Q950" s="498"/>
      <c r="R950" s="498"/>
      <c r="S950" s="442"/>
    </row>
    <row r="951" spans="1:19">
      <c r="A951" s="542"/>
      <c r="B951" s="421"/>
      <c r="C951" s="421"/>
      <c r="D951" s="421"/>
      <c r="E951" s="421"/>
      <c r="F951" s="9"/>
      <c r="G951" s="9"/>
      <c r="H951" s="9"/>
      <c r="I951" s="442"/>
      <c r="J951" s="9"/>
      <c r="K951" s="542"/>
      <c r="L951" s="421"/>
      <c r="M951" s="421"/>
      <c r="N951" s="421"/>
      <c r="O951" s="421"/>
      <c r="P951" s="9"/>
      <c r="Q951" s="9"/>
      <c r="R951" s="9"/>
      <c r="S951" s="442"/>
    </row>
    <row r="952" spans="1:19">
      <c r="A952" s="542">
        <v>2</v>
      </c>
      <c r="B952" s="1227" t="s">
        <v>54</v>
      </c>
      <c r="C952" s="1227"/>
      <c r="D952" s="1227"/>
      <c r="E952" s="421"/>
      <c r="F952" s="9"/>
      <c r="G952" s="9"/>
      <c r="H952" s="9"/>
      <c r="I952" s="442"/>
      <c r="J952" s="9"/>
      <c r="K952" s="542">
        <v>2</v>
      </c>
      <c r="L952" s="1227" t="s">
        <v>54</v>
      </c>
      <c r="M952" s="1227"/>
      <c r="N952" s="1227"/>
      <c r="O952" s="421"/>
      <c r="P952" s="9"/>
      <c r="Q952" s="9"/>
      <c r="R952" s="9"/>
      <c r="S952" s="442"/>
    </row>
    <row r="953" spans="1:19">
      <c r="A953" s="542"/>
      <c r="B953" s="1227"/>
      <c r="C953" s="1227"/>
      <c r="D953" s="1227"/>
      <c r="E953" s="544" t="s">
        <v>37</v>
      </c>
      <c r="F953" s="498"/>
      <c r="G953" s="498"/>
      <c r="H953" s="498"/>
      <c r="I953" s="442"/>
      <c r="J953" s="9"/>
      <c r="K953" s="542"/>
      <c r="L953" s="1227"/>
      <c r="M953" s="1227"/>
      <c r="N953" s="1227"/>
      <c r="O953" s="544" t="s">
        <v>37</v>
      </c>
      <c r="P953" s="498"/>
      <c r="Q953" s="498"/>
      <c r="R953" s="498"/>
      <c r="S953" s="442"/>
    </row>
    <row r="954" spans="1:19">
      <c r="A954" s="542"/>
      <c r="B954" s="421"/>
      <c r="C954" s="421"/>
      <c r="D954" s="421"/>
      <c r="E954" s="421"/>
      <c r="F954" s="9"/>
      <c r="G954" s="9"/>
      <c r="H954" s="9"/>
      <c r="I954" s="442"/>
      <c r="J954" s="9"/>
      <c r="K954" s="542"/>
      <c r="L954" s="421"/>
      <c r="M954" s="421"/>
      <c r="N954" s="421"/>
      <c r="O954" s="421"/>
      <c r="P954" s="9"/>
      <c r="Q954" s="9"/>
      <c r="R954" s="9"/>
      <c r="S954" s="442"/>
    </row>
    <row r="955" spans="1:19">
      <c r="A955" s="542">
        <v>3</v>
      </c>
      <c r="B955" s="1223" t="s">
        <v>55</v>
      </c>
      <c r="C955" s="1223"/>
      <c r="D955" s="1223"/>
      <c r="E955" s="544" t="s">
        <v>37</v>
      </c>
      <c r="F955" s="498"/>
      <c r="G955" s="498"/>
      <c r="H955" s="498"/>
      <c r="I955" s="442"/>
      <c r="J955" s="9"/>
      <c r="K955" s="542">
        <v>3</v>
      </c>
      <c r="L955" s="1223" t="s">
        <v>55</v>
      </c>
      <c r="M955" s="1223"/>
      <c r="N955" s="1223"/>
      <c r="O955" s="540" t="str">
        <f>E955</f>
        <v>N/A</v>
      </c>
      <c r="P955" s="498"/>
      <c r="Q955" s="498"/>
      <c r="R955" s="498"/>
      <c r="S955" s="442"/>
    </row>
    <row r="956" spans="1:19">
      <c r="A956" s="542"/>
      <c r="B956" s="421"/>
      <c r="C956" s="421"/>
      <c r="D956" s="421"/>
      <c r="E956" s="421"/>
      <c r="F956" s="9"/>
      <c r="G956" s="9"/>
      <c r="H956" s="9"/>
      <c r="I956" s="442"/>
      <c r="J956" s="9"/>
      <c r="K956" s="542"/>
      <c r="L956" s="421"/>
      <c r="M956" s="421"/>
      <c r="N956" s="421"/>
      <c r="O956" s="421"/>
      <c r="P956" s="9"/>
      <c r="Q956" s="9"/>
      <c r="R956" s="9"/>
      <c r="S956" s="442"/>
    </row>
    <row r="957" spans="1:19">
      <c r="A957" s="542">
        <v>4</v>
      </c>
      <c r="B957" s="1223" t="s">
        <v>56</v>
      </c>
      <c r="C957" s="1223"/>
      <c r="D957" s="1223"/>
      <c r="E957" s="544" t="s">
        <v>57</v>
      </c>
      <c r="F957" s="498"/>
      <c r="G957" s="498"/>
      <c r="H957" s="498"/>
      <c r="I957" s="442"/>
      <c r="J957" s="9"/>
      <c r="K957" s="542">
        <v>4</v>
      </c>
      <c r="L957" s="1223" t="s">
        <v>56</v>
      </c>
      <c r="M957" s="1223"/>
      <c r="N957" s="1223"/>
      <c r="O957" s="544" t="s">
        <v>57</v>
      </c>
      <c r="P957" s="498"/>
      <c r="Q957" s="498"/>
      <c r="R957" s="498"/>
      <c r="S957" s="442"/>
    </row>
    <row r="958" spans="1:19">
      <c r="A958" s="542"/>
      <c r="B958" s="421"/>
      <c r="C958" s="421"/>
      <c r="D958" s="421"/>
      <c r="E958" s="421"/>
      <c r="F958" s="9"/>
      <c r="G958" s="9"/>
      <c r="H958" s="9"/>
      <c r="I958" s="442"/>
      <c r="J958" s="9"/>
      <c r="K958" s="542"/>
      <c r="L958" s="421"/>
      <c r="M958" s="421"/>
      <c r="N958" s="421"/>
      <c r="O958" s="421"/>
      <c r="P958" s="9"/>
      <c r="Q958" s="9"/>
      <c r="R958" s="9"/>
      <c r="S958" s="442"/>
    </row>
    <row r="959" spans="1:19">
      <c r="A959" s="542">
        <v>5</v>
      </c>
      <c r="B959" s="1223" t="s">
        <v>58</v>
      </c>
      <c r="C959" s="1223"/>
      <c r="D959" s="1223"/>
      <c r="E959" s="492">
        <f>'04-221Master'!AM35</f>
        <v>118276.1921</v>
      </c>
      <c r="F959" s="9"/>
      <c r="G959" s="9"/>
      <c r="H959" s="9"/>
      <c r="I959" s="442"/>
      <c r="J959" s="9"/>
      <c r="K959" s="542">
        <v>5</v>
      </c>
      <c r="L959" s="1223" t="s">
        <v>58</v>
      </c>
      <c r="M959" s="1223"/>
      <c r="N959" s="1223"/>
      <c r="O959" s="492">
        <f>E959</f>
        <v>118276.1921</v>
      </c>
      <c r="P959" s="9"/>
      <c r="Q959" s="9"/>
      <c r="R959" s="9"/>
      <c r="S959" s="442"/>
    </row>
    <row r="960" spans="1:19">
      <c r="A960" s="542"/>
      <c r="B960" s="421"/>
      <c r="C960" s="421"/>
      <c r="D960" s="493" t="s">
        <v>59</v>
      </c>
      <c r="E960" s="493" t="s">
        <v>31</v>
      </c>
      <c r="F960" s="493" t="s">
        <v>33</v>
      </c>
      <c r="G960" s="493" t="s">
        <v>34</v>
      </c>
      <c r="H960" s="493" t="s">
        <v>377</v>
      </c>
      <c r="I960" s="494" t="s">
        <v>378</v>
      </c>
      <c r="J960" s="9"/>
      <c r="K960" s="542"/>
      <c r="L960" s="421"/>
      <c r="M960" s="421"/>
      <c r="N960" s="493" t="s">
        <v>59</v>
      </c>
      <c r="O960" s="493" t="s">
        <v>31</v>
      </c>
      <c r="P960" s="493" t="s">
        <v>33</v>
      </c>
      <c r="Q960" s="493" t="s">
        <v>34</v>
      </c>
      <c r="R960" s="493" t="s">
        <v>377</v>
      </c>
      <c r="S960" s="494" t="s">
        <v>378</v>
      </c>
    </row>
    <row r="961" spans="1:19">
      <c r="A961" s="542">
        <v>6</v>
      </c>
      <c r="B961" s="791" t="s">
        <v>60</v>
      </c>
      <c r="C961" s="791"/>
      <c r="D961" s="495">
        <f>'04-221Master'!AO35</f>
        <v>1800</v>
      </c>
      <c r="E961" s="495">
        <f>'04-221Master'!AN1079</f>
        <v>0</v>
      </c>
      <c r="F961" s="496">
        <f>'04-221Master'!AP35</f>
        <v>200</v>
      </c>
      <c r="G961" s="495">
        <f>'04-221Master'!AQ35</f>
        <v>0</v>
      </c>
      <c r="H961" s="496">
        <f>'04-221Master'!AR35</f>
        <v>0</v>
      </c>
      <c r="I961" s="496">
        <f>SUM(D961:H961)</f>
        <v>2000</v>
      </c>
      <c r="J961" s="9"/>
      <c r="K961" s="542">
        <v>6</v>
      </c>
      <c r="L961" s="791" t="s">
        <v>60</v>
      </c>
      <c r="M961" s="791"/>
      <c r="N961" s="495">
        <f t="shared" ref="N961" si="105">D961</f>
        <v>1800</v>
      </c>
      <c r="O961" s="495">
        <f t="shared" ref="O961" si="106">E961</f>
        <v>0</v>
      </c>
      <c r="P961" s="496">
        <f t="shared" ref="P961" si="107">F961</f>
        <v>200</v>
      </c>
      <c r="Q961" s="495">
        <f t="shared" ref="Q961" si="108">G961</f>
        <v>0</v>
      </c>
      <c r="R961" s="496">
        <f t="shared" ref="R961" si="109">H961</f>
        <v>0</v>
      </c>
      <c r="S961" s="496">
        <f t="shared" ref="S961" si="110">I961</f>
        <v>2000</v>
      </c>
    </row>
    <row r="962" spans="1:19">
      <c r="A962" s="542"/>
      <c r="B962" s="421"/>
      <c r="C962" s="421"/>
      <c r="D962" s="421"/>
      <c r="E962" s="421"/>
      <c r="F962" s="9"/>
      <c r="G962" s="9"/>
      <c r="H962" s="9"/>
      <c r="I962" s="442"/>
      <c r="J962" s="9"/>
      <c r="K962" s="542"/>
      <c r="L962" s="421"/>
      <c r="M962" s="421"/>
      <c r="N962" s="421"/>
      <c r="O962" s="421"/>
      <c r="P962" s="9"/>
      <c r="Q962" s="9"/>
      <c r="R962" s="9"/>
      <c r="S962" s="442"/>
    </row>
    <row r="963" spans="1:19">
      <c r="A963" s="542">
        <v>7</v>
      </c>
      <c r="B963" s="1223" t="s">
        <v>61</v>
      </c>
      <c r="C963" s="1223"/>
      <c r="D963" s="1223"/>
      <c r="E963" s="497">
        <f>E959-I961</f>
        <v>116276.1921</v>
      </c>
      <c r="F963" s="498"/>
      <c r="G963" s="498"/>
      <c r="H963" s="498"/>
      <c r="I963" s="442"/>
      <c r="J963" s="9"/>
      <c r="K963" s="542">
        <v>7</v>
      </c>
      <c r="L963" s="1223" t="s">
        <v>61</v>
      </c>
      <c r="M963" s="1223"/>
      <c r="N963" s="1223"/>
      <c r="O963" s="497">
        <f>E963</f>
        <v>116276.1921</v>
      </c>
      <c r="P963" s="498"/>
      <c r="Q963" s="498"/>
      <c r="R963" s="498"/>
      <c r="S963" s="442"/>
    </row>
    <row r="964" spans="1:19">
      <c r="A964" s="441"/>
      <c r="B964" s="9"/>
      <c r="C964" s="9"/>
      <c r="D964" s="9"/>
      <c r="E964" s="9"/>
      <c r="F964" s="9"/>
      <c r="G964" s="9"/>
      <c r="H964" s="9"/>
      <c r="I964" s="442"/>
      <c r="J964" s="9"/>
      <c r="K964" s="441"/>
      <c r="L964" s="9"/>
      <c r="M964" s="9"/>
      <c r="N964" s="9"/>
      <c r="O964" s="9"/>
      <c r="P964" s="9"/>
      <c r="Q964" s="9"/>
      <c r="R964" s="9"/>
      <c r="S964" s="442"/>
    </row>
    <row r="965" spans="1:19">
      <c r="A965" s="441"/>
      <c r="B965" s="9"/>
      <c r="C965" s="9"/>
      <c r="D965" s="9"/>
      <c r="E965" s="9"/>
      <c r="F965" s="9"/>
      <c r="G965" s="9"/>
      <c r="H965" s="9"/>
      <c r="I965" s="442"/>
      <c r="J965" s="9"/>
      <c r="K965" s="441"/>
      <c r="L965" s="9"/>
      <c r="M965" s="9"/>
      <c r="N965" s="9"/>
      <c r="O965" s="9"/>
      <c r="P965" s="9"/>
      <c r="Q965" s="9"/>
      <c r="R965" s="9"/>
      <c r="S965" s="442"/>
    </row>
    <row r="966" spans="1:19" ht="15.75" thickBot="1">
      <c r="A966" s="441"/>
      <c r="B966" s="9"/>
      <c r="C966" s="9"/>
      <c r="D966" s="9"/>
      <c r="E966" s="9"/>
      <c r="F966" s="444"/>
      <c r="G966" s="444"/>
      <c r="H966" s="444"/>
      <c r="I966" s="445"/>
      <c r="J966" s="9"/>
      <c r="K966" s="441"/>
      <c r="L966" s="9"/>
      <c r="M966" s="9"/>
      <c r="N966" s="9"/>
      <c r="O966" s="9"/>
      <c r="P966" s="444"/>
      <c r="Q966" s="444"/>
      <c r="R966" s="444"/>
      <c r="S966" s="445"/>
    </row>
    <row r="967" spans="1:19" ht="15.75" thickBot="1">
      <c r="A967" s="443"/>
      <c r="B967" s="444"/>
      <c r="C967" s="444"/>
      <c r="D967" s="444"/>
      <c r="E967" s="444"/>
      <c r="F967" s="1224" t="s">
        <v>62</v>
      </c>
      <c r="G967" s="1224"/>
      <c r="H967" s="1224"/>
      <c r="I967" s="1225"/>
      <c r="J967" s="9"/>
      <c r="K967" s="443"/>
      <c r="L967" s="444"/>
      <c r="M967" s="444"/>
      <c r="N967" s="444"/>
      <c r="O967" s="444"/>
      <c r="P967" s="1224" t="s">
        <v>62</v>
      </c>
      <c r="Q967" s="1224"/>
      <c r="R967" s="1224"/>
      <c r="S967" s="1225"/>
    </row>
    <row r="968" spans="1:19">
      <c r="A968" s="9"/>
      <c r="B968" s="9"/>
      <c r="C968" s="9"/>
      <c r="D968" s="9"/>
      <c r="E968" s="9"/>
      <c r="F968" s="9"/>
      <c r="G968" s="9"/>
      <c r="H968" s="9"/>
      <c r="I968" s="9"/>
      <c r="J968" s="9"/>
      <c r="K968" s="9"/>
      <c r="L968" s="9"/>
      <c r="M968" s="9"/>
      <c r="N968" s="9"/>
      <c r="O968" s="9"/>
      <c r="P968" s="9"/>
      <c r="Q968" s="9"/>
      <c r="R968" s="9"/>
      <c r="S968" s="9"/>
    </row>
    <row r="969" spans="1:19">
      <c r="A969" s="9"/>
      <c r="B969" s="9"/>
      <c r="C969" s="9"/>
      <c r="D969" s="9"/>
      <c r="E969" s="9"/>
      <c r="F969" s="9"/>
      <c r="G969" s="9"/>
      <c r="H969" s="9"/>
      <c r="I969" s="9"/>
      <c r="J969" s="9"/>
      <c r="K969" s="9"/>
      <c r="L969" s="9"/>
      <c r="M969" s="9"/>
      <c r="N969" s="9"/>
      <c r="O969" s="9"/>
      <c r="P969" s="9"/>
      <c r="Q969" s="9"/>
      <c r="R969" s="9"/>
      <c r="S969" s="9"/>
    </row>
    <row r="970" spans="1:19">
      <c r="A970" s="9"/>
      <c r="B970" s="9"/>
      <c r="C970" s="9"/>
      <c r="D970" s="9"/>
      <c r="E970" s="9"/>
      <c r="F970" s="9"/>
      <c r="G970" s="9"/>
      <c r="H970" s="9"/>
      <c r="I970" s="9"/>
      <c r="J970" s="9"/>
      <c r="K970" s="9"/>
      <c r="L970" s="9"/>
      <c r="M970" s="9"/>
      <c r="N970" s="9"/>
      <c r="O970" s="9"/>
      <c r="P970" s="9"/>
      <c r="Q970" s="9"/>
      <c r="R970" s="9"/>
      <c r="S970" s="9"/>
    </row>
    <row r="971" spans="1:19">
      <c r="A971" s="9"/>
      <c r="B971" s="9"/>
      <c r="C971" s="9"/>
      <c r="D971" s="9"/>
      <c r="E971" s="9"/>
      <c r="F971" s="9"/>
      <c r="G971" s="9"/>
      <c r="H971" s="9"/>
      <c r="I971" s="9"/>
      <c r="J971" s="9"/>
      <c r="K971" s="9"/>
      <c r="L971" s="9"/>
      <c r="M971" s="9"/>
      <c r="N971" s="9"/>
      <c r="O971" s="9"/>
      <c r="P971" s="9"/>
      <c r="Q971" s="9"/>
      <c r="R971" s="9"/>
      <c r="S971" s="9"/>
    </row>
    <row r="972" spans="1:19">
      <c r="A972" s="9"/>
      <c r="B972" s="9"/>
      <c r="C972" s="9"/>
      <c r="D972" s="9"/>
      <c r="E972" s="9"/>
      <c r="F972" s="9"/>
      <c r="G972" s="9"/>
      <c r="H972" s="9"/>
      <c r="I972" s="9"/>
      <c r="J972" s="9"/>
      <c r="K972" s="9"/>
      <c r="L972" s="9"/>
      <c r="M972" s="9"/>
      <c r="N972" s="9"/>
      <c r="O972" s="9"/>
      <c r="P972" s="9"/>
      <c r="Q972" s="9"/>
      <c r="R972" s="9"/>
      <c r="S972" s="9"/>
    </row>
    <row r="973" spans="1:19">
      <c r="A973" s="9"/>
      <c r="B973" s="9"/>
      <c r="C973" s="9"/>
      <c r="D973" s="9"/>
      <c r="E973" s="9"/>
      <c r="F973" s="9"/>
      <c r="G973" s="9"/>
      <c r="H973" s="9"/>
      <c r="I973" s="9"/>
      <c r="J973" s="9"/>
      <c r="K973" s="9"/>
      <c r="L973" s="9"/>
      <c r="M973" s="9"/>
      <c r="N973" s="9"/>
      <c r="O973" s="9"/>
      <c r="P973" s="9"/>
      <c r="Q973" s="9"/>
      <c r="R973" s="9"/>
      <c r="S973" s="9"/>
    </row>
    <row r="974" spans="1:19">
      <c r="A974" s="9"/>
      <c r="B974" s="9"/>
      <c r="C974" s="9"/>
      <c r="D974" s="9"/>
      <c r="E974" s="9"/>
      <c r="F974" s="9"/>
      <c r="G974" s="9"/>
      <c r="H974" s="9"/>
      <c r="I974" s="9"/>
      <c r="J974" s="9"/>
      <c r="K974" s="9"/>
      <c r="L974" s="9"/>
      <c r="M974" s="9"/>
      <c r="N974" s="9"/>
      <c r="O974" s="9"/>
      <c r="P974" s="9"/>
      <c r="Q974" s="9"/>
      <c r="R974" s="9"/>
      <c r="S974" s="9"/>
    </row>
    <row r="976" spans="1:19">
      <c r="A976" s="9"/>
      <c r="B976" s="9"/>
      <c r="C976" s="9"/>
      <c r="D976" s="9"/>
      <c r="E976" s="9"/>
      <c r="F976" s="9"/>
      <c r="G976" s="9"/>
      <c r="H976" s="9"/>
      <c r="I976" s="9"/>
      <c r="J976" s="9"/>
      <c r="K976" s="9"/>
      <c r="L976" s="9"/>
      <c r="M976" s="9"/>
      <c r="N976" s="9"/>
      <c r="O976" s="9"/>
      <c r="P976" s="9"/>
      <c r="Q976" s="9"/>
      <c r="R976" s="9"/>
      <c r="S976" s="9"/>
    </row>
    <row r="977" spans="1:19">
      <c r="A977" s="9"/>
      <c r="B977" s="9"/>
      <c r="C977" s="9"/>
      <c r="D977" s="9"/>
      <c r="E977" s="9"/>
      <c r="F977" s="9"/>
      <c r="G977" s="9"/>
      <c r="H977" s="9"/>
      <c r="I977" s="9"/>
      <c r="J977" s="9"/>
      <c r="K977" s="9"/>
      <c r="L977" s="9"/>
      <c r="M977" s="9"/>
      <c r="N977" s="9"/>
      <c r="O977" s="9"/>
      <c r="P977" s="9"/>
      <c r="Q977" s="9"/>
      <c r="R977" s="9"/>
      <c r="S977" s="9"/>
    </row>
    <row r="978" spans="1:19">
      <c r="A978" s="9"/>
      <c r="B978" s="9"/>
      <c r="C978" s="9"/>
      <c r="D978" s="9"/>
      <c r="E978" s="9"/>
      <c r="F978" s="9"/>
      <c r="G978" s="9"/>
      <c r="H978" s="9"/>
      <c r="I978" s="9"/>
      <c r="J978" s="9"/>
      <c r="K978" s="9"/>
      <c r="L978" s="9"/>
      <c r="M978" s="9"/>
      <c r="N978" s="9"/>
      <c r="O978" s="9"/>
      <c r="P978" s="9"/>
      <c r="Q978" s="9"/>
      <c r="R978" s="9"/>
      <c r="S978" s="9"/>
    </row>
    <row r="979" spans="1:19">
      <c r="A979" s="9"/>
      <c r="B979" s="9"/>
      <c r="C979" s="9"/>
      <c r="D979" s="9"/>
      <c r="E979" s="9"/>
      <c r="F979" s="9"/>
      <c r="G979" s="9"/>
      <c r="H979" s="9"/>
      <c r="I979" s="9"/>
      <c r="J979" s="9"/>
      <c r="K979" s="9"/>
      <c r="L979" s="9"/>
      <c r="M979" s="9"/>
      <c r="N979" s="9"/>
      <c r="O979" s="9"/>
      <c r="P979" s="9"/>
      <c r="Q979" s="9"/>
      <c r="R979" s="9"/>
      <c r="S979" s="9"/>
    </row>
    <row r="980" spans="1:19">
      <c r="A980" s="9"/>
      <c r="B980" s="9"/>
      <c r="C980" s="9"/>
      <c r="D980" s="9"/>
      <c r="E980" s="9"/>
      <c r="F980" s="9"/>
      <c r="G980" s="9"/>
      <c r="H980" s="9"/>
      <c r="I980" s="9"/>
      <c r="J980" s="9"/>
      <c r="K980" s="9"/>
      <c r="L980" s="9"/>
      <c r="M980" s="9"/>
      <c r="N980" s="9"/>
      <c r="O980" s="9"/>
      <c r="P980" s="9"/>
      <c r="Q980" s="9"/>
      <c r="R980" s="9"/>
      <c r="S980" s="9"/>
    </row>
    <row r="981" spans="1:19">
      <c r="A981" s="388"/>
      <c r="B981" s="388"/>
      <c r="C981" s="388"/>
      <c r="D981" s="388"/>
      <c r="E981" s="388"/>
      <c r="F981" s="388"/>
      <c r="G981" s="388"/>
      <c r="H981" s="388"/>
      <c r="I981" s="388"/>
      <c r="J981" s="388"/>
      <c r="K981" s="388"/>
      <c r="L981" s="388"/>
      <c r="M981" s="388"/>
      <c r="N981" s="388"/>
      <c r="O981" s="388"/>
      <c r="P981" s="388"/>
      <c r="Q981" s="388"/>
      <c r="R981" s="388"/>
      <c r="S981" s="388"/>
    </row>
    <row r="982" spans="1:19">
      <c r="A982" s="388"/>
      <c r="B982" s="388"/>
      <c r="C982" s="388"/>
      <c r="D982" s="388"/>
      <c r="E982" s="388"/>
      <c r="F982" s="388"/>
      <c r="G982" s="388"/>
      <c r="H982" s="388"/>
      <c r="I982" s="388"/>
      <c r="J982" s="388"/>
      <c r="K982" s="388"/>
      <c r="L982" s="388"/>
      <c r="M982" s="388"/>
      <c r="N982" s="388"/>
      <c r="O982" s="388"/>
      <c r="P982" s="388"/>
      <c r="Q982" s="388"/>
      <c r="R982" s="388"/>
      <c r="S982" s="388"/>
    </row>
    <row r="983" spans="1:19">
      <c r="A983" s="388"/>
      <c r="B983" s="388"/>
      <c r="C983" s="388"/>
      <c r="D983" s="388"/>
      <c r="E983" s="388"/>
      <c r="F983" s="388"/>
      <c r="G983" s="388"/>
      <c r="H983" s="388"/>
      <c r="I983" s="388"/>
      <c r="J983" s="388"/>
      <c r="K983" s="388"/>
      <c r="L983" s="388"/>
      <c r="M983" s="388"/>
      <c r="N983" s="388"/>
      <c r="O983" s="388"/>
      <c r="P983" s="388"/>
      <c r="Q983" s="388"/>
      <c r="R983" s="388"/>
      <c r="S983" s="388"/>
    </row>
    <row r="984" spans="1:19">
      <c r="A984" s="388"/>
      <c r="B984" s="388"/>
      <c r="C984" s="388"/>
      <c r="D984" s="388"/>
      <c r="E984" s="388"/>
      <c r="F984" s="388"/>
      <c r="G984" s="388"/>
      <c r="H984" s="388"/>
      <c r="I984" s="388"/>
      <c r="J984" s="388"/>
      <c r="K984" s="388"/>
      <c r="L984" s="388"/>
      <c r="M984" s="388"/>
      <c r="N984" s="388"/>
      <c r="O984" s="388"/>
      <c r="P984" s="388"/>
      <c r="Q984" s="388"/>
      <c r="R984" s="388"/>
      <c r="S984" s="388"/>
    </row>
    <row r="985" spans="1:19">
      <c r="A985" s="388"/>
      <c r="B985" s="388"/>
      <c r="C985" s="388"/>
      <c r="D985" s="388"/>
      <c r="E985" s="388"/>
      <c r="F985" s="388"/>
      <c r="G985" s="388"/>
      <c r="H985" s="388"/>
      <c r="I985" s="388"/>
      <c r="J985" s="388"/>
      <c r="K985" s="388"/>
      <c r="L985" s="388"/>
      <c r="M985" s="388"/>
      <c r="N985" s="388"/>
      <c r="O985" s="388"/>
      <c r="P985" s="388"/>
      <c r="Q985" s="388"/>
      <c r="R985" s="388"/>
      <c r="S985" s="388"/>
    </row>
    <row r="986" spans="1:19">
      <c r="A986" s="388"/>
      <c r="B986" s="388"/>
      <c r="C986" s="388"/>
      <c r="D986" s="388"/>
      <c r="E986" s="388"/>
      <c r="F986" s="388"/>
      <c r="G986" s="388"/>
      <c r="H986" s="388"/>
      <c r="I986" s="388"/>
      <c r="J986" s="388"/>
      <c r="K986" s="388"/>
      <c r="L986" s="388"/>
      <c r="M986" s="388"/>
      <c r="N986" s="388"/>
      <c r="O986" s="388"/>
      <c r="P986" s="388"/>
      <c r="Q986" s="388"/>
      <c r="R986" s="388"/>
      <c r="S986" s="388"/>
    </row>
    <row r="987" spans="1:19">
      <c r="A987" s="388"/>
      <c r="B987" s="388"/>
      <c r="C987" s="388"/>
      <c r="D987" s="388"/>
      <c r="E987" s="388"/>
      <c r="F987" s="388"/>
      <c r="G987" s="388"/>
      <c r="H987" s="388"/>
      <c r="I987" s="388"/>
      <c r="J987" s="388"/>
      <c r="K987" s="388"/>
      <c r="L987" s="388"/>
      <c r="M987" s="388"/>
      <c r="N987" s="388"/>
      <c r="O987" s="388"/>
      <c r="P987" s="388"/>
      <c r="Q987" s="388"/>
      <c r="R987" s="388"/>
      <c r="S987" s="388"/>
    </row>
    <row r="988" spans="1:19" ht="15.75" thickBot="1">
      <c r="A988" s="388"/>
      <c r="B988" s="388"/>
      <c r="C988" s="388"/>
      <c r="D988" s="388"/>
      <c r="E988" s="388"/>
      <c r="F988" s="388"/>
      <c r="G988" s="388"/>
      <c r="H988" s="388"/>
      <c r="I988" s="388"/>
      <c r="J988" s="388"/>
      <c r="K988" s="388"/>
      <c r="L988" s="388"/>
      <c r="M988" s="388"/>
      <c r="N988" s="388"/>
      <c r="O988" s="388"/>
      <c r="P988" s="388"/>
      <c r="Q988" s="388"/>
      <c r="R988" s="388"/>
      <c r="S988" s="388"/>
    </row>
    <row r="989" spans="1:19" ht="27" thickBot="1">
      <c r="A989" s="1228" t="s">
        <v>592</v>
      </c>
      <c r="B989" s="1229"/>
      <c r="C989" s="1229"/>
      <c r="D989" s="1229"/>
      <c r="E989" s="1229"/>
      <c r="F989" s="1229"/>
      <c r="G989" s="1229"/>
      <c r="H989" s="1229"/>
      <c r="I989" s="1230"/>
      <c r="J989" s="538"/>
      <c r="K989" s="1228" t="s">
        <v>592</v>
      </c>
      <c r="L989" s="1229"/>
      <c r="M989" s="1229"/>
      <c r="N989" s="1229"/>
      <c r="O989" s="1229"/>
      <c r="P989" s="1229"/>
      <c r="Q989" s="1229"/>
      <c r="R989" s="1229"/>
      <c r="S989" s="1230"/>
    </row>
    <row r="990" spans="1:19">
      <c r="A990" s="1231" t="s">
        <v>593</v>
      </c>
      <c r="B990" s="1232"/>
      <c r="C990" s="1232"/>
      <c r="D990" s="1232"/>
      <c r="E990" s="1232"/>
      <c r="F990" s="1232"/>
      <c r="G990" s="1232"/>
      <c r="H990" s="1232"/>
      <c r="I990" s="1233"/>
      <c r="J990" s="9"/>
      <c r="K990" s="1231" t="s">
        <v>593</v>
      </c>
      <c r="L990" s="1232"/>
      <c r="M990" s="1232"/>
      <c r="N990" s="1232"/>
      <c r="O990" s="1232"/>
      <c r="P990" s="1232"/>
      <c r="Q990" s="1232"/>
      <c r="R990" s="1232"/>
      <c r="S990" s="1233"/>
    </row>
    <row r="991" spans="1:19">
      <c r="A991" s="441"/>
      <c r="B991" s="9"/>
      <c r="C991" s="9"/>
      <c r="D991" s="9"/>
      <c r="E991" s="9"/>
      <c r="F991" s="9"/>
      <c r="G991" s="9"/>
      <c r="H991" s="9"/>
      <c r="I991" s="442"/>
      <c r="J991" s="9"/>
      <c r="K991" s="441"/>
      <c r="L991" s="9"/>
      <c r="M991" s="9"/>
      <c r="N991" s="9"/>
      <c r="O991" s="9"/>
      <c r="P991" s="9"/>
      <c r="Q991" s="9"/>
      <c r="R991" s="9"/>
      <c r="S991" s="442"/>
    </row>
    <row r="992" spans="1:19">
      <c r="A992" s="539" t="s">
        <v>49</v>
      </c>
      <c r="B992" s="421"/>
      <c r="C992" s="421"/>
      <c r="D992" s="419" t="s">
        <v>382</v>
      </c>
      <c r="E992" s="9"/>
      <c r="F992" s="9"/>
      <c r="G992" s="9"/>
      <c r="H992" s="9"/>
      <c r="I992" s="442"/>
      <c r="J992" s="9"/>
      <c r="K992" s="539" t="s">
        <v>49</v>
      </c>
      <c r="L992" s="421"/>
      <c r="M992" s="421"/>
      <c r="N992" s="419" t="s">
        <v>382</v>
      </c>
      <c r="O992" s="9"/>
      <c r="P992" s="9"/>
      <c r="Q992" s="9"/>
      <c r="R992" s="9"/>
      <c r="S992" s="442"/>
    </row>
    <row r="993" spans="1:19">
      <c r="A993" s="539"/>
      <c r="B993" s="421"/>
      <c r="C993" s="421"/>
      <c r="D993" s="421" t="s">
        <v>383</v>
      </c>
      <c r="E993" s="9"/>
      <c r="F993" s="9"/>
      <c r="G993" s="9"/>
      <c r="H993" s="9"/>
      <c r="I993" s="442"/>
      <c r="J993" s="9"/>
      <c r="K993" s="539"/>
      <c r="L993" s="421"/>
      <c r="M993" s="421"/>
      <c r="N993" s="421" t="s">
        <v>383</v>
      </c>
      <c r="O993" s="9"/>
      <c r="P993" s="9"/>
      <c r="Q993" s="9"/>
      <c r="R993" s="9"/>
      <c r="S993" s="442"/>
    </row>
    <row r="994" spans="1:19">
      <c r="A994" s="539"/>
      <c r="B994" s="421"/>
      <c r="C994" s="421"/>
      <c r="D994" s="421"/>
      <c r="E994" s="421"/>
      <c r="F994" s="9"/>
      <c r="G994" s="9"/>
      <c r="H994" s="9"/>
      <c r="I994" s="442"/>
      <c r="J994" s="9"/>
      <c r="K994" s="539"/>
      <c r="L994" s="421"/>
      <c r="M994" s="421"/>
      <c r="N994" s="421"/>
      <c r="O994" s="421"/>
      <c r="P994" s="9"/>
      <c r="Q994" s="9"/>
      <c r="R994" s="9"/>
      <c r="S994" s="442"/>
    </row>
    <row r="995" spans="1:19">
      <c r="A995" s="1234" t="s">
        <v>50</v>
      </c>
      <c r="B995" s="1227"/>
      <c r="C995" s="1227"/>
      <c r="D995" s="1227"/>
      <c r="E995" s="421"/>
      <c r="F995" s="9"/>
      <c r="G995" s="9"/>
      <c r="H995" s="9"/>
      <c r="I995" s="442"/>
      <c r="J995" s="9"/>
      <c r="K995" s="1234" t="s">
        <v>50</v>
      </c>
      <c r="L995" s="1227"/>
      <c r="M995" s="1227"/>
      <c r="N995" s="1227"/>
      <c r="O995" s="421"/>
      <c r="P995" s="9"/>
      <c r="Q995" s="9"/>
      <c r="R995" s="9"/>
      <c r="S995" s="442"/>
    </row>
    <row r="996" spans="1:19">
      <c r="A996" s="1234"/>
      <c r="B996" s="1227"/>
      <c r="C996" s="1227"/>
      <c r="D996" s="1227"/>
      <c r="E996" s="540" t="str">
        <f>'04-221Master'!B36</f>
        <v xml:space="preserve">DiptiRanjan Dikhit </v>
      </c>
      <c r="F996" s="498"/>
      <c r="G996" s="498" t="str">
        <f>'04-221Master'!E36</f>
        <v>Purna chandra</v>
      </c>
      <c r="H996" s="498"/>
      <c r="I996" s="442"/>
      <c r="J996" s="9"/>
      <c r="K996" s="1234"/>
      <c r="L996" s="1227"/>
      <c r="M996" s="1227"/>
      <c r="N996" s="1227"/>
      <c r="O996" s="540" t="str">
        <f>E996</f>
        <v xml:space="preserve">DiptiRanjan Dikhit </v>
      </c>
      <c r="P996" s="498"/>
      <c r="Q996" s="498"/>
      <c r="R996" s="498" t="str">
        <f>G996</f>
        <v>Purna chandra</v>
      </c>
      <c r="S996" s="442"/>
    </row>
    <row r="997" spans="1:19">
      <c r="A997" s="539"/>
      <c r="B997" s="421"/>
      <c r="C997" s="421"/>
      <c r="D997" s="421"/>
      <c r="E997" s="421"/>
      <c r="F997" s="9"/>
      <c r="G997" s="9"/>
      <c r="H997" s="9"/>
      <c r="I997" s="442"/>
      <c r="J997" s="9"/>
      <c r="K997" s="539"/>
      <c r="L997" s="421"/>
      <c r="M997" s="421"/>
      <c r="N997" s="421"/>
      <c r="O997" s="421"/>
      <c r="P997" s="9"/>
      <c r="Q997" s="9"/>
      <c r="R997" s="9"/>
      <c r="S997" s="442"/>
    </row>
    <row r="998" spans="1:19">
      <c r="A998" s="1226" t="s">
        <v>51</v>
      </c>
      <c r="B998" s="1223"/>
      <c r="C998" s="1223"/>
      <c r="D998" s="1223"/>
      <c r="E998" s="423" t="s">
        <v>373</v>
      </c>
      <c r="F998" s="498"/>
      <c r="G998" s="498"/>
      <c r="H998" s="498"/>
      <c r="I998" s="442"/>
      <c r="J998" s="9"/>
      <c r="K998" s="1226" t="s">
        <v>51</v>
      </c>
      <c r="L998" s="1223"/>
      <c r="M998" s="1223"/>
      <c r="N998" s="1223"/>
      <c r="O998" s="540" t="str">
        <f>E998</f>
        <v>IT SUPPORTIVE SERVICES</v>
      </c>
      <c r="P998" s="498"/>
      <c r="Q998" s="498"/>
      <c r="R998" s="498"/>
      <c r="S998" s="442"/>
    </row>
    <row r="999" spans="1:19">
      <c r="A999" s="539"/>
      <c r="B999" s="421"/>
      <c r="C999" s="421"/>
      <c r="D999" s="421"/>
      <c r="E999" s="421"/>
      <c r="F999" s="9"/>
      <c r="G999" s="9"/>
      <c r="H999" s="9"/>
      <c r="I999" s="442"/>
      <c r="J999" s="9"/>
      <c r="K999" s="539"/>
      <c r="L999" s="421"/>
      <c r="M999" s="421"/>
      <c r="N999" s="421"/>
      <c r="O999" s="421"/>
      <c r="P999" s="9"/>
      <c r="Q999" s="9"/>
      <c r="R999" s="9"/>
      <c r="S999" s="442"/>
    </row>
    <row r="1000" spans="1:19">
      <c r="A1000" s="1226" t="s">
        <v>52</v>
      </c>
      <c r="B1000" s="1223"/>
      <c r="C1000" s="1223"/>
      <c r="D1000" s="1223"/>
      <c r="E1000" s="541">
        <f>'04-221Master'!D10</f>
        <v>44652</v>
      </c>
      <c r="F1000" s="498"/>
      <c r="G1000" s="498"/>
      <c r="H1000" s="498"/>
      <c r="I1000" s="442"/>
      <c r="J1000" s="9"/>
      <c r="K1000" s="1226" t="s">
        <v>52</v>
      </c>
      <c r="L1000" s="1223"/>
      <c r="M1000" s="1223"/>
      <c r="N1000" s="1223"/>
      <c r="O1000" s="541">
        <f>E1000</f>
        <v>44652</v>
      </c>
      <c r="P1000" s="498"/>
      <c r="Q1000" s="498"/>
      <c r="R1000" s="498"/>
      <c r="S1000" s="442"/>
    </row>
    <row r="1001" spans="1:19">
      <c r="A1001" s="539"/>
      <c r="B1001" s="421"/>
      <c r="C1001" s="421"/>
      <c r="D1001" s="421"/>
      <c r="E1001" s="421"/>
      <c r="F1001" s="9"/>
      <c r="G1001" s="9"/>
      <c r="H1001" s="9"/>
      <c r="I1001" s="442"/>
      <c r="J1001" s="9"/>
      <c r="K1001" s="539"/>
      <c r="L1001" s="421"/>
      <c r="M1001" s="421"/>
      <c r="N1001" s="421"/>
      <c r="O1001" s="421"/>
      <c r="P1001" s="9"/>
      <c r="Q1001" s="9"/>
      <c r="R1001" s="9"/>
      <c r="S1001" s="442"/>
    </row>
    <row r="1002" spans="1:19">
      <c r="A1002" s="542">
        <v>1</v>
      </c>
      <c r="B1002" s="1223" t="s">
        <v>53</v>
      </c>
      <c r="C1002" s="1223"/>
      <c r="D1002" s="1223"/>
      <c r="E1002" s="543">
        <f>'04-221Master'!W36</f>
        <v>27</v>
      </c>
      <c r="F1002" s="498"/>
      <c r="G1002" s="498"/>
      <c r="H1002" s="498"/>
      <c r="I1002" s="442"/>
      <c r="J1002" s="9"/>
      <c r="K1002" s="542">
        <v>1</v>
      </c>
      <c r="L1002" s="1223" t="s">
        <v>53</v>
      </c>
      <c r="M1002" s="1223"/>
      <c r="N1002" s="1223"/>
      <c r="O1002" s="543">
        <f>E1002</f>
        <v>27</v>
      </c>
      <c r="P1002" s="498"/>
      <c r="Q1002" s="498"/>
      <c r="R1002" s="498"/>
      <c r="S1002" s="442"/>
    </row>
    <row r="1003" spans="1:19">
      <c r="A1003" s="542"/>
      <c r="B1003" s="421"/>
      <c r="C1003" s="421"/>
      <c r="D1003" s="421"/>
      <c r="E1003" s="421"/>
      <c r="F1003" s="9"/>
      <c r="G1003" s="9"/>
      <c r="H1003" s="9"/>
      <c r="I1003" s="442"/>
      <c r="J1003" s="9"/>
      <c r="K1003" s="542"/>
      <c r="L1003" s="421"/>
      <c r="M1003" s="421"/>
      <c r="N1003" s="421"/>
      <c r="O1003" s="421"/>
      <c r="P1003" s="9"/>
      <c r="Q1003" s="9"/>
      <c r="R1003" s="9"/>
      <c r="S1003" s="442"/>
    </row>
    <row r="1004" spans="1:19">
      <c r="A1004" s="542">
        <v>2</v>
      </c>
      <c r="B1004" s="1227" t="s">
        <v>54</v>
      </c>
      <c r="C1004" s="1227"/>
      <c r="D1004" s="1227"/>
      <c r="E1004" s="421"/>
      <c r="F1004" s="9"/>
      <c r="G1004" s="9"/>
      <c r="H1004" s="9"/>
      <c r="I1004" s="442"/>
      <c r="J1004" s="9"/>
      <c r="K1004" s="542">
        <v>2</v>
      </c>
      <c r="L1004" s="1227" t="s">
        <v>54</v>
      </c>
      <c r="M1004" s="1227"/>
      <c r="N1004" s="1227"/>
      <c r="O1004" s="421"/>
      <c r="P1004" s="9"/>
      <c r="Q1004" s="9"/>
      <c r="R1004" s="9"/>
      <c r="S1004" s="442"/>
    </row>
    <row r="1005" spans="1:19">
      <c r="A1005" s="542"/>
      <c r="B1005" s="1227"/>
      <c r="C1005" s="1227"/>
      <c r="D1005" s="1227"/>
      <c r="E1005" s="544" t="s">
        <v>37</v>
      </c>
      <c r="F1005" s="498"/>
      <c r="G1005" s="498"/>
      <c r="H1005" s="498"/>
      <c r="I1005" s="442"/>
      <c r="J1005" s="9"/>
      <c r="K1005" s="542"/>
      <c r="L1005" s="1227"/>
      <c r="M1005" s="1227"/>
      <c r="N1005" s="1227"/>
      <c r="O1005" s="544" t="s">
        <v>37</v>
      </c>
      <c r="P1005" s="498"/>
      <c r="Q1005" s="498"/>
      <c r="R1005" s="498"/>
      <c r="S1005" s="442"/>
    </row>
    <row r="1006" spans="1:19">
      <c r="A1006" s="542"/>
      <c r="B1006" s="421"/>
      <c r="C1006" s="421"/>
      <c r="D1006" s="421"/>
      <c r="E1006" s="421"/>
      <c r="F1006" s="9"/>
      <c r="G1006" s="9"/>
      <c r="H1006" s="9"/>
      <c r="I1006" s="442"/>
      <c r="J1006" s="9"/>
      <c r="K1006" s="542"/>
      <c r="L1006" s="421"/>
      <c r="M1006" s="421"/>
      <c r="N1006" s="421"/>
      <c r="O1006" s="421"/>
      <c r="P1006" s="9"/>
      <c r="Q1006" s="9"/>
      <c r="R1006" s="9"/>
      <c r="S1006" s="442"/>
    </row>
    <row r="1007" spans="1:19">
      <c r="A1007" s="542">
        <v>3</v>
      </c>
      <c r="B1007" s="1223" t="s">
        <v>55</v>
      </c>
      <c r="C1007" s="1223"/>
      <c r="D1007" s="1223"/>
      <c r="E1007" s="544" t="s">
        <v>37</v>
      </c>
      <c r="F1007" s="498"/>
      <c r="G1007" s="498"/>
      <c r="H1007" s="498"/>
      <c r="I1007" s="442"/>
      <c r="J1007" s="9"/>
      <c r="K1007" s="542">
        <v>3</v>
      </c>
      <c r="L1007" s="1223" t="s">
        <v>55</v>
      </c>
      <c r="M1007" s="1223"/>
      <c r="N1007" s="1223"/>
      <c r="O1007" s="540" t="str">
        <f>E1007</f>
        <v>N/A</v>
      </c>
      <c r="P1007" s="498"/>
      <c r="Q1007" s="498"/>
      <c r="R1007" s="498"/>
      <c r="S1007" s="442"/>
    </row>
    <row r="1008" spans="1:19">
      <c r="A1008" s="542"/>
      <c r="B1008" s="421"/>
      <c r="C1008" s="421"/>
      <c r="D1008" s="421"/>
      <c r="E1008" s="421"/>
      <c r="F1008" s="9"/>
      <c r="G1008" s="9"/>
      <c r="H1008" s="9"/>
      <c r="I1008" s="442"/>
      <c r="J1008" s="9"/>
      <c r="K1008" s="542"/>
      <c r="L1008" s="421"/>
      <c r="M1008" s="421"/>
      <c r="N1008" s="421"/>
      <c r="O1008" s="421"/>
      <c r="P1008" s="9"/>
      <c r="Q1008" s="9"/>
      <c r="R1008" s="9"/>
      <c r="S1008" s="442"/>
    </row>
    <row r="1009" spans="1:19">
      <c r="A1009" s="542">
        <v>4</v>
      </c>
      <c r="B1009" s="1223" t="s">
        <v>56</v>
      </c>
      <c r="C1009" s="1223"/>
      <c r="D1009" s="1223"/>
      <c r="E1009" s="544" t="s">
        <v>57</v>
      </c>
      <c r="F1009" s="498"/>
      <c r="G1009" s="498"/>
      <c r="H1009" s="498"/>
      <c r="I1009" s="442"/>
      <c r="J1009" s="9"/>
      <c r="K1009" s="542">
        <v>4</v>
      </c>
      <c r="L1009" s="1223" t="s">
        <v>56</v>
      </c>
      <c r="M1009" s="1223"/>
      <c r="N1009" s="1223"/>
      <c r="O1009" s="544" t="s">
        <v>57</v>
      </c>
      <c r="P1009" s="498"/>
      <c r="Q1009" s="498"/>
      <c r="R1009" s="498"/>
      <c r="S1009" s="442"/>
    </row>
    <row r="1010" spans="1:19">
      <c r="A1010" s="542"/>
      <c r="B1010" s="421"/>
      <c r="C1010" s="421"/>
      <c r="D1010" s="421"/>
      <c r="E1010" s="421"/>
      <c r="F1010" s="9"/>
      <c r="G1010" s="9"/>
      <c r="H1010" s="9"/>
      <c r="I1010" s="442"/>
      <c r="J1010" s="9"/>
      <c r="K1010" s="542"/>
      <c r="L1010" s="421"/>
      <c r="M1010" s="421"/>
      <c r="N1010" s="421"/>
      <c r="O1010" s="421"/>
      <c r="P1010" s="9"/>
      <c r="Q1010" s="9"/>
      <c r="R1010" s="9"/>
      <c r="S1010" s="442"/>
    </row>
    <row r="1011" spans="1:19">
      <c r="A1011" s="542">
        <v>5</v>
      </c>
      <c r="B1011" s="1223" t="s">
        <v>58</v>
      </c>
      <c r="C1011" s="1223"/>
      <c r="D1011" s="1223"/>
      <c r="E1011" s="492">
        <f>'04-221Master'!AM36</f>
        <v>62515.636657999996</v>
      </c>
      <c r="F1011" s="9"/>
      <c r="G1011" s="9"/>
      <c r="H1011" s="9"/>
      <c r="I1011" s="442"/>
      <c r="J1011" s="9"/>
      <c r="K1011" s="542">
        <v>5</v>
      </c>
      <c r="L1011" s="1223" t="s">
        <v>58</v>
      </c>
      <c r="M1011" s="1223"/>
      <c r="N1011" s="1223"/>
      <c r="O1011" s="492">
        <f>E1011</f>
        <v>62515.636657999996</v>
      </c>
      <c r="P1011" s="9"/>
      <c r="Q1011" s="9"/>
      <c r="R1011" s="9"/>
      <c r="S1011" s="442"/>
    </row>
    <row r="1012" spans="1:19">
      <c r="A1012" s="542"/>
      <c r="B1012" s="421"/>
      <c r="C1012" s="421"/>
      <c r="D1012" s="493" t="s">
        <v>59</v>
      </c>
      <c r="E1012" s="493" t="s">
        <v>31</v>
      </c>
      <c r="F1012" s="493" t="s">
        <v>33</v>
      </c>
      <c r="G1012" s="493" t="s">
        <v>34</v>
      </c>
      <c r="H1012" s="493" t="s">
        <v>377</v>
      </c>
      <c r="I1012" s="494" t="s">
        <v>378</v>
      </c>
      <c r="J1012" s="9"/>
      <c r="K1012" s="542"/>
      <c r="L1012" s="421"/>
      <c r="M1012" s="421"/>
      <c r="N1012" s="493" t="s">
        <v>59</v>
      </c>
      <c r="O1012" s="493" t="s">
        <v>31</v>
      </c>
      <c r="P1012" s="493" t="s">
        <v>33</v>
      </c>
      <c r="Q1012" s="493" t="s">
        <v>34</v>
      </c>
      <c r="R1012" s="493" t="s">
        <v>377</v>
      </c>
      <c r="S1012" s="494" t="s">
        <v>378</v>
      </c>
    </row>
    <row r="1013" spans="1:19">
      <c r="A1013" s="542">
        <v>6</v>
      </c>
      <c r="B1013" s="867" t="s">
        <v>60</v>
      </c>
      <c r="C1013" s="867"/>
      <c r="D1013" s="495">
        <f>'04-221Master'!AO36</f>
        <v>1800</v>
      </c>
      <c r="E1013" s="495">
        <f>'04-221Master'!AN1131</f>
        <v>0</v>
      </c>
      <c r="F1013" s="496">
        <f>'04-221Master'!AP36</f>
        <v>200</v>
      </c>
      <c r="G1013" s="495">
        <f>'04-221Master'!AQ36</f>
        <v>0</v>
      </c>
      <c r="H1013" s="496">
        <f>'04-221Master'!AR36</f>
        <v>0</v>
      </c>
      <c r="I1013" s="496">
        <f>SUM(D1013:H1013)</f>
        <v>2000</v>
      </c>
      <c r="J1013" s="9"/>
      <c r="K1013" s="542">
        <v>6</v>
      </c>
      <c r="L1013" s="867" t="s">
        <v>60</v>
      </c>
      <c r="M1013" s="867"/>
      <c r="N1013" s="495">
        <f t="shared" ref="N1013" si="111">D1013</f>
        <v>1800</v>
      </c>
      <c r="O1013" s="495">
        <f t="shared" ref="O1013" si="112">E1013</f>
        <v>0</v>
      </c>
      <c r="P1013" s="496">
        <f t="shared" ref="P1013" si="113">F1013</f>
        <v>200</v>
      </c>
      <c r="Q1013" s="495">
        <f t="shared" ref="Q1013" si="114">G1013</f>
        <v>0</v>
      </c>
      <c r="R1013" s="496">
        <f t="shared" ref="R1013" si="115">H1013</f>
        <v>0</v>
      </c>
      <c r="S1013" s="496">
        <f t="shared" ref="S1013" si="116">I1013</f>
        <v>2000</v>
      </c>
    </row>
    <row r="1014" spans="1:19">
      <c r="A1014" s="542"/>
      <c r="B1014" s="421"/>
      <c r="C1014" s="421"/>
      <c r="D1014" s="421"/>
      <c r="E1014" s="421"/>
      <c r="F1014" s="9"/>
      <c r="G1014" s="9"/>
      <c r="H1014" s="9"/>
      <c r="I1014" s="442"/>
      <c r="J1014" s="9"/>
      <c r="K1014" s="542"/>
      <c r="L1014" s="421"/>
      <c r="M1014" s="421"/>
      <c r="N1014" s="421"/>
      <c r="O1014" s="421"/>
      <c r="P1014" s="9"/>
      <c r="Q1014" s="9"/>
      <c r="R1014" s="9"/>
      <c r="S1014" s="442"/>
    </row>
    <row r="1015" spans="1:19">
      <c r="A1015" s="542">
        <v>7</v>
      </c>
      <c r="B1015" s="1223" t="s">
        <v>61</v>
      </c>
      <c r="C1015" s="1223"/>
      <c r="D1015" s="1223"/>
      <c r="E1015" s="497">
        <f>E1011-I1013</f>
        <v>60515.636657999996</v>
      </c>
      <c r="F1015" s="498"/>
      <c r="G1015" s="498"/>
      <c r="H1015" s="498"/>
      <c r="I1015" s="442"/>
      <c r="J1015" s="9"/>
      <c r="K1015" s="542">
        <v>7</v>
      </c>
      <c r="L1015" s="1223" t="s">
        <v>61</v>
      </c>
      <c r="M1015" s="1223"/>
      <c r="N1015" s="1223"/>
      <c r="O1015" s="497">
        <f>E1015</f>
        <v>60515.636657999996</v>
      </c>
      <c r="P1015" s="498"/>
      <c r="Q1015" s="498"/>
      <c r="R1015" s="498"/>
      <c r="S1015" s="442"/>
    </row>
    <row r="1016" spans="1:19">
      <c r="A1016" s="441"/>
      <c r="B1016" s="9"/>
      <c r="C1016" s="9"/>
      <c r="D1016" s="9"/>
      <c r="E1016" s="9"/>
      <c r="F1016" s="9"/>
      <c r="G1016" s="9"/>
      <c r="H1016" s="9"/>
      <c r="I1016" s="442"/>
      <c r="J1016" s="9"/>
      <c r="K1016" s="441"/>
      <c r="L1016" s="9"/>
      <c r="M1016" s="9"/>
      <c r="N1016" s="9"/>
      <c r="O1016" s="9"/>
      <c r="P1016" s="9"/>
      <c r="Q1016" s="9"/>
      <c r="R1016" s="9"/>
      <c r="S1016" s="442"/>
    </row>
    <row r="1017" spans="1:19">
      <c r="A1017" s="441"/>
      <c r="B1017" s="9"/>
      <c r="C1017" s="9"/>
      <c r="D1017" s="9"/>
      <c r="E1017" s="9"/>
      <c r="F1017" s="9"/>
      <c r="G1017" s="9"/>
      <c r="H1017" s="9"/>
      <c r="I1017" s="442"/>
      <c r="J1017" s="9"/>
      <c r="K1017" s="441"/>
      <c r="L1017" s="9"/>
      <c r="M1017" s="9"/>
      <c r="N1017" s="9"/>
      <c r="O1017" s="9"/>
      <c r="P1017" s="9"/>
      <c r="Q1017" s="9"/>
      <c r="R1017" s="9"/>
      <c r="S1017" s="442"/>
    </row>
    <row r="1018" spans="1:19" ht="15.75" thickBot="1">
      <c r="A1018" s="441"/>
      <c r="B1018" s="9"/>
      <c r="C1018" s="9"/>
      <c r="D1018" s="9"/>
      <c r="E1018" s="9"/>
      <c r="F1018" s="444"/>
      <c r="G1018" s="444"/>
      <c r="H1018" s="444"/>
      <c r="I1018" s="445"/>
      <c r="J1018" s="9"/>
      <c r="K1018" s="441"/>
      <c r="L1018" s="9"/>
      <c r="M1018" s="9"/>
      <c r="N1018" s="9"/>
      <c r="O1018" s="9"/>
      <c r="P1018" s="444"/>
      <c r="Q1018" s="444"/>
      <c r="R1018" s="444"/>
      <c r="S1018" s="445"/>
    </row>
    <row r="1019" spans="1:19" ht="15.75" thickBot="1">
      <c r="A1019" s="443"/>
      <c r="B1019" s="444"/>
      <c r="C1019" s="444"/>
      <c r="D1019" s="444"/>
      <c r="E1019" s="444"/>
      <c r="F1019" s="1224" t="s">
        <v>62</v>
      </c>
      <c r="G1019" s="1224"/>
      <c r="H1019" s="1224"/>
      <c r="I1019" s="1225"/>
      <c r="J1019" s="9"/>
      <c r="K1019" s="443"/>
      <c r="L1019" s="444"/>
      <c r="M1019" s="444"/>
      <c r="N1019" s="444"/>
      <c r="O1019" s="444"/>
      <c r="P1019" s="1224" t="s">
        <v>62</v>
      </c>
      <c r="Q1019" s="1224"/>
      <c r="R1019" s="1224"/>
      <c r="S1019" s="1225"/>
    </row>
    <row r="1020" spans="1:19">
      <c r="A1020" s="9"/>
      <c r="B1020" s="9"/>
      <c r="C1020" s="9"/>
      <c r="D1020" s="9"/>
      <c r="E1020" s="9"/>
      <c r="F1020" s="9"/>
      <c r="G1020" s="9"/>
      <c r="H1020" s="9"/>
      <c r="I1020" s="9"/>
      <c r="J1020" s="9"/>
      <c r="K1020" s="9"/>
      <c r="L1020" s="9"/>
      <c r="M1020" s="9"/>
      <c r="N1020" s="9"/>
      <c r="O1020" s="9"/>
      <c r="P1020" s="9"/>
      <c r="Q1020" s="9"/>
      <c r="R1020" s="9"/>
      <c r="S1020" s="9"/>
    </row>
    <row r="1021" spans="1:19">
      <c r="A1021" s="9"/>
      <c r="B1021" s="9"/>
      <c r="C1021" s="9"/>
      <c r="D1021" s="9"/>
      <c r="E1021" s="9"/>
      <c r="F1021" s="9"/>
      <c r="G1021" s="9"/>
      <c r="H1021" s="9"/>
      <c r="I1021" s="9"/>
      <c r="J1021" s="9"/>
      <c r="K1021" s="9"/>
      <c r="L1021" s="9"/>
      <c r="M1021" s="9"/>
      <c r="N1021" s="9"/>
      <c r="O1021" s="9"/>
      <c r="P1021" s="9"/>
      <c r="Q1021" s="9"/>
      <c r="R1021" s="9"/>
      <c r="S1021" s="9"/>
    </row>
    <row r="1022" spans="1:19">
      <c r="A1022" s="9"/>
      <c r="B1022" s="9"/>
      <c r="C1022" s="9"/>
      <c r="D1022" s="9"/>
      <c r="E1022" s="9"/>
      <c r="F1022" s="9"/>
      <c r="G1022" s="9"/>
      <c r="H1022" s="9"/>
      <c r="I1022" s="9"/>
      <c r="J1022" s="9"/>
      <c r="K1022" s="9"/>
      <c r="L1022" s="9"/>
      <c r="M1022" s="9"/>
      <c r="N1022" s="9"/>
      <c r="O1022" s="9"/>
      <c r="P1022" s="9"/>
      <c r="Q1022" s="9"/>
      <c r="R1022" s="9"/>
      <c r="S1022" s="9"/>
    </row>
    <row r="1023" spans="1:19">
      <c r="A1023" s="9"/>
      <c r="B1023" s="9"/>
      <c r="C1023" s="9"/>
      <c r="D1023" s="9"/>
      <c r="E1023" s="9"/>
      <c r="F1023" s="9"/>
      <c r="G1023" s="9"/>
      <c r="H1023" s="9"/>
      <c r="I1023" s="9"/>
      <c r="J1023" s="9"/>
      <c r="K1023" s="9"/>
      <c r="L1023" s="9"/>
      <c r="M1023" s="9"/>
      <c r="N1023" s="9"/>
      <c r="O1023" s="9"/>
      <c r="P1023" s="9"/>
      <c r="Q1023" s="9"/>
      <c r="R1023" s="9"/>
      <c r="S1023" s="9"/>
    </row>
    <row r="1024" spans="1:19">
      <c r="A1024" s="9"/>
      <c r="B1024" s="9"/>
      <c r="C1024" s="9"/>
      <c r="D1024" s="9"/>
      <c r="E1024" s="9"/>
      <c r="F1024" s="9"/>
      <c r="G1024" s="9"/>
      <c r="H1024" s="9"/>
      <c r="I1024" s="9"/>
      <c r="J1024" s="9"/>
      <c r="K1024" s="9"/>
      <c r="L1024" s="9"/>
      <c r="M1024" s="9"/>
      <c r="N1024" s="9"/>
      <c r="O1024" s="9"/>
      <c r="P1024" s="9"/>
      <c r="Q1024" s="9"/>
      <c r="R1024" s="9"/>
      <c r="S1024" s="9"/>
    </row>
    <row r="1025" spans="1:19">
      <c r="A1025" s="9"/>
      <c r="B1025" s="9"/>
      <c r="C1025" s="9"/>
      <c r="D1025" s="9"/>
      <c r="E1025" s="9"/>
      <c r="F1025" s="9"/>
      <c r="G1025" s="9"/>
      <c r="H1025" s="9"/>
      <c r="I1025" s="9"/>
      <c r="J1025" s="9"/>
      <c r="K1025" s="9"/>
      <c r="L1025" s="9"/>
      <c r="M1025" s="9"/>
      <c r="N1025" s="9"/>
      <c r="O1025" s="9"/>
      <c r="P1025" s="9"/>
      <c r="Q1025" s="9"/>
      <c r="R1025" s="9"/>
      <c r="S1025" s="9"/>
    </row>
    <row r="1026" spans="1:19">
      <c r="A1026" s="9"/>
      <c r="B1026" s="9"/>
      <c r="C1026" s="9"/>
      <c r="D1026" s="9"/>
      <c r="E1026" s="9"/>
      <c r="F1026" s="9"/>
      <c r="G1026" s="9"/>
      <c r="H1026" s="9"/>
      <c r="I1026" s="9"/>
      <c r="J1026" s="9"/>
      <c r="K1026" s="9"/>
      <c r="L1026" s="9"/>
      <c r="M1026" s="9"/>
      <c r="N1026" s="9"/>
      <c r="O1026" s="9"/>
      <c r="P1026" s="9"/>
      <c r="Q1026" s="9"/>
      <c r="R1026" s="9"/>
      <c r="S1026" s="9"/>
    </row>
    <row r="1027" spans="1:19">
      <c r="A1027" s="388"/>
      <c r="B1027" s="388"/>
      <c r="C1027" s="388"/>
      <c r="D1027" s="388"/>
      <c r="E1027" s="388"/>
      <c r="F1027" s="388"/>
      <c r="G1027" s="388"/>
      <c r="H1027" s="388"/>
      <c r="I1027" s="388"/>
      <c r="J1027" s="388"/>
      <c r="K1027" s="388"/>
      <c r="L1027" s="388"/>
      <c r="M1027" s="388"/>
      <c r="N1027" s="388"/>
      <c r="O1027" s="388"/>
      <c r="P1027" s="388"/>
      <c r="Q1027" s="388"/>
      <c r="R1027" s="388"/>
      <c r="S1027" s="388"/>
    </row>
    <row r="1028" spans="1:19">
      <c r="A1028" s="388"/>
      <c r="B1028" s="388"/>
      <c r="C1028" s="388"/>
      <c r="D1028" s="388"/>
      <c r="E1028" s="388"/>
      <c r="F1028" s="388"/>
      <c r="G1028" s="388"/>
      <c r="H1028" s="388"/>
      <c r="I1028" s="388"/>
      <c r="J1028" s="388"/>
      <c r="K1028" s="388"/>
      <c r="L1028" s="388"/>
      <c r="M1028" s="388"/>
      <c r="N1028" s="388"/>
      <c r="O1028" s="388"/>
      <c r="P1028" s="388"/>
      <c r="Q1028" s="388"/>
      <c r="R1028" s="388"/>
      <c r="S1028" s="388"/>
    </row>
    <row r="1029" spans="1:19">
      <c r="A1029" s="388"/>
      <c r="B1029" s="388"/>
      <c r="C1029" s="388"/>
      <c r="D1029" s="388"/>
      <c r="E1029" s="388"/>
      <c r="F1029" s="388"/>
      <c r="G1029" s="388"/>
      <c r="H1029" s="388"/>
      <c r="I1029" s="388"/>
      <c r="J1029" s="388"/>
      <c r="K1029" s="388"/>
      <c r="L1029" s="388"/>
      <c r="M1029" s="388"/>
      <c r="N1029" s="388"/>
      <c r="O1029" s="388"/>
      <c r="P1029" s="388"/>
      <c r="Q1029" s="388"/>
      <c r="R1029" s="388"/>
      <c r="S1029" s="388"/>
    </row>
    <row r="1030" spans="1:19">
      <c r="A1030" s="388"/>
      <c r="B1030" s="388"/>
      <c r="C1030" s="388"/>
      <c r="D1030" s="388"/>
      <c r="E1030" s="388"/>
      <c r="F1030" s="388"/>
      <c r="G1030" s="388"/>
      <c r="H1030" s="388"/>
      <c r="I1030" s="388"/>
      <c r="J1030" s="388"/>
      <c r="K1030" s="388"/>
      <c r="L1030" s="388"/>
      <c r="M1030" s="388"/>
      <c r="N1030" s="388"/>
      <c r="O1030" s="388"/>
      <c r="P1030" s="388"/>
      <c r="Q1030" s="388"/>
      <c r="R1030" s="388"/>
      <c r="S1030" s="388"/>
    </row>
    <row r="1031" spans="1:19">
      <c r="A1031" s="388"/>
      <c r="B1031" s="388"/>
      <c r="C1031" s="388"/>
      <c r="D1031" s="388"/>
      <c r="E1031" s="388"/>
      <c r="F1031" s="388"/>
      <c r="G1031" s="388"/>
      <c r="H1031" s="388"/>
      <c r="I1031" s="388"/>
      <c r="J1031" s="388"/>
      <c r="K1031" s="388"/>
      <c r="L1031" s="388"/>
      <c r="M1031" s="388"/>
      <c r="N1031" s="388"/>
      <c r="O1031" s="388"/>
      <c r="P1031" s="388"/>
      <c r="Q1031" s="388"/>
      <c r="R1031" s="388"/>
      <c r="S1031" s="388"/>
    </row>
    <row r="1032" spans="1:19">
      <c r="A1032" s="388"/>
      <c r="B1032" s="388"/>
      <c r="C1032" s="388"/>
      <c r="D1032" s="388"/>
      <c r="E1032" s="388"/>
      <c r="F1032" s="388"/>
      <c r="G1032" s="388"/>
      <c r="H1032" s="388"/>
      <c r="I1032" s="388"/>
      <c r="J1032" s="388"/>
      <c r="K1032" s="388"/>
      <c r="L1032" s="388"/>
      <c r="M1032" s="388"/>
      <c r="N1032" s="388"/>
      <c r="O1032" s="388"/>
      <c r="P1032" s="388"/>
      <c r="Q1032" s="388"/>
      <c r="R1032" s="388"/>
      <c r="S1032" s="388"/>
    </row>
    <row r="1033" spans="1:19" ht="15.75" thickBot="1">
      <c r="A1033" s="388"/>
      <c r="B1033" s="388"/>
      <c r="C1033" s="388"/>
      <c r="D1033" s="388"/>
      <c r="E1033" s="388"/>
      <c r="F1033" s="388"/>
      <c r="G1033" s="388"/>
      <c r="H1033" s="388"/>
      <c r="I1033" s="388"/>
      <c r="J1033" s="388"/>
      <c r="K1033" s="388"/>
      <c r="L1033" s="388"/>
      <c r="M1033" s="388"/>
      <c r="N1033" s="388"/>
      <c r="O1033" s="388"/>
      <c r="P1033" s="388"/>
      <c r="Q1033" s="388"/>
      <c r="R1033" s="388"/>
      <c r="S1033" s="388"/>
    </row>
    <row r="1034" spans="1:19" ht="27" thickBot="1">
      <c r="A1034" s="1228" t="s">
        <v>592</v>
      </c>
      <c r="B1034" s="1229"/>
      <c r="C1034" s="1229"/>
      <c r="D1034" s="1229"/>
      <c r="E1034" s="1229"/>
      <c r="F1034" s="1229"/>
      <c r="G1034" s="1229"/>
      <c r="H1034" s="1229"/>
      <c r="I1034" s="1230"/>
      <c r="J1034" s="538"/>
      <c r="K1034" s="1228" t="s">
        <v>592</v>
      </c>
      <c r="L1034" s="1229"/>
      <c r="M1034" s="1229"/>
      <c r="N1034" s="1229"/>
      <c r="O1034" s="1229"/>
      <c r="P1034" s="1229"/>
      <c r="Q1034" s="1229"/>
      <c r="R1034" s="1229"/>
      <c r="S1034" s="1230"/>
    </row>
    <row r="1035" spans="1:19">
      <c r="A1035" s="1231" t="s">
        <v>593</v>
      </c>
      <c r="B1035" s="1232"/>
      <c r="C1035" s="1232"/>
      <c r="D1035" s="1232"/>
      <c r="E1035" s="1232"/>
      <c r="F1035" s="1232"/>
      <c r="G1035" s="1232"/>
      <c r="H1035" s="1232"/>
      <c r="I1035" s="1233"/>
      <c r="J1035" s="9"/>
      <c r="K1035" s="1231" t="s">
        <v>593</v>
      </c>
      <c r="L1035" s="1232"/>
      <c r="M1035" s="1232"/>
      <c r="N1035" s="1232"/>
      <c r="O1035" s="1232"/>
      <c r="P1035" s="1232"/>
      <c r="Q1035" s="1232"/>
      <c r="R1035" s="1232"/>
      <c r="S1035" s="1233"/>
    </row>
    <row r="1036" spans="1:19">
      <c r="A1036" s="441"/>
      <c r="B1036" s="9"/>
      <c r="C1036" s="9"/>
      <c r="D1036" s="9"/>
      <c r="E1036" s="9"/>
      <c r="F1036" s="9"/>
      <c r="G1036" s="9"/>
      <c r="H1036" s="9"/>
      <c r="I1036" s="442"/>
      <c r="J1036" s="9"/>
      <c r="K1036" s="441"/>
      <c r="L1036" s="9"/>
      <c r="M1036" s="9"/>
      <c r="N1036" s="9"/>
      <c r="O1036" s="9"/>
      <c r="P1036" s="9"/>
      <c r="Q1036" s="9"/>
      <c r="R1036" s="9"/>
      <c r="S1036" s="442"/>
    </row>
    <row r="1037" spans="1:19">
      <c r="A1037" s="539" t="s">
        <v>49</v>
      </c>
      <c r="B1037" s="421"/>
      <c r="C1037" s="421"/>
      <c r="D1037" s="419" t="s">
        <v>382</v>
      </c>
      <c r="E1037" s="9"/>
      <c r="F1037" s="9"/>
      <c r="G1037" s="9"/>
      <c r="H1037" s="9"/>
      <c r="I1037" s="442"/>
      <c r="J1037" s="9"/>
      <c r="K1037" s="539" t="s">
        <v>49</v>
      </c>
      <c r="L1037" s="421"/>
      <c r="M1037" s="421"/>
      <c r="N1037" s="419" t="s">
        <v>382</v>
      </c>
      <c r="O1037" s="9"/>
      <c r="P1037" s="9"/>
      <c r="Q1037" s="9"/>
      <c r="R1037" s="9"/>
      <c r="S1037" s="442"/>
    </row>
    <row r="1038" spans="1:19">
      <c r="A1038" s="539"/>
      <c r="B1038" s="421"/>
      <c r="C1038" s="421"/>
      <c r="D1038" s="421" t="s">
        <v>383</v>
      </c>
      <c r="E1038" s="9"/>
      <c r="F1038" s="9"/>
      <c r="G1038" s="9"/>
      <c r="H1038" s="9"/>
      <c r="I1038" s="442"/>
      <c r="J1038" s="9"/>
      <c r="K1038" s="539"/>
      <c r="L1038" s="421"/>
      <c r="M1038" s="421"/>
      <c r="N1038" s="421" t="s">
        <v>383</v>
      </c>
      <c r="O1038" s="9"/>
      <c r="P1038" s="9"/>
      <c r="Q1038" s="9"/>
      <c r="R1038" s="9"/>
      <c r="S1038" s="442"/>
    </row>
    <row r="1039" spans="1:19">
      <c r="A1039" s="539"/>
      <c r="B1039" s="421"/>
      <c r="C1039" s="421"/>
      <c r="D1039" s="421"/>
      <c r="E1039" s="421"/>
      <c r="F1039" s="9"/>
      <c r="G1039" s="9"/>
      <c r="H1039" s="9"/>
      <c r="I1039" s="442"/>
      <c r="J1039" s="9"/>
      <c r="K1039" s="539"/>
      <c r="L1039" s="421"/>
      <c r="M1039" s="421"/>
      <c r="N1039" s="421"/>
      <c r="O1039" s="421"/>
      <c r="P1039" s="9"/>
      <c r="Q1039" s="9"/>
      <c r="R1039" s="9"/>
      <c r="S1039" s="442"/>
    </row>
    <row r="1040" spans="1:19">
      <c r="A1040" s="1234" t="s">
        <v>50</v>
      </c>
      <c r="B1040" s="1227"/>
      <c r="C1040" s="1227"/>
      <c r="D1040" s="1227"/>
      <c r="E1040" s="421"/>
      <c r="F1040" s="9"/>
      <c r="G1040" s="9"/>
      <c r="H1040" s="9"/>
      <c r="I1040" s="442"/>
      <c r="J1040" s="9"/>
      <c r="K1040" s="1234" t="s">
        <v>50</v>
      </c>
      <c r="L1040" s="1227"/>
      <c r="M1040" s="1227"/>
      <c r="N1040" s="1227"/>
      <c r="O1040" s="421"/>
      <c r="P1040" s="9"/>
      <c r="Q1040" s="9"/>
      <c r="R1040" s="9"/>
      <c r="S1040" s="442"/>
    </row>
    <row r="1041" spans="1:19">
      <c r="A1041" s="1234"/>
      <c r="B1041" s="1227"/>
      <c r="C1041" s="1227"/>
      <c r="D1041" s="1227"/>
      <c r="E1041" s="540">
        <f>'04-221Master'!B662</f>
        <v>0</v>
      </c>
      <c r="F1041" s="498"/>
      <c r="G1041" s="498">
        <f>'04-221Master'!E1026</f>
        <v>0</v>
      </c>
      <c r="H1041" s="498">
        <f>'04-221Master'!E662</f>
        <v>0</v>
      </c>
      <c r="I1041" s="442"/>
      <c r="J1041" s="9"/>
      <c r="K1041" s="1234"/>
      <c r="L1041" s="1227"/>
      <c r="M1041" s="1227"/>
      <c r="N1041" s="1227"/>
      <c r="O1041" s="540">
        <f>E1041</f>
        <v>0</v>
      </c>
      <c r="P1041" s="498"/>
      <c r="Q1041" s="498"/>
      <c r="R1041" s="498"/>
      <c r="S1041" s="442"/>
    </row>
    <row r="1042" spans="1:19">
      <c r="A1042" s="539"/>
      <c r="B1042" s="421"/>
      <c r="C1042" s="421"/>
      <c r="D1042" s="421"/>
      <c r="E1042" s="421"/>
      <c r="F1042" s="9"/>
      <c r="G1042" s="9"/>
      <c r="H1042" s="9"/>
      <c r="I1042" s="442"/>
      <c r="J1042" s="9"/>
      <c r="K1042" s="539"/>
      <c r="L1042" s="421"/>
      <c r="M1042" s="421"/>
      <c r="N1042" s="421"/>
      <c r="O1042" s="421"/>
      <c r="P1042" s="9"/>
      <c r="Q1042" s="9"/>
      <c r="R1042" s="9"/>
      <c r="S1042" s="442"/>
    </row>
    <row r="1043" spans="1:19">
      <c r="A1043" s="1226" t="s">
        <v>51</v>
      </c>
      <c r="B1043" s="1223"/>
      <c r="C1043" s="1223"/>
      <c r="D1043" s="1223"/>
      <c r="E1043" s="423" t="s">
        <v>373</v>
      </c>
      <c r="F1043" s="498"/>
      <c r="G1043" s="498"/>
      <c r="H1043" s="498"/>
      <c r="I1043" s="442"/>
      <c r="J1043" s="9"/>
      <c r="K1043" s="1226" t="s">
        <v>51</v>
      </c>
      <c r="L1043" s="1223"/>
      <c r="M1043" s="1223"/>
      <c r="N1043" s="1223"/>
      <c r="O1043" s="540" t="str">
        <f>E1043</f>
        <v>IT SUPPORTIVE SERVICES</v>
      </c>
      <c r="P1043" s="498"/>
      <c r="Q1043" s="498"/>
      <c r="R1043" s="498"/>
      <c r="S1043" s="442"/>
    </row>
    <row r="1044" spans="1:19">
      <c r="A1044" s="539"/>
      <c r="B1044" s="421"/>
      <c r="C1044" s="421"/>
      <c r="D1044" s="421"/>
      <c r="E1044" s="421"/>
      <c r="F1044" s="9"/>
      <c r="G1044" s="9"/>
      <c r="H1044" s="9"/>
      <c r="I1044" s="442"/>
      <c r="J1044" s="9"/>
      <c r="K1044" s="539"/>
      <c r="L1044" s="421"/>
      <c r="M1044" s="421"/>
      <c r="N1044" s="421"/>
      <c r="O1044" s="421"/>
      <c r="P1044" s="9"/>
      <c r="Q1044" s="9"/>
      <c r="R1044" s="9"/>
      <c r="S1044" s="442"/>
    </row>
    <row r="1045" spans="1:19">
      <c r="A1045" s="1226" t="s">
        <v>52</v>
      </c>
      <c r="B1045" s="1223"/>
      <c r="C1045" s="1223"/>
      <c r="D1045" s="1223"/>
      <c r="E1045" s="541">
        <f>'04-221Master'!D293</f>
        <v>0</v>
      </c>
      <c r="F1045" s="498"/>
      <c r="G1045" s="498"/>
      <c r="H1045" s="498"/>
      <c r="I1045" s="442"/>
      <c r="J1045" s="9"/>
      <c r="K1045" s="1226" t="s">
        <v>52</v>
      </c>
      <c r="L1045" s="1223"/>
      <c r="M1045" s="1223"/>
      <c r="N1045" s="1223"/>
      <c r="O1045" s="541">
        <f>E1045</f>
        <v>0</v>
      </c>
      <c r="P1045" s="498"/>
      <c r="Q1045" s="498"/>
      <c r="R1045" s="498"/>
      <c r="S1045" s="442"/>
    </row>
    <row r="1046" spans="1:19">
      <c r="A1046" s="539"/>
      <c r="B1046" s="421"/>
      <c r="C1046" s="421"/>
      <c r="D1046" s="421"/>
      <c r="E1046" s="421"/>
      <c r="F1046" s="9"/>
      <c r="G1046" s="9"/>
      <c r="H1046" s="9"/>
      <c r="I1046" s="442"/>
      <c r="J1046" s="9"/>
      <c r="K1046" s="539"/>
      <c r="L1046" s="421"/>
      <c r="M1046" s="421"/>
      <c r="N1046" s="421"/>
      <c r="O1046" s="421"/>
      <c r="P1046" s="9"/>
      <c r="Q1046" s="9"/>
      <c r="R1046" s="9"/>
      <c r="S1046" s="442"/>
    </row>
    <row r="1047" spans="1:19">
      <c r="A1047" s="542">
        <v>1</v>
      </c>
      <c r="B1047" s="1223" t="s">
        <v>53</v>
      </c>
      <c r="C1047" s="1223"/>
      <c r="D1047" s="1223"/>
      <c r="E1047" s="543">
        <f>'04-221Master'!W662</f>
        <v>0</v>
      </c>
      <c r="F1047" s="498"/>
      <c r="G1047" s="498"/>
      <c r="H1047" s="498"/>
      <c r="I1047" s="442"/>
      <c r="J1047" s="9"/>
      <c r="K1047" s="542">
        <v>1</v>
      </c>
      <c r="L1047" s="1223" t="s">
        <v>53</v>
      </c>
      <c r="M1047" s="1223"/>
      <c r="N1047" s="1223"/>
      <c r="O1047" s="543">
        <f>E1047</f>
        <v>0</v>
      </c>
      <c r="P1047" s="498"/>
      <c r="Q1047" s="498"/>
      <c r="R1047" s="498"/>
      <c r="S1047" s="442"/>
    </row>
    <row r="1048" spans="1:19">
      <c r="A1048" s="542"/>
      <c r="B1048" s="421"/>
      <c r="C1048" s="421"/>
      <c r="D1048" s="421"/>
      <c r="E1048" s="421"/>
      <c r="F1048" s="9"/>
      <c r="G1048" s="9"/>
      <c r="H1048" s="9"/>
      <c r="I1048" s="442"/>
      <c r="J1048" s="9"/>
      <c r="K1048" s="542"/>
      <c r="L1048" s="421"/>
      <c r="M1048" s="421"/>
      <c r="N1048" s="421"/>
      <c r="O1048" s="421"/>
      <c r="P1048" s="9"/>
      <c r="Q1048" s="9"/>
      <c r="R1048" s="9"/>
      <c r="S1048" s="442"/>
    </row>
    <row r="1049" spans="1:19">
      <c r="A1049" s="542">
        <v>2</v>
      </c>
      <c r="B1049" s="1227" t="s">
        <v>54</v>
      </c>
      <c r="C1049" s="1227"/>
      <c r="D1049" s="1227"/>
      <c r="E1049" s="421"/>
      <c r="F1049" s="9"/>
      <c r="G1049" s="9"/>
      <c r="H1049" s="9"/>
      <c r="I1049" s="442"/>
      <c r="J1049" s="9"/>
      <c r="K1049" s="542">
        <v>2</v>
      </c>
      <c r="L1049" s="1227" t="s">
        <v>54</v>
      </c>
      <c r="M1049" s="1227"/>
      <c r="N1049" s="1227"/>
      <c r="O1049" s="421"/>
      <c r="P1049" s="9"/>
      <c r="Q1049" s="9"/>
      <c r="R1049" s="9"/>
      <c r="S1049" s="442"/>
    </row>
    <row r="1050" spans="1:19">
      <c r="A1050" s="542"/>
      <c r="B1050" s="1227"/>
      <c r="C1050" s="1227"/>
      <c r="D1050" s="1227"/>
      <c r="E1050" s="544" t="s">
        <v>37</v>
      </c>
      <c r="F1050" s="498"/>
      <c r="G1050" s="498"/>
      <c r="H1050" s="498"/>
      <c r="I1050" s="442"/>
      <c r="J1050" s="9"/>
      <c r="K1050" s="542"/>
      <c r="L1050" s="1227"/>
      <c r="M1050" s="1227"/>
      <c r="N1050" s="1227"/>
      <c r="O1050" s="544" t="s">
        <v>37</v>
      </c>
      <c r="P1050" s="498"/>
      <c r="Q1050" s="498"/>
      <c r="R1050" s="498"/>
      <c r="S1050" s="442"/>
    </row>
    <row r="1051" spans="1:19">
      <c r="A1051" s="542"/>
      <c r="B1051" s="421"/>
      <c r="C1051" s="421"/>
      <c r="D1051" s="421"/>
      <c r="E1051" s="421"/>
      <c r="F1051" s="9"/>
      <c r="G1051" s="9"/>
      <c r="H1051" s="9"/>
      <c r="I1051" s="442"/>
      <c r="J1051" s="9"/>
      <c r="K1051" s="542"/>
      <c r="L1051" s="421"/>
      <c r="M1051" s="421"/>
      <c r="N1051" s="421"/>
      <c r="O1051" s="421"/>
      <c r="P1051" s="9"/>
      <c r="Q1051" s="9"/>
      <c r="R1051" s="9"/>
      <c r="S1051" s="442"/>
    </row>
    <row r="1052" spans="1:19">
      <c r="A1052" s="542">
        <v>3</v>
      </c>
      <c r="B1052" s="1223" t="s">
        <v>55</v>
      </c>
      <c r="C1052" s="1223"/>
      <c r="D1052" s="1223"/>
      <c r="E1052" s="544" t="s">
        <v>37</v>
      </c>
      <c r="F1052" s="498"/>
      <c r="G1052" s="498"/>
      <c r="H1052" s="498"/>
      <c r="I1052" s="442"/>
      <c r="J1052" s="9"/>
      <c r="K1052" s="542">
        <v>3</v>
      </c>
      <c r="L1052" s="1223" t="s">
        <v>55</v>
      </c>
      <c r="M1052" s="1223"/>
      <c r="N1052" s="1223"/>
      <c r="O1052" s="540" t="str">
        <f>E1052</f>
        <v>N/A</v>
      </c>
      <c r="P1052" s="498"/>
      <c r="Q1052" s="498"/>
      <c r="R1052" s="498"/>
      <c r="S1052" s="442"/>
    </row>
    <row r="1053" spans="1:19">
      <c r="A1053" s="542"/>
      <c r="B1053" s="421"/>
      <c r="C1053" s="421"/>
      <c r="D1053" s="421"/>
      <c r="E1053" s="421"/>
      <c r="F1053" s="9"/>
      <c r="G1053" s="9"/>
      <c r="H1053" s="9"/>
      <c r="I1053" s="442"/>
      <c r="J1053" s="9"/>
      <c r="K1053" s="542"/>
      <c r="L1053" s="421"/>
      <c r="M1053" s="421"/>
      <c r="N1053" s="421"/>
      <c r="O1053" s="421"/>
      <c r="P1053" s="9"/>
      <c r="Q1053" s="9"/>
      <c r="R1053" s="9"/>
      <c r="S1053" s="442"/>
    </row>
    <row r="1054" spans="1:19">
      <c r="A1054" s="542">
        <v>4</v>
      </c>
      <c r="B1054" s="1223" t="s">
        <v>56</v>
      </c>
      <c r="C1054" s="1223"/>
      <c r="D1054" s="1223"/>
      <c r="E1054" s="544" t="s">
        <v>57</v>
      </c>
      <c r="F1054" s="498"/>
      <c r="G1054" s="498"/>
      <c r="H1054" s="498"/>
      <c r="I1054" s="442"/>
      <c r="J1054" s="9"/>
      <c r="K1054" s="542">
        <v>4</v>
      </c>
      <c r="L1054" s="1223" t="s">
        <v>56</v>
      </c>
      <c r="M1054" s="1223"/>
      <c r="N1054" s="1223"/>
      <c r="O1054" s="544" t="s">
        <v>57</v>
      </c>
      <c r="P1054" s="498"/>
      <c r="Q1054" s="498"/>
      <c r="R1054" s="498"/>
      <c r="S1054" s="442"/>
    </row>
    <row r="1055" spans="1:19">
      <c r="A1055" s="542"/>
      <c r="B1055" s="421"/>
      <c r="C1055" s="421"/>
      <c r="D1055" s="421"/>
      <c r="E1055" s="421"/>
      <c r="F1055" s="9"/>
      <c r="G1055" s="9"/>
      <c r="H1055" s="9"/>
      <c r="I1055" s="442"/>
      <c r="J1055" s="9"/>
      <c r="K1055" s="542"/>
      <c r="L1055" s="421"/>
      <c r="M1055" s="421"/>
      <c r="N1055" s="421"/>
      <c r="O1055" s="421"/>
      <c r="P1055" s="9"/>
      <c r="Q1055" s="9"/>
      <c r="R1055" s="9"/>
      <c r="S1055" s="442"/>
    </row>
    <row r="1056" spans="1:19">
      <c r="A1056" s="542">
        <v>5</v>
      </c>
      <c r="B1056" s="1223" t="s">
        <v>58</v>
      </c>
      <c r="C1056" s="1223"/>
      <c r="D1056" s="1223"/>
      <c r="E1056" s="492">
        <f>'04-221Master'!AM316</f>
        <v>0</v>
      </c>
      <c r="F1056" s="9"/>
      <c r="G1056" s="9"/>
      <c r="H1056" s="9"/>
      <c r="I1056" s="442"/>
      <c r="J1056" s="9"/>
      <c r="K1056" s="542">
        <v>5</v>
      </c>
      <c r="L1056" s="1223" t="s">
        <v>58</v>
      </c>
      <c r="M1056" s="1223"/>
      <c r="N1056" s="1223"/>
      <c r="O1056" s="492">
        <f>E1056</f>
        <v>0</v>
      </c>
      <c r="P1056" s="9"/>
      <c r="Q1056" s="9"/>
      <c r="R1056" s="9"/>
      <c r="S1056" s="442"/>
    </row>
    <row r="1057" spans="1:19">
      <c r="A1057" s="542"/>
      <c r="B1057" s="421"/>
      <c r="C1057" s="421"/>
      <c r="D1057" s="493" t="s">
        <v>59</v>
      </c>
      <c r="E1057" s="493" t="s">
        <v>31</v>
      </c>
      <c r="F1057" s="493" t="s">
        <v>33</v>
      </c>
      <c r="G1057" s="493" t="s">
        <v>34</v>
      </c>
      <c r="H1057" s="493" t="s">
        <v>377</v>
      </c>
      <c r="I1057" s="494" t="s">
        <v>378</v>
      </c>
      <c r="J1057" s="9"/>
      <c r="K1057" s="542"/>
      <c r="L1057" s="421"/>
      <c r="M1057" s="421"/>
      <c r="N1057" s="493" t="s">
        <v>59</v>
      </c>
      <c r="O1057" s="493" t="s">
        <v>31</v>
      </c>
      <c r="P1057" s="493" t="s">
        <v>33</v>
      </c>
      <c r="Q1057" s="493" t="s">
        <v>34</v>
      </c>
      <c r="R1057" s="493" t="s">
        <v>377</v>
      </c>
      <c r="S1057" s="494" t="s">
        <v>378</v>
      </c>
    </row>
    <row r="1058" spans="1:19">
      <c r="A1058" s="542">
        <v>6</v>
      </c>
      <c r="B1058" s="867" t="s">
        <v>60</v>
      </c>
      <c r="C1058" s="867"/>
      <c r="D1058" s="495">
        <f>'04-221Master'!AO315</f>
        <v>0</v>
      </c>
      <c r="E1058" s="495">
        <f>'04-221Master'!AN1176</f>
        <v>0</v>
      </c>
      <c r="F1058" s="496">
        <f>'04-221Master'!AP316</f>
        <v>0</v>
      </c>
      <c r="G1058" s="495">
        <f>'04-221Master'!AQ316</f>
        <v>0</v>
      </c>
      <c r="H1058" s="496">
        <f>'04-221Master'!AR316</f>
        <v>0</v>
      </c>
      <c r="I1058" s="496">
        <f>SUM(D1058:H1058)</f>
        <v>0</v>
      </c>
      <c r="J1058" s="9"/>
      <c r="K1058" s="542">
        <v>6</v>
      </c>
      <c r="L1058" s="867" t="s">
        <v>60</v>
      </c>
      <c r="M1058" s="867"/>
      <c r="N1058" s="495">
        <f t="shared" ref="N1058" si="117">D1058</f>
        <v>0</v>
      </c>
      <c r="O1058" s="495">
        <f t="shared" ref="O1058" si="118">E1058</f>
        <v>0</v>
      </c>
      <c r="P1058" s="496">
        <f t="shared" ref="P1058" si="119">F1058</f>
        <v>0</v>
      </c>
      <c r="Q1058" s="495">
        <f t="shared" ref="Q1058" si="120">G1058</f>
        <v>0</v>
      </c>
      <c r="R1058" s="496">
        <f t="shared" ref="R1058" si="121">H1058</f>
        <v>0</v>
      </c>
      <c r="S1058" s="496">
        <f t="shared" ref="S1058" si="122">I1058</f>
        <v>0</v>
      </c>
    </row>
    <row r="1059" spans="1:19">
      <c r="A1059" s="542"/>
      <c r="B1059" s="421"/>
      <c r="C1059" s="421"/>
      <c r="D1059" s="421"/>
      <c r="E1059" s="421"/>
      <c r="F1059" s="9"/>
      <c r="G1059" s="9"/>
      <c r="H1059" s="9"/>
      <c r="I1059" s="442"/>
      <c r="J1059" s="9"/>
      <c r="K1059" s="542"/>
      <c r="L1059" s="421"/>
      <c r="M1059" s="421"/>
      <c r="N1059" s="421"/>
      <c r="O1059" s="421"/>
      <c r="P1059" s="9"/>
      <c r="Q1059" s="9"/>
      <c r="R1059" s="9"/>
      <c r="S1059" s="442"/>
    </row>
    <row r="1060" spans="1:19">
      <c r="A1060" s="542">
        <v>7</v>
      </c>
      <c r="B1060" s="1223" t="s">
        <v>61</v>
      </c>
      <c r="C1060" s="1223"/>
      <c r="D1060" s="1223"/>
      <c r="E1060" s="497">
        <f>E1056-I1058</f>
        <v>0</v>
      </c>
      <c r="F1060" s="498"/>
      <c r="G1060" s="498"/>
      <c r="H1060" s="498"/>
      <c r="I1060" s="442"/>
      <c r="J1060" s="9"/>
      <c r="K1060" s="542">
        <v>7</v>
      </c>
      <c r="L1060" s="1223" t="s">
        <v>61</v>
      </c>
      <c r="M1060" s="1223"/>
      <c r="N1060" s="1223"/>
      <c r="O1060" s="497">
        <f>E1060</f>
        <v>0</v>
      </c>
      <c r="P1060" s="498"/>
      <c r="Q1060" s="498"/>
      <c r="R1060" s="498"/>
      <c r="S1060" s="442"/>
    </row>
    <row r="1061" spans="1:19">
      <c r="A1061" s="441"/>
      <c r="B1061" s="9"/>
      <c r="C1061" s="9"/>
      <c r="D1061" s="9"/>
      <c r="E1061" s="9"/>
      <c r="F1061" s="9"/>
      <c r="G1061" s="9"/>
      <c r="H1061" s="9"/>
      <c r="I1061" s="442"/>
      <c r="J1061" s="9"/>
      <c r="K1061" s="441"/>
      <c r="L1061" s="9"/>
      <c r="M1061" s="9"/>
      <c r="N1061" s="9"/>
      <c r="O1061" s="9"/>
      <c r="P1061" s="9"/>
      <c r="Q1061" s="9"/>
      <c r="R1061" s="9"/>
      <c r="S1061" s="442"/>
    </row>
    <row r="1062" spans="1:19">
      <c r="A1062" s="441"/>
      <c r="B1062" s="9"/>
      <c r="C1062" s="9"/>
      <c r="D1062" s="9"/>
      <c r="E1062" s="9"/>
      <c r="F1062" s="9"/>
      <c r="G1062" s="9"/>
      <c r="H1062" s="9"/>
      <c r="I1062" s="442"/>
      <c r="J1062" s="9"/>
      <c r="K1062" s="441"/>
      <c r="L1062" s="9"/>
      <c r="M1062" s="9"/>
      <c r="N1062" s="9"/>
      <c r="O1062" s="9"/>
      <c r="P1062" s="9"/>
      <c r="Q1062" s="9"/>
      <c r="R1062" s="9"/>
      <c r="S1062" s="442"/>
    </row>
    <row r="1063" spans="1:19" ht="15.75" thickBot="1">
      <c r="A1063" s="441"/>
      <c r="B1063" s="9"/>
      <c r="C1063" s="9"/>
      <c r="D1063" s="9"/>
      <c r="E1063" s="9"/>
      <c r="F1063" s="444"/>
      <c r="G1063" s="444"/>
      <c r="H1063" s="444"/>
      <c r="I1063" s="445"/>
      <c r="J1063" s="9"/>
      <c r="K1063" s="441"/>
      <c r="L1063" s="9"/>
      <c r="M1063" s="9"/>
      <c r="N1063" s="9"/>
      <c r="O1063" s="9"/>
      <c r="P1063" s="444"/>
      <c r="Q1063" s="444"/>
      <c r="R1063" s="444"/>
      <c r="S1063" s="445"/>
    </row>
    <row r="1064" spans="1:19" ht="15.75" thickBot="1">
      <c r="A1064" s="443"/>
      <c r="B1064" s="444"/>
      <c r="C1064" s="444"/>
      <c r="D1064" s="444"/>
      <c r="E1064" s="444"/>
      <c r="F1064" s="1224" t="s">
        <v>62</v>
      </c>
      <c r="G1064" s="1224"/>
      <c r="H1064" s="1224"/>
      <c r="I1064" s="1225"/>
      <c r="J1064" s="9"/>
      <c r="K1064" s="443"/>
      <c r="L1064" s="444"/>
      <c r="M1064" s="444"/>
      <c r="N1064" s="444"/>
      <c r="O1064" s="444"/>
      <c r="P1064" s="1224" t="s">
        <v>62</v>
      </c>
      <c r="Q1064" s="1224"/>
      <c r="R1064" s="1224"/>
      <c r="S1064" s="1225"/>
    </row>
    <row r="1065" spans="1:19">
      <c r="A1065" s="9"/>
      <c r="B1065" s="9"/>
      <c r="C1065" s="9"/>
      <c r="D1065" s="9"/>
      <c r="E1065" s="9"/>
      <c r="F1065" s="9"/>
      <c r="G1065" s="9"/>
      <c r="H1065" s="9"/>
      <c r="I1065" s="9"/>
      <c r="J1065" s="9"/>
      <c r="K1065" s="9"/>
      <c r="L1065" s="9"/>
      <c r="M1065" s="9"/>
      <c r="N1065" s="9"/>
      <c r="O1065" s="9"/>
      <c r="P1065" s="9"/>
      <c r="Q1065" s="9"/>
      <c r="R1065" s="9"/>
      <c r="S1065" s="9"/>
    </row>
    <row r="1066" spans="1:19">
      <c r="A1066" s="9"/>
      <c r="B1066" s="9"/>
      <c r="C1066" s="9"/>
      <c r="D1066" s="9"/>
      <c r="E1066" s="9"/>
      <c r="F1066" s="9"/>
      <c r="G1066" s="9"/>
      <c r="H1066" s="9"/>
      <c r="I1066" s="9"/>
      <c r="J1066" s="9"/>
      <c r="K1066" s="9"/>
      <c r="L1066" s="9"/>
      <c r="M1066" s="9"/>
      <c r="N1066" s="9"/>
      <c r="O1066" s="9"/>
      <c r="P1066" s="9"/>
      <c r="Q1066" s="9"/>
      <c r="R1066" s="9"/>
      <c r="S1066" s="9"/>
    </row>
    <row r="1067" spans="1:19">
      <c r="A1067" s="9"/>
      <c r="B1067" s="9"/>
      <c r="C1067" s="9"/>
      <c r="D1067" s="9"/>
      <c r="E1067" s="9"/>
      <c r="F1067" s="9"/>
      <c r="G1067" s="9"/>
      <c r="H1067" s="9"/>
      <c r="I1067" s="9"/>
      <c r="J1067" s="9"/>
      <c r="K1067" s="9"/>
      <c r="L1067" s="9"/>
      <c r="M1067" s="9"/>
      <c r="N1067" s="9"/>
      <c r="O1067" s="9"/>
      <c r="P1067" s="9"/>
      <c r="Q1067" s="9"/>
      <c r="R1067" s="9"/>
      <c r="S1067" s="9"/>
    </row>
    <row r="1068" spans="1:19">
      <c r="A1068" s="9"/>
      <c r="B1068" s="9"/>
      <c r="C1068" s="9"/>
      <c r="D1068" s="9"/>
      <c r="E1068" s="9"/>
      <c r="F1068" s="9"/>
      <c r="G1068" s="9"/>
      <c r="H1068" s="9"/>
      <c r="I1068" s="9"/>
      <c r="J1068" s="9"/>
      <c r="K1068" s="9"/>
      <c r="L1068" s="9"/>
      <c r="M1068" s="9"/>
      <c r="N1068" s="9"/>
      <c r="O1068" s="9"/>
      <c r="P1068" s="9"/>
      <c r="Q1068" s="9"/>
      <c r="R1068" s="9"/>
      <c r="S1068" s="9"/>
    </row>
    <row r="1069" spans="1:19">
      <c r="A1069" s="9"/>
      <c r="B1069" s="9"/>
      <c r="C1069" s="9"/>
      <c r="D1069" s="9"/>
      <c r="E1069" s="9"/>
      <c r="F1069" s="9"/>
      <c r="G1069" s="9"/>
      <c r="H1069" s="9"/>
      <c r="I1069" s="9"/>
      <c r="J1069" s="9"/>
      <c r="K1069" s="9"/>
      <c r="L1069" s="9"/>
      <c r="M1069" s="9"/>
      <c r="N1069" s="9"/>
      <c r="O1069" s="9"/>
      <c r="P1069" s="9"/>
      <c r="Q1069" s="9"/>
      <c r="R1069" s="9"/>
      <c r="S1069" s="9"/>
    </row>
    <row r="1070" spans="1:19">
      <c r="A1070" s="9"/>
      <c r="B1070" s="9"/>
      <c r="C1070" s="9"/>
      <c r="D1070" s="9"/>
      <c r="E1070" s="9"/>
      <c r="F1070" s="9"/>
      <c r="G1070" s="9"/>
      <c r="H1070" s="9"/>
      <c r="I1070" s="9"/>
      <c r="J1070" s="9"/>
      <c r="K1070" s="9"/>
      <c r="L1070" s="9"/>
      <c r="M1070" s="9"/>
      <c r="N1070" s="9"/>
      <c r="O1070" s="9"/>
      <c r="P1070" s="9"/>
      <c r="Q1070" s="9"/>
      <c r="R1070" s="9"/>
      <c r="S1070" s="9"/>
    </row>
    <row r="1071" spans="1:19">
      <c r="A1071" s="9"/>
      <c r="B1071" s="9"/>
      <c r="C1071" s="9"/>
      <c r="D1071" s="9"/>
      <c r="E1071" s="9"/>
      <c r="F1071" s="9"/>
      <c r="G1071" s="9"/>
      <c r="H1071" s="9"/>
      <c r="I1071" s="9"/>
      <c r="J1071" s="9"/>
      <c r="K1071" s="9"/>
      <c r="L1071" s="9"/>
      <c r="M1071" s="9"/>
      <c r="N1071" s="9"/>
      <c r="O1071" s="9"/>
      <c r="P1071" s="9"/>
      <c r="Q1071" s="9"/>
      <c r="R1071" s="9"/>
      <c r="S1071" s="9"/>
    </row>
    <row r="1072" spans="1:19">
      <c r="A1072" s="9"/>
      <c r="B1072" s="9"/>
      <c r="C1072" s="9"/>
      <c r="D1072" s="9"/>
      <c r="E1072" s="9"/>
      <c r="F1072" s="9"/>
      <c r="G1072" s="9"/>
      <c r="H1072" s="9"/>
      <c r="I1072" s="9"/>
      <c r="J1072" s="9"/>
      <c r="K1072" s="9"/>
      <c r="L1072" s="9"/>
      <c r="M1072" s="9"/>
      <c r="N1072" s="9"/>
      <c r="O1072" s="9"/>
      <c r="P1072" s="9"/>
      <c r="Q1072" s="9"/>
      <c r="R1072" s="9"/>
      <c r="S1072" s="9"/>
    </row>
    <row r="1073" spans="1:19">
      <c r="A1073" s="9"/>
      <c r="B1073" s="9"/>
      <c r="C1073" s="9"/>
      <c r="D1073" s="9"/>
      <c r="E1073" s="9"/>
      <c r="F1073" s="9"/>
      <c r="G1073" s="9"/>
      <c r="H1073" s="9"/>
      <c r="I1073" s="9"/>
      <c r="J1073" s="9"/>
      <c r="K1073" s="9"/>
      <c r="L1073" s="9"/>
      <c r="M1073" s="9"/>
      <c r="N1073" s="9"/>
      <c r="O1073" s="9"/>
      <c r="P1073" s="9"/>
      <c r="Q1073" s="9"/>
      <c r="R1073" s="9"/>
      <c r="S1073" s="9"/>
    </row>
    <row r="1074" spans="1:19">
      <c r="A1074" s="9"/>
      <c r="B1074" s="9"/>
      <c r="C1074" s="9"/>
      <c r="D1074" s="9"/>
      <c r="E1074" s="9"/>
      <c r="F1074" s="9"/>
      <c r="G1074" s="9"/>
      <c r="H1074" s="9"/>
      <c r="I1074" s="9"/>
      <c r="J1074" s="9"/>
      <c r="K1074" s="9"/>
      <c r="L1074" s="9"/>
      <c r="M1074" s="9"/>
      <c r="N1074" s="9"/>
      <c r="O1074" s="9"/>
      <c r="P1074" s="9"/>
      <c r="Q1074" s="9"/>
      <c r="R1074" s="9"/>
      <c r="S1074" s="9"/>
    </row>
    <row r="1075" spans="1:19">
      <c r="A1075" s="9"/>
      <c r="B1075" s="9"/>
      <c r="C1075" s="9"/>
      <c r="D1075" s="9"/>
      <c r="E1075" s="9"/>
      <c r="F1075" s="9"/>
      <c r="G1075" s="9"/>
      <c r="H1075" s="9"/>
      <c r="I1075" s="9"/>
      <c r="J1075" s="9"/>
      <c r="K1075" s="9"/>
      <c r="L1075" s="9"/>
      <c r="M1075" s="9"/>
      <c r="N1075" s="9"/>
      <c r="O1075" s="9"/>
      <c r="P1075" s="9"/>
      <c r="Q1075" s="9"/>
      <c r="R1075" s="9"/>
      <c r="S1075" s="9"/>
    </row>
    <row r="1076" spans="1:19">
      <c r="A1076" s="388"/>
      <c r="B1076" s="388"/>
      <c r="C1076" s="388"/>
      <c r="D1076" s="388"/>
      <c r="E1076" s="388"/>
      <c r="F1076" s="388"/>
      <c r="G1076" s="388"/>
      <c r="H1076" s="388"/>
      <c r="I1076" s="388"/>
      <c r="J1076" s="388"/>
      <c r="K1076" s="388"/>
      <c r="L1076" s="388"/>
      <c r="M1076" s="388"/>
      <c r="N1076" s="388"/>
      <c r="O1076" s="388"/>
      <c r="P1076" s="388"/>
      <c r="Q1076" s="388"/>
      <c r="R1076" s="388"/>
      <c r="S1076" s="388"/>
    </row>
    <row r="1077" spans="1:19">
      <c r="A1077" s="388"/>
      <c r="B1077" s="388"/>
      <c r="C1077" s="388"/>
      <c r="D1077" s="388"/>
      <c r="E1077" s="388"/>
      <c r="F1077" s="388"/>
      <c r="G1077" s="388"/>
      <c r="H1077" s="388"/>
      <c r="I1077" s="388"/>
      <c r="J1077" s="388"/>
      <c r="K1077" s="388"/>
      <c r="L1077" s="388"/>
      <c r="M1077" s="388"/>
      <c r="N1077" s="388"/>
      <c r="O1077" s="388"/>
      <c r="P1077" s="388"/>
      <c r="Q1077" s="388"/>
      <c r="R1077" s="388"/>
      <c r="S1077" s="388"/>
    </row>
    <row r="1078" spans="1:19">
      <c r="A1078" s="388"/>
      <c r="B1078" s="388"/>
      <c r="C1078" s="388"/>
      <c r="D1078" s="388"/>
      <c r="E1078" s="388"/>
      <c r="F1078" s="388"/>
      <c r="G1078" s="388"/>
      <c r="H1078" s="388"/>
      <c r="I1078" s="388"/>
      <c r="J1078" s="388"/>
      <c r="K1078" s="388"/>
      <c r="L1078" s="388"/>
      <c r="M1078" s="388"/>
      <c r="N1078" s="388"/>
      <c r="O1078" s="388"/>
      <c r="P1078" s="388"/>
      <c r="Q1078" s="388"/>
      <c r="R1078" s="388"/>
      <c r="S1078" s="388"/>
    </row>
    <row r="1079" spans="1:19">
      <c r="A1079" s="388"/>
      <c r="B1079" s="388"/>
      <c r="C1079" s="388"/>
      <c r="D1079" s="388"/>
      <c r="E1079" s="388"/>
      <c r="F1079" s="388"/>
      <c r="G1079" s="388"/>
      <c r="H1079" s="388"/>
      <c r="I1079" s="388"/>
      <c r="J1079" s="388"/>
      <c r="K1079" s="388"/>
      <c r="L1079" s="388"/>
      <c r="M1079" s="388"/>
      <c r="N1079" s="388"/>
      <c r="O1079" s="388"/>
      <c r="P1079" s="388"/>
      <c r="Q1079" s="388"/>
      <c r="R1079" s="388"/>
      <c r="S1079" s="388"/>
    </row>
    <row r="1080" spans="1:19">
      <c r="A1080" s="388"/>
      <c r="B1080" s="388"/>
      <c r="C1080" s="388"/>
      <c r="D1080" s="388"/>
      <c r="E1080" s="388"/>
      <c r="F1080" s="388"/>
      <c r="G1080" s="388"/>
      <c r="H1080" s="388"/>
      <c r="I1080" s="388"/>
      <c r="J1080" s="388"/>
      <c r="K1080" s="388"/>
      <c r="L1080" s="388"/>
      <c r="M1080" s="388"/>
      <c r="N1080" s="388"/>
      <c r="O1080" s="388"/>
      <c r="P1080" s="388"/>
      <c r="Q1080" s="388"/>
      <c r="R1080" s="388"/>
      <c r="S1080" s="388"/>
    </row>
    <row r="1081" spans="1:19">
      <c r="A1081" s="388"/>
      <c r="B1081" s="388"/>
      <c r="C1081" s="388"/>
      <c r="D1081" s="388"/>
      <c r="E1081" s="388"/>
      <c r="F1081" s="388"/>
      <c r="G1081" s="388"/>
      <c r="H1081" s="388"/>
      <c r="I1081" s="388"/>
      <c r="J1081" s="388"/>
      <c r="K1081" s="388"/>
      <c r="L1081" s="388"/>
      <c r="M1081" s="388"/>
      <c r="N1081" s="388"/>
      <c r="O1081" s="388"/>
      <c r="P1081" s="388"/>
      <c r="Q1081" s="388"/>
      <c r="R1081" s="388"/>
      <c r="S1081" s="388"/>
    </row>
    <row r="1082" spans="1:19">
      <c r="A1082" s="388"/>
      <c r="B1082" s="388"/>
      <c r="C1082" s="388"/>
      <c r="D1082" s="388"/>
      <c r="E1082" s="388"/>
      <c r="F1082" s="388"/>
      <c r="G1082" s="388"/>
      <c r="H1082" s="388"/>
      <c r="I1082" s="388"/>
      <c r="J1082" s="388"/>
      <c r="K1082" s="388"/>
      <c r="L1082" s="388"/>
      <c r="M1082" s="388"/>
      <c r="N1082" s="388"/>
      <c r="O1082" s="388"/>
      <c r="P1082" s="388"/>
      <c r="Q1082" s="388"/>
      <c r="R1082" s="388"/>
      <c r="S1082" s="388"/>
    </row>
    <row r="1083" spans="1:19" ht="15.75" thickBot="1">
      <c r="A1083" s="388"/>
      <c r="B1083" s="388"/>
      <c r="C1083" s="388"/>
      <c r="D1083" s="388"/>
      <c r="E1083" s="388"/>
      <c r="F1083" s="388"/>
      <c r="G1083" s="388"/>
      <c r="H1083" s="388"/>
      <c r="I1083" s="388"/>
      <c r="J1083" s="388"/>
      <c r="K1083" s="388"/>
      <c r="L1083" s="388"/>
      <c r="M1083" s="388"/>
      <c r="N1083" s="388"/>
      <c r="O1083" s="388"/>
      <c r="P1083" s="388"/>
      <c r="Q1083" s="388"/>
      <c r="R1083" s="388"/>
      <c r="S1083" s="388"/>
    </row>
    <row r="1084" spans="1:19" ht="27" thickBot="1">
      <c r="A1084" s="1228" t="s">
        <v>592</v>
      </c>
      <c r="B1084" s="1229"/>
      <c r="C1084" s="1229"/>
      <c r="D1084" s="1229"/>
      <c r="E1084" s="1229"/>
      <c r="F1084" s="1229"/>
      <c r="G1084" s="1229"/>
      <c r="H1084" s="1229"/>
      <c r="I1084" s="1230"/>
      <c r="J1084" s="538"/>
      <c r="K1084" s="1228" t="s">
        <v>592</v>
      </c>
      <c r="L1084" s="1229"/>
      <c r="M1084" s="1229"/>
      <c r="N1084" s="1229"/>
      <c r="O1084" s="1229"/>
      <c r="P1084" s="1229"/>
      <c r="Q1084" s="1229"/>
      <c r="R1084" s="1229"/>
      <c r="S1084" s="1230"/>
    </row>
    <row r="1085" spans="1:19">
      <c r="A1085" s="1231" t="s">
        <v>593</v>
      </c>
      <c r="B1085" s="1232"/>
      <c r="C1085" s="1232"/>
      <c r="D1085" s="1232"/>
      <c r="E1085" s="1232"/>
      <c r="F1085" s="1232"/>
      <c r="G1085" s="1232"/>
      <c r="H1085" s="1232"/>
      <c r="I1085" s="1233"/>
      <c r="J1085" s="9"/>
      <c r="K1085" s="1231" t="s">
        <v>593</v>
      </c>
      <c r="L1085" s="1232"/>
      <c r="M1085" s="1232"/>
      <c r="N1085" s="1232"/>
      <c r="O1085" s="1232"/>
      <c r="P1085" s="1232"/>
      <c r="Q1085" s="1232"/>
      <c r="R1085" s="1232"/>
      <c r="S1085" s="1233"/>
    </row>
    <row r="1086" spans="1:19">
      <c r="A1086" s="441"/>
      <c r="B1086" s="9"/>
      <c r="C1086" s="9"/>
      <c r="D1086" s="9"/>
      <c r="E1086" s="9"/>
      <c r="F1086" s="9"/>
      <c r="G1086" s="9"/>
      <c r="H1086" s="9"/>
      <c r="I1086" s="442"/>
      <c r="J1086" s="9"/>
      <c r="K1086" s="441"/>
      <c r="L1086" s="9"/>
      <c r="M1086" s="9"/>
      <c r="N1086" s="9"/>
      <c r="O1086" s="9"/>
      <c r="P1086" s="9"/>
      <c r="Q1086" s="9"/>
      <c r="R1086" s="9"/>
      <c r="S1086" s="442"/>
    </row>
    <row r="1087" spans="1:19">
      <c r="A1087" s="539" t="s">
        <v>49</v>
      </c>
      <c r="B1087" s="421"/>
      <c r="C1087" s="421"/>
      <c r="D1087" s="419" t="s">
        <v>382</v>
      </c>
      <c r="E1087" s="9"/>
      <c r="F1087" s="9"/>
      <c r="G1087" s="9"/>
      <c r="H1087" s="9"/>
      <c r="I1087" s="442"/>
      <c r="J1087" s="9"/>
      <c r="K1087" s="539" t="s">
        <v>49</v>
      </c>
      <c r="L1087" s="421"/>
      <c r="M1087" s="421"/>
      <c r="N1087" s="419" t="s">
        <v>382</v>
      </c>
      <c r="O1087" s="9"/>
      <c r="P1087" s="9"/>
      <c r="Q1087" s="9"/>
      <c r="R1087" s="9"/>
      <c r="S1087" s="442"/>
    </row>
    <row r="1088" spans="1:19">
      <c r="A1088" s="539"/>
      <c r="B1088" s="421"/>
      <c r="C1088" s="421"/>
      <c r="D1088" s="421" t="s">
        <v>383</v>
      </c>
      <c r="E1088" s="9"/>
      <c r="F1088" s="9"/>
      <c r="G1088" s="9"/>
      <c r="H1088" s="9"/>
      <c r="I1088" s="442"/>
      <c r="J1088" s="9"/>
      <c r="K1088" s="539"/>
      <c r="L1088" s="421"/>
      <c r="M1088" s="421"/>
      <c r="N1088" s="421" t="s">
        <v>383</v>
      </c>
      <c r="O1088" s="9"/>
      <c r="P1088" s="9"/>
      <c r="Q1088" s="9"/>
      <c r="R1088" s="9"/>
      <c r="S1088" s="442"/>
    </row>
    <row r="1089" spans="1:19">
      <c r="A1089" s="539"/>
      <c r="B1089" s="421"/>
      <c r="C1089" s="421"/>
      <c r="D1089" s="421"/>
      <c r="E1089" s="421"/>
      <c r="F1089" s="9"/>
      <c r="G1089" s="9"/>
      <c r="H1089" s="9"/>
      <c r="I1089" s="442"/>
      <c r="J1089" s="9"/>
      <c r="K1089" s="539"/>
      <c r="L1089" s="421"/>
      <c r="M1089" s="421"/>
      <c r="N1089" s="421"/>
      <c r="O1089" s="421"/>
      <c r="P1089" s="9"/>
      <c r="Q1089" s="9"/>
      <c r="R1089" s="9"/>
      <c r="S1089" s="442"/>
    </row>
    <row r="1090" spans="1:19">
      <c r="A1090" s="1234" t="s">
        <v>50</v>
      </c>
      <c r="B1090" s="1227"/>
      <c r="C1090" s="1227"/>
      <c r="D1090" s="1227"/>
      <c r="E1090" s="421"/>
      <c r="F1090" s="9"/>
      <c r="G1090" s="9"/>
      <c r="H1090" s="9"/>
      <c r="I1090" s="442"/>
      <c r="J1090" s="9"/>
      <c r="K1090" s="1234" t="s">
        <v>50</v>
      </c>
      <c r="L1090" s="1227"/>
      <c r="M1090" s="1227"/>
      <c r="N1090" s="1227"/>
      <c r="O1090" s="421"/>
      <c r="P1090" s="9"/>
      <c r="Q1090" s="9"/>
      <c r="R1090" s="9"/>
      <c r="S1090" s="442"/>
    </row>
    <row r="1091" spans="1:19">
      <c r="A1091" s="1234"/>
      <c r="B1091" s="1227"/>
      <c r="C1091" s="1227"/>
      <c r="D1091" s="1227"/>
      <c r="E1091" s="540">
        <f>'04-221Master'!B410</f>
        <v>0</v>
      </c>
      <c r="F1091" s="498"/>
      <c r="G1091" s="498">
        <f>'04-221Master'!E1076</f>
        <v>0</v>
      </c>
      <c r="H1091" s="498">
        <f>'04-221Master'!E410</f>
        <v>0</v>
      </c>
      <c r="I1091" s="442"/>
      <c r="J1091" s="9"/>
      <c r="K1091" s="1234"/>
      <c r="L1091" s="1227"/>
      <c r="M1091" s="1227"/>
      <c r="N1091" s="1227"/>
      <c r="O1091" s="540">
        <f>E1091</f>
        <v>0</v>
      </c>
      <c r="P1091" s="498"/>
      <c r="Q1091" s="498"/>
      <c r="R1091" s="498"/>
      <c r="S1091" s="442"/>
    </row>
    <row r="1092" spans="1:19">
      <c r="A1092" s="539"/>
      <c r="B1092" s="421"/>
      <c r="C1092" s="421"/>
      <c r="D1092" s="421"/>
      <c r="E1092" s="421"/>
      <c r="F1092" s="9"/>
      <c r="G1092" s="9"/>
      <c r="H1092" s="9"/>
      <c r="I1092" s="442"/>
      <c r="J1092" s="9"/>
      <c r="K1092" s="539"/>
      <c r="L1092" s="421"/>
      <c r="M1092" s="421"/>
      <c r="N1092" s="421"/>
      <c r="O1092" s="421"/>
      <c r="P1092" s="9"/>
      <c r="Q1092" s="9"/>
      <c r="R1092" s="9"/>
      <c r="S1092" s="442"/>
    </row>
    <row r="1093" spans="1:19">
      <c r="A1093" s="1226" t="s">
        <v>51</v>
      </c>
      <c r="B1093" s="1223"/>
      <c r="C1093" s="1223"/>
      <c r="D1093" s="1223"/>
      <c r="E1093" s="423" t="s">
        <v>373</v>
      </c>
      <c r="F1093" s="498"/>
      <c r="G1093" s="498"/>
      <c r="H1093" s="498"/>
      <c r="I1093" s="442"/>
      <c r="J1093" s="9"/>
      <c r="K1093" s="1226" t="s">
        <v>51</v>
      </c>
      <c r="L1093" s="1223"/>
      <c r="M1093" s="1223"/>
      <c r="N1093" s="1223"/>
      <c r="O1093" s="540" t="str">
        <f>E1093</f>
        <v>IT SUPPORTIVE SERVICES</v>
      </c>
      <c r="P1093" s="498"/>
      <c r="Q1093" s="498"/>
      <c r="R1093" s="498"/>
      <c r="S1093" s="442"/>
    </row>
    <row r="1094" spans="1:19">
      <c r="A1094" s="539"/>
      <c r="B1094" s="421"/>
      <c r="C1094" s="421"/>
      <c r="D1094" s="421"/>
      <c r="E1094" s="421"/>
      <c r="F1094" s="9"/>
      <c r="G1094" s="9"/>
      <c r="H1094" s="9"/>
      <c r="I1094" s="442"/>
      <c r="J1094" s="9"/>
      <c r="K1094" s="539"/>
      <c r="L1094" s="421"/>
      <c r="M1094" s="421"/>
      <c r="N1094" s="421"/>
      <c r="O1094" s="421"/>
      <c r="P1094" s="9"/>
      <c r="Q1094" s="9"/>
      <c r="R1094" s="9"/>
      <c r="S1094" s="442"/>
    </row>
    <row r="1095" spans="1:19">
      <c r="A1095" s="1226" t="s">
        <v>52</v>
      </c>
      <c r="B1095" s="1223"/>
      <c r="C1095" s="1223"/>
      <c r="D1095" s="1223"/>
      <c r="E1095" s="541">
        <f>'04-221Master'!D379</f>
        <v>0</v>
      </c>
      <c r="F1095" s="498"/>
      <c r="G1095" s="498"/>
      <c r="H1095" s="498"/>
      <c r="I1095" s="442"/>
      <c r="J1095" s="9"/>
      <c r="K1095" s="1226" t="s">
        <v>52</v>
      </c>
      <c r="L1095" s="1223"/>
      <c r="M1095" s="1223"/>
      <c r="N1095" s="1223"/>
      <c r="O1095" s="541">
        <f>E1095</f>
        <v>0</v>
      </c>
      <c r="P1095" s="498"/>
      <c r="Q1095" s="498"/>
      <c r="R1095" s="498"/>
      <c r="S1095" s="442"/>
    </row>
    <row r="1096" spans="1:19">
      <c r="A1096" s="539"/>
      <c r="B1096" s="421"/>
      <c r="C1096" s="421"/>
      <c r="D1096" s="421"/>
      <c r="E1096" s="421"/>
      <c r="F1096" s="9"/>
      <c r="G1096" s="9"/>
      <c r="H1096" s="9"/>
      <c r="I1096" s="442"/>
      <c r="J1096" s="9"/>
      <c r="K1096" s="539"/>
      <c r="L1096" s="421"/>
      <c r="M1096" s="421"/>
      <c r="N1096" s="421"/>
      <c r="O1096" s="421"/>
      <c r="P1096" s="9"/>
      <c r="Q1096" s="9"/>
      <c r="R1096" s="9"/>
      <c r="S1096" s="442"/>
    </row>
    <row r="1097" spans="1:19">
      <c r="A1097" s="542">
        <v>1</v>
      </c>
      <c r="B1097" s="1223" t="s">
        <v>53</v>
      </c>
      <c r="C1097" s="1223"/>
      <c r="D1097" s="1223"/>
      <c r="E1097" s="543">
        <f>'04-221Master'!W410</f>
        <v>0</v>
      </c>
      <c r="F1097" s="498"/>
      <c r="G1097" s="498"/>
      <c r="H1097" s="498"/>
      <c r="I1097" s="442"/>
      <c r="J1097" s="9"/>
      <c r="K1097" s="542">
        <v>1</v>
      </c>
      <c r="L1097" s="1223" t="s">
        <v>53</v>
      </c>
      <c r="M1097" s="1223"/>
      <c r="N1097" s="1223"/>
      <c r="O1097" s="543">
        <f>E1097</f>
        <v>0</v>
      </c>
      <c r="P1097" s="498"/>
      <c r="Q1097" s="498"/>
      <c r="R1097" s="498"/>
      <c r="S1097" s="442"/>
    </row>
    <row r="1098" spans="1:19">
      <c r="A1098" s="542"/>
      <c r="B1098" s="421"/>
      <c r="C1098" s="421"/>
      <c r="D1098" s="421"/>
      <c r="E1098" s="421"/>
      <c r="F1098" s="9"/>
      <c r="G1098" s="9"/>
      <c r="H1098" s="9"/>
      <c r="I1098" s="442"/>
      <c r="J1098" s="9"/>
      <c r="K1098" s="542"/>
      <c r="L1098" s="421"/>
      <c r="M1098" s="421"/>
      <c r="N1098" s="421"/>
      <c r="O1098" s="421"/>
      <c r="P1098" s="9"/>
      <c r="Q1098" s="9"/>
      <c r="R1098" s="9"/>
      <c r="S1098" s="442"/>
    </row>
    <row r="1099" spans="1:19">
      <c r="A1099" s="542">
        <v>2</v>
      </c>
      <c r="B1099" s="1227" t="s">
        <v>54</v>
      </c>
      <c r="C1099" s="1227"/>
      <c r="D1099" s="1227"/>
      <c r="E1099" s="421"/>
      <c r="F1099" s="9"/>
      <c r="G1099" s="9"/>
      <c r="H1099" s="9"/>
      <c r="I1099" s="442"/>
      <c r="J1099" s="9"/>
      <c r="K1099" s="542">
        <v>2</v>
      </c>
      <c r="L1099" s="1227" t="s">
        <v>54</v>
      </c>
      <c r="M1099" s="1227"/>
      <c r="N1099" s="1227"/>
      <c r="O1099" s="421"/>
      <c r="P1099" s="9"/>
      <c r="Q1099" s="9"/>
      <c r="R1099" s="9"/>
      <c r="S1099" s="442"/>
    </row>
    <row r="1100" spans="1:19">
      <c r="A1100" s="542"/>
      <c r="B1100" s="1227"/>
      <c r="C1100" s="1227"/>
      <c r="D1100" s="1227"/>
      <c r="E1100" s="544" t="s">
        <v>37</v>
      </c>
      <c r="F1100" s="498"/>
      <c r="G1100" s="498"/>
      <c r="H1100" s="498"/>
      <c r="I1100" s="442"/>
      <c r="J1100" s="9"/>
      <c r="K1100" s="542"/>
      <c r="L1100" s="1227"/>
      <c r="M1100" s="1227"/>
      <c r="N1100" s="1227"/>
      <c r="O1100" s="544" t="s">
        <v>37</v>
      </c>
      <c r="P1100" s="498"/>
      <c r="Q1100" s="498"/>
      <c r="R1100" s="498"/>
      <c r="S1100" s="442"/>
    </row>
    <row r="1101" spans="1:19">
      <c r="A1101" s="542"/>
      <c r="B1101" s="421"/>
      <c r="C1101" s="421"/>
      <c r="D1101" s="421"/>
      <c r="E1101" s="421"/>
      <c r="F1101" s="9"/>
      <c r="G1101" s="9"/>
      <c r="H1101" s="9"/>
      <c r="I1101" s="442"/>
      <c r="J1101" s="9"/>
      <c r="K1101" s="542"/>
      <c r="L1101" s="421"/>
      <c r="M1101" s="421"/>
      <c r="N1101" s="421"/>
      <c r="O1101" s="421"/>
      <c r="P1101" s="9"/>
      <c r="Q1101" s="9"/>
      <c r="R1101" s="9"/>
      <c r="S1101" s="442"/>
    </row>
    <row r="1102" spans="1:19">
      <c r="A1102" s="542">
        <v>3</v>
      </c>
      <c r="B1102" s="1223" t="s">
        <v>55</v>
      </c>
      <c r="C1102" s="1223"/>
      <c r="D1102" s="1223"/>
      <c r="E1102" s="544" t="s">
        <v>37</v>
      </c>
      <c r="F1102" s="498"/>
      <c r="G1102" s="498"/>
      <c r="H1102" s="498"/>
      <c r="I1102" s="442"/>
      <c r="J1102" s="9"/>
      <c r="K1102" s="542">
        <v>3</v>
      </c>
      <c r="L1102" s="1223" t="s">
        <v>55</v>
      </c>
      <c r="M1102" s="1223"/>
      <c r="N1102" s="1223"/>
      <c r="O1102" s="540" t="str">
        <f>E1102</f>
        <v>N/A</v>
      </c>
      <c r="P1102" s="498"/>
      <c r="Q1102" s="498"/>
      <c r="R1102" s="498"/>
      <c r="S1102" s="442"/>
    </row>
    <row r="1103" spans="1:19">
      <c r="A1103" s="542"/>
      <c r="B1103" s="421"/>
      <c r="C1103" s="421"/>
      <c r="D1103" s="421"/>
      <c r="E1103" s="421"/>
      <c r="F1103" s="9"/>
      <c r="G1103" s="9"/>
      <c r="H1103" s="9"/>
      <c r="I1103" s="442"/>
      <c r="J1103" s="9"/>
      <c r="K1103" s="542"/>
      <c r="L1103" s="421"/>
      <c r="M1103" s="421"/>
      <c r="N1103" s="421"/>
      <c r="O1103" s="421"/>
      <c r="P1103" s="9"/>
      <c r="Q1103" s="9"/>
      <c r="R1103" s="9"/>
      <c r="S1103" s="442"/>
    </row>
    <row r="1104" spans="1:19">
      <c r="A1104" s="542">
        <v>4</v>
      </c>
      <c r="B1104" s="1223" t="s">
        <v>56</v>
      </c>
      <c r="C1104" s="1223"/>
      <c r="D1104" s="1223"/>
      <c r="E1104" s="544" t="s">
        <v>57</v>
      </c>
      <c r="F1104" s="498"/>
      <c r="G1104" s="498"/>
      <c r="H1104" s="498"/>
      <c r="I1104" s="442"/>
      <c r="J1104" s="9"/>
      <c r="K1104" s="542">
        <v>4</v>
      </c>
      <c r="L1104" s="1223" t="s">
        <v>56</v>
      </c>
      <c r="M1104" s="1223"/>
      <c r="N1104" s="1223"/>
      <c r="O1104" s="544" t="s">
        <v>57</v>
      </c>
      <c r="P1104" s="498"/>
      <c r="Q1104" s="498"/>
      <c r="R1104" s="498"/>
      <c r="S1104" s="442"/>
    </row>
    <row r="1105" spans="1:19">
      <c r="A1105" s="542"/>
      <c r="B1105" s="421"/>
      <c r="C1105" s="421"/>
      <c r="D1105" s="421"/>
      <c r="E1105" s="421"/>
      <c r="F1105" s="9"/>
      <c r="G1105" s="9"/>
      <c r="H1105" s="9"/>
      <c r="I1105" s="442"/>
      <c r="J1105" s="9"/>
      <c r="K1105" s="542"/>
      <c r="L1105" s="421"/>
      <c r="M1105" s="421"/>
      <c r="N1105" s="421"/>
      <c r="O1105" s="421"/>
      <c r="P1105" s="9"/>
      <c r="Q1105" s="9"/>
      <c r="R1105" s="9"/>
      <c r="S1105" s="442"/>
    </row>
    <row r="1106" spans="1:19">
      <c r="A1106" s="542">
        <v>5</v>
      </c>
      <c r="B1106" s="1223" t="s">
        <v>58</v>
      </c>
      <c r="C1106" s="1223"/>
      <c r="D1106" s="1223"/>
      <c r="E1106" s="492">
        <f>'04-221Master'!AM410</f>
        <v>0</v>
      </c>
      <c r="F1106" s="9"/>
      <c r="G1106" s="9"/>
      <c r="H1106" s="9"/>
      <c r="I1106" s="442"/>
      <c r="J1106" s="9"/>
      <c r="K1106" s="542">
        <v>5</v>
      </c>
      <c r="L1106" s="1223" t="s">
        <v>58</v>
      </c>
      <c r="M1106" s="1223"/>
      <c r="N1106" s="1223"/>
      <c r="O1106" s="492">
        <f>E1106</f>
        <v>0</v>
      </c>
      <c r="P1106" s="9"/>
      <c r="Q1106" s="9"/>
      <c r="R1106" s="9"/>
      <c r="S1106" s="442"/>
    </row>
    <row r="1107" spans="1:19">
      <c r="A1107" s="542"/>
      <c r="B1107" s="421"/>
      <c r="C1107" s="421"/>
      <c r="D1107" s="493" t="s">
        <v>59</v>
      </c>
      <c r="E1107" s="493" t="s">
        <v>31</v>
      </c>
      <c r="F1107" s="493" t="s">
        <v>33</v>
      </c>
      <c r="G1107" s="493" t="s">
        <v>34</v>
      </c>
      <c r="H1107" s="493" t="s">
        <v>377</v>
      </c>
      <c r="I1107" s="494" t="s">
        <v>378</v>
      </c>
      <c r="J1107" s="9"/>
      <c r="K1107" s="542"/>
      <c r="L1107" s="421"/>
      <c r="M1107" s="421"/>
      <c r="N1107" s="493" t="s">
        <v>59</v>
      </c>
      <c r="O1107" s="493" t="s">
        <v>31</v>
      </c>
      <c r="P1107" s="493" t="s">
        <v>33</v>
      </c>
      <c r="Q1107" s="493" t="s">
        <v>34</v>
      </c>
      <c r="R1107" s="493" t="s">
        <v>377</v>
      </c>
      <c r="S1107" s="494" t="s">
        <v>378</v>
      </c>
    </row>
    <row r="1108" spans="1:19">
      <c r="A1108" s="542">
        <v>6</v>
      </c>
      <c r="B1108" s="867" t="s">
        <v>60</v>
      </c>
      <c r="C1108" s="867"/>
      <c r="D1108" s="495">
        <f>'04-221Master'!AO410</f>
        <v>0</v>
      </c>
      <c r="E1108" s="495">
        <f>'04-221Master'!AN1226</f>
        <v>0</v>
      </c>
      <c r="F1108" s="496">
        <f>'04-221Master'!AP410</f>
        <v>0</v>
      </c>
      <c r="G1108" s="495">
        <f>'04-221Master'!AQ410</f>
        <v>0</v>
      </c>
      <c r="H1108" s="496">
        <f>'04-221Master'!AR410</f>
        <v>0</v>
      </c>
      <c r="I1108" s="496">
        <f>SUM(D1108:H1108)</f>
        <v>0</v>
      </c>
      <c r="J1108" s="9"/>
      <c r="K1108" s="542">
        <v>6</v>
      </c>
      <c r="L1108" s="867" t="s">
        <v>60</v>
      </c>
      <c r="M1108" s="867"/>
      <c r="N1108" s="495">
        <f t="shared" ref="N1108" si="123">D1108</f>
        <v>0</v>
      </c>
      <c r="O1108" s="495">
        <f t="shared" ref="O1108" si="124">E1108</f>
        <v>0</v>
      </c>
      <c r="P1108" s="496">
        <f t="shared" ref="P1108" si="125">F1108</f>
        <v>0</v>
      </c>
      <c r="Q1108" s="495">
        <f t="shared" ref="Q1108" si="126">G1108</f>
        <v>0</v>
      </c>
      <c r="R1108" s="496">
        <f t="shared" ref="R1108" si="127">H1108</f>
        <v>0</v>
      </c>
      <c r="S1108" s="496">
        <f t="shared" ref="S1108" si="128">I1108</f>
        <v>0</v>
      </c>
    </row>
    <row r="1109" spans="1:19">
      <c r="A1109" s="542"/>
      <c r="B1109" s="421"/>
      <c r="C1109" s="421"/>
      <c r="D1109" s="421"/>
      <c r="E1109" s="421"/>
      <c r="F1109" s="9"/>
      <c r="G1109" s="9"/>
      <c r="H1109" s="9"/>
      <c r="I1109" s="442"/>
      <c r="J1109" s="9"/>
      <c r="K1109" s="542"/>
      <c r="L1109" s="421"/>
      <c r="M1109" s="421"/>
      <c r="N1109" s="421"/>
      <c r="O1109" s="421"/>
      <c r="P1109" s="9"/>
      <c r="Q1109" s="9"/>
      <c r="R1109" s="9"/>
      <c r="S1109" s="442"/>
    </row>
    <row r="1110" spans="1:19">
      <c r="A1110" s="542">
        <v>7</v>
      </c>
      <c r="B1110" s="1223" t="s">
        <v>61</v>
      </c>
      <c r="C1110" s="1223"/>
      <c r="D1110" s="1223"/>
      <c r="E1110" s="497">
        <f>E1106-I1108</f>
        <v>0</v>
      </c>
      <c r="F1110" s="498"/>
      <c r="G1110" s="498"/>
      <c r="H1110" s="498"/>
      <c r="I1110" s="442"/>
      <c r="J1110" s="9"/>
      <c r="K1110" s="542">
        <v>7</v>
      </c>
      <c r="L1110" s="1223" t="s">
        <v>61</v>
      </c>
      <c r="M1110" s="1223"/>
      <c r="N1110" s="1223"/>
      <c r="O1110" s="497">
        <f>E1110</f>
        <v>0</v>
      </c>
      <c r="P1110" s="498"/>
      <c r="Q1110" s="498"/>
      <c r="R1110" s="498"/>
      <c r="S1110" s="442"/>
    </row>
    <row r="1111" spans="1:19">
      <c r="A1111" s="441"/>
      <c r="B1111" s="9"/>
      <c r="C1111" s="9"/>
      <c r="D1111" s="9"/>
      <c r="E1111" s="9"/>
      <c r="F1111" s="9"/>
      <c r="G1111" s="9"/>
      <c r="H1111" s="9"/>
      <c r="I1111" s="442"/>
      <c r="J1111" s="9"/>
      <c r="K1111" s="441"/>
      <c r="L1111" s="9"/>
      <c r="M1111" s="9"/>
      <c r="N1111" s="9"/>
      <c r="O1111" s="9"/>
      <c r="P1111" s="9"/>
      <c r="Q1111" s="9"/>
      <c r="R1111" s="9"/>
      <c r="S1111" s="442"/>
    </row>
    <row r="1112" spans="1:19">
      <c r="A1112" s="441"/>
      <c r="B1112" s="9"/>
      <c r="C1112" s="9"/>
      <c r="D1112" s="9"/>
      <c r="E1112" s="9"/>
      <c r="F1112" s="9"/>
      <c r="G1112" s="9"/>
      <c r="H1112" s="9"/>
      <c r="I1112" s="442"/>
      <c r="J1112" s="9"/>
      <c r="K1112" s="441"/>
      <c r="L1112" s="9"/>
      <c r="M1112" s="9"/>
      <c r="N1112" s="9"/>
      <c r="O1112" s="9"/>
      <c r="P1112" s="9"/>
      <c r="Q1112" s="9"/>
      <c r="R1112" s="9"/>
      <c r="S1112" s="442"/>
    </row>
    <row r="1113" spans="1:19" ht="15.75" thickBot="1">
      <c r="A1113" s="441"/>
      <c r="B1113" s="9"/>
      <c r="C1113" s="9"/>
      <c r="D1113" s="9"/>
      <c r="E1113" s="9"/>
      <c r="F1113" s="444"/>
      <c r="G1113" s="444"/>
      <c r="H1113" s="444"/>
      <c r="I1113" s="445"/>
      <c r="J1113" s="9"/>
      <c r="K1113" s="441"/>
      <c r="L1113" s="9"/>
      <c r="M1113" s="9"/>
      <c r="N1113" s="9"/>
      <c r="O1113" s="9"/>
      <c r="P1113" s="444"/>
      <c r="Q1113" s="444"/>
      <c r="R1113" s="444"/>
      <c r="S1113" s="445"/>
    </row>
    <row r="1114" spans="1:19" ht="15.75" thickBot="1">
      <c r="A1114" s="443"/>
      <c r="B1114" s="444"/>
      <c r="C1114" s="444"/>
      <c r="D1114" s="444"/>
      <c r="E1114" s="444"/>
      <c r="F1114" s="1224" t="s">
        <v>62</v>
      </c>
      <c r="G1114" s="1224"/>
      <c r="H1114" s="1224"/>
      <c r="I1114" s="1225"/>
      <c r="J1114" s="9"/>
      <c r="K1114" s="443"/>
      <c r="L1114" s="444"/>
      <c r="M1114" s="444"/>
      <c r="N1114" s="444"/>
      <c r="O1114" s="444"/>
      <c r="P1114" s="1224" t="s">
        <v>62</v>
      </c>
      <c r="Q1114" s="1224"/>
      <c r="R1114" s="1224"/>
      <c r="S1114" s="1225"/>
    </row>
    <row r="1115" spans="1:19">
      <c r="A1115" s="9"/>
      <c r="B1115" s="9"/>
      <c r="C1115" s="9"/>
      <c r="D1115" s="9"/>
      <c r="E1115" s="9"/>
      <c r="F1115" s="9"/>
      <c r="G1115" s="9"/>
      <c r="H1115" s="9"/>
      <c r="I1115" s="9"/>
      <c r="J1115" s="9"/>
      <c r="K1115" s="9"/>
      <c r="L1115" s="9"/>
      <c r="M1115" s="9"/>
      <c r="N1115" s="9"/>
      <c r="O1115" s="9"/>
      <c r="P1115" s="9"/>
      <c r="Q1115" s="9"/>
      <c r="R1115" s="9"/>
      <c r="S1115" s="9"/>
    </row>
    <row r="1116" spans="1:19">
      <c r="A1116" s="9"/>
      <c r="B1116" s="9"/>
      <c r="C1116" s="9"/>
      <c r="D1116" s="9"/>
      <c r="E1116" s="9"/>
      <c r="F1116" s="9"/>
      <c r="G1116" s="9"/>
      <c r="H1116" s="9"/>
      <c r="I1116" s="9"/>
      <c r="J1116" s="9"/>
      <c r="K1116" s="9"/>
      <c r="L1116" s="9"/>
      <c r="M1116" s="9"/>
      <c r="N1116" s="9"/>
      <c r="O1116" s="9"/>
      <c r="P1116" s="9"/>
      <c r="Q1116" s="9"/>
      <c r="R1116" s="9"/>
      <c r="S1116" s="9"/>
    </row>
    <row r="1117" spans="1:19">
      <c r="A1117" s="9"/>
      <c r="B1117" s="9"/>
      <c r="C1117" s="9"/>
      <c r="D1117" s="9"/>
      <c r="E1117" s="9"/>
      <c r="F1117" s="9"/>
      <c r="G1117" s="9"/>
      <c r="H1117" s="9"/>
      <c r="I1117" s="9"/>
      <c r="J1117" s="9"/>
      <c r="K1117" s="9"/>
      <c r="L1117" s="9"/>
      <c r="M1117" s="9"/>
      <c r="N1117" s="9"/>
      <c r="O1117" s="9"/>
      <c r="P1117" s="9"/>
      <c r="Q1117" s="9"/>
      <c r="R1117" s="9"/>
      <c r="S1117" s="9"/>
    </row>
    <row r="1118" spans="1:19">
      <c r="A1118" s="9"/>
      <c r="B1118" s="9"/>
      <c r="C1118" s="9"/>
      <c r="D1118" s="9"/>
      <c r="E1118" s="9"/>
      <c r="F1118" s="9"/>
      <c r="G1118" s="9"/>
      <c r="H1118" s="9"/>
      <c r="I1118" s="9"/>
      <c r="J1118" s="9"/>
      <c r="K1118" s="9"/>
      <c r="L1118" s="9"/>
      <c r="M1118" s="9"/>
      <c r="N1118" s="9"/>
      <c r="O1118" s="9"/>
      <c r="P1118" s="9"/>
      <c r="Q1118" s="9"/>
      <c r="R1118" s="9"/>
      <c r="S1118" s="9"/>
    </row>
    <row r="1119" spans="1:19">
      <c r="A1119" s="9"/>
      <c r="B1119" s="9"/>
      <c r="C1119" s="9"/>
      <c r="D1119" s="9"/>
      <c r="E1119" s="9"/>
      <c r="F1119" s="9"/>
      <c r="G1119" s="9"/>
      <c r="H1119" s="9"/>
      <c r="I1119" s="9"/>
      <c r="J1119" s="9"/>
      <c r="K1119" s="9"/>
      <c r="L1119" s="9"/>
      <c r="M1119" s="9"/>
      <c r="N1119" s="9"/>
      <c r="O1119" s="9"/>
      <c r="P1119" s="9"/>
      <c r="Q1119" s="9"/>
      <c r="R1119" s="9"/>
      <c r="S1119" s="9"/>
    </row>
    <row r="1120" spans="1:19">
      <c r="A1120" s="9"/>
      <c r="B1120" s="9"/>
      <c r="C1120" s="9"/>
      <c r="D1120" s="9"/>
      <c r="E1120" s="9"/>
      <c r="F1120" s="9"/>
      <c r="G1120" s="9"/>
      <c r="H1120" s="9"/>
      <c r="I1120" s="9"/>
      <c r="J1120" s="9"/>
      <c r="K1120" s="9"/>
      <c r="L1120" s="9"/>
      <c r="M1120" s="9"/>
      <c r="N1120" s="9"/>
      <c r="O1120" s="9"/>
      <c r="P1120" s="9"/>
      <c r="Q1120" s="9"/>
      <c r="R1120" s="9"/>
      <c r="S1120" s="9"/>
    </row>
    <row r="1121" spans="1:19">
      <c r="A1121" s="9"/>
      <c r="B1121" s="9"/>
      <c r="C1121" s="9"/>
      <c r="D1121" s="9"/>
      <c r="E1121" s="9"/>
      <c r="F1121" s="9"/>
      <c r="G1121" s="9"/>
      <c r="H1121" s="9"/>
      <c r="I1121" s="9"/>
      <c r="J1121" s="9"/>
      <c r="K1121" s="9"/>
      <c r="L1121" s="9"/>
      <c r="M1121" s="9"/>
      <c r="N1121" s="9"/>
      <c r="O1121" s="9"/>
      <c r="P1121" s="9"/>
      <c r="Q1121" s="9"/>
      <c r="R1121" s="9"/>
      <c r="S1121" s="9"/>
    </row>
    <row r="1122" spans="1:19">
      <c r="A1122" s="388"/>
      <c r="B1122" s="388"/>
      <c r="C1122" s="388"/>
      <c r="D1122" s="388"/>
      <c r="E1122" s="388"/>
      <c r="F1122" s="388"/>
      <c r="G1122" s="388"/>
      <c r="H1122" s="388"/>
      <c r="I1122" s="388"/>
      <c r="J1122" s="388"/>
      <c r="K1122" s="388"/>
      <c r="L1122" s="388"/>
      <c r="M1122" s="388"/>
      <c r="N1122" s="388"/>
      <c r="O1122" s="388"/>
      <c r="P1122" s="388"/>
      <c r="Q1122" s="388"/>
      <c r="R1122" s="388"/>
      <c r="S1122" s="388"/>
    </row>
    <row r="1123" spans="1:19">
      <c r="A1123" s="388"/>
      <c r="B1123" s="388"/>
      <c r="C1123" s="388"/>
      <c r="D1123" s="388"/>
      <c r="E1123" s="388"/>
      <c r="F1123" s="388"/>
      <c r="G1123" s="388"/>
      <c r="H1123" s="388"/>
      <c r="I1123" s="388"/>
      <c r="J1123" s="388"/>
      <c r="K1123" s="388"/>
      <c r="L1123" s="388"/>
      <c r="M1123" s="388"/>
      <c r="N1123" s="388"/>
      <c r="O1123" s="388"/>
      <c r="P1123" s="388"/>
      <c r="Q1123" s="388"/>
      <c r="R1123" s="388"/>
      <c r="S1123" s="388"/>
    </row>
    <row r="1124" spans="1:19">
      <c r="A1124" s="388"/>
      <c r="B1124" s="388"/>
      <c r="C1124" s="388"/>
      <c r="D1124" s="388"/>
      <c r="E1124" s="388"/>
      <c r="F1124" s="388"/>
      <c r="G1124" s="388"/>
      <c r="H1124" s="388"/>
      <c r="I1124" s="388"/>
      <c r="J1124" s="388"/>
      <c r="K1124" s="388"/>
      <c r="L1124" s="388"/>
      <c r="M1124" s="388"/>
      <c r="N1124" s="388"/>
      <c r="O1124" s="388"/>
      <c r="P1124" s="388"/>
      <c r="Q1124" s="388"/>
      <c r="R1124" s="388"/>
      <c r="S1124" s="388"/>
    </row>
    <row r="1125" spans="1:19">
      <c r="A1125" s="388"/>
      <c r="B1125" s="388"/>
      <c r="C1125" s="388"/>
      <c r="D1125" s="388"/>
      <c r="E1125" s="388"/>
      <c r="F1125" s="388"/>
      <c r="G1125" s="388"/>
      <c r="H1125" s="388"/>
      <c r="I1125" s="388"/>
      <c r="J1125" s="388"/>
      <c r="K1125" s="388"/>
      <c r="L1125" s="388"/>
      <c r="M1125" s="388"/>
      <c r="N1125" s="388"/>
      <c r="O1125" s="388"/>
      <c r="P1125" s="388"/>
      <c r="Q1125" s="388"/>
      <c r="R1125" s="388"/>
      <c r="S1125" s="388"/>
    </row>
    <row r="1126" spans="1:19">
      <c r="A1126" s="388"/>
      <c r="B1126" s="388"/>
      <c r="C1126" s="388"/>
      <c r="D1126" s="388"/>
      <c r="E1126" s="388"/>
      <c r="F1126" s="388"/>
      <c r="G1126" s="388"/>
      <c r="H1126" s="388"/>
      <c r="I1126" s="388"/>
      <c r="J1126" s="388"/>
      <c r="K1126" s="388"/>
      <c r="L1126" s="388"/>
      <c r="M1126" s="388"/>
      <c r="N1126" s="388"/>
      <c r="O1126" s="388"/>
      <c r="P1126" s="388"/>
      <c r="Q1126" s="388"/>
      <c r="R1126" s="388"/>
      <c r="S1126" s="388"/>
    </row>
    <row r="1127" spans="1:19">
      <c r="A1127" s="388"/>
      <c r="B1127" s="388"/>
      <c r="C1127" s="388"/>
      <c r="D1127" s="388"/>
      <c r="E1127" s="388"/>
      <c r="F1127" s="388"/>
      <c r="G1127" s="388"/>
      <c r="H1127" s="388"/>
      <c r="I1127" s="388"/>
      <c r="J1127" s="388"/>
      <c r="K1127" s="388"/>
      <c r="L1127" s="388"/>
      <c r="M1127" s="388"/>
      <c r="N1127" s="388"/>
      <c r="O1127" s="388"/>
      <c r="P1127" s="388"/>
      <c r="Q1127" s="388"/>
      <c r="R1127" s="388"/>
      <c r="S1127" s="388"/>
    </row>
    <row r="1128" spans="1:19" ht="15.75" thickBot="1">
      <c r="A1128" s="388"/>
      <c r="B1128" s="388"/>
      <c r="C1128" s="388"/>
      <c r="D1128" s="388"/>
      <c r="E1128" s="388"/>
      <c r="F1128" s="388"/>
      <c r="G1128" s="388"/>
      <c r="H1128" s="388"/>
      <c r="I1128" s="388"/>
      <c r="J1128" s="388"/>
      <c r="K1128" s="388"/>
      <c r="L1128" s="388"/>
      <c r="M1128" s="388"/>
      <c r="N1128" s="388"/>
      <c r="O1128" s="388"/>
      <c r="P1128" s="388"/>
      <c r="Q1128" s="388"/>
      <c r="R1128" s="388"/>
      <c r="S1128" s="388"/>
    </row>
    <row r="1129" spans="1:19" ht="27" thickBot="1">
      <c r="A1129" s="1228" t="s">
        <v>592</v>
      </c>
      <c r="B1129" s="1229"/>
      <c r="C1129" s="1229"/>
      <c r="D1129" s="1229"/>
      <c r="E1129" s="1229"/>
      <c r="F1129" s="1229"/>
      <c r="G1129" s="1229"/>
      <c r="H1129" s="1229"/>
      <c r="I1129" s="1230"/>
      <c r="J1129" s="538"/>
      <c r="K1129" s="1228" t="s">
        <v>592</v>
      </c>
      <c r="L1129" s="1229"/>
      <c r="M1129" s="1229"/>
      <c r="N1129" s="1229"/>
      <c r="O1129" s="1229"/>
      <c r="P1129" s="1229"/>
      <c r="Q1129" s="1229"/>
      <c r="R1129" s="1229"/>
      <c r="S1129" s="1230"/>
    </row>
    <row r="1130" spans="1:19">
      <c r="A1130" s="1231" t="s">
        <v>593</v>
      </c>
      <c r="B1130" s="1232"/>
      <c r="C1130" s="1232"/>
      <c r="D1130" s="1232"/>
      <c r="E1130" s="1232"/>
      <c r="F1130" s="1232"/>
      <c r="G1130" s="1232"/>
      <c r="H1130" s="1232"/>
      <c r="I1130" s="1233"/>
      <c r="J1130" s="9"/>
      <c r="K1130" s="1231" t="s">
        <v>593</v>
      </c>
      <c r="L1130" s="1232"/>
      <c r="M1130" s="1232"/>
      <c r="N1130" s="1232"/>
      <c r="O1130" s="1232"/>
      <c r="P1130" s="1232"/>
      <c r="Q1130" s="1232"/>
      <c r="R1130" s="1232"/>
      <c r="S1130" s="1233"/>
    </row>
    <row r="1131" spans="1:19">
      <c r="A1131" s="441"/>
      <c r="B1131" s="9"/>
      <c r="C1131" s="9"/>
      <c r="D1131" s="9"/>
      <c r="E1131" s="9"/>
      <c r="F1131" s="9"/>
      <c r="G1131" s="9"/>
      <c r="H1131" s="9"/>
      <c r="I1131" s="442"/>
      <c r="J1131" s="9"/>
      <c r="K1131" s="441"/>
      <c r="L1131" s="9"/>
      <c r="M1131" s="9"/>
      <c r="N1131" s="9"/>
      <c r="O1131" s="9"/>
      <c r="P1131" s="9"/>
      <c r="Q1131" s="9"/>
      <c r="R1131" s="9"/>
      <c r="S1131" s="442"/>
    </row>
    <row r="1132" spans="1:19">
      <c r="A1132" s="539" t="s">
        <v>49</v>
      </c>
      <c r="B1132" s="421"/>
      <c r="C1132" s="421"/>
      <c r="D1132" s="419" t="s">
        <v>382</v>
      </c>
      <c r="E1132" s="9"/>
      <c r="F1132" s="9"/>
      <c r="G1132" s="9"/>
      <c r="H1132" s="9"/>
      <c r="I1132" s="442"/>
      <c r="J1132" s="9"/>
      <c r="K1132" s="539" t="s">
        <v>49</v>
      </c>
      <c r="L1132" s="421"/>
      <c r="M1132" s="421"/>
      <c r="N1132" s="419" t="s">
        <v>382</v>
      </c>
      <c r="O1132" s="9"/>
      <c r="P1132" s="9"/>
      <c r="Q1132" s="9"/>
      <c r="R1132" s="9"/>
      <c r="S1132" s="442"/>
    </row>
    <row r="1133" spans="1:19">
      <c r="A1133" s="539"/>
      <c r="B1133" s="421"/>
      <c r="C1133" s="421"/>
      <c r="D1133" s="421" t="s">
        <v>383</v>
      </c>
      <c r="E1133" s="9"/>
      <c r="F1133" s="9"/>
      <c r="G1133" s="9"/>
      <c r="H1133" s="9"/>
      <c r="I1133" s="442"/>
      <c r="J1133" s="9"/>
      <c r="K1133" s="539"/>
      <c r="L1133" s="421"/>
      <c r="M1133" s="421"/>
      <c r="N1133" s="421" t="s">
        <v>383</v>
      </c>
      <c r="O1133" s="9"/>
      <c r="P1133" s="9"/>
      <c r="Q1133" s="9"/>
      <c r="R1133" s="9"/>
      <c r="S1133" s="442"/>
    </row>
    <row r="1134" spans="1:19">
      <c r="A1134" s="539"/>
      <c r="B1134" s="421"/>
      <c r="C1134" s="421"/>
      <c r="D1134" s="421"/>
      <c r="E1134" s="421"/>
      <c r="F1134" s="9"/>
      <c r="G1134" s="9"/>
      <c r="H1134" s="9"/>
      <c r="I1134" s="442"/>
      <c r="J1134" s="9"/>
      <c r="K1134" s="539"/>
      <c r="L1134" s="421"/>
      <c r="M1134" s="421"/>
      <c r="N1134" s="421"/>
      <c r="O1134" s="421"/>
      <c r="P1134" s="9"/>
      <c r="Q1134" s="9"/>
      <c r="R1134" s="9"/>
      <c r="S1134" s="442"/>
    </row>
    <row r="1135" spans="1:19">
      <c r="A1135" s="1234" t="s">
        <v>50</v>
      </c>
      <c r="B1135" s="1227"/>
      <c r="C1135" s="1227"/>
      <c r="D1135" s="1227"/>
      <c r="E1135" s="421"/>
      <c r="F1135" s="9"/>
      <c r="G1135" s="9"/>
      <c r="H1135" s="9"/>
      <c r="I1135" s="442"/>
      <c r="J1135" s="9"/>
      <c r="K1135" s="1234" t="s">
        <v>50</v>
      </c>
      <c r="L1135" s="1227"/>
      <c r="M1135" s="1227"/>
      <c r="N1135" s="1227"/>
      <c r="O1135" s="421"/>
      <c r="P1135" s="9"/>
      <c r="Q1135" s="9"/>
      <c r="R1135" s="9"/>
      <c r="S1135" s="442"/>
    </row>
    <row r="1136" spans="1:19">
      <c r="A1136" s="1234"/>
      <c r="B1136" s="1227"/>
      <c r="C1136" s="1227"/>
      <c r="D1136" s="1227"/>
      <c r="E1136" s="540">
        <f>'04-221Master'!B757</f>
        <v>0</v>
      </c>
      <c r="F1136" s="498"/>
      <c r="G1136" s="498">
        <f>'04-221Master'!E1121</f>
        <v>0</v>
      </c>
      <c r="H1136" s="498">
        <f>'04-221Master'!E757</f>
        <v>0</v>
      </c>
      <c r="I1136" s="442"/>
      <c r="J1136" s="9"/>
      <c r="K1136" s="1234"/>
      <c r="L1136" s="1227"/>
      <c r="M1136" s="1227"/>
      <c r="N1136" s="1227"/>
      <c r="O1136" s="540">
        <f>E1136</f>
        <v>0</v>
      </c>
      <c r="P1136" s="498"/>
      <c r="Q1136" s="498"/>
      <c r="R1136" s="498"/>
      <c r="S1136" s="442"/>
    </row>
    <row r="1137" spans="1:19">
      <c r="A1137" s="539"/>
      <c r="B1137" s="421"/>
      <c r="C1137" s="421"/>
      <c r="D1137" s="421"/>
      <c r="E1137" s="421"/>
      <c r="F1137" s="9"/>
      <c r="G1137" s="9"/>
      <c r="H1137" s="9"/>
      <c r="I1137" s="442"/>
      <c r="J1137" s="9"/>
      <c r="K1137" s="539"/>
      <c r="L1137" s="421"/>
      <c r="M1137" s="421"/>
      <c r="N1137" s="421"/>
      <c r="O1137" s="421"/>
      <c r="P1137" s="9"/>
      <c r="Q1137" s="9"/>
      <c r="R1137" s="9"/>
      <c r="S1137" s="442"/>
    </row>
    <row r="1138" spans="1:19">
      <c r="A1138" s="1226" t="s">
        <v>51</v>
      </c>
      <c r="B1138" s="1223"/>
      <c r="C1138" s="1223"/>
      <c r="D1138" s="1223"/>
      <c r="E1138" s="423" t="s">
        <v>373</v>
      </c>
      <c r="F1138" s="498"/>
      <c r="G1138" s="498"/>
      <c r="H1138" s="498"/>
      <c r="I1138" s="442"/>
      <c r="J1138" s="9"/>
      <c r="K1138" s="1226" t="s">
        <v>51</v>
      </c>
      <c r="L1138" s="1223"/>
      <c r="M1138" s="1223"/>
      <c r="N1138" s="1223"/>
      <c r="O1138" s="540" t="str">
        <f>E1138</f>
        <v>IT SUPPORTIVE SERVICES</v>
      </c>
      <c r="P1138" s="498"/>
      <c r="Q1138" s="498"/>
      <c r="R1138" s="498"/>
      <c r="S1138" s="442"/>
    </row>
    <row r="1139" spans="1:19">
      <c r="A1139" s="539"/>
      <c r="B1139" s="421"/>
      <c r="C1139" s="421"/>
      <c r="D1139" s="421"/>
      <c r="E1139" s="421"/>
      <c r="F1139" s="9"/>
      <c r="G1139" s="9"/>
      <c r="H1139" s="9"/>
      <c r="I1139" s="442"/>
      <c r="J1139" s="9"/>
      <c r="K1139" s="539"/>
      <c r="L1139" s="421"/>
      <c r="M1139" s="421"/>
      <c r="N1139" s="421"/>
      <c r="O1139" s="421"/>
      <c r="P1139" s="9"/>
      <c r="Q1139" s="9"/>
      <c r="R1139" s="9"/>
      <c r="S1139" s="442"/>
    </row>
    <row r="1140" spans="1:19">
      <c r="A1140" s="1226" t="s">
        <v>52</v>
      </c>
      <c r="B1140" s="1223"/>
      <c r="C1140" s="1223"/>
      <c r="D1140" s="1223"/>
      <c r="E1140" s="541">
        <f>'04-221Master'!D388</f>
        <v>0</v>
      </c>
      <c r="F1140" s="498"/>
      <c r="G1140" s="498"/>
      <c r="H1140" s="498"/>
      <c r="I1140" s="442"/>
      <c r="J1140" s="9"/>
      <c r="K1140" s="1226" t="s">
        <v>52</v>
      </c>
      <c r="L1140" s="1223"/>
      <c r="M1140" s="1223"/>
      <c r="N1140" s="1223"/>
      <c r="O1140" s="541">
        <f>E1140</f>
        <v>0</v>
      </c>
      <c r="P1140" s="498"/>
      <c r="Q1140" s="498"/>
      <c r="R1140" s="498"/>
      <c r="S1140" s="442"/>
    </row>
    <row r="1141" spans="1:19">
      <c r="A1141" s="539"/>
      <c r="B1141" s="421"/>
      <c r="C1141" s="421"/>
      <c r="D1141" s="421"/>
      <c r="E1141" s="421"/>
      <c r="F1141" s="9"/>
      <c r="G1141" s="9"/>
      <c r="H1141" s="9"/>
      <c r="I1141" s="442"/>
      <c r="J1141" s="9"/>
      <c r="K1141" s="539"/>
      <c r="L1141" s="421"/>
      <c r="M1141" s="421"/>
      <c r="N1141" s="421"/>
      <c r="O1141" s="421"/>
      <c r="P1141" s="9"/>
      <c r="Q1141" s="9"/>
      <c r="R1141" s="9"/>
      <c r="S1141" s="442"/>
    </row>
    <row r="1142" spans="1:19">
      <c r="A1142" s="542">
        <v>1</v>
      </c>
      <c r="B1142" s="1223" t="s">
        <v>53</v>
      </c>
      <c r="C1142" s="1223"/>
      <c r="D1142" s="1223"/>
      <c r="E1142" s="543">
        <f>'04-221Master'!W757</f>
        <v>0</v>
      </c>
      <c r="F1142" s="498"/>
      <c r="G1142" s="498"/>
      <c r="H1142" s="498"/>
      <c r="I1142" s="442"/>
      <c r="J1142" s="9"/>
      <c r="K1142" s="542">
        <v>1</v>
      </c>
      <c r="L1142" s="1223" t="s">
        <v>53</v>
      </c>
      <c r="M1142" s="1223"/>
      <c r="N1142" s="1223"/>
      <c r="O1142" s="543">
        <f>E1142</f>
        <v>0</v>
      </c>
      <c r="P1142" s="498"/>
      <c r="Q1142" s="498"/>
      <c r="R1142" s="498"/>
      <c r="S1142" s="442"/>
    </row>
    <row r="1143" spans="1:19">
      <c r="A1143" s="542"/>
      <c r="B1143" s="421"/>
      <c r="C1143" s="421"/>
      <c r="D1143" s="421"/>
      <c r="E1143" s="421"/>
      <c r="F1143" s="9"/>
      <c r="G1143" s="9"/>
      <c r="H1143" s="9"/>
      <c r="I1143" s="442"/>
      <c r="J1143" s="9"/>
      <c r="K1143" s="542"/>
      <c r="L1143" s="421"/>
      <c r="M1143" s="421"/>
      <c r="N1143" s="421"/>
      <c r="O1143" s="421"/>
      <c r="P1143" s="9"/>
      <c r="Q1143" s="9"/>
      <c r="R1143" s="9"/>
      <c r="S1143" s="442"/>
    </row>
    <row r="1144" spans="1:19">
      <c r="A1144" s="542">
        <v>2</v>
      </c>
      <c r="B1144" s="1227" t="s">
        <v>54</v>
      </c>
      <c r="C1144" s="1227"/>
      <c r="D1144" s="1227"/>
      <c r="E1144" s="421"/>
      <c r="F1144" s="9"/>
      <c r="G1144" s="9"/>
      <c r="H1144" s="9"/>
      <c r="I1144" s="442"/>
      <c r="J1144" s="9"/>
      <c r="K1144" s="542">
        <v>2</v>
      </c>
      <c r="L1144" s="1227" t="s">
        <v>54</v>
      </c>
      <c r="M1144" s="1227"/>
      <c r="N1144" s="1227"/>
      <c r="O1144" s="421"/>
      <c r="P1144" s="9"/>
      <c r="Q1144" s="9"/>
      <c r="R1144" s="9"/>
      <c r="S1144" s="442"/>
    </row>
    <row r="1145" spans="1:19">
      <c r="A1145" s="542"/>
      <c r="B1145" s="1227"/>
      <c r="C1145" s="1227"/>
      <c r="D1145" s="1227"/>
      <c r="E1145" s="544" t="s">
        <v>37</v>
      </c>
      <c r="F1145" s="498"/>
      <c r="G1145" s="498"/>
      <c r="H1145" s="498"/>
      <c r="I1145" s="442"/>
      <c r="J1145" s="9"/>
      <c r="K1145" s="542"/>
      <c r="L1145" s="1227"/>
      <c r="M1145" s="1227"/>
      <c r="N1145" s="1227"/>
      <c r="O1145" s="544" t="s">
        <v>37</v>
      </c>
      <c r="P1145" s="498"/>
      <c r="Q1145" s="498"/>
      <c r="R1145" s="498"/>
      <c r="S1145" s="442"/>
    </row>
    <row r="1146" spans="1:19">
      <c r="A1146" s="542"/>
      <c r="B1146" s="421"/>
      <c r="C1146" s="421"/>
      <c r="D1146" s="421"/>
      <c r="E1146" s="421"/>
      <c r="F1146" s="9"/>
      <c r="G1146" s="9"/>
      <c r="H1146" s="9"/>
      <c r="I1146" s="442"/>
      <c r="J1146" s="9"/>
      <c r="K1146" s="542"/>
      <c r="L1146" s="421"/>
      <c r="M1146" s="421"/>
      <c r="N1146" s="421"/>
      <c r="O1146" s="421"/>
      <c r="P1146" s="9"/>
      <c r="Q1146" s="9"/>
      <c r="R1146" s="9"/>
      <c r="S1146" s="442"/>
    </row>
    <row r="1147" spans="1:19">
      <c r="A1147" s="542">
        <v>3</v>
      </c>
      <c r="B1147" s="1223" t="s">
        <v>55</v>
      </c>
      <c r="C1147" s="1223"/>
      <c r="D1147" s="1223"/>
      <c r="E1147" s="544" t="s">
        <v>37</v>
      </c>
      <c r="F1147" s="498"/>
      <c r="G1147" s="498"/>
      <c r="H1147" s="498"/>
      <c r="I1147" s="442"/>
      <c r="J1147" s="9"/>
      <c r="K1147" s="542">
        <v>3</v>
      </c>
      <c r="L1147" s="1223" t="s">
        <v>55</v>
      </c>
      <c r="M1147" s="1223"/>
      <c r="N1147" s="1223"/>
      <c r="O1147" s="540" t="str">
        <f>E1147</f>
        <v>N/A</v>
      </c>
      <c r="P1147" s="498"/>
      <c r="Q1147" s="498"/>
      <c r="R1147" s="498"/>
      <c r="S1147" s="442"/>
    </row>
    <row r="1148" spans="1:19">
      <c r="A1148" s="542"/>
      <c r="B1148" s="421"/>
      <c r="C1148" s="421"/>
      <c r="D1148" s="421"/>
      <c r="E1148" s="421"/>
      <c r="F1148" s="9"/>
      <c r="G1148" s="9"/>
      <c r="H1148" s="9"/>
      <c r="I1148" s="442"/>
      <c r="J1148" s="9"/>
      <c r="K1148" s="542"/>
      <c r="L1148" s="421"/>
      <c r="M1148" s="421"/>
      <c r="N1148" s="421"/>
      <c r="O1148" s="421"/>
      <c r="P1148" s="9"/>
      <c r="Q1148" s="9"/>
      <c r="R1148" s="9"/>
      <c r="S1148" s="442"/>
    </row>
    <row r="1149" spans="1:19">
      <c r="A1149" s="542">
        <v>4</v>
      </c>
      <c r="B1149" s="1223" t="s">
        <v>56</v>
      </c>
      <c r="C1149" s="1223"/>
      <c r="D1149" s="1223"/>
      <c r="E1149" s="544" t="s">
        <v>57</v>
      </c>
      <c r="F1149" s="498"/>
      <c r="G1149" s="498"/>
      <c r="H1149" s="498"/>
      <c r="I1149" s="442"/>
      <c r="J1149" s="9"/>
      <c r="K1149" s="542">
        <v>4</v>
      </c>
      <c r="L1149" s="1223" t="s">
        <v>56</v>
      </c>
      <c r="M1149" s="1223"/>
      <c r="N1149" s="1223"/>
      <c r="O1149" s="544" t="s">
        <v>57</v>
      </c>
      <c r="P1149" s="498"/>
      <c r="Q1149" s="498"/>
      <c r="R1149" s="498"/>
      <c r="S1149" s="442"/>
    </row>
    <row r="1150" spans="1:19">
      <c r="A1150" s="542"/>
      <c r="B1150" s="421"/>
      <c r="C1150" s="421"/>
      <c r="D1150" s="421"/>
      <c r="E1150" s="421"/>
      <c r="F1150" s="9"/>
      <c r="G1150" s="9"/>
      <c r="H1150" s="9"/>
      <c r="I1150" s="442"/>
      <c r="J1150" s="9"/>
      <c r="K1150" s="542"/>
      <c r="L1150" s="421"/>
      <c r="M1150" s="421"/>
      <c r="N1150" s="421"/>
      <c r="O1150" s="421"/>
      <c r="P1150" s="9"/>
      <c r="Q1150" s="9"/>
      <c r="R1150" s="9"/>
      <c r="S1150" s="442"/>
    </row>
    <row r="1151" spans="1:19">
      <c r="A1151" s="542">
        <v>5</v>
      </c>
      <c r="B1151" s="1223" t="s">
        <v>58</v>
      </c>
      <c r="C1151" s="1223"/>
      <c r="D1151" s="1223"/>
      <c r="E1151" s="492">
        <f>'04-221Master'!AM411</f>
        <v>0</v>
      </c>
      <c r="F1151" s="9"/>
      <c r="G1151" s="9"/>
      <c r="H1151" s="9"/>
      <c r="I1151" s="442"/>
      <c r="J1151" s="9"/>
      <c r="K1151" s="542">
        <v>5</v>
      </c>
      <c r="L1151" s="1223" t="s">
        <v>58</v>
      </c>
      <c r="M1151" s="1223"/>
      <c r="N1151" s="1223"/>
      <c r="O1151" s="492">
        <f>E1151</f>
        <v>0</v>
      </c>
      <c r="P1151" s="9"/>
      <c r="Q1151" s="9"/>
      <c r="R1151" s="9"/>
      <c r="S1151" s="442"/>
    </row>
    <row r="1152" spans="1:19">
      <c r="A1152" s="542"/>
      <c r="B1152" s="421"/>
      <c r="C1152" s="421"/>
      <c r="D1152" s="493" t="s">
        <v>59</v>
      </c>
      <c r="E1152" s="493" t="s">
        <v>31</v>
      </c>
      <c r="F1152" s="493" t="s">
        <v>33</v>
      </c>
      <c r="G1152" s="493" t="s">
        <v>34</v>
      </c>
      <c r="H1152" s="493" t="s">
        <v>377</v>
      </c>
      <c r="I1152" s="494" t="s">
        <v>378</v>
      </c>
      <c r="J1152" s="9"/>
      <c r="K1152" s="542"/>
      <c r="L1152" s="421"/>
      <c r="M1152" s="421"/>
      <c r="N1152" s="493" t="s">
        <v>59</v>
      </c>
      <c r="O1152" s="493" t="s">
        <v>31</v>
      </c>
      <c r="P1152" s="493" t="s">
        <v>33</v>
      </c>
      <c r="Q1152" s="493" t="s">
        <v>34</v>
      </c>
      <c r="R1152" s="493" t="s">
        <v>377</v>
      </c>
      <c r="S1152" s="494" t="s">
        <v>378</v>
      </c>
    </row>
    <row r="1153" spans="1:19">
      <c r="A1153" s="542">
        <v>6</v>
      </c>
      <c r="B1153" s="867" t="s">
        <v>60</v>
      </c>
      <c r="C1153" s="867"/>
      <c r="D1153" s="495">
        <f>'04-221Master'!AO410</f>
        <v>0</v>
      </c>
      <c r="E1153" s="495">
        <f>'04-221Master'!AN1271</f>
        <v>0</v>
      </c>
      <c r="F1153" s="496">
        <f>'04-221Master'!AP411</f>
        <v>0</v>
      </c>
      <c r="G1153" s="495">
        <f>'04-221Master'!AQ411</f>
        <v>0</v>
      </c>
      <c r="H1153" s="496">
        <f>'04-221Master'!AR411</f>
        <v>0</v>
      </c>
      <c r="I1153" s="496">
        <f>SUM(D1153:H1153)</f>
        <v>0</v>
      </c>
      <c r="J1153" s="9"/>
      <c r="K1153" s="542">
        <v>6</v>
      </c>
      <c r="L1153" s="867" t="s">
        <v>60</v>
      </c>
      <c r="M1153" s="867"/>
      <c r="N1153" s="495">
        <f t="shared" ref="N1153" si="129">D1153</f>
        <v>0</v>
      </c>
      <c r="O1153" s="495">
        <f t="shared" ref="O1153" si="130">E1153</f>
        <v>0</v>
      </c>
      <c r="P1153" s="496">
        <f t="shared" ref="P1153" si="131">F1153</f>
        <v>0</v>
      </c>
      <c r="Q1153" s="495">
        <f t="shared" ref="Q1153" si="132">G1153</f>
        <v>0</v>
      </c>
      <c r="R1153" s="496">
        <f t="shared" ref="R1153" si="133">H1153</f>
        <v>0</v>
      </c>
      <c r="S1153" s="496">
        <f t="shared" ref="S1153" si="134">I1153</f>
        <v>0</v>
      </c>
    </row>
    <row r="1154" spans="1:19">
      <c r="A1154" s="542"/>
      <c r="B1154" s="421"/>
      <c r="C1154" s="421"/>
      <c r="D1154" s="421"/>
      <c r="E1154" s="421"/>
      <c r="F1154" s="9"/>
      <c r="G1154" s="9"/>
      <c r="H1154" s="9"/>
      <c r="I1154" s="442"/>
      <c r="J1154" s="9"/>
      <c r="K1154" s="542"/>
      <c r="L1154" s="421"/>
      <c r="M1154" s="421"/>
      <c r="N1154" s="421"/>
      <c r="O1154" s="421"/>
      <c r="P1154" s="9"/>
      <c r="Q1154" s="9"/>
      <c r="R1154" s="9"/>
      <c r="S1154" s="442"/>
    </row>
    <row r="1155" spans="1:19">
      <c r="A1155" s="542">
        <v>7</v>
      </c>
      <c r="B1155" s="1223" t="s">
        <v>61</v>
      </c>
      <c r="C1155" s="1223"/>
      <c r="D1155" s="1223"/>
      <c r="E1155" s="497">
        <f>E1151-I1153</f>
        <v>0</v>
      </c>
      <c r="F1155" s="498"/>
      <c r="G1155" s="498"/>
      <c r="H1155" s="498"/>
      <c r="I1155" s="442"/>
      <c r="J1155" s="9"/>
      <c r="K1155" s="542">
        <v>7</v>
      </c>
      <c r="L1155" s="1223" t="s">
        <v>61</v>
      </c>
      <c r="M1155" s="1223"/>
      <c r="N1155" s="1223"/>
      <c r="O1155" s="497">
        <f>E1155</f>
        <v>0</v>
      </c>
      <c r="P1155" s="498"/>
      <c r="Q1155" s="498"/>
      <c r="R1155" s="498"/>
      <c r="S1155" s="442"/>
    </row>
    <row r="1156" spans="1:19">
      <c r="A1156" s="441"/>
      <c r="B1156" s="9"/>
      <c r="C1156" s="9"/>
      <c r="D1156" s="9"/>
      <c r="E1156" s="9"/>
      <c r="F1156" s="9"/>
      <c r="G1156" s="9"/>
      <c r="H1156" s="9"/>
      <c r="I1156" s="442"/>
      <c r="J1156" s="9"/>
      <c r="K1156" s="441"/>
      <c r="L1156" s="9"/>
      <c r="M1156" s="9"/>
      <c r="N1156" s="9"/>
      <c r="O1156" s="9"/>
      <c r="P1156" s="9"/>
      <c r="Q1156" s="9"/>
      <c r="R1156" s="9"/>
      <c r="S1156" s="442"/>
    </row>
    <row r="1157" spans="1:19">
      <c r="A1157" s="441"/>
      <c r="B1157" s="9"/>
      <c r="C1157" s="9"/>
      <c r="D1157" s="9"/>
      <c r="E1157" s="9"/>
      <c r="F1157" s="9"/>
      <c r="G1157" s="9"/>
      <c r="H1157" s="9"/>
      <c r="I1157" s="442"/>
      <c r="J1157" s="9"/>
      <c r="K1157" s="441"/>
      <c r="L1157" s="9"/>
      <c r="M1157" s="9"/>
      <c r="N1157" s="9"/>
      <c r="O1157" s="9"/>
      <c r="P1157" s="9"/>
      <c r="Q1157" s="9"/>
      <c r="R1157" s="9"/>
      <c r="S1157" s="442"/>
    </row>
    <row r="1158" spans="1:19" ht="15.75" thickBot="1">
      <c r="A1158" s="441"/>
      <c r="B1158" s="9"/>
      <c r="C1158" s="9"/>
      <c r="D1158" s="9"/>
      <c r="E1158" s="9"/>
      <c r="F1158" s="444"/>
      <c r="G1158" s="444"/>
      <c r="H1158" s="444"/>
      <c r="I1158" s="445"/>
      <c r="J1158" s="9"/>
      <c r="K1158" s="441"/>
      <c r="L1158" s="9"/>
      <c r="M1158" s="9"/>
      <c r="N1158" s="9"/>
      <c r="O1158" s="9"/>
      <c r="P1158" s="444"/>
      <c r="Q1158" s="444"/>
      <c r="R1158" s="444"/>
      <c r="S1158" s="445"/>
    </row>
    <row r="1159" spans="1:19" ht="15.75" thickBot="1">
      <c r="A1159" s="443"/>
      <c r="B1159" s="444"/>
      <c r="C1159" s="444"/>
      <c r="D1159" s="444"/>
      <c r="E1159" s="444"/>
      <c r="F1159" s="1224" t="s">
        <v>62</v>
      </c>
      <c r="G1159" s="1224"/>
      <c r="H1159" s="1224"/>
      <c r="I1159" s="1225"/>
      <c r="J1159" s="9"/>
      <c r="K1159" s="443"/>
      <c r="L1159" s="444"/>
      <c r="M1159" s="444"/>
      <c r="N1159" s="444"/>
      <c r="O1159" s="444"/>
      <c r="P1159" s="1224" t="s">
        <v>62</v>
      </c>
      <c r="Q1159" s="1224"/>
      <c r="R1159" s="1224"/>
      <c r="S1159" s="1225"/>
    </row>
    <row r="1160" spans="1:19">
      <c r="A1160" s="9"/>
      <c r="B1160" s="9"/>
      <c r="C1160" s="9"/>
      <c r="D1160" s="9"/>
      <c r="E1160" s="9"/>
      <c r="F1160" s="9"/>
      <c r="G1160" s="9"/>
      <c r="H1160" s="9"/>
      <c r="I1160" s="9"/>
      <c r="J1160" s="9"/>
      <c r="K1160" s="9"/>
      <c r="L1160" s="9"/>
      <c r="M1160" s="9"/>
      <c r="N1160" s="9"/>
      <c r="O1160" s="9"/>
      <c r="P1160" s="9"/>
      <c r="Q1160" s="9"/>
      <c r="R1160" s="9"/>
      <c r="S1160" s="9"/>
    </row>
    <row r="1161" spans="1:19">
      <c r="A1161" s="9"/>
      <c r="B1161" s="9"/>
      <c r="C1161" s="9"/>
      <c r="D1161" s="9"/>
      <c r="E1161" s="9"/>
      <c r="F1161" s="9"/>
      <c r="G1161" s="9"/>
      <c r="H1161" s="9"/>
      <c r="I1161" s="9"/>
      <c r="J1161" s="9"/>
      <c r="K1161" s="9"/>
      <c r="L1161" s="9"/>
      <c r="M1161" s="9"/>
      <c r="N1161" s="9"/>
      <c r="O1161" s="9"/>
      <c r="P1161" s="9"/>
      <c r="Q1161" s="9"/>
      <c r="R1161" s="9"/>
      <c r="S1161" s="9"/>
    </row>
    <row r="1162" spans="1:19">
      <c r="A1162" s="9"/>
      <c r="B1162" s="9"/>
      <c r="C1162" s="9"/>
      <c r="D1162" s="9"/>
      <c r="E1162" s="9"/>
      <c r="F1162" s="9"/>
      <c r="G1162" s="9"/>
      <c r="H1162" s="9"/>
      <c r="I1162" s="9"/>
      <c r="J1162" s="9"/>
      <c r="K1162" s="9"/>
      <c r="L1162" s="9"/>
      <c r="M1162" s="9"/>
      <c r="N1162" s="9"/>
      <c r="O1162" s="9"/>
      <c r="P1162" s="9"/>
      <c r="Q1162" s="9"/>
      <c r="R1162" s="9"/>
      <c r="S1162" s="9"/>
    </row>
    <row r="1163" spans="1:19">
      <c r="A1163" s="9"/>
      <c r="B1163" s="9"/>
      <c r="C1163" s="9"/>
      <c r="D1163" s="9"/>
      <c r="E1163" s="9"/>
      <c r="F1163" s="9"/>
      <c r="G1163" s="9"/>
      <c r="H1163" s="9"/>
      <c r="I1163" s="9"/>
      <c r="J1163" s="9"/>
      <c r="K1163" s="9"/>
      <c r="L1163" s="9"/>
      <c r="M1163" s="9"/>
      <c r="N1163" s="9"/>
      <c r="O1163" s="9"/>
      <c r="P1163" s="9"/>
      <c r="Q1163" s="9"/>
      <c r="R1163" s="9"/>
      <c r="S1163" s="9"/>
    </row>
    <row r="1164" spans="1:19">
      <c r="A1164" s="9"/>
      <c r="B1164" s="9"/>
      <c r="C1164" s="9"/>
      <c r="D1164" s="9"/>
      <c r="E1164" s="9"/>
      <c r="F1164" s="9"/>
      <c r="G1164" s="9"/>
      <c r="H1164" s="9"/>
      <c r="I1164" s="9"/>
      <c r="J1164" s="9"/>
      <c r="K1164" s="9"/>
      <c r="L1164" s="9"/>
      <c r="M1164" s="9"/>
      <c r="N1164" s="9"/>
      <c r="O1164" s="9"/>
      <c r="P1164" s="9"/>
      <c r="Q1164" s="9"/>
      <c r="R1164" s="9"/>
      <c r="S1164" s="9"/>
    </row>
    <row r="1165" spans="1:19">
      <c r="A1165" s="9"/>
      <c r="B1165" s="9"/>
      <c r="C1165" s="9"/>
      <c r="D1165" s="9"/>
      <c r="E1165" s="9"/>
      <c r="F1165" s="9"/>
      <c r="G1165" s="9"/>
      <c r="H1165" s="9"/>
      <c r="I1165" s="9"/>
      <c r="J1165" s="9"/>
      <c r="K1165" s="9"/>
      <c r="L1165" s="9"/>
      <c r="M1165" s="9"/>
      <c r="N1165" s="9"/>
      <c r="O1165" s="9"/>
      <c r="P1165" s="9"/>
      <c r="Q1165" s="9"/>
      <c r="R1165" s="9"/>
      <c r="S1165" s="9"/>
    </row>
    <row r="1166" spans="1:19">
      <c r="A1166" s="9"/>
      <c r="B1166" s="9"/>
      <c r="C1166" s="9"/>
      <c r="D1166" s="9"/>
      <c r="E1166" s="9"/>
      <c r="F1166" s="9"/>
      <c r="G1166" s="9"/>
      <c r="H1166" s="9"/>
      <c r="I1166" s="9"/>
      <c r="J1166" s="9"/>
      <c r="K1166" s="9"/>
      <c r="L1166" s="9"/>
      <c r="M1166" s="9"/>
      <c r="N1166" s="9"/>
      <c r="O1166" s="9"/>
      <c r="P1166" s="9"/>
      <c r="Q1166" s="9"/>
      <c r="R1166" s="9"/>
      <c r="S1166" s="9"/>
    </row>
  </sheetData>
  <mergeCells count="600">
    <mergeCell ref="B1151:D1151"/>
    <mergeCell ref="L1151:N1151"/>
    <mergeCell ref="B1155:D1155"/>
    <mergeCell ref="L1155:N1155"/>
    <mergeCell ref="F1159:I1159"/>
    <mergeCell ref="P1159:S1159"/>
    <mergeCell ref="A989:I989"/>
    <mergeCell ref="K989:S989"/>
    <mergeCell ref="A990:I990"/>
    <mergeCell ref="K990:S990"/>
    <mergeCell ref="A995:D996"/>
    <mergeCell ref="K995:N996"/>
    <mergeCell ref="A998:D998"/>
    <mergeCell ref="K998:N998"/>
    <mergeCell ref="A1000:D1000"/>
    <mergeCell ref="K1000:N1000"/>
    <mergeCell ref="B1002:D1002"/>
    <mergeCell ref="L1002:N1002"/>
    <mergeCell ref="B1004:D1005"/>
    <mergeCell ref="L1004:N1005"/>
    <mergeCell ref="B1007:D1007"/>
    <mergeCell ref="L1007:N1007"/>
    <mergeCell ref="B1009:D1009"/>
    <mergeCell ref="L1009:N1009"/>
    <mergeCell ref="A1140:D1140"/>
    <mergeCell ref="K1140:N1140"/>
    <mergeCell ref="B1142:D1142"/>
    <mergeCell ref="L1142:N1142"/>
    <mergeCell ref="B1144:D1145"/>
    <mergeCell ref="L1144:N1145"/>
    <mergeCell ref="B1147:D1147"/>
    <mergeCell ref="L1147:N1147"/>
    <mergeCell ref="B1149:D1149"/>
    <mergeCell ref="L1149:N1149"/>
    <mergeCell ref="F1114:I1114"/>
    <mergeCell ref="P1114:S1114"/>
    <mergeCell ref="A1129:I1129"/>
    <mergeCell ref="K1129:S1129"/>
    <mergeCell ref="A1130:I1130"/>
    <mergeCell ref="K1130:S1130"/>
    <mergeCell ref="A1135:D1136"/>
    <mergeCell ref="K1135:N1136"/>
    <mergeCell ref="A1138:D1138"/>
    <mergeCell ref="K1138:N1138"/>
    <mergeCell ref="B1099:D1100"/>
    <mergeCell ref="L1099:N1100"/>
    <mergeCell ref="B1102:D1102"/>
    <mergeCell ref="L1102:N1102"/>
    <mergeCell ref="B1104:D1104"/>
    <mergeCell ref="L1104:N1104"/>
    <mergeCell ref="B1106:D1106"/>
    <mergeCell ref="L1106:N1106"/>
    <mergeCell ref="B1110:D1110"/>
    <mergeCell ref="L1110:N1110"/>
    <mergeCell ref="A1085:I1085"/>
    <mergeCell ref="K1085:S1085"/>
    <mergeCell ref="A1090:D1091"/>
    <mergeCell ref="K1090:N1091"/>
    <mergeCell ref="A1093:D1093"/>
    <mergeCell ref="K1093:N1093"/>
    <mergeCell ref="A1095:D1095"/>
    <mergeCell ref="K1095:N1095"/>
    <mergeCell ref="B1097:D1097"/>
    <mergeCell ref="L1097:N1097"/>
    <mergeCell ref="B1054:D1054"/>
    <mergeCell ref="L1054:N1054"/>
    <mergeCell ref="B1056:D1056"/>
    <mergeCell ref="L1056:N1056"/>
    <mergeCell ref="B1060:D1060"/>
    <mergeCell ref="L1060:N1060"/>
    <mergeCell ref="F1064:I1064"/>
    <mergeCell ref="P1064:S1064"/>
    <mergeCell ref="A1084:I1084"/>
    <mergeCell ref="K1084:S1084"/>
    <mergeCell ref="A1043:D1043"/>
    <mergeCell ref="K1043:N1043"/>
    <mergeCell ref="A1045:D1045"/>
    <mergeCell ref="K1045:N1045"/>
    <mergeCell ref="B1047:D1047"/>
    <mergeCell ref="L1047:N1047"/>
    <mergeCell ref="B1049:D1050"/>
    <mergeCell ref="L1049:N1050"/>
    <mergeCell ref="B1052:D1052"/>
    <mergeCell ref="L1052:N1052"/>
    <mergeCell ref="B1015:D1015"/>
    <mergeCell ref="L1015:N1015"/>
    <mergeCell ref="F1019:I1019"/>
    <mergeCell ref="P1019:S1019"/>
    <mergeCell ref="A1034:I1034"/>
    <mergeCell ref="K1034:S1034"/>
    <mergeCell ref="A1035:I1035"/>
    <mergeCell ref="K1035:S1035"/>
    <mergeCell ref="A1040:D1041"/>
    <mergeCell ref="K1040:N1041"/>
    <mergeCell ref="B1011:D1011"/>
    <mergeCell ref="L1011:N1011"/>
    <mergeCell ref="B959:D959"/>
    <mergeCell ref="L959:N959"/>
    <mergeCell ref="B963:D963"/>
    <mergeCell ref="L963:N963"/>
    <mergeCell ref="F967:I967"/>
    <mergeCell ref="P967:S967"/>
    <mergeCell ref="A948:D948"/>
    <mergeCell ref="K948:N948"/>
    <mergeCell ref="B950:D950"/>
    <mergeCell ref="L950:N950"/>
    <mergeCell ref="B952:D953"/>
    <mergeCell ref="L952:N953"/>
    <mergeCell ref="B955:D955"/>
    <mergeCell ref="L955:N955"/>
    <mergeCell ref="B957:D957"/>
    <mergeCell ref="L957:N957"/>
    <mergeCell ref="F922:I922"/>
    <mergeCell ref="P922:S922"/>
    <mergeCell ref="A937:I937"/>
    <mergeCell ref="K937:S937"/>
    <mergeCell ref="A938:I938"/>
    <mergeCell ref="K938:S938"/>
    <mergeCell ref="A943:D944"/>
    <mergeCell ref="K943:N944"/>
    <mergeCell ref="A946:D946"/>
    <mergeCell ref="K946:N946"/>
    <mergeCell ref="B907:D908"/>
    <mergeCell ref="L907:N908"/>
    <mergeCell ref="B910:D910"/>
    <mergeCell ref="L910:N910"/>
    <mergeCell ref="B912:D912"/>
    <mergeCell ref="L912:N912"/>
    <mergeCell ref="B914:D914"/>
    <mergeCell ref="L914:N914"/>
    <mergeCell ref="B918:D918"/>
    <mergeCell ref="L918:N918"/>
    <mergeCell ref="A893:I893"/>
    <mergeCell ref="K893:S893"/>
    <mergeCell ref="A898:D899"/>
    <mergeCell ref="K898:N899"/>
    <mergeCell ref="A901:D901"/>
    <mergeCell ref="K901:N901"/>
    <mergeCell ref="A903:D903"/>
    <mergeCell ref="K903:N903"/>
    <mergeCell ref="B905:D905"/>
    <mergeCell ref="L905:N905"/>
    <mergeCell ref="B862:D862"/>
    <mergeCell ref="L862:N862"/>
    <mergeCell ref="B864:D864"/>
    <mergeCell ref="L864:N864"/>
    <mergeCell ref="B868:D868"/>
    <mergeCell ref="L868:N868"/>
    <mergeCell ref="F872:I872"/>
    <mergeCell ref="P872:S872"/>
    <mergeCell ref="A892:I892"/>
    <mergeCell ref="K892:S892"/>
    <mergeCell ref="A851:D851"/>
    <mergeCell ref="K851:N851"/>
    <mergeCell ref="A853:D853"/>
    <mergeCell ref="K853:N853"/>
    <mergeCell ref="B855:D855"/>
    <mergeCell ref="L855:N855"/>
    <mergeCell ref="B857:D858"/>
    <mergeCell ref="L857:N858"/>
    <mergeCell ref="B860:D860"/>
    <mergeCell ref="L860:N860"/>
    <mergeCell ref="B823:D823"/>
    <mergeCell ref="L823:N823"/>
    <mergeCell ref="F827:I827"/>
    <mergeCell ref="P827:S827"/>
    <mergeCell ref="A842:I842"/>
    <mergeCell ref="K842:S842"/>
    <mergeCell ref="A843:I843"/>
    <mergeCell ref="K843:S843"/>
    <mergeCell ref="A848:D849"/>
    <mergeCell ref="K848:N849"/>
    <mergeCell ref="B810:D810"/>
    <mergeCell ref="L810:N810"/>
    <mergeCell ref="B812:D813"/>
    <mergeCell ref="L812:N813"/>
    <mergeCell ref="B815:D815"/>
    <mergeCell ref="L815:N815"/>
    <mergeCell ref="B817:D817"/>
    <mergeCell ref="L817:N817"/>
    <mergeCell ref="B819:D819"/>
    <mergeCell ref="L819:N819"/>
    <mergeCell ref="A797:I797"/>
    <mergeCell ref="K797:S797"/>
    <mergeCell ref="A798:I798"/>
    <mergeCell ref="K798:S798"/>
    <mergeCell ref="A803:D804"/>
    <mergeCell ref="K803:N804"/>
    <mergeCell ref="A806:D806"/>
    <mergeCell ref="K806:N806"/>
    <mergeCell ref="A808:D808"/>
    <mergeCell ref="K808:N808"/>
    <mergeCell ref="P456:S456"/>
    <mergeCell ref="A437:D437"/>
    <mergeCell ref="K437:N437"/>
    <mergeCell ref="B439:D439"/>
    <mergeCell ref="L439:N439"/>
    <mergeCell ref="B441:D442"/>
    <mergeCell ref="L441:N442"/>
    <mergeCell ref="B444:D444"/>
    <mergeCell ref="L444:N444"/>
    <mergeCell ref="B446:D446"/>
    <mergeCell ref="L446:N446"/>
    <mergeCell ref="A432:D433"/>
    <mergeCell ref="K432:N433"/>
    <mergeCell ref="A435:D435"/>
    <mergeCell ref="K435:N435"/>
    <mergeCell ref="B448:D448"/>
    <mergeCell ref="L448:N448"/>
    <mergeCell ref="B452:D452"/>
    <mergeCell ref="L452:N452"/>
    <mergeCell ref="F456:I456"/>
    <mergeCell ref="B403:D403"/>
    <mergeCell ref="L403:N403"/>
    <mergeCell ref="B407:D407"/>
    <mergeCell ref="L407:N407"/>
    <mergeCell ref="F411:I411"/>
    <mergeCell ref="P411:S411"/>
    <mergeCell ref="A426:I426"/>
    <mergeCell ref="K426:S426"/>
    <mergeCell ref="A427:I427"/>
    <mergeCell ref="K427:S427"/>
    <mergeCell ref="A392:D392"/>
    <mergeCell ref="K392:N392"/>
    <mergeCell ref="B394:D394"/>
    <mergeCell ref="L394:N394"/>
    <mergeCell ref="B396:D397"/>
    <mergeCell ref="L396:N397"/>
    <mergeCell ref="B399:D399"/>
    <mergeCell ref="L399:N399"/>
    <mergeCell ref="B401:D401"/>
    <mergeCell ref="L401:N401"/>
    <mergeCell ref="P364:S364"/>
    <mergeCell ref="A381:I381"/>
    <mergeCell ref="K381:S381"/>
    <mergeCell ref="A382:I382"/>
    <mergeCell ref="K382:S382"/>
    <mergeCell ref="A387:D388"/>
    <mergeCell ref="K387:N388"/>
    <mergeCell ref="A390:D390"/>
    <mergeCell ref="K390:N390"/>
    <mergeCell ref="B352:D352"/>
    <mergeCell ref="L352:N352"/>
    <mergeCell ref="B354:D354"/>
    <mergeCell ref="L354:N354"/>
    <mergeCell ref="B356:D356"/>
    <mergeCell ref="L356:N356"/>
    <mergeCell ref="B360:D360"/>
    <mergeCell ref="L360:N360"/>
    <mergeCell ref="F364:I364"/>
    <mergeCell ref="A340:D341"/>
    <mergeCell ref="K340:N341"/>
    <mergeCell ref="A343:D343"/>
    <mergeCell ref="K343:N343"/>
    <mergeCell ref="A345:D345"/>
    <mergeCell ref="K345:N345"/>
    <mergeCell ref="B347:D347"/>
    <mergeCell ref="L347:N347"/>
    <mergeCell ref="B349:D350"/>
    <mergeCell ref="L349:N350"/>
    <mergeCell ref="B309:D309"/>
    <mergeCell ref="L309:N309"/>
    <mergeCell ref="B313:D313"/>
    <mergeCell ref="L313:N313"/>
    <mergeCell ref="F317:I317"/>
    <mergeCell ref="P317:S317"/>
    <mergeCell ref="A334:I334"/>
    <mergeCell ref="K334:S334"/>
    <mergeCell ref="A335:I335"/>
    <mergeCell ref="K335:S335"/>
    <mergeCell ref="A298:D298"/>
    <mergeCell ref="K298:N298"/>
    <mergeCell ref="B300:D300"/>
    <mergeCell ref="L300:N300"/>
    <mergeCell ref="B302:D303"/>
    <mergeCell ref="L302:N303"/>
    <mergeCell ref="B305:D305"/>
    <mergeCell ref="L305:N305"/>
    <mergeCell ref="B307:D307"/>
    <mergeCell ref="L307:N307"/>
    <mergeCell ref="P270:S270"/>
    <mergeCell ref="A287:I287"/>
    <mergeCell ref="K287:S287"/>
    <mergeCell ref="A288:I288"/>
    <mergeCell ref="K288:S288"/>
    <mergeCell ref="A293:D294"/>
    <mergeCell ref="K293:N294"/>
    <mergeCell ref="A296:D296"/>
    <mergeCell ref="K296:N296"/>
    <mergeCell ref="B258:D258"/>
    <mergeCell ref="L258:N258"/>
    <mergeCell ref="B260:D260"/>
    <mergeCell ref="L260:N260"/>
    <mergeCell ref="B262:D262"/>
    <mergeCell ref="L262:N262"/>
    <mergeCell ref="B266:D266"/>
    <mergeCell ref="L266:N266"/>
    <mergeCell ref="F270:I270"/>
    <mergeCell ref="A246:D247"/>
    <mergeCell ref="K246:N247"/>
    <mergeCell ref="A249:D249"/>
    <mergeCell ref="K249:N249"/>
    <mergeCell ref="A251:D251"/>
    <mergeCell ref="K251:N251"/>
    <mergeCell ref="B253:D253"/>
    <mergeCell ref="L253:N253"/>
    <mergeCell ref="B255:D256"/>
    <mergeCell ref="L255:N256"/>
    <mergeCell ref="B214:D214"/>
    <mergeCell ref="L214:N214"/>
    <mergeCell ref="B218:D218"/>
    <mergeCell ref="L218:N218"/>
    <mergeCell ref="F222:I222"/>
    <mergeCell ref="P222:S222"/>
    <mergeCell ref="A240:I240"/>
    <mergeCell ref="K240:S240"/>
    <mergeCell ref="A241:I241"/>
    <mergeCell ref="K241:S241"/>
    <mergeCell ref="A203:D203"/>
    <mergeCell ref="K203:N203"/>
    <mergeCell ref="B205:D205"/>
    <mergeCell ref="L205:N205"/>
    <mergeCell ref="B207:D208"/>
    <mergeCell ref="L207:N208"/>
    <mergeCell ref="B210:D210"/>
    <mergeCell ref="L210:N210"/>
    <mergeCell ref="B212:D212"/>
    <mergeCell ref="L212:N212"/>
    <mergeCell ref="P175:S175"/>
    <mergeCell ref="A192:I192"/>
    <mergeCell ref="K192:S192"/>
    <mergeCell ref="A193:I193"/>
    <mergeCell ref="K193:S193"/>
    <mergeCell ref="A198:D199"/>
    <mergeCell ref="K198:N199"/>
    <mergeCell ref="A201:D201"/>
    <mergeCell ref="K201:N201"/>
    <mergeCell ref="B163:D163"/>
    <mergeCell ref="L163:N163"/>
    <mergeCell ref="B165:D165"/>
    <mergeCell ref="L165:N165"/>
    <mergeCell ref="B167:D167"/>
    <mergeCell ref="L167:N167"/>
    <mergeCell ref="B171:D171"/>
    <mergeCell ref="L171:N171"/>
    <mergeCell ref="F175:I175"/>
    <mergeCell ref="B22:D22"/>
    <mergeCell ref="L22:N22"/>
    <mergeCell ref="B24:D24"/>
    <mergeCell ref="L24:N24"/>
    <mergeCell ref="A13:D13"/>
    <mergeCell ref="K13:N13"/>
    <mergeCell ref="B15:D15"/>
    <mergeCell ref="L15:N15"/>
    <mergeCell ref="B17:D18"/>
    <mergeCell ref="L17:N18"/>
    <mergeCell ref="A8:D9"/>
    <mergeCell ref="K8:N9"/>
    <mergeCell ref="A11:D11"/>
    <mergeCell ref="K11:N11"/>
    <mergeCell ref="A2:I2"/>
    <mergeCell ref="K2:S2"/>
    <mergeCell ref="A3:I3"/>
    <mergeCell ref="K3:S3"/>
    <mergeCell ref="B20:D20"/>
    <mergeCell ref="L20:N20"/>
    <mergeCell ref="B28:D28"/>
    <mergeCell ref="L28:N28"/>
    <mergeCell ref="F32:I32"/>
    <mergeCell ref="P32:S32"/>
    <mergeCell ref="A49:I49"/>
    <mergeCell ref="K49:S49"/>
    <mergeCell ref="A50:I50"/>
    <mergeCell ref="K50:S50"/>
    <mergeCell ref="B62:D62"/>
    <mergeCell ref="L62:N62"/>
    <mergeCell ref="B69:D69"/>
    <mergeCell ref="L69:N69"/>
    <mergeCell ref="B71:D71"/>
    <mergeCell ref="L71:N71"/>
    <mergeCell ref="B64:D65"/>
    <mergeCell ref="L64:N65"/>
    <mergeCell ref="B67:D67"/>
    <mergeCell ref="L67:N67"/>
    <mergeCell ref="A55:D56"/>
    <mergeCell ref="K55:N56"/>
    <mergeCell ref="A58:D58"/>
    <mergeCell ref="K58:N58"/>
    <mergeCell ref="A60:D60"/>
    <mergeCell ref="K60:N60"/>
    <mergeCell ref="B75:D75"/>
    <mergeCell ref="L75:N75"/>
    <mergeCell ref="F79:I79"/>
    <mergeCell ref="P79:S79"/>
    <mergeCell ref="A98:I98"/>
    <mergeCell ref="K98:S98"/>
    <mergeCell ref="A103:D104"/>
    <mergeCell ref="K103:N104"/>
    <mergeCell ref="A97:I97"/>
    <mergeCell ref="K97:S97"/>
    <mergeCell ref="B112:D113"/>
    <mergeCell ref="L112:N113"/>
    <mergeCell ref="B115:D115"/>
    <mergeCell ref="L115:N115"/>
    <mergeCell ref="B117:D117"/>
    <mergeCell ref="L117:N117"/>
    <mergeCell ref="A106:D106"/>
    <mergeCell ref="K106:N106"/>
    <mergeCell ref="A108:D108"/>
    <mergeCell ref="K108:N108"/>
    <mergeCell ref="B110:D110"/>
    <mergeCell ref="L110:N110"/>
    <mergeCell ref="F127:I127"/>
    <mergeCell ref="P127:S127"/>
    <mergeCell ref="B119:D119"/>
    <mergeCell ref="L119:N119"/>
    <mergeCell ref="B123:D123"/>
    <mergeCell ref="L123:N123"/>
    <mergeCell ref="A145:I145"/>
    <mergeCell ref="K145:S145"/>
    <mergeCell ref="A146:I146"/>
    <mergeCell ref="K146:S146"/>
    <mergeCell ref="A151:D152"/>
    <mergeCell ref="K151:N152"/>
    <mergeCell ref="A154:D154"/>
    <mergeCell ref="K154:N154"/>
    <mergeCell ref="A156:D156"/>
    <mergeCell ref="K156:N156"/>
    <mergeCell ref="B158:D158"/>
    <mergeCell ref="L158:N158"/>
    <mergeCell ref="B160:D161"/>
    <mergeCell ref="L160:N161"/>
    <mergeCell ref="A472:I472"/>
    <mergeCell ref="K472:S472"/>
    <mergeCell ref="A473:I473"/>
    <mergeCell ref="K473:S473"/>
    <mergeCell ref="A478:D479"/>
    <mergeCell ref="K478:N479"/>
    <mergeCell ref="A481:D481"/>
    <mergeCell ref="K481:N481"/>
    <mergeCell ref="A483:D483"/>
    <mergeCell ref="K483:N483"/>
    <mergeCell ref="B485:D485"/>
    <mergeCell ref="L485:N485"/>
    <mergeCell ref="B487:D488"/>
    <mergeCell ref="L487:N488"/>
    <mergeCell ref="B490:D490"/>
    <mergeCell ref="L490:N490"/>
    <mergeCell ref="B492:D492"/>
    <mergeCell ref="L492:N492"/>
    <mergeCell ref="B494:D494"/>
    <mergeCell ref="L494:N494"/>
    <mergeCell ref="B498:D498"/>
    <mergeCell ref="L498:N498"/>
    <mergeCell ref="F502:I502"/>
    <mergeCell ref="P502:S502"/>
    <mergeCell ref="A517:I517"/>
    <mergeCell ref="K517:S517"/>
    <mergeCell ref="A518:I518"/>
    <mergeCell ref="K518:S518"/>
    <mergeCell ref="A523:D524"/>
    <mergeCell ref="K523:N524"/>
    <mergeCell ref="A526:D526"/>
    <mergeCell ref="K526:N526"/>
    <mergeCell ref="A528:D528"/>
    <mergeCell ref="K528:N528"/>
    <mergeCell ref="B530:D530"/>
    <mergeCell ref="L530:N530"/>
    <mergeCell ref="B532:D533"/>
    <mergeCell ref="L532:N533"/>
    <mergeCell ref="B535:D535"/>
    <mergeCell ref="L535:N535"/>
    <mergeCell ref="B537:D537"/>
    <mergeCell ref="L537:N537"/>
    <mergeCell ref="B539:D539"/>
    <mergeCell ref="L539:N539"/>
    <mergeCell ref="B543:D543"/>
    <mergeCell ref="L543:N543"/>
    <mergeCell ref="F547:I547"/>
    <mergeCell ref="P547:S547"/>
    <mergeCell ref="A563:I563"/>
    <mergeCell ref="K563:S563"/>
    <mergeCell ref="A564:I564"/>
    <mergeCell ref="K564:S564"/>
    <mergeCell ref="A569:D570"/>
    <mergeCell ref="K569:N570"/>
    <mergeCell ref="A572:D572"/>
    <mergeCell ref="K572:N572"/>
    <mergeCell ref="A574:D574"/>
    <mergeCell ref="K574:N574"/>
    <mergeCell ref="B576:D576"/>
    <mergeCell ref="L576:N576"/>
    <mergeCell ref="B578:D579"/>
    <mergeCell ref="L578:N579"/>
    <mergeCell ref="B581:D581"/>
    <mergeCell ref="L581:N581"/>
    <mergeCell ref="B583:D583"/>
    <mergeCell ref="L583:N583"/>
    <mergeCell ref="B585:D585"/>
    <mergeCell ref="L585:N585"/>
    <mergeCell ref="B589:D589"/>
    <mergeCell ref="L589:N589"/>
    <mergeCell ref="F593:I593"/>
    <mergeCell ref="P593:S593"/>
    <mergeCell ref="A609:I609"/>
    <mergeCell ref="K609:S609"/>
    <mergeCell ref="A610:I610"/>
    <mergeCell ref="K610:S610"/>
    <mergeCell ref="A615:D616"/>
    <mergeCell ref="K615:N616"/>
    <mergeCell ref="A618:D618"/>
    <mergeCell ref="K618:N618"/>
    <mergeCell ref="A620:D620"/>
    <mergeCell ref="K620:N620"/>
    <mergeCell ref="B622:D622"/>
    <mergeCell ref="L622:N622"/>
    <mergeCell ref="B624:D625"/>
    <mergeCell ref="L624:N625"/>
    <mergeCell ref="B627:D627"/>
    <mergeCell ref="L627:N627"/>
    <mergeCell ref="B629:D629"/>
    <mergeCell ref="L629:N629"/>
    <mergeCell ref="B631:D631"/>
    <mergeCell ref="L631:N631"/>
    <mergeCell ref="B635:D635"/>
    <mergeCell ref="L635:N635"/>
    <mergeCell ref="F639:I639"/>
    <mergeCell ref="P639:S639"/>
    <mergeCell ref="A654:I654"/>
    <mergeCell ref="K654:S654"/>
    <mergeCell ref="A655:I655"/>
    <mergeCell ref="K655:S655"/>
    <mergeCell ref="A660:D661"/>
    <mergeCell ref="K660:N661"/>
    <mergeCell ref="A663:D663"/>
    <mergeCell ref="K663:N663"/>
    <mergeCell ref="B676:D676"/>
    <mergeCell ref="L676:N676"/>
    <mergeCell ref="B680:D680"/>
    <mergeCell ref="L680:N680"/>
    <mergeCell ref="F684:I684"/>
    <mergeCell ref="P684:S684"/>
    <mergeCell ref="A665:D665"/>
    <mergeCell ref="K665:N665"/>
    <mergeCell ref="B667:D667"/>
    <mergeCell ref="L667:N667"/>
    <mergeCell ref="B669:D670"/>
    <mergeCell ref="L669:N670"/>
    <mergeCell ref="B672:D672"/>
    <mergeCell ref="L672:N672"/>
    <mergeCell ref="B674:D674"/>
    <mergeCell ref="L674:N674"/>
    <mergeCell ref="A702:I702"/>
    <mergeCell ref="K702:S702"/>
    <mergeCell ref="A703:I703"/>
    <mergeCell ref="K703:S703"/>
    <mergeCell ref="A708:D709"/>
    <mergeCell ref="K708:N709"/>
    <mergeCell ref="A711:D711"/>
    <mergeCell ref="K711:N711"/>
    <mergeCell ref="A713:D713"/>
    <mergeCell ref="K713:N713"/>
    <mergeCell ref="B715:D715"/>
    <mergeCell ref="L715:N715"/>
    <mergeCell ref="B717:D718"/>
    <mergeCell ref="L717:N718"/>
    <mergeCell ref="B720:D720"/>
    <mergeCell ref="L720:N720"/>
    <mergeCell ref="B722:D722"/>
    <mergeCell ref="L722:N722"/>
    <mergeCell ref="B724:D724"/>
    <mergeCell ref="L724:N724"/>
    <mergeCell ref="B728:D728"/>
    <mergeCell ref="L728:N728"/>
    <mergeCell ref="F732:I732"/>
    <mergeCell ref="P732:S732"/>
    <mergeCell ref="A747:I747"/>
    <mergeCell ref="K747:S747"/>
    <mergeCell ref="A748:I748"/>
    <mergeCell ref="K748:S748"/>
    <mergeCell ref="A753:D754"/>
    <mergeCell ref="K753:N754"/>
    <mergeCell ref="B767:D767"/>
    <mergeCell ref="L767:N767"/>
    <mergeCell ref="B769:D769"/>
    <mergeCell ref="L769:N769"/>
    <mergeCell ref="B773:D773"/>
    <mergeCell ref="L773:N773"/>
    <mergeCell ref="F777:I777"/>
    <mergeCell ref="P777:S777"/>
    <mergeCell ref="A756:D756"/>
    <mergeCell ref="K756:N756"/>
    <mergeCell ref="A758:D758"/>
    <mergeCell ref="K758:N758"/>
    <mergeCell ref="B760:D760"/>
    <mergeCell ref="L760:N760"/>
    <mergeCell ref="B762:D763"/>
    <mergeCell ref="L762:N763"/>
    <mergeCell ref="B765:D765"/>
    <mergeCell ref="L765:N765"/>
  </mergeCells>
  <pageMargins left="0.48" right="0.46" top="0.75" bottom="0.75" header="0.31" footer="0.3"/>
  <pageSetup scale="70" orientation="landscape"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R49"/>
  <sheetViews>
    <sheetView tabSelected="1" topLeftCell="A22" workbookViewId="0">
      <selection activeCell="E31" sqref="E31"/>
    </sheetView>
  </sheetViews>
  <sheetFormatPr defaultRowHeight="15"/>
  <cols>
    <col min="1" max="1" width="4.42578125" customWidth="1"/>
    <col min="2" max="2" width="26.7109375" customWidth="1"/>
    <col min="3" max="3" width="19" customWidth="1"/>
    <col min="5" max="5" width="24.140625" customWidth="1"/>
    <col min="6" max="6" width="6.85546875" customWidth="1"/>
    <col min="15" max="15" width="17.85546875" bestFit="1" customWidth="1"/>
    <col min="17" max="17" width="29.28515625" bestFit="1" customWidth="1"/>
  </cols>
  <sheetData>
    <row r="1" spans="1:18" ht="18.75">
      <c r="A1" s="1259" t="s">
        <v>135</v>
      </c>
      <c r="B1" s="1259"/>
      <c r="C1" s="1259"/>
      <c r="D1" s="1259"/>
      <c r="E1" s="1259"/>
      <c r="F1" s="1259"/>
      <c r="G1" s="1259"/>
      <c r="H1" s="1259"/>
      <c r="I1" s="1259"/>
      <c r="J1" s="1259"/>
      <c r="K1" s="1259"/>
      <c r="L1" s="1259"/>
      <c r="M1" s="1259"/>
      <c r="N1" s="1259"/>
      <c r="O1" s="1259"/>
      <c r="P1" s="1259"/>
      <c r="Q1" s="104"/>
    </row>
    <row r="2" spans="1:18">
      <c r="A2" s="5"/>
      <c r="B2" s="12"/>
      <c r="E2" s="5"/>
      <c r="F2" s="5"/>
      <c r="G2" s="5"/>
    </row>
    <row r="3" spans="1:18" ht="15.75">
      <c r="A3" s="1260" t="s">
        <v>136</v>
      </c>
      <c r="B3" s="1260"/>
      <c r="C3" s="1260"/>
      <c r="D3" s="1260"/>
      <c r="E3" s="1260"/>
      <c r="F3" s="1260"/>
      <c r="G3" s="1260"/>
      <c r="H3" s="1260"/>
      <c r="I3" s="1260"/>
      <c r="J3" s="1260"/>
      <c r="K3" s="1260"/>
      <c r="L3" s="1260"/>
      <c r="M3" s="1260"/>
      <c r="N3" s="1260"/>
      <c r="O3" s="1260"/>
      <c r="P3" s="1260"/>
      <c r="Q3" s="105"/>
    </row>
    <row r="4" spans="1:18">
      <c r="A4" s="5"/>
      <c r="B4" s="12"/>
      <c r="E4" s="5"/>
      <c r="F4" s="5"/>
      <c r="G4" s="5"/>
      <c r="K4" s="2" t="s">
        <v>384</v>
      </c>
      <c r="L4" s="7">
        <f>'04-221Master'!D10</f>
        <v>44652</v>
      </c>
    </row>
    <row r="5" spans="1:18" ht="15.75">
      <c r="A5" s="106" t="s">
        <v>137</v>
      </c>
      <c r="B5" s="107"/>
      <c r="D5" t="str">
        <f>'04-221Master'!F5</f>
        <v>Burgeon IT Services Pvt.Ltd.</v>
      </c>
      <c r="E5" s="108"/>
      <c r="F5" s="108"/>
      <c r="G5" s="108"/>
      <c r="H5" s="108"/>
      <c r="I5" s="108"/>
      <c r="J5" s="108"/>
      <c r="K5" s="106" t="s">
        <v>138</v>
      </c>
      <c r="L5" s="108"/>
      <c r="M5" s="108" t="s">
        <v>848</v>
      </c>
      <c r="N5" s="108"/>
      <c r="O5" s="108"/>
      <c r="P5" s="108"/>
      <c r="Q5" s="108"/>
      <c r="R5" s="108"/>
    </row>
    <row r="6" spans="1:18">
      <c r="A6" s="109" t="str">
        <f>'04-221Master'!F6</f>
        <v>Siri Mansion LIGB 436 Dr.A S Rao Nagar,Hyderabad</v>
      </c>
      <c r="B6" s="110"/>
      <c r="C6" s="111"/>
      <c r="D6" s="111"/>
      <c r="E6" s="109"/>
      <c r="F6" s="109"/>
      <c r="G6" s="109"/>
      <c r="H6" s="111"/>
      <c r="I6" s="111"/>
      <c r="J6" s="111"/>
      <c r="K6" s="111"/>
      <c r="L6" s="111"/>
      <c r="M6" s="111"/>
      <c r="N6" s="111"/>
      <c r="O6" s="111"/>
      <c r="P6" s="111"/>
      <c r="Q6" s="111"/>
      <c r="R6" s="111"/>
    </row>
    <row r="7" spans="1:18">
      <c r="A7" s="1261" t="s">
        <v>139</v>
      </c>
      <c r="B7" s="1263" t="s">
        <v>140</v>
      </c>
      <c r="C7" s="1263" t="s">
        <v>141</v>
      </c>
      <c r="D7" s="1264" t="s">
        <v>142</v>
      </c>
      <c r="E7" s="1264" t="s">
        <v>143</v>
      </c>
      <c r="F7" s="1264" t="s">
        <v>144</v>
      </c>
      <c r="G7" s="1265" t="s">
        <v>488</v>
      </c>
      <c r="H7" s="1264" t="s">
        <v>145</v>
      </c>
      <c r="I7" s="1267" t="s">
        <v>146</v>
      </c>
      <c r="J7" s="1267"/>
      <c r="K7" s="1267"/>
      <c r="L7" s="1268" t="s">
        <v>147</v>
      </c>
      <c r="M7" s="1268" t="s">
        <v>148</v>
      </c>
      <c r="N7" s="1257" t="s">
        <v>149</v>
      </c>
      <c r="O7" s="1257" t="s">
        <v>150</v>
      </c>
      <c r="P7" s="1257" t="s">
        <v>151</v>
      </c>
      <c r="Q7" s="112"/>
      <c r="R7" s="113"/>
    </row>
    <row r="8" spans="1:18" ht="96">
      <c r="A8" s="1262"/>
      <c r="B8" s="1263"/>
      <c r="C8" s="1263"/>
      <c r="D8" s="1264"/>
      <c r="E8" s="1264"/>
      <c r="F8" s="1264"/>
      <c r="G8" s="1266"/>
      <c r="H8" s="1264"/>
      <c r="I8" s="114" t="s">
        <v>152</v>
      </c>
      <c r="J8" s="114" t="s">
        <v>153</v>
      </c>
      <c r="K8" s="114" t="s">
        <v>154</v>
      </c>
      <c r="L8" s="1268"/>
      <c r="M8" s="1268"/>
      <c r="N8" s="1258"/>
      <c r="O8" s="1258"/>
      <c r="P8" s="1258"/>
      <c r="Q8" s="115" t="s">
        <v>155</v>
      </c>
      <c r="R8" s="116"/>
    </row>
    <row r="9" spans="1:18">
      <c r="A9" s="117">
        <v>1</v>
      </c>
      <c r="B9" s="118">
        <v>2</v>
      </c>
      <c r="C9" s="117">
        <v>3</v>
      </c>
      <c r="D9" s="117">
        <v>4</v>
      </c>
      <c r="E9" s="117">
        <v>5</v>
      </c>
      <c r="F9" s="117">
        <v>6</v>
      </c>
      <c r="G9" s="117"/>
      <c r="H9" s="117">
        <v>8</v>
      </c>
      <c r="I9" s="117">
        <v>9</v>
      </c>
      <c r="J9" s="117">
        <v>10</v>
      </c>
      <c r="K9" s="117">
        <v>11</v>
      </c>
      <c r="L9" s="117">
        <v>12</v>
      </c>
      <c r="M9" s="117">
        <v>13</v>
      </c>
      <c r="N9" s="117">
        <v>14</v>
      </c>
      <c r="O9" s="117">
        <v>15</v>
      </c>
      <c r="P9" s="117">
        <v>16</v>
      </c>
      <c r="Q9" s="119"/>
      <c r="R9" s="5"/>
    </row>
    <row r="10" spans="1:18" ht="30" customHeight="1">
      <c r="A10" s="120">
        <v>1</v>
      </c>
      <c r="B10" s="339" t="str">
        <f>'04-221Master'!B16</f>
        <v>Venegella Kanaka durga</v>
      </c>
      <c r="C10" s="340" t="str">
        <f>'04-221Master'!E16</f>
        <v>Venkateshwar Rao</v>
      </c>
      <c r="D10" s="341" t="s">
        <v>156</v>
      </c>
      <c r="E10" s="342" t="str">
        <f>'04-221Master'!F16</f>
        <v>Senior Software Engineer</v>
      </c>
      <c r="F10" s="897">
        <f>'04-221Master'!W16</f>
        <v>30</v>
      </c>
      <c r="G10" s="342">
        <f>'04-221Master'!AM16</f>
        <v>83275.815979999985</v>
      </c>
      <c r="H10" s="342">
        <f>'04-221Master'!AI16</f>
        <v>1554.6089999999999</v>
      </c>
      <c r="I10" s="341" t="s">
        <v>37</v>
      </c>
      <c r="J10" s="341" t="s">
        <v>37</v>
      </c>
      <c r="K10" s="341" t="s">
        <v>37</v>
      </c>
      <c r="L10" s="341" t="s">
        <v>37</v>
      </c>
      <c r="M10" s="342">
        <f t="shared" ref="M10" si="0">H10</f>
        <v>1554.6089999999999</v>
      </c>
      <c r="N10" s="342">
        <f t="shared" ref="N10" si="1">H10</f>
        <v>1554.6089999999999</v>
      </c>
      <c r="O10" s="343" t="str">
        <f>'04-221Master'!AU16</f>
        <v>05.05.2022</v>
      </c>
      <c r="P10" s="339" t="str">
        <f>'04-221Master'!AV16</f>
        <v>KVBL</v>
      </c>
      <c r="Q10" s="344" t="str">
        <f>'04-221Master'!AW16</f>
        <v>A/C'1498155000027380</v>
      </c>
      <c r="R10" s="12"/>
    </row>
    <row r="11" spans="1:18" s="388" customFormat="1" ht="30" customHeight="1">
      <c r="A11" s="120">
        <v>2</v>
      </c>
      <c r="B11" s="339" t="str">
        <f>'04-221Master'!B17</f>
        <v>Moeenahmed Shakilahmed Shaikh</v>
      </c>
      <c r="C11" s="340" t="str">
        <f>'04-221Master'!E17</f>
        <v>Shaik Azara Shakilahmed</v>
      </c>
      <c r="D11" s="341" t="s">
        <v>156</v>
      </c>
      <c r="E11" s="342" t="str">
        <f>'04-221Master'!F17</f>
        <v>Splunk Developer</v>
      </c>
      <c r="F11" s="897">
        <f>'04-221Master'!W17</f>
        <v>30</v>
      </c>
      <c r="G11" s="342">
        <f>'04-221Master'!AM17</f>
        <v>163275.44269999999</v>
      </c>
      <c r="H11" s="342">
        <f>'04-221Master'!AI17</f>
        <v>1554.6089999999999</v>
      </c>
      <c r="I11" s="341" t="s">
        <v>37</v>
      </c>
      <c r="J11" s="341" t="s">
        <v>37</v>
      </c>
      <c r="K11" s="341" t="s">
        <v>37</v>
      </c>
      <c r="L11" s="341" t="s">
        <v>37</v>
      </c>
      <c r="M11" s="342">
        <f t="shared" ref="M11:M30" si="2">H11</f>
        <v>1554.6089999999999</v>
      </c>
      <c r="N11" s="342">
        <f t="shared" ref="N11:N30" si="3">H11</f>
        <v>1554.6089999999999</v>
      </c>
      <c r="O11" s="343" t="str">
        <f>'04-221Master'!AU17</f>
        <v>05.05.2022</v>
      </c>
      <c r="P11" s="339" t="str">
        <f>'04-221Master'!AV17</f>
        <v>KKBK</v>
      </c>
      <c r="Q11" s="344" t="str">
        <f>'04-221Master'!AW17</f>
        <v>A/C'7311230416</v>
      </c>
      <c r="R11" s="12"/>
    </row>
    <row r="12" spans="1:18" s="388" customFormat="1" ht="30" customHeight="1">
      <c r="A12" s="120">
        <v>3</v>
      </c>
      <c r="B12" s="339" t="str">
        <f>'04-221Master'!B18</f>
        <v>Yarramaddu Raveendra Reddy</v>
      </c>
      <c r="C12" s="340" t="str">
        <f>'04-221Master'!E18</f>
        <v>Ramachandra Reddy</v>
      </c>
      <c r="D12" s="341" t="s">
        <v>156</v>
      </c>
      <c r="E12" s="342" t="str">
        <f>'04-221Master'!F18</f>
        <v>Sr Citrix Administrator</v>
      </c>
      <c r="F12" s="897">
        <f>'04-221Master'!W18</f>
        <v>30</v>
      </c>
      <c r="G12" s="342">
        <f>'04-221Master'!AM18</f>
        <v>68276.425400000007</v>
      </c>
      <c r="H12" s="342">
        <f>'04-221Master'!AI18</f>
        <v>1554.6089999999999</v>
      </c>
      <c r="I12" s="341" t="s">
        <v>37</v>
      </c>
      <c r="J12" s="341" t="s">
        <v>37</v>
      </c>
      <c r="K12" s="341" t="s">
        <v>37</v>
      </c>
      <c r="L12" s="341" t="s">
        <v>37</v>
      </c>
      <c r="M12" s="342">
        <f t="shared" si="2"/>
        <v>1554.6089999999999</v>
      </c>
      <c r="N12" s="342">
        <f t="shared" si="3"/>
        <v>1554.6089999999999</v>
      </c>
      <c r="O12" s="343" t="str">
        <f>'04-221Master'!AU18</f>
        <v>05.05.2022</v>
      </c>
      <c r="P12" s="339" t="str">
        <f>'04-221Master'!AV18</f>
        <v>HDFC BANK</v>
      </c>
      <c r="Q12" s="344" t="str">
        <f>'04-221Master'!AW18</f>
        <v>A/C'50100313077055</v>
      </c>
      <c r="R12" s="12"/>
    </row>
    <row r="13" spans="1:18" s="388" customFormat="1" ht="30" customHeight="1">
      <c r="A13" s="120">
        <v>4</v>
      </c>
      <c r="B13" s="339" t="str">
        <f>'04-221Master'!B19</f>
        <v>Chitra Kulkarni</v>
      </c>
      <c r="C13" s="340" t="str">
        <f>'04-221Master'!E19</f>
        <v xml:space="preserve">Nirbay Gopal </v>
      </c>
      <c r="D13" s="341" t="s">
        <v>156</v>
      </c>
      <c r="E13" s="342" t="str">
        <f>'04-221Master'!F19</f>
        <v>Project Manager</v>
      </c>
      <c r="F13" s="897">
        <f>'04-221Master'!W19</f>
        <v>30</v>
      </c>
      <c r="G13" s="342">
        <f>'04-221Master'!AM19</f>
        <v>90276.538520000002</v>
      </c>
      <c r="H13" s="342">
        <f>'04-221Master'!AI19</f>
        <v>1554.6089999999999</v>
      </c>
      <c r="I13" s="341" t="s">
        <v>37</v>
      </c>
      <c r="J13" s="341" t="s">
        <v>37</v>
      </c>
      <c r="K13" s="341" t="s">
        <v>37</v>
      </c>
      <c r="L13" s="341" t="s">
        <v>37</v>
      </c>
      <c r="M13" s="342">
        <f t="shared" si="2"/>
        <v>1554.6089999999999</v>
      </c>
      <c r="N13" s="342">
        <f t="shared" si="3"/>
        <v>1554.6089999999999</v>
      </c>
      <c r="O13" s="343" t="str">
        <f>'04-221Master'!AU19</f>
        <v>05.05.2022</v>
      </c>
      <c r="P13" s="339" t="str">
        <f>'04-221Master'!AV19</f>
        <v>ICICI</v>
      </c>
      <c r="Q13" s="344" t="str">
        <f>'04-221Master'!AW19</f>
        <v>A/C' 055801521228</v>
      </c>
      <c r="R13" s="12"/>
    </row>
    <row r="14" spans="1:18" s="388" customFormat="1" ht="30" customHeight="1">
      <c r="A14" s="120">
        <v>5</v>
      </c>
      <c r="B14" s="339" t="str">
        <f>'04-221Master'!B20</f>
        <v>Sunnapalli Anil</v>
      </c>
      <c r="C14" s="340" t="str">
        <f>'04-221Master'!E20</f>
        <v>Narsingam</v>
      </c>
      <c r="D14" s="341" t="s">
        <v>156</v>
      </c>
      <c r="E14" s="342" t="str">
        <f>'04-221Master'!F20</f>
        <v>Sr. Software Engineer</v>
      </c>
      <c r="F14" s="897">
        <f>'04-221Master'!W20</f>
        <v>30</v>
      </c>
      <c r="G14" s="342">
        <f>'04-221Master'!AM20</f>
        <v>76734.6878</v>
      </c>
      <c r="H14" s="342">
        <f>'04-221Master'!AI20</f>
        <v>1554.6089999999999</v>
      </c>
      <c r="I14" s="341" t="s">
        <v>37</v>
      </c>
      <c r="J14" s="341" t="s">
        <v>37</v>
      </c>
      <c r="K14" s="341" t="s">
        <v>37</v>
      </c>
      <c r="L14" s="341" t="s">
        <v>37</v>
      </c>
      <c r="M14" s="342">
        <f t="shared" si="2"/>
        <v>1554.6089999999999</v>
      </c>
      <c r="N14" s="342">
        <f t="shared" si="3"/>
        <v>1554.6089999999999</v>
      </c>
      <c r="O14" s="343" t="str">
        <f>'04-221Master'!AU20</f>
        <v>05.05.2022</v>
      </c>
      <c r="P14" s="339" t="str">
        <f>'04-221Master'!AV20</f>
        <v>STATE BANK OF INDIA</v>
      </c>
      <c r="Q14" s="344" t="str">
        <f>'04-221Master'!AW20</f>
        <v>20222665512</v>
      </c>
      <c r="R14" s="12"/>
    </row>
    <row r="15" spans="1:18" s="388" customFormat="1" ht="30" customHeight="1">
      <c r="A15" s="120">
        <v>6</v>
      </c>
      <c r="B15" s="339" t="str">
        <f>'04-221Master'!B21</f>
        <v>Himanshu Anand</v>
      </c>
      <c r="C15" s="340" t="str">
        <f>'04-221Master'!E21</f>
        <v>A.K. Gupta</v>
      </c>
      <c r="D15" s="341" t="s">
        <v>156</v>
      </c>
      <c r="E15" s="342" t="str">
        <f>'04-221Master'!F21</f>
        <v xml:space="preserve">Sr. DBA / Sr. Administrator </v>
      </c>
      <c r="F15" s="897">
        <f>'04-221Master'!W21</f>
        <v>30</v>
      </c>
      <c r="G15" s="342">
        <f>'04-221Master'!AM21</f>
        <v>107936.39786</v>
      </c>
      <c r="H15" s="342">
        <f>'04-221Master'!AI21</f>
        <v>1554.6089999999999</v>
      </c>
      <c r="I15" s="341" t="s">
        <v>37</v>
      </c>
      <c r="J15" s="341" t="s">
        <v>37</v>
      </c>
      <c r="K15" s="341" t="s">
        <v>37</v>
      </c>
      <c r="L15" s="341" t="s">
        <v>37</v>
      </c>
      <c r="M15" s="342">
        <f t="shared" si="2"/>
        <v>1554.6089999999999</v>
      </c>
      <c r="N15" s="342">
        <f t="shared" si="3"/>
        <v>1554.6089999999999</v>
      </c>
      <c r="O15" s="343" t="str">
        <f>'04-221Master'!AU21</f>
        <v>05.05.2022</v>
      </c>
      <c r="P15" s="339" t="str">
        <f>'04-221Master'!AV21</f>
        <v>HDFC BANK</v>
      </c>
      <c r="Q15" s="344" t="str">
        <f>'04-221Master'!AW21</f>
        <v>A/C 07281140023731</v>
      </c>
    </row>
    <row r="16" spans="1:18" s="388" customFormat="1" ht="30" customHeight="1">
      <c r="A16" s="120">
        <v>7</v>
      </c>
      <c r="B16" s="339" t="str">
        <f>'04-221Master'!B22</f>
        <v>Kanchupati Kondaiah</v>
      </c>
      <c r="C16" s="340" t="str">
        <f>'04-221Master'!E22</f>
        <v>U MALLESWARAMMA</v>
      </c>
      <c r="D16" s="341" t="s">
        <v>156</v>
      </c>
      <c r="E16" s="342" t="str">
        <f>'04-221Master'!F22</f>
        <v xml:space="preserve"> SQL DATABASE ADMINISTRATOR</v>
      </c>
      <c r="F16" s="897">
        <f>'04-221Master'!W22</f>
        <v>30</v>
      </c>
      <c r="G16" s="342">
        <f>'04-221Master'!AM22</f>
        <v>52275.852739999995</v>
      </c>
      <c r="H16" s="342">
        <f>'04-221Master'!AI22</f>
        <v>1554.6089999999999</v>
      </c>
      <c r="I16" s="341" t="s">
        <v>37</v>
      </c>
      <c r="J16" s="341" t="s">
        <v>37</v>
      </c>
      <c r="K16" s="341" t="s">
        <v>37</v>
      </c>
      <c r="L16" s="341" t="s">
        <v>37</v>
      </c>
      <c r="M16" s="342">
        <f t="shared" si="2"/>
        <v>1554.6089999999999</v>
      </c>
      <c r="N16" s="342">
        <f t="shared" si="3"/>
        <v>1554.6089999999999</v>
      </c>
      <c r="O16" s="343" t="str">
        <f>'04-221Master'!AU22</f>
        <v>05.05.2022</v>
      </c>
      <c r="P16" s="339" t="str">
        <f>'04-221Master'!AV22</f>
        <v>UCO</v>
      </c>
      <c r="Q16" s="344" t="str">
        <f>'04-221Master'!AW22</f>
        <v xml:space="preserve">A/c no 16280110106877 </v>
      </c>
    </row>
    <row r="17" spans="1:17" s="388" customFormat="1" ht="30" customHeight="1">
      <c r="A17" s="120">
        <v>8</v>
      </c>
      <c r="B17" s="339" t="str">
        <f>'04-221Master'!B23</f>
        <v>Santosh Patel</v>
      </c>
      <c r="C17" s="340" t="str">
        <f>'04-221Master'!E23</f>
        <v>Kishorilal Patel</v>
      </c>
      <c r="D17" s="341" t="s">
        <v>156</v>
      </c>
      <c r="E17" s="342" t="str">
        <f>'04-221Master'!F23</f>
        <v>Senior  Support Engineer</v>
      </c>
      <c r="F17" s="897">
        <f>'04-221Master'!W23</f>
        <v>30</v>
      </c>
      <c r="G17" s="342">
        <f>'04-221Master'!AM23</f>
        <v>143275.53602</v>
      </c>
      <c r="H17" s="342">
        <f>'04-221Master'!AI23</f>
        <v>1554.6089999999999</v>
      </c>
      <c r="I17" s="341" t="s">
        <v>37</v>
      </c>
      <c r="J17" s="341" t="s">
        <v>37</v>
      </c>
      <c r="K17" s="341" t="s">
        <v>37</v>
      </c>
      <c r="L17" s="341" t="s">
        <v>37</v>
      </c>
      <c r="M17" s="342">
        <f t="shared" si="2"/>
        <v>1554.6089999999999</v>
      </c>
      <c r="N17" s="342">
        <f t="shared" si="3"/>
        <v>1554.6089999999999</v>
      </c>
      <c r="O17" s="343" t="str">
        <f>'04-221Master'!AU23</f>
        <v>05.05.2022</v>
      </c>
      <c r="P17" s="339" t="str">
        <f>'04-221Master'!AV23</f>
        <v>Axis Bank</v>
      </c>
      <c r="Q17" s="344" t="str">
        <f>'04-221Master'!AW23</f>
        <v>A/c No: 919010057225623</v>
      </c>
    </row>
    <row r="18" spans="1:17" s="388" customFormat="1" ht="30" customHeight="1">
      <c r="A18" s="120">
        <v>9</v>
      </c>
      <c r="B18" s="339" t="str">
        <f>'04-221Master'!B24</f>
        <v>Basweshwar Pawar</v>
      </c>
      <c r="C18" s="340" t="str">
        <f>'04-221Master'!E24</f>
        <v>Nandakumar eknath pawar</v>
      </c>
      <c r="D18" s="341" t="s">
        <v>156</v>
      </c>
      <c r="E18" s="342" t="str">
        <f>'04-221Master'!F24</f>
        <v>Lead PMO</v>
      </c>
      <c r="F18" s="897">
        <f>'04-221Master'!W24</f>
        <v>30</v>
      </c>
      <c r="G18" s="342">
        <f>'04-221Master'!AM24</f>
        <v>98276.28542</v>
      </c>
      <c r="H18" s="342">
        <f>'04-221Master'!AI24</f>
        <v>1554.6089999999999</v>
      </c>
      <c r="I18" s="341" t="s">
        <v>37</v>
      </c>
      <c r="J18" s="341" t="s">
        <v>37</v>
      </c>
      <c r="K18" s="341" t="s">
        <v>37</v>
      </c>
      <c r="L18" s="341" t="s">
        <v>37</v>
      </c>
      <c r="M18" s="342">
        <f t="shared" si="2"/>
        <v>1554.6089999999999</v>
      </c>
      <c r="N18" s="342">
        <f t="shared" si="3"/>
        <v>1554.6089999999999</v>
      </c>
      <c r="O18" s="343" t="str">
        <f>'04-221Master'!AU24</f>
        <v>05.05.2022</v>
      </c>
      <c r="P18" s="339" t="str">
        <f>'04-221Master'!AV24</f>
        <v>ICICI BANK</v>
      </c>
      <c r="Q18" s="344" t="str">
        <f>'04-221Master'!AW24</f>
        <v>042401535769</v>
      </c>
    </row>
    <row r="19" spans="1:17" s="388" customFormat="1" ht="30" customHeight="1">
      <c r="A19" s="120">
        <v>10</v>
      </c>
      <c r="B19" s="339" t="str">
        <f>'04-221Master'!B25</f>
        <v>Hemanth Mishra</v>
      </c>
      <c r="C19" s="340" t="str">
        <f>'04-221Master'!E25</f>
        <v>Satish Chandra Mishra</v>
      </c>
      <c r="D19" s="341" t="s">
        <v>156</v>
      </c>
      <c r="E19" s="342" t="str">
        <f>'04-221Master'!F25</f>
        <v>Technology Analyst</v>
      </c>
      <c r="F19" s="897">
        <f>'04-221Master'!W25</f>
        <v>30</v>
      </c>
      <c r="G19" s="342">
        <f>'04-221Master'!AM25</f>
        <v>108276.23875999999</v>
      </c>
      <c r="H19" s="342">
        <f>'04-221Master'!AI25</f>
        <v>1554.6089999999999</v>
      </c>
      <c r="I19" s="341" t="s">
        <v>37</v>
      </c>
      <c r="J19" s="341" t="s">
        <v>37</v>
      </c>
      <c r="K19" s="341" t="s">
        <v>37</v>
      </c>
      <c r="L19" s="341" t="s">
        <v>37</v>
      </c>
      <c r="M19" s="342">
        <f t="shared" si="2"/>
        <v>1554.6089999999999</v>
      </c>
      <c r="N19" s="342">
        <f t="shared" si="3"/>
        <v>1554.6089999999999</v>
      </c>
      <c r="O19" s="343" t="str">
        <f>'04-221Master'!AU25</f>
        <v>05.05.2022</v>
      </c>
      <c r="P19" s="339" t="str">
        <f>'04-221Master'!AV25</f>
        <v>ICICI BANK</v>
      </c>
      <c r="Q19" s="344" t="str">
        <f>'04-221Master'!AW25</f>
        <v>057001509856</v>
      </c>
    </row>
    <row r="20" spans="1:17" ht="30" customHeight="1">
      <c r="A20" s="120">
        <v>11</v>
      </c>
      <c r="B20" s="339" t="str">
        <f>'04-221Master'!B26</f>
        <v>FAZALAHMED IRKAL</v>
      </c>
      <c r="C20" s="340" t="str">
        <f>'04-221Master'!E26</f>
        <v>CHANDSAHEB IRKAL</v>
      </c>
      <c r="D20" s="341" t="s">
        <v>156</v>
      </c>
      <c r="E20" s="342" t="str">
        <f>'04-221Master'!F26</f>
        <v>SENIOR HADOOP ADMIN</v>
      </c>
      <c r="F20" s="897">
        <f>'04-221Master'!W26</f>
        <v>22</v>
      </c>
      <c r="G20" s="342">
        <f>'04-221Master'!AM26</f>
        <v>49047.256303999995</v>
      </c>
      <c r="H20" s="342">
        <f>'04-221Master'!AI26</f>
        <v>1554.6089999999999</v>
      </c>
      <c r="I20" s="341" t="s">
        <v>37</v>
      </c>
      <c r="J20" s="341" t="s">
        <v>37</v>
      </c>
      <c r="K20" s="341" t="s">
        <v>37</v>
      </c>
      <c r="L20" s="341" t="s">
        <v>37</v>
      </c>
      <c r="M20" s="342">
        <f t="shared" si="2"/>
        <v>1554.6089999999999</v>
      </c>
      <c r="N20" s="342">
        <f t="shared" si="3"/>
        <v>1554.6089999999999</v>
      </c>
      <c r="O20" s="343" t="str">
        <f>'04-221Master'!AU26</f>
        <v>05.05.2022</v>
      </c>
      <c r="P20" s="339" t="str">
        <f>'04-221Master'!AV26</f>
        <v>SBI</v>
      </c>
      <c r="Q20" s="344">
        <f>'04-221Master'!AW26</f>
        <v>32722181716</v>
      </c>
    </row>
    <row r="21" spans="1:17" s="388" customFormat="1" ht="30" customHeight="1">
      <c r="A21" s="120">
        <v>12</v>
      </c>
      <c r="B21" s="339" t="str">
        <f>'04-221Master'!B27</f>
        <v>SUKRUTH YELLAMBOTLA</v>
      </c>
      <c r="C21" s="340" t="str">
        <f>'04-221Master'!E27</f>
        <v>Yellambotla Vijay Kumar</v>
      </c>
      <c r="D21" s="341" t="s">
        <v>156</v>
      </c>
      <c r="E21" s="342" t="str">
        <f>'04-221Master'!F27</f>
        <v>SENIOR APPLICATION CONSULTANT</v>
      </c>
      <c r="F21" s="897">
        <f>'04-221Master'!W27</f>
        <v>30</v>
      </c>
      <c r="G21" s="342">
        <f>'04-221Master'!AM27</f>
        <v>40275.69296</v>
      </c>
      <c r="H21" s="342">
        <f>'04-221Master'!AI27</f>
        <v>1554.6089999999999</v>
      </c>
      <c r="I21" s="341" t="s">
        <v>37</v>
      </c>
      <c r="J21" s="341" t="s">
        <v>37</v>
      </c>
      <c r="K21" s="341" t="s">
        <v>37</v>
      </c>
      <c r="L21" s="341" t="s">
        <v>37</v>
      </c>
      <c r="M21" s="342">
        <f t="shared" si="2"/>
        <v>1554.6089999999999</v>
      </c>
      <c r="N21" s="342">
        <f t="shared" si="3"/>
        <v>1554.6089999999999</v>
      </c>
      <c r="O21" s="343" t="str">
        <f>'04-221Master'!AU27</f>
        <v>05.05.2022</v>
      </c>
      <c r="P21" s="339" t="str">
        <f>'04-221Master'!AV27</f>
        <v>HDFC0000486</v>
      </c>
      <c r="Q21" s="344" t="str">
        <f>'04-221Master'!AW27</f>
        <v>50100468093660</v>
      </c>
    </row>
    <row r="22" spans="1:17" s="388" customFormat="1" ht="30" customHeight="1">
      <c r="A22" s="120">
        <v>13</v>
      </c>
      <c r="B22" s="339" t="str">
        <f>'04-221Master'!B28</f>
        <v>Ajay Singh</v>
      </c>
      <c r="C22" s="340" t="str">
        <f>'04-221Master'!E28</f>
        <v>Santhosh Singh</v>
      </c>
      <c r="D22" s="341" t="s">
        <v>156</v>
      </c>
      <c r="E22" s="342" t="str">
        <f>'04-221Master'!F28</f>
        <v>Sr.Cloud Network Engineer</v>
      </c>
      <c r="F22" s="897">
        <f>'04-221Master'!W28</f>
        <v>30</v>
      </c>
      <c r="G22" s="342">
        <f>'04-221Master'!AM28</f>
        <v>140276.30522000001</v>
      </c>
      <c r="H22" s="342">
        <f>'04-221Master'!AI28</f>
        <v>1554.6089999999999</v>
      </c>
      <c r="I22" s="341" t="s">
        <v>37</v>
      </c>
      <c r="J22" s="341" t="s">
        <v>37</v>
      </c>
      <c r="K22" s="341" t="s">
        <v>37</v>
      </c>
      <c r="L22" s="341" t="s">
        <v>37</v>
      </c>
      <c r="M22" s="342">
        <f t="shared" si="2"/>
        <v>1554.6089999999999</v>
      </c>
      <c r="N22" s="342">
        <f t="shared" si="3"/>
        <v>1554.6089999999999</v>
      </c>
      <c r="O22" s="343" t="str">
        <f>'04-221Master'!AU28</f>
        <v>05.05.2022</v>
      </c>
      <c r="P22" s="339" t="str">
        <f>'04-221Master'!AV28</f>
        <v>Axis Bank</v>
      </c>
      <c r="Q22" s="344" t="str">
        <f>'04-221Master'!AW28</f>
        <v>916010061379733</v>
      </c>
    </row>
    <row r="23" spans="1:17" ht="30" customHeight="1">
      <c r="A23" s="120">
        <v>14</v>
      </c>
      <c r="B23" s="339" t="str">
        <f>'04-221Master'!B29</f>
        <v> Rajesh Dhumal</v>
      </c>
      <c r="C23" s="340" t="str">
        <f>'04-221Master'!E29</f>
        <v>Ramakrishna</v>
      </c>
      <c r="D23" s="341" t="s">
        <v>156</v>
      </c>
      <c r="E23" s="342" t="str">
        <f>'04-221Master'!F29</f>
        <v>Senior network security analyst.</v>
      </c>
      <c r="F23" s="897">
        <f>'04-221Master'!W29</f>
        <v>30</v>
      </c>
      <c r="G23" s="342">
        <f>'04-221Master'!AM29</f>
        <v>82275.712759999995</v>
      </c>
      <c r="H23" s="342">
        <f>'04-221Master'!AI29</f>
        <v>1554.6089999999999</v>
      </c>
      <c r="I23" s="341" t="s">
        <v>37</v>
      </c>
      <c r="J23" s="341" t="s">
        <v>37</v>
      </c>
      <c r="K23" s="341" t="s">
        <v>37</v>
      </c>
      <c r="L23" s="341" t="s">
        <v>37</v>
      </c>
      <c r="M23" s="342">
        <f t="shared" si="2"/>
        <v>1554.6089999999999</v>
      </c>
      <c r="N23" s="342">
        <f t="shared" si="3"/>
        <v>1554.6089999999999</v>
      </c>
      <c r="O23" s="343" t="str">
        <f>'04-221Master'!AU29</f>
        <v>05.05.2022</v>
      </c>
      <c r="P23" s="339" t="str">
        <f>'04-221Master'!AV29</f>
        <v>AXIS BANK</v>
      </c>
      <c r="Q23" s="344" t="str">
        <f>'04-221Master'!AW29</f>
        <v>921010021808628</v>
      </c>
    </row>
    <row r="24" spans="1:17" s="388" customFormat="1" ht="30" customHeight="1">
      <c r="A24" s="120">
        <v>15</v>
      </c>
      <c r="B24" s="339" t="str">
        <f>'04-221Master'!B30</f>
        <v>Ajay Pal Singh</v>
      </c>
      <c r="C24" s="340" t="str">
        <f>'04-221Master'!E30</f>
        <v>kunwar rohitash singh</v>
      </c>
      <c r="D24" s="341" t="s">
        <v>156</v>
      </c>
      <c r="E24" s="342" t="str">
        <f>'04-221Master'!F30</f>
        <v>Network security consultant</v>
      </c>
      <c r="F24" s="897">
        <f>'04-221Master'!W30</f>
        <v>30</v>
      </c>
      <c r="G24" s="342">
        <f>'04-221Master'!AM30</f>
        <v>78276.37874</v>
      </c>
      <c r="H24" s="342">
        <f>'04-221Master'!AI30</f>
        <v>1554.6089999999999</v>
      </c>
      <c r="I24" s="341" t="s">
        <v>37</v>
      </c>
      <c r="J24" s="341" t="s">
        <v>37</v>
      </c>
      <c r="K24" s="341" t="s">
        <v>37</v>
      </c>
      <c r="L24" s="341" t="s">
        <v>37</v>
      </c>
      <c r="M24" s="342">
        <f t="shared" si="2"/>
        <v>1554.6089999999999</v>
      </c>
      <c r="N24" s="342">
        <f t="shared" si="3"/>
        <v>1554.6089999999999</v>
      </c>
      <c r="O24" s="343" t="str">
        <f>'04-221Master'!AU30</f>
        <v>05.05.2022</v>
      </c>
      <c r="P24" s="339" t="str">
        <f>'04-221Master'!AV30</f>
        <v>DBS Bank</v>
      </c>
      <c r="Q24" s="344" t="str">
        <f>'04-221Master'!AW30</f>
        <v>881015838995</v>
      </c>
    </row>
    <row r="25" spans="1:17" s="388" customFormat="1" ht="29.25" customHeight="1">
      <c r="A25" s="120">
        <v>16</v>
      </c>
      <c r="B25" s="339" t="str">
        <f>'04-221Master'!B31</f>
        <v>PAVANKUMAR</v>
      </c>
      <c r="C25" s="340" t="str">
        <f>'04-221Master'!E31</f>
        <v>P YELLAIAH</v>
      </c>
      <c r="D25" s="341" t="s">
        <v>156</v>
      </c>
      <c r="E25" s="342" t="str">
        <f>'04-221Master'!F31</f>
        <v>SAP Basis consultant</v>
      </c>
      <c r="F25" s="897">
        <f>'04-221Master'!W31</f>
        <v>30</v>
      </c>
      <c r="G25" s="342">
        <f>'04-221Master'!AM31</f>
        <v>43276.002619999992</v>
      </c>
      <c r="H25" s="342">
        <f>'04-221Master'!AI31</f>
        <v>1554.6089999999999</v>
      </c>
      <c r="I25" s="341" t="s">
        <v>37</v>
      </c>
      <c r="J25" s="341" t="s">
        <v>37</v>
      </c>
      <c r="K25" s="341" t="s">
        <v>37</v>
      </c>
      <c r="L25" s="341" t="s">
        <v>37</v>
      </c>
      <c r="M25" s="342">
        <f t="shared" si="2"/>
        <v>1554.6089999999999</v>
      </c>
      <c r="N25" s="342">
        <f t="shared" si="3"/>
        <v>1554.6089999999999</v>
      </c>
      <c r="O25" s="343" t="str">
        <f>'04-221Master'!AU31</f>
        <v>05.05.2022</v>
      </c>
      <c r="P25" s="339" t="str">
        <f>'04-221Master'!AV31</f>
        <v>STATE BANK OF INDIA</v>
      </c>
      <c r="Q25" s="344">
        <f>'04-221Master'!AW31</f>
        <v>62318158569</v>
      </c>
    </row>
    <row r="26" spans="1:17" s="388" customFormat="1" ht="29.25" customHeight="1">
      <c r="A26" s="120">
        <v>17</v>
      </c>
      <c r="B26" s="339" t="str">
        <f>'04-221Master'!B32</f>
        <v>Rahul Suryawanshi</v>
      </c>
      <c r="C26" s="340" t="str">
        <f>'04-221Master'!E32</f>
        <v>Tarun Suryawanshi</v>
      </c>
      <c r="D26" s="341" t="s">
        <v>156</v>
      </c>
      <c r="E26" s="342" t="str">
        <f>'04-221Master'!F32</f>
        <v>Sr.Network security Analyst</v>
      </c>
      <c r="F26" s="897">
        <f>'04-221Master'!W32</f>
        <v>30</v>
      </c>
      <c r="G26" s="342">
        <f>'04-221Master'!AM32</f>
        <v>88276.332079999993</v>
      </c>
      <c r="H26" s="342">
        <f>'04-221Master'!AI32</f>
        <v>1554.6089999999999</v>
      </c>
      <c r="I26" s="341" t="s">
        <v>37</v>
      </c>
      <c r="J26" s="341" t="s">
        <v>37</v>
      </c>
      <c r="K26" s="341" t="s">
        <v>37</v>
      </c>
      <c r="L26" s="341" t="s">
        <v>37</v>
      </c>
      <c r="M26" s="342">
        <f t="shared" si="2"/>
        <v>1554.6089999999999</v>
      </c>
      <c r="N26" s="342">
        <f t="shared" si="3"/>
        <v>1554.6089999999999</v>
      </c>
      <c r="O26" s="343" t="str">
        <f>'04-221Master'!AU32</f>
        <v>05.05.2022</v>
      </c>
      <c r="P26" s="339" t="str">
        <f>'04-221Master'!AV32</f>
        <v>standard chartered</v>
      </c>
      <c r="Q26" s="344" t="str">
        <f>'04-221Master'!AW32</f>
        <v>27011616110</v>
      </c>
    </row>
    <row r="27" spans="1:17" s="388" customFormat="1" ht="29.25" customHeight="1">
      <c r="A27" s="120">
        <v>18</v>
      </c>
      <c r="B27" s="339" t="str">
        <f>'04-221Master'!B33</f>
        <v xml:space="preserve">Shantanu Patankar </v>
      </c>
      <c r="C27" s="340" t="str">
        <f>'04-221Master'!E33</f>
        <v>shivajirao balasaheb</v>
      </c>
      <c r="D27" s="341" t="s">
        <v>156</v>
      </c>
      <c r="E27" s="342" t="str">
        <f>'04-221Master'!F33</f>
        <v>Network security consultant</v>
      </c>
      <c r="F27" s="897">
        <f>'04-221Master'!W33</f>
        <v>30</v>
      </c>
      <c r="G27" s="342">
        <f>'04-221Master'!AM33</f>
        <v>123275.62934</v>
      </c>
      <c r="H27" s="342">
        <f>'04-221Master'!AI33</f>
        <v>1554.6089999999999</v>
      </c>
      <c r="I27" s="341" t="s">
        <v>37</v>
      </c>
      <c r="J27" s="341" t="s">
        <v>37</v>
      </c>
      <c r="K27" s="341" t="s">
        <v>37</v>
      </c>
      <c r="L27" s="341" t="s">
        <v>37</v>
      </c>
      <c r="M27" s="342">
        <f t="shared" si="2"/>
        <v>1554.6089999999999</v>
      </c>
      <c r="N27" s="342">
        <f t="shared" si="3"/>
        <v>1554.6089999999999</v>
      </c>
      <c r="O27" s="343" t="str">
        <f>'04-221Master'!AU33</f>
        <v>05.05.2022</v>
      </c>
      <c r="P27" s="339" t="str">
        <f>'04-221Master'!AV33</f>
        <v>ICICI bank</v>
      </c>
      <c r="Q27" s="344" t="str">
        <f>'04-221Master'!AW33</f>
        <v>239001508763</v>
      </c>
    </row>
    <row r="28" spans="1:17" s="388" customFormat="1" ht="29.25" customHeight="1">
      <c r="A28" s="120">
        <v>19</v>
      </c>
      <c r="B28" s="339" t="str">
        <f>'04-221Master'!B34</f>
        <v>Varalakshmi Vijay</v>
      </c>
      <c r="C28" s="340" t="str">
        <f>'04-221Master'!E34</f>
        <v>Vijay srinivasan</v>
      </c>
      <c r="D28" s="341" t="s">
        <v>156</v>
      </c>
      <c r="E28" s="342" t="str">
        <f>'04-221Master'!F34</f>
        <v>Network security consultant</v>
      </c>
      <c r="F28" s="897">
        <f>'04-221Master'!W34</f>
        <v>30</v>
      </c>
      <c r="G28" s="342">
        <f>'04-221Master'!AM34</f>
        <v>73275.862639999992</v>
      </c>
      <c r="H28" s="342">
        <f>'04-221Master'!AI34</f>
        <v>1554.6089999999999</v>
      </c>
      <c r="I28" s="341" t="s">
        <v>37</v>
      </c>
      <c r="J28" s="341" t="s">
        <v>37</v>
      </c>
      <c r="K28" s="341" t="s">
        <v>37</v>
      </c>
      <c r="L28" s="341" t="s">
        <v>37</v>
      </c>
      <c r="M28" s="342">
        <f t="shared" si="2"/>
        <v>1554.6089999999999</v>
      </c>
      <c r="N28" s="342">
        <f t="shared" si="3"/>
        <v>1554.6089999999999</v>
      </c>
      <c r="O28" s="343" t="str">
        <f>'04-221Master'!AU34</f>
        <v>05.05.2022</v>
      </c>
      <c r="P28" s="339" t="str">
        <f>'04-221Master'!AV34</f>
        <v>ICICI bank</v>
      </c>
      <c r="Q28" s="344" t="str">
        <f>'04-221Master'!AW34</f>
        <v>055501503361</v>
      </c>
    </row>
    <row r="29" spans="1:17" s="388" customFormat="1" ht="15.75">
      <c r="A29" s="120">
        <v>20</v>
      </c>
      <c r="B29" s="339" t="str">
        <f>'04-221Master'!B35</f>
        <v xml:space="preserve">OMPRAKASH PURI </v>
      </c>
      <c r="C29" s="340" t="str">
        <f>'04-221Master'!E35</f>
        <v>Shankarnath Singh</v>
      </c>
      <c r="D29" s="341" t="s">
        <v>156</v>
      </c>
      <c r="E29" s="342" t="str">
        <f>'04-221Master'!F35</f>
        <v>CONSULTANT</v>
      </c>
      <c r="F29" s="897">
        <f>'04-221Master'!W35</f>
        <v>30</v>
      </c>
      <c r="G29" s="342">
        <f>'04-221Master'!AM35</f>
        <v>118276.1921</v>
      </c>
      <c r="H29" s="342">
        <f>'04-221Master'!AI35</f>
        <v>1554.6089999999999</v>
      </c>
      <c r="I29" s="341" t="s">
        <v>37</v>
      </c>
      <c r="J29" s="341" t="s">
        <v>37</v>
      </c>
      <c r="K29" s="341" t="s">
        <v>37</v>
      </c>
      <c r="L29" s="341" t="s">
        <v>37</v>
      </c>
      <c r="M29" s="342">
        <f t="shared" si="2"/>
        <v>1554.6089999999999</v>
      </c>
      <c r="N29" s="342">
        <f t="shared" si="3"/>
        <v>1554.6089999999999</v>
      </c>
      <c r="O29" s="343" t="str">
        <f>'04-221Master'!AU35</f>
        <v>05.05.2022</v>
      </c>
      <c r="P29" s="339" t="str">
        <f>'04-221Master'!AV35</f>
        <v>STATE BANK OF INDIA</v>
      </c>
      <c r="Q29" s="344" t="str">
        <f>'04-221Master'!AW35</f>
        <v xml:space="preserve">30067197155 </v>
      </c>
    </row>
    <row r="30" spans="1:17" s="388" customFormat="1" ht="15.75">
      <c r="A30" s="120">
        <v>21</v>
      </c>
      <c r="B30" s="339" t="str">
        <f>'04-221Master'!B36</f>
        <v xml:space="preserve">DiptiRanjan Dikhit </v>
      </c>
      <c r="C30" s="340" t="str">
        <f>'04-221Master'!E36</f>
        <v>Purna chandra</v>
      </c>
      <c r="D30" s="341" t="s">
        <v>156</v>
      </c>
      <c r="E30" s="342" t="str">
        <f>'04-221Master'!F36</f>
        <v>Network  Security Engineer</v>
      </c>
      <c r="F30" s="897">
        <f>'04-221Master'!W36</f>
        <v>27</v>
      </c>
      <c r="G30" s="342">
        <f>'04-221Master'!AM36</f>
        <v>62515.636657999996</v>
      </c>
      <c r="H30" s="342">
        <f>'04-221Master'!AI36</f>
        <v>1554.6089999999999</v>
      </c>
      <c r="I30" s="341" t="s">
        <v>37</v>
      </c>
      <c r="J30" s="341" t="s">
        <v>37</v>
      </c>
      <c r="K30" s="341" t="s">
        <v>37</v>
      </c>
      <c r="L30" s="341" t="s">
        <v>37</v>
      </c>
      <c r="M30" s="342">
        <f t="shared" si="2"/>
        <v>1554.6089999999999</v>
      </c>
      <c r="N30" s="342">
        <f t="shared" si="3"/>
        <v>1554.6089999999999</v>
      </c>
      <c r="O30" s="343" t="str">
        <f>'04-221Master'!AU36</f>
        <v>05.05.2022</v>
      </c>
      <c r="P30" s="339" t="str">
        <f>'04-221Master'!AV36</f>
        <v>State Bank Of India</v>
      </c>
      <c r="Q30" s="344" t="str">
        <f>'04-221Master'!AW36</f>
        <v>31162392468</v>
      </c>
    </row>
    <row r="31" spans="1:17" s="388" customFormat="1" ht="15.75">
      <c r="A31" s="605"/>
      <c r="B31" s="891"/>
      <c r="C31" s="892"/>
      <c r="D31" s="893"/>
      <c r="E31" s="894"/>
      <c r="F31" s="894">
        <f>SUM(F10:F30)</f>
        <v>619</v>
      </c>
      <c r="G31" s="894">
        <f>SUM(G10:G30)</f>
        <v>1890926.2226220001</v>
      </c>
      <c r="H31" s="894">
        <f>SUM(H10:H30)</f>
        <v>32646.789000000004</v>
      </c>
      <c r="I31" s="893"/>
      <c r="J31" s="893"/>
      <c r="K31" s="893"/>
      <c r="L31" s="893"/>
      <c r="M31" s="894"/>
      <c r="N31" s="894"/>
      <c r="O31" s="895"/>
      <c r="P31" s="891"/>
      <c r="Q31" s="896"/>
    </row>
    <row r="32" spans="1:17" s="388" customFormat="1" ht="15.75">
      <c r="A32" s="605"/>
      <c r="B32" s="891"/>
      <c r="C32" s="892"/>
      <c r="D32" s="893"/>
      <c r="E32" s="894"/>
      <c r="F32" s="894"/>
      <c r="G32" s="894"/>
      <c r="H32" s="894"/>
      <c r="I32" s="893"/>
      <c r="J32" s="893"/>
      <c r="K32" s="893"/>
      <c r="L32" s="893"/>
      <c r="M32" s="894"/>
      <c r="N32" s="894"/>
      <c r="O32" s="895"/>
      <c r="P32" s="891"/>
      <c r="Q32" s="896"/>
    </row>
    <row r="33" spans="1:17" s="388" customFormat="1" ht="15.75">
      <c r="A33" s="605"/>
      <c r="B33" s="891"/>
      <c r="C33" s="892"/>
      <c r="D33" s="893"/>
      <c r="E33" s="894"/>
      <c r="F33" s="894"/>
      <c r="G33" s="894"/>
      <c r="H33" s="894"/>
      <c r="I33" s="893"/>
      <c r="J33" s="893"/>
      <c r="K33" s="893"/>
      <c r="L33" s="893"/>
      <c r="M33" s="894"/>
      <c r="N33" s="894"/>
      <c r="O33" s="895"/>
      <c r="P33" s="891"/>
      <c r="Q33" s="896"/>
    </row>
    <row r="34" spans="1:17" s="388" customFormat="1" ht="15.75">
      <c r="A34" s="605"/>
      <c r="B34" s="891"/>
      <c r="C34" s="892"/>
      <c r="D34" s="893"/>
      <c r="E34" s="894"/>
      <c r="F34" s="894"/>
      <c r="G34" s="894"/>
      <c r="H34" s="894"/>
      <c r="I34" s="893"/>
      <c r="J34" s="893"/>
      <c r="K34" s="893"/>
      <c r="L34" s="893"/>
      <c r="M34" s="894"/>
      <c r="N34" s="894"/>
      <c r="O34" s="895"/>
      <c r="P34" s="891"/>
      <c r="Q34" s="896"/>
    </row>
    <row r="35" spans="1:17" ht="15.75">
      <c r="A35" s="5"/>
      <c r="B35" s="339"/>
      <c r="C35" s="340"/>
      <c r="D35" s="341"/>
      <c r="E35" s="342"/>
      <c r="F35" s="342"/>
      <c r="G35" s="342"/>
      <c r="H35" s="342"/>
      <c r="I35" s="341"/>
      <c r="J35" s="341"/>
      <c r="K35" s="341"/>
      <c r="L35" s="341"/>
      <c r="M35" s="342"/>
      <c r="N35" s="342"/>
      <c r="O35" s="343"/>
      <c r="P35" s="339"/>
      <c r="Q35" s="344"/>
    </row>
    <row r="36" spans="1:17">
      <c r="A36" s="5"/>
      <c r="B36" s="12"/>
      <c r="E36" s="5"/>
      <c r="F36" s="5"/>
      <c r="G36" s="5"/>
    </row>
    <row r="37" spans="1:17">
      <c r="A37" s="5"/>
      <c r="B37" s="12"/>
      <c r="E37" s="5"/>
      <c r="F37" s="5"/>
      <c r="G37" s="5"/>
    </row>
    <row r="38" spans="1:17">
      <c r="A38" s="5"/>
      <c r="B38" s="12"/>
      <c r="E38" s="5"/>
      <c r="F38" s="5"/>
      <c r="G38" s="5"/>
    </row>
    <row r="39" spans="1:17">
      <c r="A39" s="5"/>
      <c r="B39" s="12"/>
      <c r="E39" s="5"/>
      <c r="F39" s="5"/>
      <c r="G39" s="5"/>
    </row>
    <row r="40" spans="1:17">
      <c r="A40" s="5"/>
      <c r="B40" s="12"/>
      <c r="E40" s="5"/>
      <c r="F40" s="5"/>
      <c r="G40" s="5"/>
    </row>
    <row r="41" spans="1:17">
      <c r="A41" s="5"/>
      <c r="B41" s="12"/>
      <c r="E41" s="5"/>
      <c r="F41" s="5"/>
      <c r="G41" s="5"/>
      <c r="L41" t="s">
        <v>38</v>
      </c>
    </row>
    <row r="42" spans="1:17">
      <c r="A42" s="5"/>
      <c r="B42" s="12"/>
      <c r="E42" s="5"/>
      <c r="F42" s="5"/>
      <c r="G42" s="5"/>
    </row>
    <row r="43" spans="1:17">
      <c r="A43" s="5"/>
      <c r="B43" s="12"/>
      <c r="E43" s="5"/>
      <c r="F43" s="5"/>
      <c r="G43" s="5"/>
    </row>
    <row r="44" spans="1:17">
      <c r="A44" s="5"/>
      <c r="B44" s="12"/>
      <c r="E44" s="5"/>
      <c r="F44" s="5"/>
      <c r="G44" s="5"/>
    </row>
    <row r="45" spans="1:17">
      <c r="A45" s="5"/>
      <c r="B45" s="12"/>
      <c r="E45" s="5"/>
      <c r="F45" s="5"/>
      <c r="G45" s="5"/>
    </row>
    <row r="46" spans="1:17">
      <c r="A46" s="5"/>
      <c r="B46" s="12"/>
      <c r="E46" s="5"/>
      <c r="F46" s="5"/>
      <c r="G46" s="5"/>
    </row>
    <row r="47" spans="1:17">
      <c r="A47" s="5"/>
      <c r="B47" s="12"/>
      <c r="E47" s="5"/>
      <c r="F47" s="5"/>
      <c r="G47" s="5"/>
    </row>
    <row r="48" spans="1:17">
      <c r="A48" s="5"/>
      <c r="B48" s="12"/>
      <c r="E48" s="5"/>
      <c r="F48" s="5"/>
      <c r="G48" s="5"/>
    </row>
    <row r="49" spans="1:7">
      <c r="A49" s="5"/>
      <c r="B49" s="12"/>
      <c r="E49" s="5"/>
      <c r="F49" s="5"/>
      <c r="G49" s="5"/>
    </row>
  </sheetData>
  <mergeCells count="16">
    <mergeCell ref="P7:P8"/>
    <mergeCell ref="A1:P1"/>
    <mergeCell ref="A3:P3"/>
    <mergeCell ref="A7:A8"/>
    <mergeCell ref="B7:B8"/>
    <mergeCell ref="C7:C8"/>
    <mergeCell ref="D7:D8"/>
    <mergeCell ref="E7:E8"/>
    <mergeCell ref="F7:F8"/>
    <mergeCell ref="G7:G8"/>
    <mergeCell ref="H7:H8"/>
    <mergeCell ref="I7:K7"/>
    <mergeCell ref="L7:L8"/>
    <mergeCell ref="M7:M8"/>
    <mergeCell ref="N7:N8"/>
    <mergeCell ref="O7:O8"/>
  </mergeCells>
  <pageMargins left="0.7" right="0.7" top="0.75" bottom="0.75" header="0.3" footer="0.3"/>
  <pageSetup scale="55" orientation="landscape"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M39"/>
  <sheetViews>
    <sheetView workbookViewId="0">
      <selection activeCell="E7" sqref="E7"/>
    </sheetView>
  </sheetViews>
  <sheetFormatPr defaultRowHeight="15"/>
  <cols>
    <col min="1" max="1" width="5.28515625" customWidth="1"/>
    <col min="3" max="3" width="12.5703125" customWidth="1"/>
    <col min="4" max="4" width="44.28515625" customWidth="1"/>
    <col min="13" max="13" width="16.7109375" customWidth="1"/>
  </cols>
  <sheetData>
    <row r="1" spans="1:13">
      <c r="A1" s="1271" t="s">
        <v>482</v>
      </c>
      <c r="B1" s="1271"/>
      <c r="C1" s="1271"/>
      <c r="D1" s="1271"/>
      <c r="E1" s="1271"/>
      <c r="F1" s="1271"/>
      <c r="G1" s="1271"/>
      <c r="H1" s="1271"/>
      <c r="I1" s="1271"/>
      <c r="J1" s="1271"/>
      <c r="K1" s="1271"/>
      <c r="L1" s="1271"/>
      <c r="M1" s="1271"/>
    </row>
    <row r="2" spans="1:13">
      <c r="A2" s="1271"/>
      <c r="B2" s="1271"/>
      <c r="C2" s="1271"/>
      <c r="D2" s="1271"/>
      <c r="E2" s="1271"/>
      <c r="F2" s="1271"/>
      <c r="G2" s="1271"/>
      <c r="H2" s="1271"/>
      <c r="I2" s="1271"/>
      <c r="J2" s="1271"/>
      <c r="K2" s="1271"/>
      <c r="L2" s="1271"/>
      <c r="M2" s="1271"/>
    </row>
    <row r="3" spans="1:13">
      <c r="A3" s="1272" t="s">
        <v>483</v>
      </c>
      <c r="B3" s="1272"/>
      <c r="C3" s="1272"/>
      <c r="D3" s="1272"/>
      <c r="E3" s="1272"/>
      <c r="F3" s="1272"/>
      <c r="G3" s="1272"/>
      <c r="H3" s="1272"/>
      <c r="I3" s="1272"/>
      <c r="J3" s="1272"/>
      <c r="K3" s="1272"/>
      <c r="L3" s="1272"/>
      <c r="M3" s="1272"/>
    </row>
    <row r="4" spans="1:13" ht="15" customHeight="1">
      <c r="A4" s="30" t="s">
        <v>63</v>
      </c>
      <c r="B4" s="31"/>
      <c r="C4" s="31"/>
      <c r="D4" s="32" t="str">
        <f>'04-221Master'!F5</f>
        <v>Burgeon IT Services Pvt.Ltd.</v>
      </c>
      <c r="E4" s="66" t="s">
        <v>78</v>
      </c>
      <c r="F4" s="67"/>
      <c r="G4" s="67"/>
      <c r="H4" s="67"/>
      <c r="I4" s="67"/>
      <c r="J4" s="67"/>
      <c r="K4" s="67"/>
      <c r="L4" s="67"/>
      <c r="M4" s="65"/>
    </row>
    <row r="5" spans="1:13">
      <c r="A5" s="33"/>
      <c r="B5" s="34" t="str">
        <f>'04-221Master'!F6</f>
        <v>Siri Mansion LIGB 436 Dr.A S Rao Nagar,Hyderabad</v>
      </c>
      <c r="C5" s="34"/>
      <c r="D5" s="35"/>
      <c r="E5" s="48" t="str">
        <f>'04-221Master'!AP5</f>
        <v>Burgeon IT Services Pvt.Ltd.</v>
      </c>
      <c r="F5" s="64"/>
      <c r="G5" s="64"/>
      <c r="H5" s="64"/>
      <c r="I5" s="64"/>
      <c r="J5" s="64"/>
      <c r="K5" s="64"/>
      <c r="L5" s="64"/>
      <c r="M5" s="65"/>
    </row>
    <row r="6" spans="1:13">
      <c r="A6" s="36"/>
      <c r="B6" s="37">
        <f>'04-221Master'!F7</f>
        <v>0</v>
      </c>
      <c r="C6" s="37"/>
      <c r="D6" s="38"/>
      <c r="E6" s="35" t="str">
        <f>'04-221Master'!AP6</f>
        <v>Siri Mansion LIGB 436 Dr.A S Rao Nagar,Hyderabad</v>
      </c>
      <c r="F6" s="37"/>
      <c r="G6" s="37"/>
      <c r="H6" s="37"/>
      <c r="I6" s="37"/>
      <c r="J6" s="37"/>
      <c r="K6" s="37"/>
      <c r="L6" s="37"/>
      <c r="M6" s="38"/>
    </row>
    <row r="7" spans="1:13">
      <c r="A7" s="39" t="s">
        <v>77</v>
      </c>
      <c r="B7" s="31"/>
      <c r="C7" s="31"/>
      <c r="D7" s="32" t="str">
        <f>'04-221Master'!F8</f>
        <v>IT SUPPORTIVE SERVICES&amp; Pune SEZ Unit-1</v>
      </c>
      <c r="E7" s="39" t="s">
        <v>64</v>
      </c>
      <c r="F7" s="31"/>
      <c r="G7" s="31"/>
      <c r="H7" s="31"/>
      <c r="I7" s="31"/>
      <c r="J7" s="31"/>
      <c r="K7" s="31"/>
      <c r="L7" s="31"/>
      <c r="M7" s="32"/>
    </row>
    <row r="8" spans="1:13">
      <c r="A8" s="33"/>
      <c r="B8" s="34"/>
      <c r="C8" s="34"/>
      <c r="D8" s="35"/>
      <c r="E8" s="40" t="str">
        <f>'04-221Master'!AP10</f>
        <v>INFOSYS  LTD.IL Pune SEZ Unit-I,Plot No. 24/3</v>
      </c>
      <c r="F8" s="34"/>
      <c r="G8" s="34"/>
      <c r="H8" s="34"/>
      <c r="I8" s="34"/>
      <c r="J8" s="34"/>
      <c r="K8" s="34"/>
      <c r="L8" s="34"/>
      <c r="M8" s="35"/>
    </row>
    <row r="9" spans="1:13">
      <c r="A9" s="33"/>
      <c r="B9" s="34"/>
      <c r="C9" s="34"/>
      <c r="D9" s="35"/>
      <c r="E9" s="33" t="str">
        <f>'04-221Master'!AP11</f>
        <v>Rajiv gandhi Info tech park,Village Mann,Pune,Maharashtra 411057</v>
      </c>
      <c r="F9" s="34"/>
      <c r="G9" s="34"/>
      <c r="H9" s="34"/>
      <c r="I9" s="34"/>
      <c r="J9" s="34"/>
      <c r="K9" s="34"/>
      <c r="L9" s="34"/>
      <c r="M9" s="35"/>
    </row>
    <row r="10" spans="1:13">
      <c r="A10" s="36"/>
      <c r="B10" s="37"/>
      <c r="C10" s="37"/>
      <c r="D10" s="38"/>
      <c r="E10" s="36"/>
      <c r="F10" s="37"/>
      <c r="G10" s="37"/>
      <c r="H10" s="37"/>
      <c r="I10" s="37"/>
      <c r="J10" s="37"/>
      <c r="K10" s="37"/>
      <c r="L10" s="37"/>
      <c r="M10" s="38"/>
    </row>
    <row r="11" spans="1:13" ht="38.25">
      <c r="A11" s="1270" t="s">
        <v>5</v>
      </c>
      <c r="B11" s="1270" t="s">
        <v>65</v>
      </c>
      <c r="C11" s="41" t="s">
        <v>66</v>
      </c>
      <c r="D11" s="1269" t="s">
        <v>67</v>
      </c>
      <c r="E11" s="1269" t="s">
        <v>68</v>
      </c>
      <c r="F11" s="1269" t="s">
        <v>69</v>
      </c>
      <c r="G11" s="1269" t="s">
        <v>70</v>
      </c>
      <c r="H11" s="1269" t="s">
        <v>71</v>
      </c>
      <c r="I11" s="1269" t="s">
        <v>72</v>
      </c>
      <c r="J11" s="1270" t="s">
        <v>73</v>
      </c>
      <c r="K11" s="1270"/>
      <c r="L11" s="1270"/>
      <c r="M11" s="42" t="s">
        <v>40</v>
      </c>
    </row>
    <row r="12" spans="1:13" ht="38.25">
      <c r="A12" s="1270"/>
      <c r="B12" s="1270"/>
      <c r="C12" s="43"/>
      <c r="D12" s="1269"/>
      <c r="E12" s="1269"/>
      <c r="F12" s="1269"/>
      <c r="G12" s="1269"/>
      <c r="H12" s="1269"/>
      <c r="I12" s="1269"/>
      <c r="J12" s="44" t="s">
        <v>74</v>
      </c>
      <c r="K12" s="44" t="s">
        <v>75</v>
      </c>
      <c r="L12" s="44" t="s">
        <v>76</v>
      </c>
      <c r="M12" s="45"/>
    </row>
    <row r="13" spans="1:13">
      <c r="A13" s="46">
        <v>1</v>
      </c>
      <c r="B13" s="46">
        <v>2</v>
      </c>
      <c r="C13" s="46">
        <v>3</v>
      </c>
      <c r="D13" s="46">
        <v>4</v>
      </c>
      <c r="E13" s="46">
        <v>5</v>
      </c>
      <c r="F13" s="46">
        <v>6</v>
      </c>
      <c r="G13" s="46">
        <v>7</v>
      </c>
      <c r="H13" s="46">
        <v>8</v>
      </c>
      <c r="I13" s="46">
        <v>9</v>
      </c>
      <c r="J13" s="46">
        <v>10</v>
      </c>
      <c r="K13" s="46">
        <v>11</v>
      </c>
      <c r="L13" s="46">
        <v>12</v>
      </c>
      <c r="M13" s="46">
        <v>13</v>
      </c>
    </row>
    <row r="14" spans="1:13">
      <c r="A14" s="47"/>
      <c r="B14" s="47"/>
      <c r="C14" s="47"/>
      <c r="D14" s="47"/>
      <c r="E14" s="47"/>
      <c r="F14" s="47"/>
      <c r="G14" s="47"/>
      <c r="H14" s="47"/>
      <c r="I14" s="47"/>
      <c r="J14" s="47"/>
      <c r="K14" s="47"/>
      <c r="L14" s="47"/>
      <c r="M14" s="47"/>
    </row>
    <row r="15" spans="1:13" ht="15.75" thickBot="1">
      <c r="A15" s="47"/>
      <c r="B15" s="50"/>
      <c r="C15" s="50"/>
      <c r="D15" s="50"/>
      <c r="E15" s="50"/>
      <c r="F15" s="50"/>
      <c r="G15" s="50"/>
      <c r="H15" s="50"/>
      <c r="I15" s="50"/>
      <c r="J15" s="50"/>
      <c r="K15" s="50"/>
      <c r="L15" s="50"/>
      <c r="M15" s="50"/>
    </row>
    <row r="16" spans="1:13" ht="15.75" thickBot="1">
      <c r="A16" s="49"/>
      <c r="B16" s="52" t="s">
        <v>376</v>
      </c>
      <c r="C16" s="406"/>
      <c r="D16" s="406"/>
      <c r="E16" s="406"/>
      <c r="F16" s="406"/>
      <c r="G16" s="407"/>
      <c r="H16" s="408">
        <f>'04-221Master'!D10</f>
        <v>44652</v>
      </c>
      <c r="I16" s="47"/>
      <c r="J16" s="47"/>
      <c r="K16" s="47"/>
      <c r="L16" s="47"/>
      <c r="M16" s="47"/>
    </row>
    <row r="17" spans="1:13">
      <c r="A17" s="47"/>
      <c r="B17" s="63"/>
      <c r="C17" s="63"/>
      <c r="D17" s="63"/>
      <c r="E17" s="63"/>
      <c r="F17" s="63"/>
      <c r="G17" s="63"/>
      <c r="H17" s="63"/>
      <c r="I17" s="51"/>
      <c r="J17" s="51"/>
      <c r="K17" s="51"/>
      <c r="L17" s="51"/>
      <c r="M17" s="51"/>
    </row>
    <row r="18" spans="1:13" ht="15.75" thickBot="1">
      <c r="A18" s="47"/>
      <c r="B18" s="409"/>
      <c r="C18" s="409"/>
      <c r="D18" s="409"/>
      <c r="E18" s="409"/>
      <c r="F18" s="409"/>
      <c r="G18" s="409"/>
      <c r="H18" s="409"/>
      <c r="I18" s="47"/>
      <c r="J18" s="47"/>
      <c r="K18" s="47"/>
      <c r="L18" s="47"/>
      <c r="M18" s="47"/>
    </row>
    <row r="19" spans="1:13" ht="15.75" thickBot="1">
      <c r="A19" s="47"/>
      <c r="B19" s="409"/>
      <c r="C19" s="406"/>
      <c r="D19" s="409"/>
      <c r="E19" s="409"/>
      <c r="F19" s="409"/>
      <c r="G19" s="409"/>
      <c r="H19" s="409"/>
      <c r="I19" s="47"/>
      <c r="J19" s="47"/>
      <c r="K19" s="47"/>
      <c r="L19" s="47"/>
      <c r="M19" s="47"/>
    </row>
    <row r="20" spans="1:13">
      <c r="A20" s="47"/>
      <c r="B20" s="410"/>
      <c r="C20" s="409"/>
      <c r="D20" s="409"/>
      <c r="E20" s="409"/>
      <c r="F20" s="409"/>
      <c r="G20" s="409"/>
      <c r="H20" s="409"/>
      <c r="I20" s="47"/>
      <c r="J20" s="47"/>
      <c r="K20" s="47"/>
      <c r="L20" s="47"/>
      <c r="M20" s="47"/>
    </row>
    <row r="21" spans="1:13">
      <c r="A21" s="47"/>
      <c r="B21" s="431"/>
      <c r="C21" s="431"/>
      <c r="D21" s="431"/>
      <c r="E21" s="431"/>
      <c r="F21" s="431"/>
      <c r="G21" s="431"/>
      <c r="H21" s="431"/>
      <c r="I21" s="432"/>
      <c r="J21" s="47"/>
      <c r="K21" s="47"/>
      <c r="L21" s="47"/>
      <c r="M21" s="47"/>
    </row>
    <row r="22" spans="1:13">
      <c r="A22" s="49"/>
      <c r="B22" s="409"/>
      <c r="C22" s="409"/>
      <c r="D22" s="409"/>
      <c r="E22" s="409"/>
      <c r="F22" s="409"/>
      <c r="G22" s="409"/>
      <c r="H22" s="428"/>
      <c r="I22" s="433"/>
      <c r="J22" s="47"/>
      <c r="K22" s="47"/>
      <c r="L22" s="47"/>
      <c r="M22" s="47"/>
    </row>
    <row r="23" spans="1:13">
      <c r="A23" s="49"/>
      <c r="B23" s="409"/>
      <c r="C23" s="409"/>
      <c r="D23" s="409"/>
      <c r="E23" s="409"/>
      <c r="F23" s="409"/>
      <c r="G23" s="409"/>
      <c r="H23" s="409"/>
      <c r="I23" s="433"/>
      <c r="J23" s="47"/>
      <c r="K23" s="47"/>
      <c r="L23" s="47"/>
      <c r="M23" s="47"/>
    </row>
    <row r="24" spans="1:13">
      <c r="A24" s="49"/>
      <c r="B24" s="409"/>
      <c r="C24" s="409"/>
      <c r="D24" s="409"/>
      <c r="E24" s="409"/>
      <c r="F24" s="409"/>
      <c r="G24" s="409"/>
      <c r="H24" s="409"/>
      <c r="I24" s="433"/>
      <c r="J24" s="47"/>
      <c r="K24" s="47"/>
      <c r="L24" s="47"/>
      <c r="M24" s="47"/>
    </row>
    <row r="25" spans="1:13">
      <c r="A25" s="49"/>
      <c r="B25" s="409"/>
      <c r="C25" s="409"/>
      <c r="D25" s="409"/>
      <c r="E25" s="409"/>
      <c r="F25" s="409"/>
      <c r="G25" s="409"/>
      <c r="H25" s="409"/>
      <c r="I25" s="433"/>
      <c r="J25" s="47"/>
      <c r="K25" s="47"/>
      <c r="L25" s="47"/>
      <c r="M25" s="47"/>
    </row>
    <row r="26" spans="1:13">
      <c r="A26" s="49"/>
      <c r="B26" s="409"/>
      <c r="C26" s="409"/>
      <c r="D26" s="409"/>
      <c r="E26" s="409"/>
      <c r="F26" s="409"/>
      <c r="G26" s="409"/>
      <c r="H26" s="409"/>
      <c r="I26" s="433"/>
      <c r="J26" s="47"/>
      <c r="K26" s="47"/>
      <c r="L26" s="47"/>
      <c r="M26" s="47"/>
    </row>
    <row r="27" spans="1:13">
      <c r="A27" s="49"/>
      <c r="B27" s="409"/>
      <c r="C27" s="409"/>
      <c r="D27" s="409"/>
      <c r="E27" s="409"/>
      <c r="F27" s="409"/>
      <c r="G27" s="409"/>
      <c r="H27" s="409"/>
      <c r="I27" s="433"/>
      <c r="J27" s="47"/>
      <c r="K27" s="47"/>
      <c r="L27" s="47"/>
      <c r="M27" s="47"/>
    </row>
    <row r="28" spans="1:13">
      <c r="A28" s="49"/>
      <c r="B28" s="409"/>
      <c r="C28" s="409"/>
      <c r="D28" s="409"/>
      <c r="E28" s="409"/>
      <c r="F28" s="409"/>
      <c r="G28" s="409"/>
      <c r="H28" s="428"/>
      <c r="I28" s="433"/>
      <c r="J28" s="47"/>
      <c r="K28" s="47"/>
      <c r="L28" s="47"/>
      <c r="M28" s="47"/>
    </row>
    <row r="29" spans="1:13">
      <c r="A29" s="47"/>
      <c r="B29" s="63"/>
      <c r="C29" s="63"/>
      <c r="D29" s="63"/>
      <c r="E29" s="63"/>
      <c r="F29" s="63"/>
      <c r="G29" s="63"/>
      <c r="H29" s="63"/>
      <c r="I29" s="51"/>
      <c r="J29" s="47"/>
      <c r="K29" s="47"/>
      <c r="L29" s="47"/>
      <c r="M29" s="47"/>
    </row>
    <row r="30" spans="1:13">
      <c r="A30" s="47"/>
      <c r="B30" s="409"/>
      <c r="C30" s="409"/>
      <c r="D30" s="409"/>
      <c r="E30" s="409"/>
      <c r="F30" s="409"/>
      <c r="G30" s="409"/>
      <c r="H30" s="409"/>
      <c r="I30" s="47"/>
      <c r="J30" s="47"/>
      <c r="K30" s="47"/>
      <c r="L30" s="47"/>
      <c r="M30" s="47"/>
    </row>
    <row r="31" spans="1:13">
      <c r="A31" s="47"/>
      <c r="B31" s="47"/>
      <c r="C31" s="47"/>
      <c r="D31" s="47"/>
      <c r="E31" s="47"/>
      <c r="F31" s="47"/>
      <c r="G31" s="47"/>
      <c r="H31" s="47"/>
      <c r="I31" s="47"/>
      <c r="J31" s="47"/>
      <c r="K31" s="47"/>
      <c r="L31" s="47"/>
      <c r="M31" s="47"/>
    </row>
    <row r="32" spans="1:13">
      <c r="A32" s="47"/>
      <c r="B32" s="47"/>
      <c r="C32" s="47"/>
      <c r="D32" s="47"/>
      <c r="E32" s="47"/>
      <c r="F32" s="47"/>
      <c r="G32" s="47"/>
      <c r="H32" s="47"/>
      <c r="I32" s="47"/>
      <c r="J32" s="47"/>
      <c r="K32" s="47"/>
      <c r="L32" s="47"/>
      <c r="M32" s="47"/>
    </row>
    <row r="33" spans="1:13">
      <c r="A33" s="47"/>
      <c r="B33" s="47"/>
      <c r="C33" s="47"/>
      <c r="D33" s="47"/>
      <c r="E33" s="47"/>
      <c r="F33" s="47"/>
      <c r="G33" s="47"/>
      <c r="H33" s="47"/>
      <c r="I33" s="47"/>
      <c r="J33" s="47"/>
      <c r="K33" s="47"/>
      <c r="L33" s="47"/>
      <c r="M33" s="47"/>
    </row>
    <row r="39" spans="1:13">
      <c r="F39" t="s">
        <v>38</v>
      </c>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488188976377963" right="0.70866141732283472" top="0.74803149606299213" bottom="0.74803149606299213" header="0.31496062992125984" footer="0.31496062992125984"/>
  <pageSetup scale="70" orientation="landscape"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L38"/>
  <sheetViews>
    <sheetView topLeftCell="C7" workbookViewId="0">
      <selection activeCell="E7" sqref="E7"/>
    </sheetView>
  </sheetViews>
  <sheetFormatPr defaultRowHeight="15"/>
  <cols>
    <col min="1" max="1" width="7" customWidth="1"/>
    <col min="4" max="4" width="42.85546875" customWidth="1"/>
    <col min="10" max="10" width="12.140625" customWidth="1"/>
    <col min="11" max="11" width="11.28515625" customWidth="1"/>
    <col min="12" max="12" width="14.5703125" customWidth="1"/>
  </cols>
  <sheetData>
    <row r="1" spans="1:12">
      <c r="A1" s="1273" t="s">
        <v>484</v>
      </c>
      <c r="B1" s="1273"/>
      <c r="C1" s="1273"/>
      <c r="D1" s="1273"/>
      <c r="E1" s="1273"/>
      <c r="F1" s="1273"/>
      <c r="G1" s="1273"/>
      <c r="H1" s="1273"/>
      <c r="I1" s="1273"/>
      <c r="J1" s="1273"/>
      <c r="K1" s="1273"/>
      <c r="L1" s="1273"/>
    </row>
    <row r="2" spans="1:12">
      <c r="A2" s="1273"/>
      <c r="B2" s="1273"/>
      <c r="C2" s="1273"/>
      <c r="D2" s="1273"/>
      <c r="E2" s="1273"/>
      <c r="F2" s="1273"/>
      <c r="G2" s="1273"/>
      <c r="H2" s="1273"/>
      <c r="I2" s="1273"/>
      <c r="J2" s="1273"/>
      <c r="K2" s="1273"/>
      <c r="L2" s="1273"/>
    </row>
    <row r="3" spans="1:12">
      <c r="A3" s="1272" t="s">
        <v>485</v>
      </c>
      <c r="B3" s="1272"/>
      <c r="C3" s="1272"/>
      <c r="D3" s="1272"/>
      <c r="E3" s="1272"/>
      <c r="F3" s="1272"/>
      <c r="G3" s="1272"/>
      <c r="H3" s="1272"/>
      <c r="I3" s="1272"/>
      <c r="J3" s="1272"/>
      <c r="K3" s="1272"/>
      <c r="L3" s="1272"/>
    </row>
    <row r="4" spans="1:12" ht="15" customHeight="1">
      <c r="A4" s="30" t="s">
        <v>375</v>
      </c>
      <c r="B4" s="31"/>
      <c r="C4" s="31"/>
      <c r="D4" s="32" t="str">
        <f>'04-221Master'!F5</f>
        <v>Burgeon IT Services Pvt.Ltd.</v>
      </c>
      <c r="E4" s="39" t="s">
        <v>78</v>
      </c>
      <c r="F4" s="31"/>
      <c r="G4" s="31"/>
      <c r="H4" s="31"/>
      <c r="I4" s="31"/>
      <c r="J4" s="31"/>
      <c r="K4" s="31"/>
      <c r="L4" s="60"/>
    </row>
    <row r="5" spans="1:12">
      <c r="A5" s="33"/>
      <c r="B5" s="34" t="str">
        <f>'04-221Master'!F6</f>
        <v>Siri Mansion LIGB 436 Dr.A S Rao Nagar,Hyderabad</v>
      </c>
      <c r="C5" s="34"/>
      <c r="D5" s="35"/>
      <c r="E5" s="48" t="str">
        <f>'04-221Master'!AP5</f>
        <v>Burgeon IT Services Pvt.Ltd.</v>
      </c>
      <c r="F5" s="64"/>
      <c r="G5" s="64"/>
      <c r="H5" s="64"/>
      <c r="I5" s="64"/>
      <c r="J5" s="64"/>
      <c r="K5" s="64"/>
      <c r="L5" s="65"/>
    </row>
    <row r="6" spans="1:12">
      <c r="A6" s="36"/>
      <c r="B6" s="37">
        <f>'04-221Master'!F7</f>
        <v>0</v>
      </c>
      <c r="C6" s="37"/>
      <c r="D6" s="38"/>
      <c r="E6" s="63" t="str">
        <f>'04-221Master'!AP6</f>
        <v>Siri Mansion LIGB 436 Dr.A S Rao Nagar,Hyderabad</v>
      </c>
      <c r="F6" s="37"/>
      <c r="G6" s="37"/>
      <c r="H6" s="37"/>
      <c r="I6" s="37"/>
      <c r="J6" s="37"/>
      <c r="K6" s="37"/>
      <c r="L6" s="38"/>
    </row>
    <row r="7" spans="1:12">
      <c r="A7" s="39" t="s">
        <v>77</v>
      </c>
      <c r="B7" s="31"/>
      <c r="C7" s="31"/>
      <c r="D7" s="32" t="str">
        <f>'04-221Master'!F8</f>
        <v>IT SUPPORTIVE SERVICES&amp; Pune SEZ Unit-1</v>
      </c>
      <c r="E7" s="39" t="s">
        <v>64</v>
      </c>
      <c r="F7" s="31"/>
      <c r="G7" s="31"/>
      <c r="H7" s="31"/>
      <c r="I7" s="31"/>
      <c r="J7" s="31"/>
      <c r="K7" s="31"/>
      <c r="L7" s="32"/>
    </row>
    <row r="8" spans="1:12">
      <c r="A8" s="33"/>
      <c r="B8" s="34"/>
      <c r="C8" s="34"/>
      <c r="D8" s="35"/>
      <c r="E8" s="40" t="str">
        <f>'04-221Master'!AP10</f>
        <v>INFOSYS  LTD.IL Pune SEZ Unit-I,Plot No. 24/3</v>
      </c>
      <c r="F8" s="34"/>
      <c r="G8" s="34"/>
      <c r="H8" s="34"/>
      <c r="I8" s="34"/>
      <c r="J8" s="34"/>
      <c r="K8" s="34"/>
      <c r="L8" s="35"/>
    </row>
    <row r="9" spans="1:12">
      <c r="A9" s="33"/>
      <c r="B9" s="34"/>
      <c r="C9" s="34"/>
      <c r="D9" s="35"/>
      <c r="E9" s="33" t="str">
        <f>'04-221Master'!AP11</f>
        <v>Rajiv gandhi Info tech park,Village Mann,Pune,Maharashtra 411057</v>
      </c>
      <c r="F9" s="34"/>
      <c r="G9" s="34"/>
      <c r="H9" s="34"/>
      <c r="I9" s="34"/>
      <c r="J9" s="34"/>
      <c r="K9" s="34"/>
      <c r="L9" s="35"/>
    </row>
    <row r="10" spans="1:12" ht="15.75" thickBot="1">
      <c r="A10" s="33"/>
      <c r="B10" s="34"/>
      <c r="C10" s="34"/>
      <c r="D10" s="35"/>
      <c r="E10" s="33"/>
      <c r="F10" s="34"/>
      <c r="G10" s="34"/>
      <c r="H10" s="34"/>
      <c r="I10" s="34"/>
      <c r="J10" s="34"/>
      <c r="K10" s="34"/>
      <c r="L10" s="35"/>
    </row>
    <row r="11" spans="1:12" ht="51" customHeight="1">
      <c r="A11" s="1274" t="s">
        <v>5</v>
      </c>
      <c r="B11" s="1274" t="s">
        <v>65</v>
      </c>
      <c r="C11" s="55" t="s">
        <v>66</v>
      </c>
      <c r="D11" s="1276" t="s">
        <v>67</v>
      </c>
      <c r="E11" s="1276" t="s">
        <v>79</v>
      </c>
      <c r="F11" s="1276" t="s">
        <v>80</v>
      </c>
      <c r="G11" s="1276" t="s">
        <v>81</v>
      </c>
      <c r="H11" s="1276" t="s">
        <v>71</v>
      </c>
      <c r="I11" s="1276" t="s">
        <v>82</v>
      </c>
      <c r="J11" s="55" t="s">
        <v>83</v>
      </c>
      <c r="K11" s="1274" t="s">
        <v>84</v>
      </c>
      <c r="L11" s="1274" t="s">
        <v>40</v>
      </c>
    </row>
    <row r="12" spans="1:12" ht="18.600000000000001" customHeight="1" thickBot="1">
      <c r="A12" s="1275"/>
      <c r="B12" s="1275"/>
      <c r="C12" s="59"/>
      <c r="D12" s="1277"/>
      <c r="E12" s="1277"/>
      <c r="F12" s="1277"/>
      <c r="G12" s="1277"/>
      <c r="H12" s="1277"/>
      <c r="I12" s="1277"/>
      <c r="J12" s="54"/>
      <c r="K12" s="1275"/>
      <c r="L12" s="1275"/>
    </row>
    <row r="13" spans="1:12" ht="15" customHeight="1">
      <c r="A13" s="53">
        <v>1</v>
      </c>
      <c r="B13" s="53">
        <v>2</v>
      </c>
      <c r="C13" s="53">
        <v>3</v>
      </c>
      <c r="D13" s="53">
        <v>4</v>
      </c>
      <c r="E13" s="53">
        <v>5</v>
      </c>
      <c r="F13" s="53">
        <v>6</v>
      </c>
      <c r="G13" s="53">
        <v>7</v>
      </c>
      <c r="H13" s="53">
        <v>8</v>
      </c>
      <c r="I13" s="53">
        <v>9</v>
      </c>
      <c r="J13" s="56">
        <v>10</v>
      </c>
      <c r="K13" s="57">
        <v>11</v>
      </c>
      <c r="L13" s="58">
        <v>12</v>
      </c>
    </row>
    <row r="14" spans="1:12">
      <c r="A14" s="47"/>
      <c r="B14" s="47"/>
      <c r="C14" s="47"/>
      <c r="D14" s="47"/>
      <c r="E14" s="47"/>
      <c r="F14" s="47"/>
      <c r="G14" s="47"/>
      <c r="H14" s="47"/>
      <c r="I14" s="47"/>
      <c r="J14" s="47"/>
      <c r="K14" s="51"/>
      <c r="L14" s="47"/>
    </row>
    <row r="15" spans="1:12" ht="15.75" thickBot="1">
      <c r="A15" s="47"/>
      <c r="B15" s="50"/>
      <c r="C15" s="50"/>
      <c r="D15" s="50"/>
      <c r="E15" s="50"/>
      <c r="F15" s="50"/>
      <c r="G15" s="50"/>
      <c r="H15" s="50"/>
      <c r="I15" s="50"/>
      <c r="J15" s="50"/>
      <c r="K15" s="50"/>
      <c r="L15" s="50"/>
    </row>
    <row r="16" spans="1:12" ht="15.75" thickBot="1">
      <c r="A16" s="49"/>
      <c r="B16" s="1279" t="s">
        <v>85</v>
      </c>
      <c r="C16" s="1280"/>
      <c r="D16" s="1280"/>
      <c r="E16" s="1280"/>
      <c r="F16" s="1280"/>
      <c r="G16" s="1281"/>
      <c r="H16" s="408">
        <f>'04-221Master'!D10</f>
        <v>44652</v>
      </c>
      <c r="I16" s="47"/>
      <c r="J16" s="47"/>
      <c r="K16" s="47"/>
      <c r="L16" s="47"/>
    </row>
    <row r="17" spans="1:12">
      <c r="A17" s="47"/>
      <c r="B17" s="63"/>
      <c r="C17" s="63"/>
      <c r="D17" s="63"/>
      <c r="E17" s="63"/>
      <c r="F17" s="63"/>
      <c r="G17" s="63"/>
      <c r="H17" s="63"/>
      <c r="I17" s="51"/>
      <c r="J17" s="51"/>
      <c r="K17" s="51"/>
      <c r="L17" s="51"/>
    </row>
    <row r="18" spans="1:12">
      <c r="A18" s="47"/>
      <c r="B18" s="409"/>
      <c r="C18" s="409"/>
      <c r="D18" s="409"/>
      <c r="E18" s="409"/>
      <c r="F18" s="409"/>
      <c r="G18" s="409"/>
      <c r="H18" s="409"/>
      <c r="I18" s="47"/>
      <c r="J18" s="47"/>
      <c r="K18" s="47"/>
      <c r="L18" s="47"/>
    </row>
    <row r="19" spans="1:12">
      <c r="A19" s="47"/>
      <c r="B19" s="409"/>
      <c r="C19" s="409"/>
      <c r="D19" s="409"/>
      <c r="E19" s="409"/>
      <c r="F19" s="409"/>
      <c r="G19" s="409"/>
      <c r="H19" s="409"/>
      <c r="I19" s="47"/>
      <c r="J19" s="47"/>
      <c r="K19" s="47"/>
      <c r="L19" s="47"/>
    </row>
    <row r="20" spans="1:12">
      <c r="A20" s="47"/>
      <c r="B20" s="410"/>
      <c r="C20" s="409"/>
      <c r="D20" s="409"/>
      <c r="E20" s="409"/>
      <c r="F20" s="409"/>
      <c r="G20" s="409"/>
      <c r="H20" s="409"/>
      <c r="I20" s="47"/>
      <c r="J20" s="47"/>
      <c r="K20" s="47"/>
      <c r="L20" s="47"/>
    </row>
    <row r="21" spans="1:12">
      <c r="A21" s="47"/>
      <c r="B21" s="431"/>
      <c r="C21" s="431"/>
      <c r="D21" s="431"/>
      <c r="E21" s="431"/>
      <c r="F21" s="431"/>
      <c r="G21" s="431"/>
      <c r="H21" s="431"/>
      <c r="I21" s="432"/>
      <c r="J21" s="432"/>
      <c r="K21" s="47"/>
      <c r="L21" s="47"/>
    </row>
    <row r="22" spans="1:12">
      <c r="A22" s="49"/>
      <c r="B22" s="1278"/>
      <c r="C22" s="1278"/>
      <c r="D22" s="1278"/>
      <c r="E22" s="1278"/>
      <c r="F22" s="1278"/>
      <c r="G22" s="1278"/>
      <c r="H22" s="428"/>
      <c r="I22" s="433"/>
      <c r="J22" s="433"/>
      <c r="K22" s="47"/>
      <c r="L22" s="47"/>
    </row>
    <row r="23" spans="1:12">
      <c r="A23" s="49"/>
      <c r="B23" s="409"/>
      <c r="C23" s="409"/>
      <c r="D23" s="409"/>
      <c r="E23" s="409"/>
      <c r="F23" s="409"/>
      <c r="G23" s="409"/>
      <c r="H23" s="409"/>
      <c r="I23" s="433"/>
      <c r="J23" s="433"/>
      <c r="K23" s="47"/>
      <c r="L23" s="47"/>
    </row>
    <row r="24" spans="1:12">
      <c r="A24" s="49"/>
      <c r="B24" s="409"/>
      <c r="C24" s="409"/>
      <c r="D24" s="409"/>
      <c r="E24" s="409"/>
      <c r="F24" s="409"/>
      <c r="G24" s="409"/>
      <c r="H24" s="409"/>
      <c r="I24" s="433"/>
      <c r="J24" s="433"/>
      <c r="K24" s="47"/>
      <c r="L24" s="47"/>
    </row>
    <row r="25" spans="1:12">
      <c r="A25" s="49"/>
      <c r="B25" s="409"/>
      <c r="C25" s="409"/>
      <c r="D25" s="409"/>
      <c r="E25" s="409"/>
      <c r="F25" s="409"/>
      <c r="G25" s="409"/>
      <c r="H25" s="409"/>
      <c r="I25" s="433"/>
      <c r="J25" s="433"/>
      <c r="K25" s="47"/>
      <c r="L25" s="47"/>
    </row>
    <row r="26" spans="1:12">
      <c r="A26" s="49"/>
      <c r="B26" s="409"/>
      <c r="C26" s="409"/>
      <c r="D26" s="409"/>
      <c r="E26" s="409"/>
      <c r="F26" s="409"/>
      <c r="G26" s="409"/>
      <c r="H26" s="409"/>
      <c r="I26" s="433"/>
      <c r="J26" s="433"/>
      <c r="K26" s="47"/>
      <c r="L26" s="47"/>
    </row>
    <row r="27" spans="1:12">
      <c r="A27" s="49"/>
      <c r="B27" s="433"/>
      <c r="C27" s="433"/>
      <c r="D27" s="433"/>
      <c r="E27" s="433"/>
      <c r="F27" s="433"/>
      <c r="G27" s="433"/>
      <c r="H27" s="409"/>
      <c r="I27" s="433"/>
      <c r="J27" s="433"/>
      <c r="K27" s="47"/>
      <c r="L27" s="47"/>
    </row>
    <row r="28" spans="1:12">
      <c r="A28" s="49"/>
      <c r="B28" s="1278"/>
      <c r="C28" s="1278"/>
      <c r="D28" s="1278"/>
      <c r="E28" s="1278"/>
      <c r="F28" s="1278"/>
      <c r="G28" s="1278"/>
      <c r="H28" s="428"/>
      <c r="I28" s="433"/>
      <c r="J28" s="433"/>
      <c r="K28" s="47"/>
      <c r="L28" s="47"/>
    </row>
    <row r="29" spans="1:12">
      <c r="A29" s="49"/>
      <c r="B29" s="433"/>
      <c r="C29" s="433"/>
      <c r="D29" s="433"/>
      <c r="E29" s="433"/>
      <c r="F29" s="433"/>
      <c r="G29" s="433"/>
      <c r="H29" s="433"/>
      <c r="I29" s="433"/>
      <c r="J29" s="433"/>
      <c r="K29" s="47"/>
      <c r="L29" s="47"/>
    </row>
    <row r="30" spans="1:12">
      <c r="A30" s="47"/>
      <c r="B30" s="47"/>
      <c r="C30" s="47"/>
      <c r="D30" s="47"/>
      <c r="E30" s="47"/>
      <c r="F30" s="47"/>
      <c r="G30" s="47"/>
      <c r="H30" s="47"/>
      <c r="I30" s="47"/>
      <c r="J30" s="47"/>
      <c r="K30" s="47"/>
      <c r="L30" s="47"/>
    </row>
    <row r="31" spans="1:12">
      <c r="A31" s="47"/>
      <c r="B31" s="47"/>
      <c r="C31" s="47"/>
      <c r="D31" s="47"/>
      <c r="E31" s="47"/>
      <c r="F31" s="47"/>
      <c r="G31" s="47"/>
      <c r="H31" s="47"/>
      <c r="I31" s="47"/>
      <c r="J31" s="47"/>
      <c r="K31" s="47"/>
      <c r="L31" s="47"/>
    </row>
    <row r="32" spans="1:12">
      <c r="A32" s="47"/>
      <c r="B32" s="47"/>
      <c r="C32" s="47"/>
      <c r="D32" s="47"/>
      <c r="E32" s="47"/>
      <c r="F32" s="47"/>
      <c r="G32" s="47"/>
      <c r="H32" s="47"/>
      <c r="I32" s="47"/>
      <c r="J32" s="47"/>
      <c r="K32" s="47"/>
      <c r="L32" s="47"/>
    </row>
    <row r="33" spans="1:12">
      <c r="A33" s="47"/>
      <c r="B33" s="47"/>
      <c r="C33" s="47"/>
      <c r="D33" s="47"/>
      <c r="E33" s="47"/>
      <c r="F33" s="47"/>
      <c r="G33" s="47"/>
      <c r="H33" s="47"/>
      <c r="I33" s="47"/>
      <c r="J33" s="47"/>
      <c r="K33" s="47"/>
      <c r="L33" s="47"/>
    </row>
    <row r="38" spans="1:12">
      <c r="F38" t="s">
        <v>38</v>
      </c>
    </row>
  </sheetData>
  <protectedRanges>
    <protectedRange password="CA4D" sqref="E5 A1:D13 E6:L10 E1:L3 L11:L13 E13:J13" name="Range1"/>
  </protectedRanges>
  <mergeCells count="15">
    <mergeCell ref="B22:G22"/>
    <mergeCell ref="B28:G28"/>
    <mergeCell ref="B16:G16"/>
    <mergeCell ref="K11:K12"/>
    <mergeCell ref="L11:L12"/>
    <mergeCell ref="A1:L2"/>
    <mergeCell ref="A3:L3"/>
    <mergeCell ref="A11:A12"/>
    <mergeCell ref="B11:B12"/>
    <mergeCell ref="D11:D12"/>
    <mergeCell ref="E11:E12"/>
    <mergeCell ref="F11:F12"/>
    <mergeCell ref="G11:G12"/>
    <mergeCell ref="H11:H12"/>
    <mergeCell ref="I11:I12"/>
  </mergeCells>
  <pageMargins left="0.94488188976377963" right="0.70866141732283472" top="0.74803149606299213" bottom="0.74803149606299213" header="0.31496062992125984" footer="0.31496062992125984"/>
  <pageSetup scale="75"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K39"/>
  <sheetViews>
    <sheetView workbookViewId="0">
      <selection sqref="A1:K2"/>
    </sheetView>
  </sheetViews>
  <sheetFormatPr defaultRowHeight="15"/>
  <cols>
    <col min="3" max="3" width="9.85546875" customWidth="1"/>
    <col min="4" max="4" width="44.7109375" customWidth="1"/>
    <col min="10" max="10" width="26" customWidth="1"/>
    <col min="11" max="11" width="14.7109375" customWidth="1"/>
  </cols>
  <sheetData>
    <row r="1" spans="1:11">
      <c r="A1" s="1271" t="s">
        <v>486</v>
      </c>
      <c r="B1" s="1271"/>
      <c r="C1" s="1271"/>
      <c r="D1" s="1271"/>
      <c r="E1" s="1271"/>
      <c r="F1" s="1271"/>
      <c r="G1" s="1271"/>
      <c r="H1" s="1271"/>
      <c r="I1" s="1271"/>
      <c r="J1" s="1271"/>
      <c r="K1" s="1271"/>
    </row>
    <row r="2" spans="1:11">
      <c r="A2" s="1271"/>
      <c r="B2" s="1271"/>
      <c r="C2" s="1271"/>
      <c r="D2" s="1271"/>
      <c r="E2" s="1271"/>
      <c r="F2" s="1271"/>
      <c r="G2" s="1271"/>
      <c r="H2" s="1271"/>
      <c r="I2" s="1271"/>
      <c r="J2" s="1271"/>
      <c r="K2" s="1271"/>
    </row>
    <row r="3" spans="1:11">
      <c r="A3" s="1272" t="s">
        <v>485</v>
      </c>
      <c r="B3" s="1272"/>
      <c r="C3" s="1272"/>
      <c r="D3" s="1272"/>
      <c r="E3" s="1285"/>
      <c r="F3" s="1285"/>
      <c r="G3" s="1285"/>
      <c r="H3" s="1285"/>
      <c r="I3" s="1285"/>
      <c r="J3" s="1285"/>
      <c r="K3" s="1285"/>
    </row>
    <row r="4" spans="1:11" ht="15" customHeight="1">
      <c r="A4" s="30" t="s">
        <v>374</v>
      </c>
      <c r="B4" s="31"/>
      <c r="C4" s="31"/>
      <c r="D4" s="32" t="str">
        <f>'04-221Master'!F5</f>
        <v>Burgeon IT Services Pvt.Ltd.</v>
      </c>
      <c r="E4" s="66" t="s">
        <v>78</v>
      </c>
      <c r="F4" s="67"/>
      <c r="G4" s="67"/>
      <c r="H4" s="67"/>
      <c r="I4" s="67"/>
      <c r="J4" s="67"/>
      <c r="K4" s="68"/>
    </row>
    <row r="5" spans="1:11">
      <c r="A5" s="33"/>
      <c r="B5" s="34" t="str">
        <f>'04-221Master'!F6</f>
        <v>Siri Mansion LIGB 436 Dr.A S Rao Nagar,Hyderabad</v>
      </c>
      <c r="C5" s="34"/>
      <c r="D5" s="35"/>
      <c r="E5" s="48"/>
      <c r="F5" s="64"/>
      <c r="G5" s="64"/>
      <c r="H5" s="64"/>
      <c r="I5" s="64"/>
      <c r="J5" s="64"/>
      <c r="K5" s="65"/>
    </row>
    <row r="6" spans="1:11">
      <c r="A6" s="36"/>
      <c r="B6" s="37">
        <f>'04-221Master'!F7</f>
        <v>0</v>
      </c>
      <c r="C6" s="37"/>
      <c r="D6" s="38"/>
      <c r="E6" s="48"/>
      <c r="F6" s="67"/>
      <c r="G6" s="67"/>
      <c r="H6" s="67"/>
      <c r="I6" s="67"/>
      <c r="J6" s="67"/>
      <c r="K6" s="68"/>
    </row>
    <row r="7" spans="1:11">
      <c r="A7" s="39" t="s">
        <v>77</v>
      </c>
      <c r="B7" s="31"/>
      <c r="C7" s="31"/>
      <c r="D7" s="32" t="str">
        <f>'04-221Master'!F8</f>
        <v>IT SUPPORTIVE SERVICES&amp; Pune SEZ Unit-1</v>
      </c>
      <c r="E7" s="39" t="s">
        <v>64</v>
      </c>
      <c r="F7" s="31"/>
      <c r="G7" s="31"/>
      <c r="H7" s="31"/>
      <c r="I7" s="31"/>
      <c r="J7" s="31"/>
      <c r="K7" s="32"/>
    </row>
    <row r="8" spans="1:11">
      <c r="A8" s="33"/>
      <c r="B8" s="34"/>
      <c r="C8" s="34"/>
      <c r="D8" s="35"/>
      <c r="E8" s="40" t="str">
        <f>'04-221Master'!AP10</f>
        <v>INFOSYS  LTD.IL Pune SEZ Unit-I,Plot No. 24/3</v>
      </c>
      <c r="F8" s="34"/>
      <c r="G8" s="34"/>
      <c r="H8" s="34"/>
      <c r="I8" s="34"/>
      <c r="J8" s="34"/>
      <c r="K8" s="35"/>
    </row>
    <row r="9" spans="1:11">
      <c r="A9" s="33"/>
      <c r="B9" s="34"/>
      <c r="C9" s="34"/>
      <c r="D9" s="35"/>
      <c r="E9" s="33" t="str">
        <f>'04-221Master'!AP11</f>
        <v>Rajiv gandhi Info tech park,Village Mann,Pune,Maharashtra 411057</v>
      </c>
      <c r="F9" s="34"/>
      <c r="G9" s="34"/>
      <c r="H9" s="34"/>
      <c r="I9" s="34"/>
      <c r="J9" s="34"/>
      <c r="K9" s="35"/>
    </row>
    <row r="10" spans="1:11">
      <c r="A10" s="33"/>
      <c r="B10" s="34"/>
      <c r="C10" s="34"/>
      <c r="D10" s="35"/>
      <c r="E10" s="36"/>
      <c r="F10" s="37"/>
      <c r="G10" s="37"/>
      <c r="H10" s="37"/>
      <c r="I10" s="37"/>
      <c r="J10" s="37"/>
      <c r="K10" s="38"/>
    </row>
    <row r="11" spans="1:11">
      <c r="A11" s="1270" t="s">
        <v>5</v>
      </c>
      <c r="B11" s="1270" t="s">
        <v>65</v>
      </c>
      <c r="C11" s="1270" t="s">
        <v>66</v>
      </c>
      <c r="D11" s="1269" t="s">
        <v>67</v>
      </c>
      <c r="E11" s="1286" t="s">
        <v>86</v>
      </c>
      <c r="F11" s="1286" t="s">
        <v>87</v>
      </c>
      <c r="G11" s="1286" t="s">
        <v>88</v>
      </c>
      <c r="H11" s="1286" t="s">
        <v>89</v>
      </c>
      <c r="I11" s="1286" t="s">
        <v>90</v>
      </c>
      <c r="J11" s="1287" t="s">
        <v>91</v>
      </c>
      <c r="K11" s="1288" t="s">
        <v>40</v>
      </c>
    </row>
    <row r="12" spans="1:11" ht="65.25" customHeight="1">
      <c r="A12" s="1270"/>
      <c r="B12" s="1270"/>
      <c r="C12" s="1270"/>
      <c r="D12" s="1269"/>
      <c r="E12" s="1269"/>
      <c r="F12" s="1269"/>
      <c r="G12" s="1269"/>
      <c r="H12" s="1269"/>
      <c r="I12" s="1269"/>
      <c r="J12" s="1270"/>
      <c r="K12" s="1287"/>
    </row>
    <row r="13" spans="1:11">
      <c r="A13" s="46">
        <v>1</v>
      </c>
      <c r="B13" s="46">
        <v>2</v>
      </c>
      <c r="C13" s="46">
        <v>3</v>
      </c>
      <c r="D13" s="46">
        <v>4</v>
      </c>
      <c r="E13" s="46">
        <v>5</v>
      </c>
      <c r="F13" s="46">
        <v>6</v>
      </c>
      <c r="G13" s="46">
        <v>7</v>
      </c>
      <c r="H13" s="46">
        <v>8</v>
      </c>
      <c r="I13" s="46">
        <v>9</v>
      </c>
      <c r="J13" s="46">
        <v>10</v>
      </c>
      <c r="K13" s="46">
        <v>11</v>
      </c>
    </row>
    <row r="14" spans="1:11">
      <c r="A14" s="48"/>
      <c r="B14" s="48"/>
      <c r="C14" s="48"/>
      <c r="D14" s="48"/>
      <c r="E14" s="48"/>
      <c r="F14" s="48"/>
      <c r="G14" s="48"/>
      <c r="H14" s="48"/>
      <c r="I14" s="48"/>
      <c r="J14" s="48"/>
      <c r="K14" s="48"/>
    </row>
    <row r="15" spans="1:11">
      <c r="A15" s="48"/>
      <c r="B15" s="61"/>
      <c r="C15" s="61"/>
      <c r="D15" s="61"/>
      <c r="E15" s="61"/>
      <c r="F15" s="48"/>
      <c r="G15" s="48"/>
      <c r="H15" s="48"/>
      <c r="I15" s="48"/>
      <c r="J15" s="48"/>
      <c r="K15" s="48"/>
    </row>
    <row r="16" spans="1:11">
      <c r="A16" s="66"/>
      <c r="B16" s="1282" t="s">
        <v>92</v>
      </c>
      <c r="C16" s="1283"/>
      <c r="D16" s="1283"/>
      <c r="E16" s="1284"/>
      <c r="F16" s="408">
        <f>'04-221Master'!D10</f>
        <v>44652</v>
      </c>
      <c r="G16" s="48"/>
      <c r="H16" s="48"/>
      <c r="I16" s="48"/>
      <c r="J16" s="48"/>
      <c r="K16" s="48"/>
    </row>
    <row r="17" spans="1:11">
      <c r="A17" s="48"/>
      <c r="B17" s="63"/>
      <c r="C17" s="63"/>
      <c r="D17" s="63"/>
      <c r="E17" s="63"/>
      <c r="F17" s="63"/>
      <c r="G17" s="48"/>
      <c r="H17" s="48"/>
      <c r="I17" s="48"/>
      <c r="J17" s="48"/>
      <c r="K17" s="48"/>
    </row>
    <row r="18" spans="1:11">
      <c r="A18" s="69"/>
      <c r="B18" s="409"/>
      <c r="C18" s="409"/>
      <c r="D18" s="409"/>
      <c r="E18" s="409"/>
      <c r="F18" s="409"/>
      <c r="G18" s="48"/>
      <c r="H18" s="48"/>
      <c r="I18" s="48"/>
      <c r="J18" s="48"/>
      <c r="K18" s="48"/>
    </row>
    <row r="19" spans="1:11">
      <c r="A19" s="48"/>
      <c r="B19" s="409"/>
      <c r="C19" s="409"/>
      <c r="D19" s="409"/>
      <c r="E19" s="409"/>
      <c r="F19" s="409"/>
      <c r="G19" s="48"/>
      <c r="H19" s="48"/>
      <c r="I19" s="48"/>
      <c r="J19" s="48"/>
      <c r="K19" s="48"/>
    </row>
    <row r="20" spans="1:11">
      <c r="A20" s="48"/>
      <c r="B20" s="409"/>
      <c r="C20" s="409"/>
      <c r="D20" s="409"/>
      <c r="E20" s="409"/>
      <c r="F20" s="409"/>
      <c r="G20" s="48"/>
      <c r="H20" s="48"/>
      <c r="I20" s="48"/>
      <c r="J20" s="48"/>
      <c r="K20" s="48"/>
    </row>
    <row r="21" spans="1:11">
      <c r="A21" s="48"/>
      <c r="B21" s="409"/>
      <c r="C21" s="409"/>
      <c r="D21" s="409"/>
      <c r="E21" s="409"/>
      <c r="F21" s="409"/>
      <c r="G21" s="48"/>
      <c r="H21" s="48"/>
      <c r="I21" s="48"/>
      <c r="J21" s="48"/>
      <c r="K21" s="48"/>
    </row>
    <row r="22" spans="1:11">
      <c r="A22" s="48"/>
      <c r="B22" s="1282"/>
      <c r="C22" s="1283"/>
      <c r="D22" s="1283"/>
      <c r="E22" s="1284"/>
      <c r="F22" s="408"/>
      <c r="G22" s="48"/>
      <c r="H22" s="48"/>
      <c r="I22" s="48"/>
      <c r="J22" s="48"/>
      <c r="K22" s="48"/>
    </row>
    <row r="23" spans="1:11">
      <c r="A23" s="48"/>
      <c r="B23" s="409"/>
      <c r="C23" s="409"/>
      <c r="D23" s="409"/>
      <c r="E23" s="409"/>
      <c r="F23" s="409"/>
      <c r="G23" s="48"/>
      <c r="H23" s="48"/>
      <c r="I23" s="48"/>
      <c r="J23" s="48"/>
      <c r="K23" s="48"/>
    </row>
    <row r="24" spans="1:11">
      <c r="A24" s="48"/>
      <c r="B24" s="409"/>
      <c r="C24" s="409"/>
      <c r="D24" s="409"/>
      <c r="E24" s="409"/>
      <c r="F24" s="409"/>
      <c r="G24" s="48"/>
      <c r="H24" s="48"/>
      <c r="I24" s="48"/>
      <c r="J24" s="48"/>
      <c r="K24" s="48"/>
    </row>
    <row r="25" spans="1:11">
      <c r="A25" s="48"/>
      <c r="B25" s="409"/>
      <c r="C25" s="409"/>
      <c r="D25" s="409"/>
      <c r="E25" s="409"/>
      <c r="F25" s="409"/>
      <c r="G25" s="48"/>
      <c r="H25" s="48"/>
      <c r="I25" s="48"/>
      <c r="J25" s="48"/>
      <c r="K25" s="48"/>
    </row>
    <row r="26" spans="1:11">
      <c r="A26" s="48"/>
      <c r="B26" s="409"/>
      <c r="C26" s="409"/>
      <c r="D26" s="409"/>
      <c r="E26" s="409"/>
      <c r="F26" s="409"/>
      <c r="G26" s="48"/>
      <c r="H26" s="48"/>
      <c r="I26" s="48"/>
      <c r="J26" s="48"/>
      <c r="K26" s="48"/>
    </row>
    <row r="27" spans="1:11">
      <c r="A27" s="48"/>
      <c r="B27" s="409"/>
      <c r="C27" s="409"/>
      <c r="D27" s="409"/>
      <c r="E27" s="409"/>
      <c r="F27" s="409"/>
      <c r="G27" s="48"/>
      <c r="H27" s="48"/>
      <c r="I27" s="48"/>
      <c r="J27" s="48"/>
      <c r="K27" s="48"/>
    </row>
    <row r="28" spans="1:11">
      <c r="A28" s="48"/>
      <c r="B28" s="1282"/>
      <c r="C28" s="1283"/>
      <c r="D28" s="1283"/>
      <c r="E28" s="1284"/>
      <c r="F28" s="408"/>
      <c r="G28" s="48"/>
      <c r="H28" s="48"/>
      <c r="I28" s="48"/>
      <c r="J28" s="48"/>
      <c r="K28" s="48"/>
    </row>
    <row r="29" spans="1:11">
      <c r="A29" s="48"/>
      <c r="B29" s="48"/>
      <c r="C29" s="48"/>
      <c r="D29" s="48"/>
      <c r="E29" s="48"/>
      <c r="F29" s="48"/>
      <c r="G29" s="48"/>
      <c r="H29" s="48"/>
      <c r="I29" s="48"/>
      <c r="J29" s="48"/>
      <c r="K29" s="48"/>
    </row>
    <row r="30" spans="1:11">
      <c r="A30" s="48"/>
      <c r="B30" s="48"/>
      <c r="C30" s="48"/>
      <c r="D30" s="48"/>
      <c r="E30" s="48"/>
      <c r="F30" s="48"/>
      <c r="G30" s="48"/>
      <c r="H30" s="48"/>
      <c r="I30" s="48"/>
      <c r="J30" s="48"/>
      <c r="K30" s="48"/>
    </row>
    <row r="31" spans="1:11">
      <c r="A31" s="48"/>
      <c r="B31" s="48"/>
      <c r="C31" s="48"/>
      <c r="D31" s="48"/>
      <c r="E31" s="48"/>
      <c r="F31" s="48"/>
      <c r="G31" s="48"/>
      <c r="H31" s="48"/>
      <c r="I31" s="48"/>
      <c r="J31" s="48"/>
      <c r="K31" s="48"/>
    </row>
    <row r="32" spans="1:11">
      <c r="A32" s="48"/>
      <c r="B32" s="48"/>
      <c r="C32" s="48"/>
      <c r="D32" s="48"/>
      <c r="E32" s="48"/>
      <c r="F32" s="48"/>
      <c r="G32" s="48"/>
      <c r="H32" s="48"/>
      <c r="I32" s="48"/>
      <c r="J32" s="48"/>
      <c r="K32" s="48"/>
    </row>
    <row r="33" spans="1:11">
      <c r="A33" s="48"/>
      <c r="B33" s="48"/>
      <c r="C33" s="48"/>
      <c r="D33" s="48"/>
      <c r="E33" s="48"/>
      <c r="F33" s="48"/>
      <c r="G33" s="48"/>
      <c r="H33" s="48"/>
      <c r="I33" s="48"/>
      <c r="J33" s="48"/>
      <c r="K33" s="48"/>
    </row>
    <row r="34" spans="1:11">
      <c r="A34" s="48"/>
      <c r="B34" s="48"/>
      <c r="C34" s="48"/>
      <c r="D34" s="48"/>
      <c r="E34" s="48"/>
      <c r="F34" s="48"/>
      <c r="G34" s="48"/>
      <c r="H34" s="48"/>
      <c r="I34" s="48"/>
      <c r="J34" s="48"/>
      <c r="K34" s="48"/>
    </row>
    <row r="35" spans="1:11">
      <c r="A35" s="48"/>
      <c r="B35" s="48"/>
      <c r="C35" s="48"/>
      <c r="D35" s="48"/>
      <c r="E35" s="48"/>
      <c r="F35" s="48"/>
      <c r="G35" s="48"/>
      <c r="H35" s="48"/>
      <c r="I35" s="48"/>
      <c r="J35" s="48"/>
      <c r="K35" s="48"/>
    </row>
    <row r="36" spans="1:11">
      <c r="A36" s="366"/>
      <c r="B36" s="366"/>
      <c r="C36" s="366"/>
      <c r="D36" s="366"/>
      <c r="E36" s="366"/>
      <c r="F36" s="366"/>
      <c r="G36" s="366"/>
      <c r="H36" s="366"/>
      <c r="I36" s="366"/>
      <c r="J36" s="366"/>
      <c r="K36" s="366"/>
    </row>
    <row r="37" spans="1:11">
      <c r="A37" s="366"/>
      <c r="B37" s="366"/>
      <c r="C37" s="366"/>
      <c r="D37" s="366"/>
      <c r="E37" s="366"/>
      <c r="F37" s="366"/>
      <c r="G37" s="366"/>
      <c r="H37" s="366"/>
      <c r="I37" s="366"/>
      <c r="J37" s="366"/>
      <c r="K37" s="366"/>
    </row>
    <row r="38" spans="1:11">
      <c r="A38" s="366"/>
      <c r="B38" s="366"/>
      <c r="C38" s="366"/>
      <c r="D38" s="366"/>
      <c r="E38" s="366"/>
      <c r="F38" s="366"/>
      <c r="G38" s="366"/>
      <c r="H38" s="366"/>
      <c r="I38" s="366"/>
      <c r="J38" s="366"/>
      <c r="K38" s="366"/>
    </row>
    <row r="39" spans="1:11">
      <c r="G39" t="s">
        <v>38</v>
      </c>
    </row>
  </sheetData>
  <protectedRanges>
    <protectedRange password="CA4D" sqref="A1:K3 A11:K13" name="Range1"/>
    <protectedRange password="CA4D" sqref="E5 A4:D10 E6:K10" name="Range1_5"/>
  </protectedRanges>
  <mergeCells count="16">
    <mergeCell ref="B22:E22"/>
    <mergeCell ref="B28:E28"/>
    <mergeCell ref="B16:E16"/>
    <mergeCell ref="A1:K2"/>
    <mergeCell ref="A3:K3"/>
    <mergeCell ref="A11:A12"/>
    <mergeCell ref="B11:B12"/>
    <mergeCell ref="C11:C12"/>
    <mergeCell ref="D11:D12"/>
    <mergeCell ref="E11:E12"/>
    <mergeCell ref="F11:F12"/>
    <mergeCell ref="G11:G12"/>
    <mergeCell ref="H11:H12"/>
    <mergeCell ref="I11:I12"/>
    <mergeCell ref="J11:J12"/>
    <mergeCell ref="K11:K12"/>
  </mergeCells>
  <pageMargins left="1.0236220472440944" right="0.70866141732283472" top="0.74803149606299213" bottom="0.74803149606299213" header="0.35433070866141736" footer="0.31496062992125984"/>
  <pageSetup scale="70"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L35"/>
  <sheetViews>
    <sheetView workbookViewId="0">
      <selection sqref="A1:L2"/>
    </sheetView>
  </sheetViews>
  <sheetFormatPr defaultRowHeight="15"/>
  <cols>
    <col min="5" max="5" width="38.5703125" customWidth="1"/>
    <col min="11" max="11" width="11.140625" customWidth="1"/>
    <col min="12" max="12" width="13.42578125" customWidth="1"/>
  </cols>
  <sheetData>
    <row r="1" spans="1:12">
      <c r="A1" s="1271" t="s">
        <v>487</v>
      </c>
      <c r="B1" s="1271"/>
      <c r="C1" s="1271"/>
      <c r="D1" s="1271"/>
      <c r="E1" s="1271"/>
      <c r="F1" s="1271"/>
      <c r="G1" s="1271"/>
      <c r="H1" s="1271"/>
      <c r="I1" s="1271"/>
      <c r="J1" s="1271"/>
      <c r="K1" s="1271"/>
      <c r="L1" s="1271"/>
    </row>
    <row r="2" spans="1:12">
      <c r="A2" s="1271"/>
      <c r="B2" s="1271"/>
      <c r="C2" s="1271"/>
      <c r="D2" s="1271"/>
      <c r="E2" s="1271"/>
      <c r="F2" s="1271"/>
      <c r="G2" s="1271"/>
      <c r="H2" s="1271"/>
      <c r="I2" s="1271"/>
      <c r="J2" s="1271"/>
      <c r="K2" s="1271"/>
      <c r="L2" s="1271"/>
    </row>
    <row r="3" spans="1:12">
      <c r="A3" s="1272" t="s">
        <v>485</v>
      </c>
      <c r="B3" s="1272"/>
      <c r="C3" s="1272"/>
      <c r="D3" s="1272"/>
      <c r="E3" s="1272"/>
      <c r="F3" s="1272"/>
      <c r="G3" s="1272"/>
      <c r="H3" s="1272"/>
      <c r="I3" s="1272"/>
      <c r="J3" s="1272"/>
      <c r="K3" s="1272"/>
      <c r="L3" s="1272"/>
    </row>
    <row r="4" spans="1:12" ht="15" customHeight="1">
      <c r="A4" s="39" t="s">
        <v>93</v>
      </c>
      <c r="B4" s="31"/>
      <c r="C4" s="31"/>
      <c r="D4" s="31" t="str">
        <f>'04-221Master'!F5</f>
        <v>Burgeon IT Services Pvt.Ltd.</v>
      </c>
      <c r="E4" s="32"/>
      <c r="F4" s="39" t="s">
        <v>101</v>
      </c>
      <c r="G4" s="31"/>
      <c r="H4" s="31"/>
      <c r="I4" s="31"/>
      <c r="J4" s="31"/>
      <c r="K4" s="31"/>
      <c r="L4" s="32"/>
    </row>
    <row r="5" spans="1:12">
      <c r="A5" s="33"/>
      <c r="B5" s="34" t="str">
        <f>'04-221Master'!F6</f>
        <v>Siri Mansion LIGB 436 Dr.A S Rao Nagar,Hyderabad</v>
      </c>
      <c r="C5" s="34"/>
      <c r="D5" s="34"/>
      <c r="E5" s="35"/>
      <c r="F5" s="34"/>
      <c r="G5" s="34"/>
      <c r="H5" s="34"/>
      <c r="I5" s="34"/>
      <c r="J5" s="34"/>
      <c r="K5" s="35"/>
    </row>
    <row r="6" spans="1:12">
      <c r="A6" s="36"/>
      <c r="B6" s="37">
        <f>'04-221Master'!F7</f>
        <v>0</v>
      </c>
      <c r="C6" s="37"/>
      <c r="D6" s="37"/>
      <c r="E6" s="38"/>
      <c r="F6" s="37"/>
      <c r="G6" s="37"/>
      <c r="H6" s="37"/>
      <c r="I6" s="37"/>
      <c r="J6" s="37"/>
      <c r="K6" s="38"/>
    </row>
    <row r="7" spans="1:12">
      <c r="A7" s="39" t="s">
        <v>77</v>
      </c>
      <c r="B7" s="31"/>
      <c r="C7" s="31"/>
      <c r="D7" s="31" t="str">
        <f>'04-221Master'!F8</f>
        <v>IT SUPPORTIVE SERVICES&amp; Pune SEZ Unit-1</v>
      </c>
      <c r="E7" s="32"/>
      <c r="F7" s="39" t="s">
        <v>64</v>
      </c>
      <c r="G7" s="31"/>
      <c r="H7" s="31"/>
      <c r="I7" s="31"/>
      <c r="J7" s="31"/>
      <c r="K7" s="31"/>
      <c r="L7" s="32"/>
    </row>
    <row r="8" spans="1:12">
      <c r="A8" s="33"/>
      <c r="B8" s="34"/>
      <c r="C8" s="34"/>
      <c r="D8" s="34"/>
      <c r="E8" s="35"/>
      <c r="F8" s="40" t="str">
        <f>'04-221Master'!AP10</f>
        <v>INFOSYS  LTD.IL Pune SEZ Unit-I,Plot No. 24/3</v>
      </c>
      <c r="G8" s="34"/>
      <c r="H8" s="34"/>
      <c r="I8" s="34"/>
      <c r="J8" s="34"/>
      <c r="K8" s="34"/>
      <c r="L8" s="35"/>
    </row>
    <row r="9" spans="1:12">
      <c r="A9" s="33"/>
      <c r="B9" s="34"/>
      <c r="C9" s="34"/>
      <c r="D9" s="34"/>
      <c r="E9" s="35"/>
      <c r="F9" s="33" t="str">
        <f>'04-221Master'!AP11</f>
        <v>Rajiv gandhi Info tech park,Village Mann,Pune,Maharashtra 411057</v>
      </c>
      <c r="G9" s="34"/>
      <c r="H9" s="34"/>
      <c r="I9" s="34"/>
      <c r="J9" s="34"/>
      <c r="K9" s="34"/>
      <c r="L9" s="35"/>
    </row>
    <row r="10" spans="1:12">
      <c r="A10" s="36"/>
      <c r="B10" s="37"/>
      <c r="C10" s="37"/>
      <c r="D10" s="37"/>
      <c r="E10" s="38"/>
      <c r="F10" s="36"/>
      <c r="G10" s="37"/>
      <c r="H10" s="37"/>
      <c r="I10" s="37"/>
      <c r="J10" s="37"/>
      <c r="K10" s="37"/>
      <c r="L10" s="38"/>
    </row>
    <row r="11" spans="1:12">
      <c r="A11" s="1270" t="s">
        <v>5</v>
      </c>
      <c r="B11" s="1270" t="s">
        <v>65</v>
      </c>
      <c r="C11" s="1292" t="s">
        <v>66</v>
      </c>
      <c r="D11" s="41" t="s">
        <v>39</v>
      </c>
      <c r="E11" s="1293" t="s">
        <v>67</v>
      </c>
      <c r="F11" s="1269" t="s">
        <v>94</v>
      </c>
      <c r="G11" s="1269" t="s">
        <v>95</v>
      </c>
      <c r="H11" s="1269" t="s">
        <v>96</v>
      </c>
      <c r="I11" s="1269" t="s">
        <v>97</v>
      </c>
      <c r="J11" s="1269" t="s">
        <v>98</v>
      </c>
      <c r="K11" s="1270" t="s">
        <v>99</v>
      </c>
      <c r="L11" s="1294" t="s">
        <v>40</v>
      </c>
    </row>
    <row r="12" spans="1:12" ht="107.1" customHeight="1">
      <c r="A12" s="1270"/>
      <c r="B12" s="1270"/>
      <c r="C12" s="1292"/>
      <c r="D12" s="70"/>
      <c r="E12" s="1293"/>
      <c r="F12" s="1269"/>
      <c r="G12" s="1269"/>
      <c r="H12" s="1269"/>
      <c r="I12" s="1269"/>
      <c r="J12" s="1269"/>
      <c r="K12" s="1270"/>
      <c r="L12" s="1287"/>
    </row>
    <row r="13" spans="1:12">
      <c r="A13" s="46">
        <v>1</v>
      </c>
      <c r="B13" s="46">
        <v>2</v>
      </c>
      <c r="C13" s="46">
        <v>3</v>
      </c>
      <c r="D13" s="53">
        <v>4</v>
      </c>
      <c r="E13" s="46">
        <v>5</v>
      </c>
      <c r="F13" s="46">
        <v>6</v>
      </c>
      <c r="G13" s="46">
        <v>7</v>
      </c>
      <c r="H13" s="46">
        <v>8</v>
      </c>
      <c r="I13" s="46">
        <v>9</v>
      </c>
      <c r="J13" s="46">
        <v>10</v>
      </c>
      <c r="K13" s="46">
        <v>11</v>
      </c>
      <c r="L13" s="46">
        <v>12</v>
      </c>
    </row>
    <row r="14" spans="1:12">
      <c r="A14" s="48"/>
      <c r="B14" s="48"/>
      <c r="C14" s="48"/>
      <c r="D14" s="48"/>
      <c r="E14" s="48"/>
      <c r="F14" s="48"/>
      <c r="G14" s="48"/>
      <c r="H14" s="48"/>
      <c r="I14" s="48"/>
      <c r="J14" s="48"/>
      <c r="K14" s="48"/>
      <c r="L14" s="48"/>
    </row>
    <row r="15" spans="1:12">
      <c r="A15" s="48"/>
      <c r="B15" s="61"/>
      <c r="C15" s="61"/>
      <c r="D15" s="61"/>
      <c r="E15" s="61"/>
      <c r="F15" s="48"/>
      <c r="G15" s="48"/>
      <c r="H15" s="48"/>
      <c r="I15" s="48"/>
      <c r="J15" s="48"/>
      <c r="K15" s="48"/>
      <c r="L15" s="48"/>
    </row>
    <row r="16" spans="1:12">
      <c r="A16" s="66"/>
      <c r="B16" s="1289" t="s">
        <v>100</v>
      </c>
      <c r="C16" s="1290"/>
      <c r="D16" s="1290"/>
      <c r="E16" s="1291"/>
      <c r="F16" s="408">
        <f>'04-221Master'!D10</f>
        <v>44652</v>
      </c>
      <c r="G16" s="48"/>
      <c r="H16" s="48"/>
      <c r="I16" s="48"/>
      <c r="J16" s="48"/>
      <c r="K16" s="48"/>
      <c r="L16" s="48"/>
    </row>
    <row r="17" spans="1:12">
      <c r="A17" s="48"/>
      <c r="B17" s="63"/>
      <c r="C17" s="63"/>
      <c r="D17" s="63"/>
      <c r="E17" s="63"/>
      <c r="F17" s="63"/>
      <c r="G17" s="48"/>
      <c r="H17" s="48"/>
      <c r="I17" s="48"/>
      <c r="J17" s="48"/>
      <c r="K17" s="48"/>
      <c r="L17" s="48"/>
    </row>
    <row r="18" spans="1:12">
      <c r="A18" s="48"/>
      <c r="B18" s="409"/>
      <c r="C18" s="409"/>
      <c r="D18" s="409"/>
      <c r="E18" s="409"/>
      <c r="F18" s="409"/>
      <c r="G18" s="48"/>
      <c r="H18" s="48"/>
      <c r="I18" s="48"/>
      <c r="J18" s="48"/>
      <c r="K18" s="48"/>
      <c r="L18" s="48"/>
    </row>
    <row r="19" spans="1:12">
      <c r="A19" s="48"/>
      <c r="B19" s="409"/>
      <c r="C19" s="409"/>
      <c r="D19" s="409"/>
      <c r="E19" s="409"/>
      <c r="F19" s="409"/>
      <c r="G19" s="48"/>
      <c r="H19" s="48"/>
      <c r="I19" s="48"/>
      <c r="J19" s="48"/>
      <c r="K19" s="48"/>
      <c r="L19" s="48"/>
    </row>
    <row r="20" spans="1:12">
      <c r="A20" s="48"/>
      <c r="B20" s="409"/>
      <c r="C20" s="409"/>
      <c r="D20" s="409"/>
      <c r="E20" s="409"/>
      <c r="F20" s="409"/>
      <c r="G20" s="48"/>
      <c r="H20" s="48"/>
      <c r="I20" s="48"/>
      <c r="J20" s="48"/>
      <c r="K20" s="48"/>
      <c r="L20" s="48"/>
    </row>
    <row r="21" spans="1:12">
      <c r="A21" s="48"/>
      <c r="B21" s="409"/>
      <c r="C21" s="409"/>
      <c r="D21" s="409"/>
      <c r="E21" s="409"/>
      <c r="F21" s="409"/>
      <c r="G21" s="48"/>
      <c r="H21" s="48"/>
      <c r="I21" s="48"/>
      <c r="J21" s="48"/>
      <c r="K21" s="48"/>
      <c r="L21" s="48"/>
    </row>
    <row r="22" spans="1:12">
      <c r="A22" s="48"/>
      <c r="B22" s="1289"/>
      <c r="C22" s="1290"/>
      <c r="D22" s="1290"/>
      <c r="E22" s="1291"/>
      <c r="F22" s="408"/>
      <c r="G22" s="48"/>
      <c r="H22" s="48"/>
      <c r="I22" s="48"/>
      <c r="J22" s="48"/>
      <c r="K22" s="48"/>
      <c r="L22" s="48"/>
    </row>
    <row r="23" spans="1:12">
      <c r="A23" s="48"/>
      <c r="B23" s="409"/>
      <c r="C23" s="409"/>
      <c r="D23" s="409"/>
      <c r="E23" s="409"/>
      <c r="F23" s="409"/>
      <c r="G23" s="48"/>
      <c r="H23" s="48"/>
      <c r="I23" s="48"/>
      <c r="J23" s="48"/>
      <c r="K23" s="48"/>
      <c r="L23" s="48"/>
    </row>
    <row r="24" spans="1:12">
      <c r="A24" s="48"/>
      <c r="B24" s="409"/>
      <c r="C24" s="409"/>
      <c r="D24" s="409"/>
      <c r="E24" s="409"/>
      <c r="F24" s="409"/>
      <c r="G24" s="48"/>
      <c r="H24" s="48"/>
      <c r="I24" s="48"/>
      <c r="J24" s="48"/>
      <c r="K24" s="48"/>
      <c r="L24" s="48"/>
    </row>
    <row r="25" spans="1:12">
      <c r="A25" s="48"/>
      <c r="B25" s="409"/>
      <c r="C25" s="409"/>
      <c r="D25" s="409"/>
      <c r="E25" s="409"/>
      <c r="F25" s="409"/>
      <c r="G25" s="48"/>
      <c r="H25" s="48"/>
      <c r="I25" s="48"/>
      <c r="J25" s="48"/>
      <c r="K25" s="48"/>
      <c r="L25" s="48"/>
    </row>
    <row r="26" spans="1:12">
      <c r="A26" s="48"/>
      <c r="B26" s="409"/>
      <c r="C26" s="409"/>
      <c r="D26" s="409"/>
      <c r="E26" s="409"/>
      <c r="F26" s="409"/>
      <c r="G26" s="48"/>
      <c r="H26" s="48"/>
      <c r="I26" s="48"/>
      <c r="J26" s="48"/>
      <c r="K26" s="48"/>
      <c r="L26" s="48"/>
    </row>
    <row r="27" spans="1:12">
      <c r="A27" s="48"/>
      <c r="B27" s="409"/>
      <c r="C27" s="409"/>
      <c r="D27" s="409"/>
      <c r="E27" s="409"/>
      <c r="F27" s="409"/>
      <c r="G27" s="48"/>
      <c r="H27" s="48"/>
      <c r="I27" s="48"/>
      <c r="J27" s="48"/>
      <c r="K27" s="48"/>
      <c r="L27" s="48"/>
    </row>
    <row r="28" spans="1:12">
      <c r="A28" s="48"/>
      <c r="B28" s="1289"/>
      <c r="C28" s="1290"/>
      <c r="D28" s="1290"/>
      <c r="E28" s="1291"/>
      <c r="F28" s="408"/>
      <c r="G28" s="48"/>
      <c r="H28" s="48"/>
      <c r="I28" s="48"/>
      <c r="J28" s="48"/>
      <c r="K28" s="48"/>
      <c r="L28" s="48"/>
    </row>
    <row r="29" spans="1:12">
      <c r="A29" s="48"/>
      <c r="B29" s="48"/>
      <c r="C29" s="48"/>
      <c r="D29" s="48"/>
      <c r="E29" s="48"/>
      <c r="F29" s="48"/>
      <c r="G29" s="48"/>
      <c r="H29" s="48"/>
      <c r="I29" s="48"/>
      <c r="J29" s="48"/>
      <c r="K29" s="48"/>
      <c r="L29" s="48"/>
    </row>
    <row r="30" spans="1:12">
      <c r="A30" s="48"/>
      <c r="B30" s="48"/>
      <c r="C30" s="48"/>
      <c r="D30" s="48"/>
      <c r="E30" s="48"/>
      <c r="F30" s="48"/>
      <c r="G30" s="48"/>
      <c r="H30" s="48"/>
      <c r="I30" s="48"/>
      <c r="J30" s="48"/>
      <c r="K30" s="48"/>
      <c r="L30" s="48"/>
    </row>
    <row r="31" spans="1:12">
      <c r="A31" s="33"/>
      <c r="B31" s="34"/>
      <c r="C31" s="34"/>
      <c r="D31" s="34"/>
      <c r="E31" s="34"/>
      <c r="F31" s="34"/>
      <c r="G31" s="34"/>
      <c r="H31" s="34"/>
      <c r="I31" s="34"/>
      <c r="J31" s="34"/>
      <c r="K31" s="34"/>
      <c r="L31" s="35"/>
    </row>
    <row r="32" spans="1:12">
      <c r="A32" s="33"/>
      <c r="B32" s="34"/>
      <c r="C32" s="34"/>
      <c r="D32" s="34"/>
      <c r="E32" s="34"/>
      <c r="F32" s="34"/>
      <c r="G32" s="34"/>
      <c r="H32" s="34"/>
      <c r="I32" s="34"/>
      <c r="J32" s="34"/>
      <c r="K32" s="34"/>
      <c r="L32" s="35"/>
    </row>
    <row r="33" spans="1:12">
      <c r="A33" s="71"/>
      <c r="G33" t="s">
        <v>38</v>
      </c>
      <c r="L33" s="62"/>
    </row>
    <row r="34" spans="1:12">
      <c r="A34" s="71"/>
      <c r="L34" s="62"/>
    </row>
    <row r="35" spans="1:12">
      <c r="A35" s="72"/>
      <c r="B35" s="17"/>
      <c r="C35" s="17"/>
      <c r="D35" s="17"/>
      <c r="E35" s="17"/>
      <c r="F35" s="17"/>
      <c r="G35" s="17"/>
      <c r="H35" s="17"/>
      <c r="I35" s="17"/>
      <c r="J35" s="17"/>
      <c r="K35" s="17"/>
      <c r="L35" s="73"/>
    </row>
  </sheetData>
  <protectedRanges>
    <protectedRange password="CA4D" sqref="A1:L3 A11:L13 A4:E4 A6:E10 A5 E5" name="Range1"/>
    <protectedRange password="CA4D" sqref="F5:K6 F4:L4" name="Range1_2"/>
    <protectedRange password="CA4D" sqref="F7:L10" name="Range1_4"/>
    <protectedRange password="CA4D" sqref="B5:D5" name="Range1_1"/>
  </protectedRanges>
  <mergeCells count="16">
    <mergeCell ref="B22:E22"/>
    <mergeCell ref="B28:E28"/>
    <mergeCell ref="B16:E16"/>
    <mergeCell ref="A1:L2"/>
    <mergeCell ref="A3:L3"/>
    <mergeCell ref="A11:A12"/>
    <mergeCell ref="B11:B12"/>
    <mergeCell ref="C11:C12"/>
    <mergeCell ref="E11:E12"/>
    <mergeCell ref="F11:F12"/>
    <mergeCell ref="G11:G12"/>
    <mergeCell ref="H11:H12"/>
    <mergeCell ref="I11:I12"/>
    <mergeCell ref="J11:J12"/>
    <mergeCell ref="K11:K12"/>
    <mergeCell ref="L11:L12"/>
  </mergeCells>
  <pageMargins left="0.93" right="0.7" top="0.75" bottom="0.75" header="0.3" footer="0.3"/>
  <pageSetup scale="75"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R36"/>
  <sheetViews>
    <sheetView workbookViewId="0">
      <selection sqref="A1:R2"/>
    </sheetView>
  </sheetViews>
  <sheetFormatPr defaultRowHeight="15"/>
  <cols>
    <col min="1" max="1" width="7" customWidth="1"/>
    <col min="2" max="2" width="13.7109375" customWidth="1"/>
    <col min="3" max="3" width="15.5703125" customWidth="1"/>
    <col min="4" max="4" width="10.7109375" customWidth="1"/>
    <col min="5" max="5" width="15" customWidth="1"/>
    <col min="7" max="7" width="11.42578125" customWidth="1"/>
    <col min="12" max="12" width="11.140625" customWidth="1"/>
    <col min="13" max="13" width="11.5703125" customWidth="1"/>
    <col min="14" max="14" width="11.7109375" customWidth="1"/>
  </cols>
  <sheetData>
    <row r="1" spans="1:18" ht="14.45" customHeight="1">
      <c r="A1" s="1295" t="s">
        <v>511</v>
      </c>
      <c r="B1" s="1296"/>
      <c r="C1" s="1296"/>
      <c r="D1" s="1296"/>
      <c r="E1" s="1296"/>
      <c r="F1" s="1296"/>
      <c r="G1" s="1296"/>
      <c r="H1" s="1296"/>
      <c r="I1" s="1296"/>
      <c r="J1" s="1296"/>
      <c r="K1" s="1296"/>
      <c r="L1" s="1296"/>
      <c r="M1" s="1296"/>
      <c r="N1" s="1296"/>
      <c r="O1" s="1296"/>
      <c r="P1" s="1296"/>
      <c r="Q1" s="1296"/>
      <c r="R1" s="1297"/>
    </row>
    <row r="2" spans="1:18" ht="14.45" customHeight="1">
      <c r="A2" s="1298"/>
      <c r="B2" s="1299"/>
      <c r="C2" s="1299"/>
      <c r="D2" s="1299"/>
      <c r="E2" s="1299"/>
      <c r="F2" s="1299"/>
      <c r="G2" s="1299"/>
      <c r="H2" s="1299"/>
      <c r="I2" s="1299"/>
      <c r="J2" s="1299"/>
      <c r="K2" s="1299"/>
      <c r="L2" s="1299"/>
      <c r="M2" s="1299"/>
      <c r="N2" s="1299"/>
      <c r="O2" s="1299"/>
      <c r="P2" s="1299"/>
      <c r="Q2" s="1299"/>
      <c r="R2" s="1300"/>
    </row>
    <row r="3" spans="1:18">
      <c r="A3" s="1301" t="s">
        <v>512</v>
      </c>
      <c r="B3" s="1301"/>
      <c r="C3" s="1301"/>
      <c r="D3" s="1301"/>
      <c r="E3" s="1301"/>
      <c r="F3" s="1301"/>
      <c r="G3" s="1301"/>
      <c r="H3" s="1301"/>
      <c r="I3" s="1301"/>
      <c r="J3" s="1301"/>
      <c r="K3" s="1301"/>
      <c r="L3" s="1301"/>
      <c r="M3" s="1301"/>
      <c r="N3" s="1301"/>
      <c r="O3" s="1301"/>
      <c r="P3" s="1301"/>
      <c r="Q3" s="1301"/>
      <c r="R3" s="1301"/>
    </row>
    <row r="4" spans="1:18" ht="15" customHeight="1">
      <c r="A4" s="1301" t="s">
        <v>513</v>
      </c>
      <c r="B4" s="1301"/>
      <c r="C4" s="1301"/>
      <c r="D4" s="1301"/>
      <c r="E4" s="1301"/>
      <c r="F4" s="1301"/>
      <c r="G4" s="1301"/>
      <c r="H4" s="1301"/>
      <c r="I4" s="1301"/>
      <c r="J4" s="1301"/>
      <c r="K4" s="1301"/>
      <c r="L4" s="1301"/>
      <c r="M4" s="1301"/>
      <c r="N4" s="1301"/>
      <c r="O4" s="1301"/>
      <c r="P4" s="1301"/>
      <c r="Q4" s="1301"/>
      <c r="R4" s="1301"/>
    </row>
    <row r="5" spans="1:18">
      <c r="A5" s="375"/>
      <c r="B5" s="1301" t="s">
        <v>514</v>
      </c>
      <c r="C5" s="1301"/>
      <c r="D5" s="1301"/>
      <c r="E5" s="1301"/>
      <c r="F5" s="1301"/>
      <c r="G5" s="1301"/>
      <c r="H5" s="1301"/>
      <c r="I5" s="1301"/>
      <c r="J5" s="1301"/>
      <c r="K5" s="1301"/>
      <c r="L5" s="1301"/>
      <c r="M5" s="1301"/>
      <c r="N5" s="1301"/>
      <c r="O5" s="1301"/>
      <c r="P5" s="1301"/>
      <c r="Q5" s="1301"/>
      <c r="R5" s="1301"/>
    </row>
    <row r="6" spans="1:18">
      <c r="A6" s="1302"/>
      <c r="B6" s="1302"/>
      <c r="C6" s="1302"/>
      <c r="D6" s="1303"/>
      <c r="E6" s="1302"/>
      <c r="F6" s="317"/>
      <c r="G6" s="318"/>
      <c r="H6" s="318"/>
      <c r="I6" s="310"/>
      <c r="J6" s="310"/>
      <c r="K6" s="310"/>
      <c r="L6" s="310"/>
      <c r="M6" s="310"/>
      <c r="N6" s="310"/>
      <c r="O6" s="310"/>
      <c r="P6" s="318"/>
      <c r="Q6" s="318"/>
      <c r="R6" s="319"/>
    </row>
    <row r="7" spans="1:18">
      <c r="A7" s="1304" t="s">
        <v>5</v>
      </c>
      <c r="B7" s="1307" t="s">
        <v>515</v>
      </c>
      <c r="C7" s="1307" t="s">
        <v>516</v>
      </c>
      <c r="D7" s="1310" t="s">
        <v>517</v>
      </c>
      <c r="E7" s="1307" t="s">
        <v>39</v>
      </c>
      <c r="F7" s="1307" t="s">
        <v>102</v>
      </c>
      <c r="G7" s="376"/>
      <c r="H7" s="1310" t="s">
        <v>104</v>
      </c>
      <c r="I7" s="1313" t="s">
        <v>518</v>
      </c>
      <c r="J7" s="1314"/>
      <c r="K7" s="1314"/>
      <c r="L7" s="1314"/>
      <c r="M7" s="372"/>
      <c r="N7" s="372"/>
      <c r="O7" s="372"/>
      <c r="P7" s="1317" t="s">
        <v>519</v>
      </c>
      <c r="Q7" s="1318" t="s">
        <v>105</v>
      </c>
      <c r="R7" s="1310" t="s">
        <v>520</v>
      </c>
    </row>
    <row r="8" spans="1:18" ht="171.75">
      <c r="A8" s="1305"/>
      <c r="B8" s="1308"/>
      <c r="C8" s="1308"/>
      <c r="D8" s="1311"/>
      <c r="E8" s="1308"/>
      <c r="F8" s="1308"/>
      <c r="G8" s="1308" t="s">
        <v>103</v>
      </c>
      <c r="H8" s="1311"/>
      <c r="I8" s="1315"/>
      <c r="J8" s="1316"/>
      <c r="K8" s="1316"/>
      <c r="L8" s="1316"/>
      <c r="M8" s="373"/>
      <c r="N8" s="377" t="s">
        <v>521</v>
      </c>
      <c r="O8" s="377" t="s">
        <v>522</v>
      </c>
      <c r="P8" s="1317"/>
      <c r="Q8" s="1318"/>
      <c r="R8" s="1312"/>
    </row>
    <row r="9" spans="1:18" ht="35.1" customHeight="1">
      <c r="A9" s="1306"/>
      <c r="B9" s="1309"/>
      <c r="C9" s="1309"/>
      <c r="D9" s="1312"/>
      <c r="E9" s="1309"/>
      <c r="F9" s="1309"/>
      <c r="G9" s="1309"/>
      <c r="H9" s="1312"/>
      <c r="I9" s="378" t="s">
        <v>523</v>
      </c>
      <c r="J9" s="379" t="s">
        <v>524</v>
      </c>
      <c r="K9" s="380" t="s">
        <v>525</v>
      </c>
      <c r="L9" s="380" t="s">
        <v>526</v>
      </c>
      <c r="M9" s="380" t="s">
        <v>197</v>
      </c>
      <c r="N9" s="380"/>
      <c r="O9" s="380"/>
      <c r="P9" s="322"/>
      <c r="Q9" s="322"/>
      <c r="R9" s="322"/>
    </row>
    <row r="10" spans="1:18" ht="18" customHeight="1">
      <c r="A10" s="381">
        <v>1</v>
      </c>
      <c r="B10" s="381">
        <v>2</v>
      </c>
      <c r="C10" s="381">
        <v>3</v>
      </c>
      <c r="D10" s="381">
        <v>4</v>
      </c>
      <c r="E10" s="381">
        <v>5</v>
      </c>
      <c r="F10" s="381">
        <v>6</v>
      </c>
      <c r="G10" s="382">
        <v>7</v>
      </c>
      <c r="H10" s="382">
        <v>8</v>
      </c>
      <c r="I10" s="381">
        <v>9</v>
      </c>
      <c r="J10" s="381">
        <v>10</v>
      </c>
      <c r="K10" s="381">
        <v>11</v>
      </c>
      <c r="L10" s="381">
        <v>12</v>
      </c>
      <c r="M10" s="381">
        <v>13</v>
      </c>
      <c r="N10" s="381">
        <v>14</v>
      </c>
      <c r="O10" s="381">
        <v>15</v>
      </c>
      <c r="P10" s="381">
        <v>16</v>
      </c>
      <c r="Q10" s="381">
        <v>17</v>
      </c>
      <c r="R10" s="381">
        <v>18</v>
      </c>
    </row>
    <row r="11" spans="1:18" ht="20.100000000000001" customHeight="1" thickBot="1">
      <c r="A11" s="346"/>
      <c r="B11" s="383"/>
      <c r="C11" s="383"/>
      <c r="D11" s="383"/>
      <c r="E11" s="383"/>
      <c r="F11" s="346"/>
      <c r="G11" s="346"/>
      <c r="H11" s="346"/>
      <c r="I11" s="346"/>
      <c r="J11" s="346"/>
      <c r="K11" s="346"/>
      <c r="L11" s="346"/>
      <c r="M11" s="346"/>
      <c r="N11" s="346"/>
      <c r="O11" s="346"/>
      <c r="P11" s="346"/>
      <c r="Q11" s="346"/>
      <c r="R11" s="346"/>
    </row>
    <row r="12" spans="1:18" ht="15.75" thickBot="1">
      <c r="A12" s="346"/>
      <c r="B12" s="384" t="s">
        <v>106</v>
      </c>
      <c r="C12" s="385"/>
      <c r="D12" s="385"/>
      <c r="E12" s="386"/>
      <c r="F12" s="408">
        <f>'04-221Master'!D10</f>
        <v>44652</v>
      </c>
      <c r="G12" s="346"/>
      <c r="H12" s="346"/>
      <c r="I12" s="346"/>
      <c r="J12" s="346"/>
      <c r="K12" s="346"/>
      <c r="L12" s="346"/>
      <c r="M12" s="346"/>
      <c r="N12" s="346"/>
      <c r="O12" s="346"/>
      <c r="P12" s="346"/>
      <c r="Q12" s="346"/>
      <c r="R12" s="346"/>
    </row>
    <row r="13" spans="1:18">
      <c r="A13" s="346"/>
      <c r="B13" s="387"/>
      <c r="C13" s="387"/>
      <c r="D13" s="387"/>
      <c r="E13" s="387"/>
      <c r="F13" s="63"/>
      <c r="G13" s="346"/>
      <c r="H13" s="346"/>
      <c r="I13" s="346"/>
      <c r="J13" s="346"/>
      <c r="K13" s="346"/>
      <c r="L13" s="346"/>
      <c r="M13" s="346"/>
      <c r="N13" s="346"/>
      <c r="O13" s="346"/>
      <c r="P13" s="346"/>
      <c r="Q13" s="346"/>
      <c r="R13" s="346"/>
    </row>
    <row r="14" spans="1:18">
      <c r="A14" s="346"/>
      <c r="B14" s="346"/>
      <c r="C14" s="346"/>
      <c r="D14" s="346"/>
      <c r="E14" s="346"/>
      <c r="F14" s="409"/>
      <c r="G14" s="346"/>
      <c r="H14" s="346"/>
      <c r="I14" s="346"/>
      <c r="J14" s="346"/>
      <c r="K14" s="346"/>
      <c r="L14" s="346"/>
      <c r="M14" s="346"/>
      <c r="N14" s="346"/>
      <c r="O14" s="346"/>
      <c r="P14" s="346"/>
      <c r="Q14" s="346"/>
      <c r="R14" s="346"/>
    </row>
    <row r="15" spans="1:18">
      <c r="A15" s="346"/>
      <c r="B15" s="346"/>
      <c r="C15" s="346"/>
      <c r="D15" s="346"/>
      <c r="E15" s="346"/>
      <c r="F15" s="409"/>
      <c r="G15" s="346"/>
      <c r="H15" s="346"/>
      <c r="I15" s="346"/>
      <c r="J15" s="346"/>
      <c r="K15" s="346"/>
      <c r="L15" s="346"/>
      <c r="M15" s="346"/>
      <c r="N15" s="346"/>
      <c r="O15" s="346"/>
      <c r="P15" s="346"/>
      <c r="Q15" s="346"/>
      <c r="R15" s="346"/>
    </row>
    <row r="16" spans="1:18" s="388" customFormat="1">
      <c r="A16" s="346"/>
      <c r="B16" s="346"/>
      <c r="C16" s="346"/>
      <c r="D16" s="346"/>
      <c r="E16" s="346"/>
      <c r="F16" s="409"/>
      <c r="G16" s="346"/>
      <c r="H16" s="346"/>
      <c r="I16" s="346"/>
      <c r="J16" s="346"/>
      <c r="K16" s="346"/>
      <c r="L16" s="346"/>
      <c r="M16" s="346"/>
      <c r="N16" s="346"/>
      <c r="O16" s="346"/>
      <c r="P16" s="346"/>
      <c r="Q16" s="346"/>
      <c r="R16" s="346"/>
    </row>
    <row r="17" spans="1:18" s="388" customFormat="1">
      <c r="A17" s="346"/>
      <c r="B17" s="383"/>
      <c r="C17" s="346"/>
      <c r="D17" s="346"/>
      <c r="E17" s="346"/>
      <c r="F17" s="409"/>
      <c r="G17" s="346"/>
      <c r="H17" s="346"/>
      <c r="I17" s="346"/>
      <c r="J17" s="346"/>
      <c r="K17" s="346"/>
      <c r="L17" s="346"/>
      <c r="M17" s="346"/>
      <c r="N17" s="346"/>
      <c r="O17" s="346"/>
      <c r="P17" s="346"/>
      <c r="Q17" s="346"/>
      <c r="R17" s="346"/>
    </row>
    <row r="18" spans="1:18">
      <c r="A18" s="434"/>
      <c r="B18" s="310"/>
      <c r="C18" s="435"/>
      <c r="D18" s="346"/>
      <c r="E18" s="346"/>
      <c r="F18" s="408"/>
      <c r="G18" s="346"/>
      <c r="H18" s="346"/>
      <c r="I18" s="346"/>
      <c r="J18" s="346"/>
      <c r="K18" s="346"/>
      <c r="L18" s="346"/>
      <c r="M18" s="346"/>
      <c r="N18" s="346"/>
      <c r="O18" s="346"/>
      <c r="P18" s="346"/>
      <c r="Q18" s="346"/>
      <c r="R18" s="346"/>
    </row>
    <row r="19" spans="1:18">
      <c r="A19" s="346"/>
      <c r="B19" s="387"/>
      <c r="C19" s="346"/>
      <c r="D19" s="346"/>
      <c r="E19" s="346"/>
      <c r="F19" s="409"/>
      <c r="G19" s="346"/>
      <c r="H19" s="346"/>
      <c r="I19" s="346"/>
      <c r="J19" s="346"/>
      <c r="K19" s="346"/>
      <c r="L19" s="346"/>
      <c r="M19" s="346"/>
      <c r="N19" s="346"/>
      <c r="O19" s="346"/>
      <c r="P19" s="346"/>
      <c r="Q19" s="346"/>
      <c r="R19" s="346"/>
    </row>
    <row r="20" spans="1:18">
      <c r="A20" s="346"/>
      <c r="B20" s="346"/>
      <c r="C20" s="346"/>
      <c r="D20" s="346"/>
      <c r="E20" s="346"/>
      <c r="F20" s="409"/>
      <c r="G20" s="346"/>
      <c r="H20" s="346"/>
      <c r="I20" s="346"/>
      <c r="J20" s="346"/>
      <c r="K20" s="346"/>
      <c r="L20" s="346"/>
      <c r="M20" s="346"/>
      <c r="N20" s="346"/>
      <c r="O20" s="346"/>
      <c r="P20" s="346"/>
      <c r="Q20" s="346"/>
      <c r="R20" s="346"/>
    </row>
    <row r="21" spans="1:18">
      <c r="A21" s="321"/>
      <c r="B21" s="321"/>
      <c r="C21" s="321"/>
      <c r="D21" s="321"/>
      <c r="E21" s="321"/>
      <c r="F21" s="409"/>
      <c r="G21" s="321"/>
      <c r="H21" s="321"/>
      <c r="I21" s="321"/>
      <c r="J21" s="321"/>
      <c r="K21" s="321"/>
      <c r="L21" s="321"/>
      <c r="M21" s="321"/>
      <c r="N21" s="321"/>
      <c r="O21" s="321"/>
      <c r="P21" s="321"/>
      <c r="Q21" s="321"/>
      <c r="R21" s="321"/>
    </row>
    <row r="22" spans="1:18">
      <c r="A22" s="321"/>
      <c r="B22" s="321"/>
      <c r="C22" s="321"/>
      <c r="D22" s="321"/>
      <c r="E22" s="321"/>
      <c r="F22" s="409"/>
      <c r="G22" s="321"/>
      <c r="H22" s="321"/>
      <c r="I22" s="321"/>
      <c r="J22" s="321"/>
      <c r="K22" s="321"/>
      <c r="L22" s="321"/>
      <c r="M22" s="321"/>
      <c r="N22" s="321"/>
      <c r="O22" s="321"/>
      <c r="P22" s="321"/>
      <c r="Q22" s="321"/>
      <c r="R22" s="321"/>
    </row>
    <row r="23" spans="1:18">
      <c r="A23" s="321"/>
      <c r="B23" s="321"/>
      <c r="C23" s="321"/>
      <c r="D23" s="321"/>
      <c r="E23" s="321"/>
      <c r="F23" s="409"/>
      <c r="G23" s="321"/>
      <c r="H23" s="321"/>
      <c r="I23" s="321"/>
      <c r="J23" s="321"/>
      <c r="K23" s="321"/>
      <c r="L23" s="321"/>
      <c r="M23" s="321"/>
      <c r="N23" s="321"/>
      <c r="O23" s="321"/>
      <c r="P23" s="321"/>
      <c r="Q23" s="321"/>
      <c r="R23" s="321"/>
    </row>
    <row r="24" spans="1:18">
      <c r="A24" s="321"/>
      <c r="B24" s="346"/>
      <c r="C24" s="321"/>
      <c r="D24" s="321"/>
      <c r="E24" s="321"/>
      <c r="F24" s="428"/>
      <c r="G24" s="321"/>
      <c r="H24" s="321"/>
      <c r="I24" s="321"/>
      <c r="J24" s="321"/>
      <c r="K24" s="321"/>
      <c r="L24" s="321"/>
      <c r="M24" s="321"/>
      <c r="N24" s="321"/>
      <c r="O24" s="321"/>
      <c r="P24" s="321"/>
      <c r="Q24" s="321"/>
      <c r="R24" s="321"/>
    </row>
    <row r="27" spans="1:18">
      <c r="M27" t="s">
        <v>38</v>
      </c>
    </row>
    <row r="32" spans="1:18">
      <c r="M32" s="388" t="s">
        <v>38</v>
      </c>
      <c r="N32" s="388"/>
      <c r="O32" s="388"/>
    </row>
    <row r="36" spans="13:15">
      <c r="M36" s="388"/>
      <c r="N36" s="388"/>
      <c r="O36" s="388"/>
    </row>
  </sheetData>
  <protectedRanges>
    <protectedRange password="CA4D" sqref="A6:E6 A9:R9 A7:A8 A1:R5 C7:R8" name="Range1_5"/>
    <protectedRange password="CA4D" sqref="F6:R6" name="Range1_4_1"/>
    <protectedRange password="CA4D" sqref="B7:B8" name="Range1_3_1"/>
  </protectedRanges>
  <mergeCells count="17">
    <mergeCell ref="R7:R8"/>
    <mergeCell ref="G8:G9"/>
    <mergeCell ref="F7:F9"/>
    <mergeCell ref="H7:H9"/>
    <mergeCell ref="I7:L8"/>
    <mergeCell ref="P7:P8"/>
    <mergeCell ref="Q7:Q8"/>
    <mergeCell ref="A7:A9"/>
    <mergeCell ref="B7:B9"/>
    <mergeCell ref="C7:C9"/>
    <mergeCell ref="D7:D9"/>
    <mergeCell ref="E7:E9"/>
    <mergeCell ref="A1:R2"/>
    <mergeCell ref="A3:R3"/>
    <mergeCell ref="A4:R4"/>
    <mergeCell ref="B5:R5"/>
    <mergeCell ref="A6:E6"/>
  </mergeCells>
  <pageMargins left="0.70866141732283472" right="0.70866141732283472" top="0.74803149606299213" bottom="0.74803149606299213" header="0.31496062992125984" footer="0.31496062992125984"/>
  <pageSetup scale="60"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G38"/>
  <sheetViews>
    <sheetView workbookViewId="0">
      <selection activeCell="G35" sqref="G35"/>
    </sheetView>
  </sheetViews>
  <sheetFormatPr defaultColWidth="9.140625" defaultRowHeight="15"/>
  <cols>
    <col min="1" max="2" width="9.140625" style="388"/>
    <col min="3" max="3" width="19.7109375" style="388" customWidth="1"/>
    <col min="4" max="5" width="24.28515625" style="388" customWidth="1"/>
    <col min="6" max="6" width="25.85546875" style="388" customWidth="1"/>
    <col min="7" max="7" width="18.28515625" style="388" customWidth="1"/>
    <col min="8" max="16384" width="9.140625" style="388"/>
  </cols>
  <sheetData>
    <row r="1" spans="2:7" ht="22.9" customHeight="1">
      <c r="B1" s="1321" t="s">
        <v>600</v>
      </c>
      <c r="C1" s="1322"/>
      <c r="D1" s="1322"/>
      <c r="E1" s="1322"/>
      <c r="F1" s="1322"/>
      <c r="G1" s="1323"/>
    </row>
    <row r="2" spans="2:7" ht="15.75">
      <c r="B2" s="1324" t="s">
        <v>601</v>
      </c>
      <c r="C2" s="1325"/>
      <c r="D2" s="1325"/>
      <c r="E2" s="1325"/>
      <c r="F2" s="1325"/>
      <c r="G2" s="1326"/>
    </row>
    <row r="3" spans="2:7" ht="16.5">
      <c r="B3" s="1327" t="s">
        <v>602</v>
      </c>
      <c r="C3" s="1328"/>
      <c r="D3" s="1328"/>
      <c r="E3" s="1328"/>
      <c r="F3" s="1328"/>
      <c r="G3" s="1329"/>
    </row>
    <row r="4" spans="2:7" ht="15.75">
      <c r="B4" s="454" t="s">
        <v>603</v>
      </c>
      <c r="C4" s="370"/>
      <c r="D4" s="455" t="str">
        <f>'04-221Master'!F5</f>
        <v>Burgeon IT Services Pvt.Ltd.</v>
      </c>
      <c r="E4" s="456" t="str">
        <f>'04-221Master'!F6</f>
        <v>Siri Mansion LIGB 436 Dr.A S Rao Nagar,Hyderabad</v>
      </c>
      <c r="F4" s="456"/>
      <c r="G4" s="14"/>
    </row>
    <row r="5" spans="2:7">
      <c r="B5" s="168">
        <v>1</v>
      </c>
      <c r="C5" s="1319" t="s">
        <v>604</v>
      </c>
      <c r="D5" s="1320"/>
      <c r="E5" s="1320"/>
      <c r="F5" s="1320"/>
      <c r="G5" s="14"/>
    </row>
    <row r="6" spans="2:7">
      <c r="B6" s="168">
        <v>2</v>
      </c>
      <c r="C6" s="1319" t="s">
        <v>605</v>
      </c>
      <c r="D6" s="1320"/>
      <c r="E6" s="1320"/>
      <c r="F6" s="370"/>
      <c r="G6" s="14"/>
    </row>
    <row r="7" spans="2:7">
      <c r="B7" s="168">
        <v>3</v>
      </c>
      <c r="C7" s="1319" t="s">
        <v>606</v>
      </c>
      <c r="D7" s="1320"/>
      <c r="E7" s="1320"/>
      <c r="F7" s="1320"/>
      <c r="G7" s="14"/>
    </row>
    <row r="8" spans="2:7" ht="15.75">
      <c r="B8" s="168">
        <v>4</v>
      </c>
      <c r="C8" s="457" t="s">
        <v>607</v>
      </c>
      <c r="D8" s="370"/>
      <c r="E8" s="370"/>
      <c r="F8" s="370"/>
      <c r="G8" s="14"/>
    </row>
    <row r="9" spans="2:7" ht="15.75">
      <c r="B9" s="168">
        <v>5</v>
      </c>
      <c r="C9" s="457" t="s">
        <v>608</v>
      </c>
      <c r="D9" s="370"/>
      <c r="E9" s="370"/>
      <c r="F9" s="370"/>
      <c r="G9" s="14"/>
    </row>
    <row r="10" spans="2:7" s="461" customFormat="1">
      <c r="B10" s="458"/>
      <c r="C10" s="459" t="s">
        <v>609</v>
      </c>
      <c r="D10" s="459" t="s">
        <v>610</v>
      </c>
      <c r="E10" s="459" t="s">
        <v>611</v>
      </c>
      <c r="F10" s="459" t="s">
        <v>612</v>
      </c>
      <c r="G10" s="460" t="s">
        <v>40</v>
      </c>
    </row>
    <row r="11" spans="2:7">
      <c r="B11" s="262"/>
      <c r="C11" s="321"/>
      <c r="D11" s="321"/>
      <c r="E11" s="321"/>
      <c r="F11" s="321"/>
      <c r="G11" s="265"/>
    </row>
    <row r="12" spans="2:7">
      <c r="B12" s="262"/>
      <c r="C12" s="321"/>
      <c r="D12" s="321"/>
      <c r="E12" s="321"/>
      <c r="F12" s="321"/>
      <c r="G12" s="265"/>
    </row>
    <row r="13" spans="2:7">
      <c r="B13" s="262"/>
      <c r="C13" s="321"/>
      <c r="D13" s="321"/>
      <c r="E13" s="321"/>
      <c r="F13" s="321"/>
      <c r="G13" s="265"/>
    </row>
    <row r="14" spans="2:7">
      <c r="B14" s="262"/>
      <c r="C14" s="321"/>
      <c r="D14" s="321"/>
      <c r="E14" s="321"/>
      <c r="F14" s="321"/>
      <c r="G14" s="265"/>
    </row>
    <row r="15" spans="2:7">
      <c r="B15" s="262"/>
      <c r="C15" s="321"/>
      <c r="D15" s="321"/>
      <c r="E15" s="321"/>
      <c r="F15" s="321"/>
      <c r="G15" s="265"/>
    </row>
    <row r="16" spans="2:7">
      <c r="B16" s="262"/>
      <c r="C16" s="321"/>
      <c r="D16" s="321"/>
      <c r="E16" s="321"/>
      <c r="F16" s="321"/>
      <c r="G16" s="265"/>
    </row>
    <row r="17" spans="2:7" ht="15.75">
      <c r="B17" s="262">
        <v>6</v>
      </c>
      <c r="C17" s="462" t="s">
        <v>613</v>
      </c>
      <c r="D17" s="64"/>
      <c r="E17" s="64"/>
      <c r="F17" s="65"/>
      <c r="G17" s="453"/>
    </row>
    <row r="18" spans="2:7" ht="15.75">
      <c r="B18" s="262">
        <v>7</v>
      </c>
      <c r="C18" s="457" t="s">
        <v>614</v>
      </c>
      <c r="D18" s="64"/>
      <c r="E18" s="64"/>
      <c r="F18" s="65"/>
      <c r="G18" s="453"/>
    </row>
    <row r="19" spans="2:7" ht="15.75">
      <c r="B19" s="262">
        <v>8</v>
      </c>
      <c r="C19" s="463" t="s">
        <v>615</v>
      </c>
      <c r="D19" s="404"/>
      <c r="E19" s="404"/>
      <c r="F19" s="464"/>
      <c r="G19" s="453"/>
    </row>
    <row r="20" spans="2:7" ht="15.75">
      <c r="B20" s="262">
        <v>9</v>
      </c>
      <c r="C20" s="462" t="s">
        <v>616</v>
      </c>
      <c r="D20" s="404"/>
      <c r="E20" s="404"/>
      <c r="F20" s="464"/>
      <c r="G20" s="453"/>
    </row>
    <row r="21" spans="2:7" ht="15.75">
      <c r="B21" s="262">
        <v>10</v>
      </c>
      <c r="C21" s="1330" t="s">
        <v>617</v>
      </c>
      <c r="D21" s="1331"/>
      <c r="E21" s="1331"/>
      <c r="F21" s="1332"/>
      <c r="G21" s="453"/>
    </row>
    <row r="22" spans="2:7" ht="15.75">
      <c r="B22" s="262">
        <v>11</v>
      </c>
      <c r="C22" s="462" t="s">
        <v>618</v>
      </c>
      <c r="D22" s="64"/>
      <c r="E22" s="64"/>
      <c r="F22" s="65"/>
      <c r="G22" s="453"/>
    </row>
    <row r="23" spans="2:7" ht="15.75">
      <c r="B23" s="262">
        <v>12</v>
      </c>
      <c r="C23" s="462" t="s">
        <v>619</v>
      </c>
      <c r="D23" s="64"/>
      <c r="E23" s="64"/>
      <c r="F23" s="65"/>
      <c r="G23" s="453"/>
    </row>
    <row r="24" spans="2:7" ht="15.75">
      <c r="B24" s="262">
        <v>13</v>
      </c>
      <c r="C24" s="462" t="s">
        <v>620</v>
      </c>
      <c r="D24" s="64"/>
      <c r="E24" s="64"/>
      <c r="F24" s="65"/>
      <c r="G24" s="453"/>
    </row>
    <row r="25" spans="2:7" ht="15.75">
      <c r="B25" s="262">
        <v>14</v>
      </c>
      <c r="C25" s="462" t="s">
        <v>621</v>
      </c>
      <c r="D25" s="64"/>
      <c r="E25" s="64"/>
      <c r="F25" s="65"/>
      <c r="G25" s="453"/>
    </row>
    <row r="26" spans="2:7" ht="15.75">
      <c r="B26" s="262">
        <v>15</v>
      </c>
      <c r="C26" s="457" t="s">
        <v>622</v>
      </c>
      <c r="D26" s="370"/>
      <c r="E26" s="370"/>
      <c r="F26" s="62"/>
      <c r="G26" s="453"/>
    </row>
    <row r="27" spans="2:7" ht="15.75">
      <c r="B27" s="465" t="s">
        <v>623</v>
      </c>
      <c r="C27" s="462" t="s">
        <v>624</v>
      </c>
      <c r="D27" s="64"/>
      <c r="E27" s="64"/>
      <c r="F27" s="65"/>
      <c r="G27" s="453"/>
    </row>
    <row r="28" spans="2:7" ht="15.75">
      <c r="B28" s="262">
        <v>16</v>
      </c>
      <c r="C28" s="462" t="s">
        <v>625</v>
      </c>
      <c r="D28" s="64"/>
      <c r="E28" s="64"/>
      <c r="F28" s="65"/>
      <c r="G28" s="453"/>
    </row>
    <row r="29" spans="2:7" ht="15.75">
      <c r="B29" s="262">
        <v>17</v>
      </c>
      <c r="C29" s="462" t="s">
        <v>626</v>
      </c>
      <c r="D29" s="64"/>
      <c r="E29" s="64"/>
      <c r="F29" s="65"/>
      <c r="G29" s="453"/>
    </row>
    <row r="30" spans="2:7" ht="15.75">
      <c r="B30" s="262">
        <v>18</v>
      </c>
      <c r="C30" s="1330" t="s">
        <v>627</v>
      </c>
      <c r="D30" s="1331"/>
      <c r="E30" s="1331"/>
      <c r="F30" s="1332"/>
      <c r="G30" s="453"/>
    </row>
    <row r="31" spans="2:7" ht="15.75">
      <c r="B31" s="262">
        <v>19</v>
      </c>
      <c r="C31" s="1330" t="s">
        <v>628</v>
      </c>
      <c r="D31" s="1331"/>
      <c r="E31" s="1331"/>
      <c r="F31" s="1332"/>
      <c r="G31" s="14"/>
    </row>
    <row r="32" spans="2:7" ht="18">
      <c r="B32" s="262">
        <v>20</v>
      </c>
      <c r="C32" s="457" t="s">
        <v>629</v>
      </c>
      <c r="D32" s="17"/>
      <c r="E32" s="17"/>
      <c r="F32" s="73"/>
      <c r="G32" s="14"/>
    </row>
    <row r="33" spans="2:7">
      <c r="B33" s="262">
        <v>21</v>
      </c>
      <c r="C33" s="1333" t="s">
        <v>630</v>
      </c>
      <c r="D33" s="1334"/>
      <c r="E33" s="1334"/>
      <c r="F33" s="1334"/>
      <c r="G33" s="1335"/>
    </row>
    <row r="34" spans="2:7" ht="15.75">
      <c r="B34" s="1336" t="s">
        <v>631</v>
      </c>
      <c r="C34" s="1337"/>
      <c r="D34" s="1337"/>
      <c r="E34" s="1337"/>
      <c r="F34" s="1337"/>
      <c r="G34" s="466">
        <f>'04-221Master'!D10</f>
        <v>44652</v>
      </c>
    </row>
    <row r="35" spans="2:7">
      <c r="B35" s="13"/>
      <c r="C35" s="370"/>
      <c r="D35" s="370"/>
      <c r="E35" s="370"/>
      <c r="F35" s="370"/>
      <c r="G35" s="14"/>
    </row>
    <row r="36" spans="2:7">
      <c r="B36" s="13"/>
      <c r="C36" s="370"/>
      <c r="D36" s="370"/>
      <c r="E36" s="467" t="s">
        <v>632</v>
      </c>
      <c r="F36" s="452" t="str">
        <f>'04-221Master'!F5</f>
        <v>Burgeon IT Services Pvt.Ltd.</v>
      </c>
      <c r="G36" s="451"/>
    </row>
    <row r="37" spans="2:7">
      <c r="B37" s="13"/>
      <c r="C37" s="370"/>
      <c r="D37" s="370"/>
      <c r="E37" s="370"/>
      <c r="F37" s="370"/>
      <c r="G37" s="14"/>
    </row>
    <row r="38" spans="2:7" ht="15.75" thickBot="1">
      <c r="B38" s="25"/>
      <c r="C38" s="23"/>
      <c r="D38" s="23"/>
      <c r="E38" s="468"/>
      <c r="F38" s="469" t="s">
        <v>633</v>
      </c>
      <c r="G38" s="24"/>
    </row>
  </sheetData>
  <mergeCells count="11">
    <mergeCell ref="C21:F21"/>
    <mergeCell ref="C30:F30"/>
    <mergeCell ref="C31:F31"/>
    <mergeCell ref="C33:G33"/>
    <mergeCell ref="B34:F34"/>
    <mergeCell ref="C7:F7"/>
    <mergeCell ref="B1:G1"/>
    <mergeCell ref="B2:G2"/>
    <mergeCell ref="B3:G3"/>
    <mergeCell ref="C5:F5"/>
    <mergeCell ref="C6:E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32"/>
  <sheetViews>
    <sheetView topLeftCell="A7" workbookViewId="0">
      <selection activeCell="D19" sqref="D19"/>
    </sheetView>
  </sheetViews>
  <sheetFormatPr defaultColWidth="9.140625" defaultRowHeight="15"/>
  <cols>
    <col min="1" max="1" width="8.7109375" style="388" customWidth="1"/>
    <col min="2" max="2" width="9.140625" style="388"/>
    <col min="3" max="3" width="19.7109375" style="388" customWidth="1"/>
    <col min="4" max="5" width="24.28515625" style="388" customWidth="1"/>
    <col min="6" max="6" width="25.85546875" style="388" customWidth="1"/>
    <col min="7" max="7" width="18.28515625" style="388" customWidth="1"/>
    <col min="8" max="16384" width="9.140625" style="388"/>
  </cols>
  <sheetData>
    <row r="1" spans="2:7" ht="16.5">
      <c r="B1" s="1321" t="s">
        <v>634</v>
      </c>
      <c r="C1" s="1322"/>
      <c r="D1" s="1322"/>
      <c r="E1" s="1322"/>
      <c r="F1" s="1322"/>
      <c r="G1" s="1323"/>
    </row>
    <row r="2" spans="2:7" ht="15.75">
      <c r="B2" s="1338" t="s">
        <v>635</v>
      </c>
      <c r="C2" s="1339"/>
      <c r="D2" s="1339"/>
      <c r="E2" s="1339"/>
      <c r="F2" s="1339"/>
      <c r="G2" s="1340"/>
    </row>
    <row r="3" spans="2:7" ht="15.75">
      <c r="B3" s="470" t="s">
        <v>603</v>
      </c>
      <c r="C3" s="370"/>
      <c r="D3" s="471" t="str">
        <f>'04-221Master'!F5</f>
        <v>Burgeon IT Services Pvt.Ltd.</v>
      </c>
      <c r="E3" s="395" t="str">
        <f>'04-221Master'!F6</f>
        <v>Siri Mansion LIGB 436 Dr.A S Rao Nagar,Hyderabad</v>
      </c>
      <c r="F3" s="395"/>
      <c r="G3" s="14"/>
    </row>
    <row r="4" spans="2:7">
      <c r="B4" s="168"/>
      <c r="C4" s="1319"/>
      <c r="D4" s="1320"/>
      <c r="E4" s="1320"/>
      <c r="F4" s="1320"/>
      <c r="G4" s="14"/>
    </row>
    <row r="5" spans="2:7">
      <c r="B5" s="168"/>
      <c r="C5" s="1319"/>
      <c r="D5" s="1320"/>
      <c r="E5" s="1320"/>
      <c r="F5" s="370"/>
      <c r="G5" s="14"/>
    </row>
    <row r="6" spans="2:7" ht="15.75">
      <c r="B6" s="472" t="s">
        <v>636</v>
      </c>
      <c r="C6" s="473"/>
      <c r="D6" s="395"/>
      <c r="E6" s="395"/>
      <c r="F6" s="395"/>
      <c r="G6" s="474"/>
    </row>
    <row r="7" spans="2:7" ht="15.75">
      <c r="B7" s="475"/>
      <c r="C7" s="370"/>
      <c r="D7" s="476" t="s">
        <v>637</v>
      </c>
      <c r="E7" s="370"/>
      <c r="F7" s="370"/>
      <c r="G7" s="14"/>
    </row>
    <row r="8" spans="2:7">
      <c r="B8" s="396" t="s">
        <v>638</v>
      </c>
      <c r="C8" s="370"/>
      <c r="D8" s="370"/>
      <c r="E8" s="370"/>
      <c r="F8" s="370"/>
      <c r="G8" s="14"/>
    </row>
    <row r="9" spans="2:7" s="461" customFormat="1" ht="15.75">
      <c r="B9" s="1341" t="s">
        <v>639</v>
      </c>
      <c r="C9" s="1342"/>
      <c r="D9" s="1342"/>
      <c r="E9" s="1342"/>
      <c r="F9" s="1342"/>
      <c r="G9" s="1343"/>
    </row>
    <row r="10" spans="2:7">
      <c r="B10" s="477" t="s">
        <v>640</v>
      </c>
      <c r="C10" s="370"/>
      <c r="D10" s="370"/>
      <c r="E10" s="370"/>
      <c r="F10" s="370"/>
      <c r="G10" s="14"/>
    </row>
    <row r="11" spans="2:7">
      <c r="B11" s="168"/>
      <c r="C11" s="370"/>
      <c r="D11" s="370"/>
      <c r="E11" s="370"/>
      <c r="F11" s="370"/>
      <c r="G11" s="14"/>
    </row>
    <row r="12" spans="2:7">
      <c r="B12" s="168"/>
      <c r="C12" s="370"/>
      <c r="D12" s="478" t="s">
        <v>641</v>
      </c>
      <c r="E12" s="370"/>
      <c r="F12" s="370"/>
      <c r="G12" s="14"/>
    </row>
    <row r="13" spans="2:7">
      <c r="B13" s="168"/>
      <c r="C13" s="370"/>
      <c r="D13" s="370"/>
      <c r="E13" s="370"/>
      <c r="F13" s="370"/>
      <c r="G13" s="14"/>
    </row>
    <row r="14" spans="2:7">
      <c r="B14" s="168"/>
      <c r="C14" s="370"/>
      <c r="D14" s="370"/>
      <c r="E14" s="370"/>
      <c r="F14" s="370"/>
      <c r="G14" s="14"/>
    </row>
    <row r="15" spans="2:7">
      <c r="B15" s="477" t="s">
        <v>642</v>
      </c>
      <c r="C15" s="370"/>
      <c r="D15" s="370"/>
      <c r="E15" s="370"/>
      <c r="F15" s="370"/>
      <c r="G15" s="14"/>
    </row>
    <row r="16" spans="2:7">
      <c r="B16" s="477" t="s">
        <v>643</v>
      </c>
      <c r="C16" s="370"/>
      <c r="D16" s="370"/>
      <c r="E16" s="370"/>
      <c r="F16" s="370"/>
      <c r="G16" s="14"/>
    </row>
    <row r="17" spans="2:7" ht="15.75">
      <c r="B17" s="477" t="s">
        <v>644</v>
      </c>
      <c r="C17" s="457"/>
      <c r="D17" s="370"/>
      <c r="E17" s="370"/>
      <c r="F17" s="370"/>
      <c r="G17" s="169"/>
    </row>
    <row r="18" spans="2:7" ht="15.75">
      <c r="B18" s="477" t="s">
        <v>645</v>
      </c>
      <c r="C18" s="457"/>
      <c r="D18" s="370"/>
      <c r="E18" s="370"/>
      <c r="F18" s="370"/>
      <c r="G18" s="169"/>
    </row>
    <row r="19" spans="2:7" ht="15.75">
      <c r="B19" s="477" t="s">
        <v>646</v>
      </c>
      <c r="C19" s="457"/>
      <c r="D19" s="370"/>
      <c r="E19" s="370"/>
      <c r="F19" s="370"/>
      <c r="G19" s="169"/>
    </row>
    <row r="20" spans="2:7" ht="15.75">
      <c r="B20" s="479" t="s">
        <v>647</v>
      </c>
      <c r="C20" s="457"/>
      <c r="D20" s="370"/>
      <c r="E20" s="370"/>
      <c r="F20" s="370"/>
      <c r="G20" s="169"/>
    </row>
    <row r="21" spans="2:7" ht="15.75">
      <c r="B21" s="168"/>
      <c r="C21" s="1344"/>
      <c r="D21" s="1344"/>
      <c r="E21" s="1344"/>
      <c r="F21" s="1344"/>
      <c r="G21" s="169"/>
    </row>
    <row r="22" spans="2:7" ht="15.75">
      <c r="B22" s="1336" t="s">
        <v>631</v>
      </c>
      <c r="C22" s="1337"/>
      <c r="D22" s="1337"/>
      <c r="E22" s="1337"/>
      <c r="F22" s="1337"/>
      <c r="G22" s="466">
        <f>'04-221Master'!D10</f>
        <v>44652</v>
      </c>
    </row>
    <row r="23" spans="2:7" ht="15.75">
      <c r="B23" s="168"/>
      <c r="C23" s="457"/>
      <c r="D23" s="370"/>
      <c r="E23" s="370"/>
      <c r="F23" s="370"/>
      <c r="G23" s="169"/>
    </row>
    <row r="24" spans="2:7" ht="15.75">
      <c r="B24" s="168"/>
      <c r="C24" s="457"/>
      <c r="D24" s="370"/>
      <c r="E24" s="370"/>
      <c r="F24" s="370"/>
      <c r="G24" s="169"/>
    </row>
    <row r="25" spans="2:7" ht="15.75">
      <c r="B25" s="168"/>
      <c r="C25" s="457"/>
      <c r="D25" s="370"/>
      <c r="E25" s="467" t="s">
        <v>632</v>
      </c>
      <c r="F25" s="452" t="str">
        <f>'04-221Master'!F5</f>
        <v>Burgeon IT Services Pvt.Ltd.</v>
      </c>
      <c r="G25" s="451"/>
    </row>
    <row r="26" spans="2:7" ht="15.75">
      <c r="B26" s="168"/>
      <c r="C26" s="457"/>
      <c r="D26" s="370"/>
      <c r="E26" s="370"/>
      <c r="F26" s="370"/>
      <c r="G26" s="14"/>
    </row>
    <row r="27" spans="2:7" ht="15.75">
      <c r="B27" s="480"/>
      <c r="C27" s="457"/>
      <c r="D27" s="370"/>
      <c r="E27" s="467"/>
      <c r="F27" s="481" t="s">
        <v>633</v>
      </c>
      <c r="G27" s="14"/>
    </row>
    <row r="28" spans="2:7" ht="15.75">
      <c r="B28" s="168"/>
      <c r="C28" s="457"/>
      <c r="D28" s="370"/>
      <c r="E28" s="370"/>
      <c r="F28" s="370"/>
      <c r="G28" s="169"/>
    </row>
    <row r="29" spans="2:7">
      <c r="B29" s="13"/>
      <c r="C29" s="370"/>
      <c r="D29" s="370"/>
      <c r="E29" s="370"/>
      <c r="F29" s="370"/>
      <c r="G29" s="14"/>
    </row>
    <row r="30" spans="2:7">
      <c r="B30" s="13"/>
      <c r="C30" s="370"/>
      <c r="D30" s="370"/>
      <c r="E30" s="467"/>
      <c r="F30" s="482"/>
      <c r="G30" s="169"/>
    </row>
    <row r="31" spans="2:7">
      <c r="B31" s="13"/>
      <c r="C31" s="370"/>
      <c r="D31" s="370"/>
      <c r="E31" s="370"/>
      <c r="F31" s="370"/>
      <c r="G31" s="14"/>
    </row>
    <row r="32" spans="2:7" ht="15.75" thickBot="1">
      <c r="B32" s="25"/>
      <c r="C32" s="23"/>
      <c r="D32" s="23"/>
      <c r="E32" s="468"/>
      <c r="F32" s="469"/>
      <c r="G32" s="24"/>
    </row>
  </sheetData>
  <mergeCells count="7">
    <mergeCell ref="B22:F22"/>
    <mergeCell ref="B1:G1"/>
    <mergeCell ref="B2:G2"/>
    <mergeCell ref="C4:F4"/>
    <mergeCell ref="C5:E5"/>
    <mergeCell ref="B9:G9"/>
    <mergeCell ref="C21:F2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G28"/>
  <sheetViews>
    <sheetView topLeftCell="A8" workbookViewId="0">
      <selection activeCell="G18" sqref="G18"/>
    </sheetView>
  </sheetViews>
  <sheetFormatPr defaultColWidth="9.140625" defaultRowHeight="15"/>
  <cols>
    <col min="1" max="1" width="8.7109375" style="388" customWidth="1"/>
    <col min="2" max="2" width="9.140625" style="388"/>
    <col min="3" max="3" width="19.7109375" style="388" customWidth="1"/>
    <col min="4" max="5" width="24.28515625" style="388" customWidth="1"/>
    <col min="6" max="6" width="25.85546875" style="388" customWidth="1"/>
    <col min="7" max="7" width="18.28515625" style="388" customWidth="1"/>
    <col min="8" max="16384" width="9.140625" style="388"/>
  </cols>
  <sheetData>
    <row r="1" spans="2:7" ht="16.5">
      <c r="B1" s="1321" t="s">
        <v>648</v>
      </c>
      <c r="C1" s="1322"/>
      <c r="D1" s="1322"/>
      <c r="E1" s="1322"/>
      <c r="F1" s="1322"/>
      <c r="G1" s="1323"/>
    </row>
    <row r="2" spans="2:7" ht="15.75">
      <c r="B2" s="1345" t="s">
        <v>649</v>
      </c>
      <c r="C2" s="1346"/>
      <c r="D2" s="1346"/>
      <c r="E2" s="1346"/>
      <c r="F2" s="1346"/>
      <c r="G2" s="1347"/>
    </row>
    <row r="3" spans="2:7" ht="15.75">
      <c r="B3" s="483"/>
      <c r="C3" s="484"/>
      <c r="D3" s="484"/>
      <c r="E3" s="484"/>
      <c r="F3" s="484"/>
      <c r="G3" s="485"/>
    </row>
    <row r="4" spans="2:7" ht="15.75">
      <c r="B4" s="470" t="s">
        <v>603</v>
      </c>
      <c r="C4" s="370"/>
      <c r="D4" s="471" t="str">
        <f>'04-221Master'!F5</f>
        <v>Burgeon IT Services Pvt.Ltd.</v>
      </c>
      <c r="E4" s="395" t="str">
        <f>'04-221Master'!F6</f>
        <v>Siri Mansion LIGB 436 Dr.A S Rao Nagar,Hyderabad</v>
      </c>
      <c r="F4" s="395"/>
      <c r="G4" s="14"/>
    </row>
    <row r="5" spans="2:7">
      <c r="B5" s="168"/>
      <c r="C5" s="1319"/>
      <c r="D5" s="1320"/>
      <c r="E5" s="1320"/>
      <c r="F5" s="1320"/>
      <c r="G5" s="14"/>
    </row>
    <row r="6" spans="2:7">
      <c r="B6" s="168"/>
      <c r="C6" s="1319"/>
      <c r="D6" s="1320"/>
      <c r="E6" s="1320"/>
      <c r="F6" s="370"/>
      <c r="G6" s="14"/>
    </row>
    <row r="7" spans="2:7" ht="15.75">
      <c r="B7" s="472" t="s">
        <v>650</v>
      </c>
      <c r="C7" s="473"/>
      <c r="D7" s="395"/>
      <c r="E7" s="395"/>
      <c r="F7" s="395"/>
      <c r="G7" s="474"/>
    </row>
    <row r="8" spans="2:7" ht="15.75">
      <c r="B8" s="486" t="s">
        <v>651</v>
      </c>
      <c r="C8" s="370"/>
      <c r="D8" s="476"/>
      <c r="E8" s="370"/>
      <c r="F8" s="370"/>
      <c r="G8" s="14"/>
    </row>
    <row r="9" spans="2:7" ht="15.75">
      <c r="B9" s="487" t="s">
        <v>652</v>
      </c>
      <c r="C9" s="370"/>
      <c r="D9" s="370"/>
      <c r="E9" s="370"/>
      <c r="F9" s="370"/>
      <c r="G9" s="14"/>
    </row>
    <row r="10" spans="2:7" s="461" customFormat="1" ht="15.75">
      <c r="B10" s="1341"/>
      <c r="C10" s="1342"/>
      <c r="D10" s="1342"/>
      <c r="E10" s="1342"/>
      <c r="F10" s="1342"/>
      <c r="G10" s="1343"/>
    </row>
    <row r="11" spans="2:7">
      <c r="B11" s="477"/>
      <c r="C11" s="370"/>
      <c r="D11" s="370"/>
      <c r="E11" s="370"/>
      <c r="F11" s="370"/>
      <c r="G11" s="14"/>
    </row>
    <row r="12" spans="2:7">
      <c r="B12" s="168"/>
      <c r="C12" s="370"/>
      <c r="D12" s="370"/>
      <c r="E12" s="370"/>
      <c r="F12" s="370"/>
      <c r="G12" s="14"/>
    </row>
    <row r="13" spans="2:7">
      <c r="B13" s="168"/>
      <c r="C13" s="370"/>
      <c r="D13" s="478" t="s">
        <v>641</v>
      </c>
      <c r="E13" s="370"/>
      <c r="F13" s="370"/>
      <c r="G13" s="14"/>
    </row>
    <row r="14" spans="2:7">
      <c r="B14" s="168"/>
      <c r="C14" s="370"/>
      <c r="D14" s="370"/>
      <c r="E14" s="370"/>
      <c r="F14" s="370"/>
      <c r="G14" s="14"/>
    </row>
    <row r="15" spans="2:7">
      <c r="B15" s="168"/>
      <c r="C15" s="488" t="s">
        <v>653</v>
      </c>
      <c r="D15" s="370"/>
      <c r="E15" s="370"/>
      <c r="F15" s="370"/>
      <c r="G15" s="14"/>
    </row>
    <row r="16" spans="2:7" ht="15.75">
      <c r="B16" s="168"/>
      <c r="C16" s="1344"/>
      <c r="D16" s="1344"/>
      <c r="E16" s="1344"/>
      <c r="F16" s="1344"/>
      <c r="G16" s="169"/>
    </row>
    <row r="17" spans="2:7" ht="15.75">
      <c r="B17" s="1336" t="s">
        <v>631</v>
      </c>
      <c r="C17" s="1337"/>
      <c r="D17" s="1337"/>
      <c r="E17" s="1337"/>
      <c r="F17" s="1337"/>
      <c r="G17" s="466">
        <f>'04-221Master'!D10</f>
        <v>44652</v>
      </c>
    </row>
    <row r="18" spans="2:7" ht="15.75">
      <c r="B18" s="168"/>
      <c r="C18" s="457"/>
      <c r="D18" s="370"/>
      <c r="E18" s="370"/>
      <c r="F18" s="370"/>
      <c r="G18" s="169"/>
    </row>
    <row r="19" spans="2:7" ht="15.75">
      <c r="B19" s="168"/>
      <c r="C19" s="457"/>
      <c r="D19" s="370"/>
      <c r="E19" s="370"/>
      <c r="F19" s="370"/>
      <c r="G19" s="169"/>
    </row>
    <row r="20" spans="2:7" ht="15.75">
      <c r="B20" s="168"/>
      <c r="C20" s="457"/>
      <c r="D20" s="370"/>
      <c r="E20" s="467" t="s">
        <v>632</v>
      </c>
      <c r="F20" s="452" t="str">
        <f>'04-221Master'!F5</f>
        <v>Burgeon IT Services Pvt.Ltd.</v>
      </c>
      <c r="G20" s="451"/>
    </row>
    <row r="21" spans="2:7" ht="15.75">
      <c r="B21" s="168"/>
      <c r="C21" s="457"/>
      <c r="D21" s="370"/>
      <c r="E21" s="370"/>
      <c r="F21" s="370"/>
      <c r="G21" s="14"/>
    </row>
    <row r="22" spans="2:7" ht="15.75">
      <c r="B22" s="480"/>
      <c r="C22" s="457"/>
      <c r="D22" s="370"/>
      <c r="E22" s="467"/>
      <c r="F22" s="481" t="s">
        <v>633</v>
      </c>
      <c r="G22" s="14"/>
    </row>
    <row r="23" spans="2:7" ht="15.75">
      <c r="B23" s="168"/>
      <c r="C23" s="457"/>
      <c r="D23" s="370"/>
      <c r="E23" s="370"/>
      <c r="F23" s="370"/>
      <c r="G23" s="169"/>
    </row>
    <row r="24" spans="2:7" ht="15.75">
      <c r="B24" s="1336"/>
      <c r="C24" s="1337"/>
      <c r="D24" s="1337"/>
      <c r="E24" s="1337"/>
      <c r="F24" s="1337"/>
      <c r="G24" s="466"/>
    </row>
    <row r="25" spans="2:7">
      <c r="B25" s="13"/>
      <c r="C25" s="370"/>
      <c r="D25" s="370"/>
      <c r="E25" s="370"/>
      <c r="F25" s="370"/>
      <c r="G25" s="14"/>
    </row>
    <row r="26" spans="2:7">
      <c r="B26" s="13"/>
      <c r="C26" s="370"/>
      <c r="D26" s="370"/>
      <c r="E26" s="467"/>
      <c r="F26" s="482"/>
      <c r="G26" s="169"/>
    </row>
    <row r="27" spans="2:7">
      <c r="B27" s="13"/>
      <c r="C27" s="370"/>
      <c r="D27" s="370"/>
      <c r="E27" s="370"/>
      <c r="F27" s="370"/>
      <c r="G27" s="14"/>
    </row>
    <row r="28" spans="2:7" ht="15.75" thickBot="1">
      <c r="B28" s="25"/>
      <c r="C28" s="23"/>
      <c r="D28" s="23"/>
      <c r="E28" s="468"/>
      <c r="F28" s="469"/>
      <c r="G28" s="24"/>
    </row>
  </sheetData>
  <mergeCells count="8">
    <mergeCell ref="B17:F17"/>
    <mergeCell ref="B24:F24"/>
    <mergeCell ref="B1:G1"/>
    <mergeCell ref="B2:G2"/>
    <mergeCell ref="C5:F5"/>
    <mergeCell ref="C6:E6"/>
    <mergeCell ref="B10:G10"/>
    <mergeCell ref="C16:F1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G37"/>
  <sheetViews>
    <sheetView topLeftCell="A13" workbookViewId="0">
      <selection activeCell="G23" sqref="G23"/>
    </sheetView>
  </sheetViews>
  <sheetFormatPr defaultColWidth="9.140625" defaultRowHeight="15"/>
  <cols>
    <col min="1" max="1" width="8.7109375" style="388" customWidth="1"/>
    <col min="2" max="2" width="9.140625" style="388"/>
    <col min="3" max="3" width="19.7109375" style="388" customWidth="1"/>
    <col min="4" max="5" width="24.28515625" style="388" customWidth="1"/>
    <col min="6" max="6" width="25.85546875" style="388" customWidth="1"/>
    <col min="7" max="7" width="18.28515625" style="388" customWidth="1"/>
    <col min="8" max="16384" width="9.140625" style="388"/>
  </cols>
  <sheetData>
    <row r="1" spans="2:7" ht="22.9" customHeight="1">
      <c r="B1" s="1321" t="s">
        <v>654</v>
      </c>
      <c r="C1" s="1322"/>
      <c r="D1" s="1322"/>
      <c r="E1" s="1322"/>
      <c r="F1" s="1322"/>
      <c r="G1" s="1323"/>
    </row>
    <row r="2" spans="2:7" ht="15.75">
      <c r="B2" s="1345" t="s">
        <v>655</v>
      </c>
      <c r="C2" s="1346"/>
      <c r="D2" s="1346"/>
      <c r="E2" s="1346"/>
      <c r="F2" s="1346"/>
      <c r="G2" s="1347"/>
    </row>
    <row r="3" spans="2:7" ht="10.9" customHeight="1">
      <c r="B3" s="483"/>
      <c r="C3" s="484"/>
      <c r="D3" s="484"/>
      <c r="E3" s="484"/>
      <c r="F3" s="484"/>
      <c r="G3" s="485"/>
    </row>
    <row r="4" spans="2:7" ht="15.75">
      <c r="B4" s="470" t="s">
        <v>603</v>
      </c>
      <c r="C4" s="370"/>
      <c r="D4" s="471" t="str">
        <f>'04-221Master'!F5</f>
        <v>Burgeon IT Services Pvt.Ltd.</v>
      </c>
      <c r="E4" s="395" t="str">
        <f>'04-221Master'!F6</f>
        <v>Siri Mansion LIGB 436 Dr.A S Rao Nagar,Hyderabad</v>
      </c>
      <c r="F4" s="395"/>
      <c r="G4" s="14"/>
    </row>
    <row r="5" spans="2:7">
      <c r="B5" s="168"/>
      <c r="C5" s="1319"/>
      <c r="D5" s="1320"/>
      <c r="E5" s="1320"/>
      <c r="F5" s="1320"/>
      <c r="G5" s="14"/>
    </row>
    <row r="6" spans="2:7">
      <c r="B6" s="168"/>
      <c r="C6" s="1319"/>
      <c r="D6" s="1320"/>
      <c r="E6" s="1320"/>
      <c r="F6" s="370"/>
      <c r="G6" s="14"/>
    </row>
    <row r="7" spans="2:7" ht="15.75">
      <c r="B7" s="472" t="s">
        <v>656</v>
      </c>
      <c r="C7" s="473"/>
      <c r="D7" s="395"/>
      <c r="E7" s="395"/>
      <c r="F7" s="395"/>
      <c r="G7" s="474"/>
    </row>
    <row r="8" spans="2:7" ht="15.75">
      <c r="B8" s="486" t="s">
        <v>657</v>
      </c>
      <c r="C8" s="370"/>
      <c r="D8" s="476"/>
      <c r="E8" s="370"/>
      <c r="F8" s="370"/>
      <c r="G8" s="14"/>
    </row>
    <row r="9" spans="2:7" ht="15.75">
      <c r="B9" s="487"/>
      <c r="C9" s="370"/>
      <c r="D9" s="370"/>
      <c r="E9" s="370"/>
      <c r="F9" s="370"/>
      <c r="G9" s="14"/>
    </row>
    <row r="10" spans="2:7" s="461" customFormat="1" ht="15.75">
      <c r="B10" s="1341"/>
      <c r="C10" s="1342"/>
      <c r="D10" s="1342"/>
      <c r="E10" s="1342"/>
      <c r="F10" s="1342"/>
      <c r="G10" s="1343"/>
    </row>
    <row r="11" spans="2:7">
      <c r="B11" s="477"/>
      <c r="C11" s="370"/>
      <c r="D11" s="370"/>
      <c r="E11" s="478" t="s">
        <v>658</v>
      </c>
      <c r="F11" s="370"/>
      <c r="G11" s="14"/>
    </row>
    <row r="12" spans="2:7">
      <c r="B12" s="477"/>
      <c r="C12" s="370"/>
      <c r="D12" s="370"/>
      <c r="E12" s="478"/>
      <c r="F12" s="370"/>
      <c r="G12" s="14"/>
    </row>
    <row r="13" spans="2:7">
      <c r="B13" s="477"/>
      <c r="C13" s="237" t="s">
        <v>659</v>
      </c>
      <c r="D13" s="370"/>
      <c r="E13" s="478"/>
      <c r="F13" s="370"/>
      <c r="G13" s="14"/>
    </row>
    <row r="14" spans="2:7">
      <c r="B14" s="477"/>
      <c r="C14" s="237" t="s">
        <v>660</v>
      </c>
      <c r="D14" s="370"/>
      <c r="E14" s="478"/>
      <c r="F14" s="370"/>
      <c r="G14" s="14"/>
    </row>
    <row r="15" spans="2:7">
      <c r="B15" s="477"/>
      <c r="C15" s="489" t="s">
        <v>644</v>
      </c>
      <c r="D15" s="370"/>
      <c r="E15" s="478"/>
      <c r="F15" s="370"/>
      <c r="G15" s="14"/>
    </row>
    <row r="16" spans="2:7">
      <c r="B16" s="477"/>
      <c r="C16" s="489" t="s">
        <v>661</v>
      </c>
      <c r="D16" s="370"/>
      <c r="E16" s="478"/>
      <c r="F16" s="370"/>
      <c r="G16" s="14"/>
    </row>
    <row r="17" spans="2:7">
      <c r="B17" s="168"/>
      <c r="C17" s="489" t="s">
        <v>662</v>
      </c>
      <c r="D17" s="370"/>
      <c r="E17" s="370"/>
      <c r="F17" s="370"/>
      <c r="G17" s="14"/>
    </row>
    <row r="18" spans="2:7">
      <c r="B18" s="168"/>
      <c r="C18" s="370"/>
      <c r="E18" s="370"/>
      <c r="F18" s="370"/>
      <c r="G18" s="14"/>
    </row>
    <row r="19" spans="2:7">
      <c r="B19" s="168"/>
      <c r="C19" s="370"/>
      <c r="D19" s="370"/>
      <c r="E19" s="370"/>
      <c r="F19" s="370"/>
      <c r="G19" s="14"/>
    </row>
    <row r="20" spans="2:7">
      <c r="B20" s="168"/>
      <c r="C20" s="489" t="s">
        <v>663</v>
      </c>
      <c r="D20" s="370"/>
      <c r="E20" s="370"/>
      <c r="F20" s="370"/>
      <c r="G20" s="14"/>
    </row>
    <row r="21" spans="2:7" ht="15.75">
      <c r="B21" s="168"/>
      <c r="C21" s="1344"/>
      <c r="D21" s="1344"/>
      <c r="E21" s="1344"/>
      <c r="F21" s="1344"/>
      <c r="G21" s="169"/>
    </row>
    <row r="22" spans="2:7" ht="15.75">
      <c r="B22" s="1336" t="s">
        <v>631</v>
      </c>
      <c r="C22" s="1337"/>
      <c r="D22" s="1337"/>
      <c r="E22" s="1337"/>
      <c r="F22" s="1337"/>
      <c r="G22" s="466">
        <f>'04-221Master'!D10</f>
        <v>44652</v>
      </c>
    </row>
    <row r="23" spans="2:7" ht="15.75">
      <c r="B23" s="168"/>
      <c r="C23" s="457"/>
      <c r="D23" s="370"/>
      <c r="E23" s="370"/>
      <c r="F23" s="370"/>
      <c r="G23" s="169"/>
    </row>
    <row r="24" spans="2:7" ht="15.75">
      <c r="B24" s="168"/>
      <c r="C24" s="457"/>
      <c r="D24" s="370"/>
      <c r="E24" s="370"/>
      <c r="F24" s="370"/>
      <c r="G24" s="169"/>
    </row>
    <row r="25" spans="2:7" ht="15.75">
      <c r="B25" s="168"/>
      <c r="C25" s="457"/>
      <c r="D25" s="370"/>
      <c r="E25" s="467" t="s">
        <v>632</v>
      </c>
      <c r="F25" s="452" t="str">
        <f>'04-221Master'!F5</f>
        <v>Burgeon IT Services Pvt.Ltd.</v>
      </c>
      <c r="G25" s="451"/>
    </row>
    <row r="26" spans="2:7" ht="15.75">
      <c r="B26" s="168"/>
      <c r="C26" s="457"/>
      <c r="D26" s="370"/>
      <c r="E26" s="370"/>
      <c r="F26" s="370"/>
      <c r="G26" s="14"/>
    </row>
    <row r="27" spans="2:7" ht="15.75">
      <c r="B27" s="480"/>
      <c r="C27" s="457"/>
      <c r="D27" s="370"/>
      <c r="E27" s="467"/>
      <c r="F27" s="481" t="s">
        <v>633</v>
      </c>
      <c r="G27" s="14"/>
    </row>
    <row r="28" spans="2:7" ht="15.75">
      <c r="B28" s="168"/>
      <c r="C28" s="457"/>
      <c r="D28" s="370"/>
      <c r="E28" s="370"/>
      <c r="F28" s="370"/>
      <c r="G28" s="169"/>
    </row>
    <row r="29" spans="2:7" ht="15.75">
      <c r="B29" s="168"/>
      <c r="C29" s="457"/>
      <c r="D29" s="370"/>
      <c r="E29" s="370"/>
      <c r="F29" s="370"/>
      <c r="G29" s="169"/>
    </row>
    <row r="30" spans="2:7" ht="15.75">
      <c r="B30" s="168"/>
      <c r="C30" s="1344"/>
      <c r="D30" s="1344"/>
      <c r="E30" s="1344"/>
      <c r="F30" s="1344"/>
      <c r="G30" s="14"/>
    </row>
    <row r="31" spans="2:7" ht="15.75">
      <c r="B31" s="168"/>
      <c r="C31" s="457"/>
      <c r="D31" s="370"/>
      <c r="E31" s="370"/>
      <c r="F31" s="370"/>
      <c r="G31" s="14"/>
    </row>
    <row r="32" spans="2:7">
      <c r="B32" s="168"/>
      <c r="C32" s="1348"/>
      <c r="D32" s="1349"/>
      <c r="E32" s="1349"/>
      <c r="F32" s="1349"/>
      <c r="G32" s="1350"/>
    </row>
    <row r="33" spans="2:7" ht="15.75">
      <c r="B33" s="1336"/>
      <c r="C33" s="1337"/>
      <c r="D33" s="1337"/>
      <c r="E33" s="1337"/>
      <c r="F33" s="1337"/>
      <c r="G33" s="466"/>
    </row>
    <row r="34" spans="2:7">
      <c r="B34" s="13"/>
      <c r="C34" s="370"/>
      <c r="D34" s="370"/>
      <c r="E34" s="370"/>
      <c r="F34" s="370"/>
      <c r="G34" s="14"/>
    </row>
    <row r="35" spans="2:7">
      <c r="B35" s="13"/>
      <c r="C35" s="370"/>
      <c r="D35" s="370"/>
      <c r="E35" s="467"/>
      <c r="F35" s="482"/>
      <c r="G35" s="169"/>
    </row>
    <row r="36" spans="2:7">
      <c r="B36" s="13"/>
      <c r="C36" s="370"/>
      <c r="D36" s="370"/>
      <c r="E36" s="370"/>
      <c r="F36" s="370"/>
      <c r="G36" s="14"/>
    </row>
    <row r="37" spans="2:7" ht="15.75" thickBot="1">
      <c r="B37" s="25"/>
      <c r="C37" s="23"/>
      <c r="D37" s="23"/>
      <c r="E37" s="468"/>
      <c r="F37" s="469"/>
      <c r="G37" s="24"/>
    </row>
  </sheetData>
  <mergeCells count="10">
    <mergeCell ref="B22:F22"/>
    <mergeCell ref="C30:F30"/>
    <mergeCell ref="C32:G32"/>
    <mergeCell ref="B33:F33"/>
    <mergeCell ref="B1:G1"/>
    <mergeCell ref="B2:G2"/>
    <mergeCell ref="C5:F5"/>
    <mergeCell ref="C6:E6"/>
    <mergeCell ref="B10:G10"/>
    <mergeCell ref="C21:F2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5"/>
  <dimension ref="B1:G22"/>
  <sheetViews>
    <sheetView workbookViewId="0">
      <selection activeCell="K21" sqref="K21"/>
    </sheetView>
  </sheetViews>
  <sheetFormatPr defaultRowHeight="15"/>
  <cols>
    <col min="3" max="3" width="21.7109375" bestFit="1" customWidth="1"/>
    <col min="4" max="4" width="17" customWidth="1"/>
    <col min="5" max="5" width="14.42578125" customWidth="1"/>
    <col min="6" max="6" width="17" customWidth="1"/>
    <col min="7" max="7" width="16.42578125" customWidth="1"/>
  </cols>
  <sheetData>
    <row r="1" spans="2:7" ht="23.25" customHeight="1">
      <c r="C1" s="2" t="str">
        <f>'04-221Master'!F5</f>
        <v>Burgeon IT Services Pvt.Ltd.</v>
      </c>
      <c r="E1" s="2" t="s">
        <v>179</v>
      </c>
    </row>
    <row r="2" spans="2:7">
      <c r="B2" s="157" t="s">
        <v>5</v>
      </c>
      <c r="C2" s="157" t="s">
        <v>140</v>
      </c>
      <c r="D2" s="157" t="s">
        <v>132</v>
      </c>
      <c r="E2" s="157" t="s">
        <v>177</v>
      </c>
      <c r="F2" s="157" t="s">
        <v>178</v>
      </c>
      <c r="G2" s="157" t="s">
        <v>40</v>
      </c>
    </row>
    <row r="3" spans="2:7">
      <c r="B3" s="11">
        <v>1</v>
      </c>
      <c r="C3" s="27" t="e">
        <f>'04-221Master'!#REF!</f>
        <v>#REF!</v>
      </c>
      <c r="D3" s="27" t="e">
        <f>'04-221Master'!#REF!</f>
        <v>#REF!</v>
      </c>
      <c r="E3" s="11"/>
      <c r="F3" s="11"/>
      <c r="G3" s="11"/>
    </row>
    <row r="4" spans="2:7">
      <c r="B4" s="11">
        <v>2</v>
      </c>
      <c r="C4" s="27" t="e">
        <f>'04-221Master'!#REF!</f>
        <v>#REF!</v>
      </c>
      <c r="D4" s="27" t="e">
        <f>'04-221Master'!#REF!</f>
        <v>#REF!</v>
      </c>
      <c r="E4" s="11"/>
      <c r="F4" s="11"/>
      <c r="G4" s="11"/>
    </row>
    <row r="5" spans="2:7">
      <c r="B5" s="11">
        <v>3</v>
      </c>
      <c r="C5" s="27" t="e">
        <f>'04-221Master'!#REF!</f>
        <v>#REF!</v>
      </c>
      <c r="D5" s="27" t="e">
        <f>'04-221Master'!#REF!</f>
        <v>#REF!</v>
      </c>
      <c r="E5" s="11"/>
      <c r="F5" s="11"/>
      <c r="G5" s="11"/>
    </row>
    <row r="6" spans="2:7">
      <c r="B6" s="11">
        <v>4</v>
      </c>
      <c r="C6" s="27" t="e">
        <f>'04-221Master'!#REF!</f>
        <v>#REF!</v>
      </c>
      <c r="D6" s="27" t="e">
        <f>'04-221Master'!#REF!</f>
        <v>#REF!</v>
      </c>
      <c r="E6" s="11"/>
      <c r="F6" s="11"/>
      <c r="G6" s="11"/>
    </row>
    <row r="7" spans="2:7">
      <c r="B7" s="11">
        <v>5</v>
      </c>
      <c r="C7" s="27" t="e">
        <f>'04-221Master'!#REF!</f>
        <v>#REF!</v>
      </c>
      <c r="D7" s="27" t="e">
        <f>'04-221Master'!#REF!</f>
        <v>#REF!</v>
      </c>
      <c r="E7" s="11"/>
      <c r="F7" s="11"/>
      <c r="G7" s="11"/>
    </row>
    <row r="8" spans="2:7">
      <c r="B8" s="11">
        <v>6</v>
      </c>
      <c r="C8" s="27" t="e">
        <f>'04-221Master'!#REF!</f>
        <v>#REF!</v>
      </c>
      <c r="D8" s="27" t="e">
        <f>'04-221Master'!#REF!</f>
        <v>#REF!</v>
      </c>
      <c r="E8" s="11"/>
      <c r="F8" s="11"/>
      <c r="G8" s="11"/>
    </row>
    <row r="9" spans="2:7">
      <c r="B9" s="11">
        <v>7</v>
      </c>
      <c r="C9" s="27" t="e">
        <f>'04-221Master'!#REF!</f>
        <v>#REF!</v>
      </c>
      <c r="D9" s="27" t="e">
        <f>'04-221Master'!#REF!</f>
        <v>#REF!</v>
      </c>
      <c r="E9" s="11"/>
      <c r="F9" s="11"/>
      <c r="G9" s="11"/>
    </row>
    <row r="10" spans="2:7">
      <c r="B10" s="11">
        <v>8</v>
      </c>
      <c r="C10" s="27" t="e">
        <f>'04-221Master'!#REF!</f>
        <v>#REF!</v>
      </c>
      <c r="D10" s="27" t="e">
        <f>'04-221Master'!#REF!</f>
        <v>#REF!</v>
      </c>
      <c r="E10" s="11"/>
      <c r="F10" s="11"/>
      <c r="G10" s="11"/>
    </row>
    <row r="11" spans="2:7">
      <c r="B11" s="11">
        <v>9</v>
      </c>
      <c r="C11" s="27" t="e">
        <f>'04-221Master'!#REF!</f>
        <v>#REF!</v>
      </c>
      <c r="D11" s="27" t="e">
        <f>'04-221Master'!#REF!</f>
        <v>#REF!</v>
      </c>
      <c r="E11" s="11"/>
      <c r="F11" s="11"/>
      <c r="G11" s="11"/>
    </row>
    <row r="12" spans="2:7">
      <c r="B12" s="11">
        <v>10</v>
      </c>
      <c r="C12" s="27" t="e">
        <f>'04-221Master'!#REF!</f>
        <v>#REF!</v>
      </c>
      <c r="D12" s="27" t="e">
        <f>'04-221Master'!#REF!</f>
        <v>#REF!</v>
      </c>
      <c r="E12" s="11"/>
      <c r="F12" s="11"/>
      <c r="G12" s="11"/>
    </row>
    <row r="13" spans="2:7">
      <c r="B13" s="11">
        <v>11</v>
      </c>
      <c r="C13" s="27" t="e">
        <f>'04-221Master'!#REF!</f>
        <v>#REF!</v>
      </c>
      <c r="D13" s="27" t="e">
        <f>'04-221Master'!#REF!</f>
        <v>#REF!</v>
      </c>
      <c r="E13" s="11"/>
      <c r="F13" s="11"/>
      <c r="G13" s="11"/>
    </row>
    <row r="14" spans="2:7">
      <c r="B14" s="11">
        <v>12</v>
      </c>
      <c r="C14" s="27" t="e">
        <f>'04-221Master'!#REF!</f>
        <v>#REF!</v>
      </c>
      <c r="D14" s="27" t="e">
        <f>'04-221Master'!#REF!</f>
        <v>#REF!</v>
      </c>
      <c r="E14" s="11"/>
      <c r="F14" s="11"/>
      <c r="G14" s="11"/>
    </row>
    <row r="15" spans="2:7">
      <c r="B15" s="11">
        <v>13</v>
      </c>
      <c r="C15" s="27" t="e">
        <f>'04-221Master'!#REF!</f>
        <v>#REF!</v>
      </c>
      <c r="D15" s="27" t="e">
        <f>'04-221Master'!#REF!</f>
        <v>#REF!</v>
      </c>
      <c r="E15" s="11"/>
      <c r="F15" s="11"/>
      <c r="G15" s="11"/>
    </row>
    <row r="16" spans="2:7">
      <c r="B16" s="11">
        <v>14</v>
      </c>
      <c r="C16" s="27" t="e">
        <f>'04-221Master'!#REF!</f>
        <v>#REF!</v>
      </c>
      <c r="D16" s="27" t="e">
        <f>'04-221Master'!#REF!</f>
        <v>#REF!</v>
      </c>
      <c r="E16" s="11"/>
      <c r="F16" s="11"/>
      <c r="G16" s="11"/>
    </row>
    <row r="17" spans="2:7">
      <c r="B17" s="11">
        <v>15</v>
      </c>
      <c r="C17" s="27" t="e">
        <f>'04-221Master'!#REF!</f>
        <v>#REF!</v>
      </c>
      <c r="D17" s="27" t="e">
        <f>'04-221Master'!#REF!</f>
        <v>#REF!</v>
      </c>
      <c r="E17" s="11"/>
      <c r="F17" s="11"/>
      <c r="G17" s="11"/>
    </row>
    <row r="18" spans="2:7">
      <c r="B18" s="11">
        <v>16</v>
      </c>
      <c r="C18" s="27" t="e">
        <f>'04-221Master'!#REF!</f>
        <v>#REF!</v>
      </c>
      <c r="D18" s="27" t="e">
        <f>'04-221Master'!#REF!</f>
        <v>#REF!</v>
      </c>
      <c r="E18" s="11"/>
      <c r="F18" s="11"/>
      <c r="G18" s="11"/>
    </row>
    <row r="19" spans="2:7">
      <c r="B19" s="11">
        <v>17</v>
      </c>
      <c r="C19" s="27" t="e">
        <f>'04-221Master'!#REF!</f>
        <v>#REF!</v>
      </c>
      <c r="D19" s="27" t="e">
        <f>'04-221Master'!#REF!</f>
        <v>#REF!</v>
      </c>
      <c r="E19" s="11"/>
      <c r="F19" s="11"/>
      <c r="G19" s="11"/>
    </row>
    <row r="20" spans="2:7">
      <c r="B20" s="11">
        <v>18</v>
      </c>
      <c r="C20" s="27" t="e">
        <f>'04-221Master'!#REF!</f>
        <v>#REF!</v>
      </c>
      <c r="D20" s="27" t="e">
        <f>'04-221Master'!#REF!</f>
        <v>#REF!</v>
      </c>
      <c r="E20" s="11"/>
      <c r="F20" s="11"/>
      <c r="G20" s="11"/>
    </row>
    <row r="21" spans="2:7">
      <c r="B21" s="11">
        <v>19</v>
      </c>
      <c r="C21" s="27" t="e">
        <f>'04-221Master'!#REF!</f>
        <v>#REF!</v>
      </c>
      <c r="D21" s="27" t="e">
        <f>'04-221Master'!#REF!</f>
        <v>#REF!</v>
      </c>
      <c r="E21" s="11"/>
      <c r="F21" s="11"/>
      <c r="G21" s="11"/>
    </row>
    <row r="22" spans="2:7">
      <c r="B22" s="11">
        <v>20</v>
      </c>
      <c r="C22" s="27" t="e">
        <f>'04-221Master'!#REF!</f>
        <v>#REF!</v>
      </c>
      <c r="D22" s="27" t="e">
        <f>'04-221Master'!#REF!</f>
        <v>#REF!</v>
      </c>
      <c r="E22" s="11"/>
      <c r="F22" s="11"/>
      <c r="G22" s="11"/>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dimension ref="A1:L763"/>
  <sheetViews>
    <sheetView topLeftCell="A13" workbookViewId="0">
      <selection activeCell="M390" sqref="M390"/>
    </sheetView>
  </sheetViews>
  <sheetFormatPr defaultRowHeight="15"/>
  <cols>
    <col min="6" max="6" width="16.85546875" customWidth="1"/>
    <col min="10" max="10" width="14.5703125" customWidth="1"/>
    <col min="12" max="12" width="22.7109375" customWidth="1"/>
  </cols>
  <sheetData>
    <row r="1" spans="1:12" ht="29.25" customHeight="1">
      <c r="A1" s="74"/>
      <c r="B1" s="1376" t="s">
        <v>181</v>
      </c>
      <c r="C1" s="1164"/>
      <c r="D1" s="1164"/>
      <c r="E1" s="1164"/>
      <c r="F1" s="1164"/>
      <c r="G1" s="1164"/>
      <c r="H1" s="1164"/>
      <c r="I1" s="1164"/>
      <c r="J1" s="1164"/>
      <c r="K1" s="1164"/>
      <c r="L1" s="1165"/>
    </row>
    <row r="2" spans="1:12" ht="23.25">
      <c r="A2" s="13"/>
      <c r="B2" s="1167" t="s">
        <v>182</v>
      </c>
      <c r="C2" s="1167"/>
      <c r="D2" s="1167"/>
      <c r="E2" s="1167"/>
      <c r="F2" s="1167"/>
      <c r="G2" s="1167"/>
      <c r="H2" s="1167"/>
      <c r="I2" s="1167"/>
      <c r="J2" s="1167"/>
      <c r="K2" s="1167"/>
      <c r="L2" s="1168"/>
    </row>
    <row r="3" spans="1:12" ht="12.75" customHeight="1" thickBot="1">
      <c r="A3" s="25"/>
      <c r="B3" s="1170" t="s">
        <v>183</v>
      </c>
      <c r="C3" s="1170"/>
      <c r="D3" s="1170"/>
      <c r="E3" s="1170"/>
      <c r="F3" s="1170"/>
      <c r="G3" s="1170"/>
      <c r="H3" s="1170"/>
      <c r="I3" s="1170"/>
      <c r="J3" s="1170"/>
      <c r="K3" s="1170"/>
      <c r="L3" s="1171"/>
    </row>
    <row r="4" spans="1:12">
      <c r="A4" s="13"/>
      <c r="B4" s="1173" t="s">
        <v>108</v>
      </c>
      <c r="C4" s="1173"/>
      <c r="D4" s="1173"/>
      <c r="E4" s="1173"/>
      <c r="F4" s="1173"/>
      <c r="H4" s="1174" t="s">
        <v>109</v>
      </c>
      <c r="I4" s="1174"/>
      <c r="J4" s="1174"/>
      <c r="K4" s="1174"/>
      <c r="L4" s="1175"/>
    </row>
    <row r="5" spans="1:12" ht="15.75" thickBot="1">
      <c r="A5" s="13"/>
      <c r="B5" s="1173"/>
      <c r="C5" s="1173"/>
      <c r="D5" s="1173"/>
      <c r="E5" s="1173"/>
      <c r="F5" s="1173"/>
      <c r="H5" s="1174"/>
      <c r="I5" s="1174"/>
      <c r="J5" s="1174"/>
      <c r="K5" s="1174"/>
      <c r="L5" s="1175"/>
    </row>
    <row r="6" spans="1:12">
      <c r="A6" s="13"/>
      <c r="B6" s="74"/>
      <c r="C6" s="75"/>
      <c r="D6" s="75"/>
      <c r="E6" s="75"/>
      <c r="F6" s="76"/>
      <c r="H6" s="74"/>
      <c r="I6" s="75"/>
      <c r="J6" s="75"/>
      <c r="K6" s="75"/>
      <c r="L6" s="76"/>
    </row>
    <row r="7" spans="1:12">
      <c r="A7" s="13"/>
      <c r="B7" s="77" t="e">
        <f>#REF!</f>
        <v>#REF!</v>
      </c>
      <c r="F7" s="14"/>
      <c r="H7" s="77" t="e">
        <f>#REF!</f>
        <v>#REF!</v>
      </c>
      <c r="L7" s="14"/>
    </row>
    <row r="8" spans="1:12">
      <c r="A8" s="13"/>
      <c r="B8" s="13"/>
      <c r="F8" s="14"/>
      <c r="H8" s="13"/>
      <c r="L8" s="14"/>
    </row>
    <row r="9" spans="1:12">
      <c r="A9" s="13"/>
      <c r="B9" s="77" t="e">
        <f>#REF!</f>
        <v>#REF!</v>
      </c>
      <c r="F9" s="14"/>
      <c r="H9" s="77" t="e">
        <f>#REF!</f>
        <v>#REF!</v>
      </c>
      <c r="L9" s="14"/>
    </row>
    <row r="10" spans="1:12" ht="15.75" thickBot="1">
      <c r="A10" s="13"/>
      <c r="B10" s="25"/>
      <c r="C10" s="23"/>
      <c r="D10" s="23"/>
      <c r="E10" s="23"/>
      <c r="F10" s="24"/>
      <c r="H10" s="25"/>
      <c r="I10" s="23"/>
      <c r="J10" s="23"/>
      <c r="K10" s="23"/>
      <c r="L10" s="24"/>
    </row>
    <row r="11" spans="1:12">
      <c r="A11" s="13"/>
      <c r="J11" t="s">
        <v>110</v>
      </c>
      <c r="L11" s="14"/>
    </row>
    <row r="12" spans="1:12">
      <c r="A12" s="13"/>
      <c r="B12" s="1177" t="s">
        <v>111</v>
      </c>
      <c r="C12" s="1177"/>
      <c r="D12" s="1177"/>
      <c r="E12" s="1177"/>
      <c r="F12" s="1177"/>
      <c r="H12" s="1177" t="s">
        <v>4</v>
      </c>
      <c r="I12" s="1177"/>
      <c r="J12" s="1177"/>
      <c r="K12" s="1177"/>
      <c r="L12" s="1178"/>
    </row>
    <row r="13" spans="1:12" ht="15.75" thickBot="1">
      <c r="A13" s="13"/>
      <c r="L13" s="14"/>
    </row>
    <row r="14" spans="1:12">
      <c r="A14" s="13"/>
      <c r="B14" s="74"/>
      <c r="C14" s="75"/>
      <c r="D14" s="75"/>
      <c r="E14" s="75"/>
      <c r="F14" s="76"/>
      <c r="H14" s="78"/>
      <c r="I14" s="79"/>
      <c r="J14" s="79"/>
      <c r="K14" s="79"/>
      <c r="L14" s="80"/>
    </row>
    <row r="15" spans="1:12">
      <c r="A15" s="13"/>
      <c r="B15" s="13"/>
      <c r="F15" s="14"/>
      <c r="H15" s="77" t="e">
        <f>#REF!</f>
        <v>#REF!</v>
      </c>
      <c r="I15" s="2"/>
      <c r="J15" s="2"/>
      <c r="K15" s="2"/>
      <c r="L15" s="81"/>
    </row>
    <row r="16" spans="1:12">
      <c r="A16" s="13"/>
      <c r="B16" s="77" t="e">
        <f>#REF!</f>
        <v>#REF!</v>
      </c>
      <c r="F16" s="14"/>
      <c r="H16" s="77"/>
      <c r="I16" s="2"/>
      <c r="J16" s="2"/>
      <c r="K16" s="2"/>
      <c r="L16" s="81"/>
    </row>
    <row r="17" spans="1:12">
      <c r="A17" s="13"/>
      <c r="B17" s="13"/>
      <c r="F17" s="14"/>
      <c r="H17" s="77" t="e">
        <f>#REF!</f>
        <v>#REF!</v>
      </c>
      <c r="I17" s="2"/>
      <c r="J17" s="2"/>
      <c r="K17" s="2"/>
      <c r="L17" s="81"/>
    </row>
    <row r="18" spans="1:12" ht="15.75" thickBot="1">
      <c r="A18" s="13"/>
      <c r="B18" s="25"/>
      <c r="C18" s="23"/>
      <c r="D18" s="23"/>
      <c r="E18" s="23"/>
      <c r="F18" s="24"/>
      <c r="H18" s="82"/>
      <c r="I18" s="83"/>
      <c r="J18" s="83"/>
      <c r="K18" s="83"/>
      <c r="L18" s="84"/>
    </row>
    <row r="19" spans="1:12" ht="27.95" customHeight="1">
      <c r="A19" s="85"/>
      <c r="B19" s="1369" t="s">
        <v>184</v>
      </c>
      <c r="C19" s="1369"/>
      <c r="D19" s="1369"/>
      <c r="E19" s="1369"/>
      <c r="F19" s="1369"/>
      <c r="G19" s="1369"/>
      <c r="H19" s="1372" t="e">
        <f>'04-221Master'!#REF!</f>
        <v>#REF!</v>
      </c>
      <c r="I19" s="1371"/>
      <c r="J19" s="1371"/>
      <c r="K19" s="1371"/>
      <c r="L19" s="1151"/>
    </row>
    <row r="20" spans="1:12" ht="27.95" customHeight="1">
      <c r="A20" s="85"/>
      <c r="B20" s="1373" t="s">
        <v>185</v>
      </c>
      <c r="C20" s="1373"/>
      <c r="D20" s="1373"/>
      <c r="E20" s="1373"/>
      <c r="F20" s="1373"/>
      <c r="G20" s="1373"/>
      <c r="H20" s="1372" t="e">
        <f>'04-221Master'!#REF!</f>
        <v>#REF!</v>
      </c>
      <c r="I20" s="1371"/>
      <c r="J20" s="1371"/>
      <c r="K20" s="1371"/>
      <c r="L20" s="1151"/>
    </row>
    <row r="21" spans="1:12" ht="27.95" customHeight="1">
      <c r="A21" s="85"/>
      <c r="B21" s="1369" t="s">
        <v>186</v>
      </c>
      <c r="C21" s="1369"/>
      <c r="D21" s="1369"/>
      <c r="E21" s="1369"/>
      <c r="F21" s="1369"/>
      <c r="G21" s="1369"/>
      <c r="H21" s="1372" t="e">
        <f>'04-221Master'!#REF!</f>
        <v>#REF!</v>
      </c>
      <c r="I21" s="1371"/>
      <c r="J21" s="1371"/>
      <c r="K21" s="1371"/>
      <c r="L21" s="1151"/>
    </row>
    <row r="22" spans="1:12" ht="27.95" customHeight="1">
      <c r="A22" s="85"/>
      <c r="B22" s="1369" t="s">
        <v>187</v>
      </c>
      <c r="C22" s="1369"/>
      <c r="D22" s="1369"/>
      <c r="E22" s="1369"/>
      <c r="F22" s="1369"/>
      <c r="G22" s="1369"/>
      <c r="H22" s="1374" t="e">
        <f>'04-221Master'!#REF!</f>
        <v>#REF!</v>
      </c>
      <c r="I22" s="1371"/>
      <c r="J22" s="1371"/>
      <c r="K22" s="1371"/>
      <c r="L22" s="1151"/>
    </row>
    <row r="23" spans="1:12" ht="27.95" customHeight="1">
      <c r="A23" s="85"/>
      <c r="B23" s="86" t="s">
        <v>188</v>
      </c>
      <c r="C23" s="87"/>
      <c r="D23" s="87"/>
      <c r="E23" s="87"/>
      <c r="F23" s="87"/>
      <c r="G23" s="87"/>
      <c r="H23" s="1366" t="s">
        <v>189</v>
      </c>
      <c r="I23" s="1367"/>
      <c r="J23" s="1367"/>
      <c r="K23" s="1367"/>
      <c r="L23" s="1368"/>
    </row>
    <row r="24" spans="1:12" ht="27.95" customHeight="1">
      <c r="A24" s="85"/>
      <c r="B24" s="86" t="s">
        <v>190</v>
      </c>
      <c r="C24" s="87"/>
      <c r="D24" s="87"/>
      <c r="E24" s="87"/>
      <c r="F24" s="87"/>
      <c r="G24" s="87"/>
      <c r="H24" s="88"/>
      <c r="I24" s="90"/>
      <c r="J24" s="178"/>
      <c r="K24" s="90"/>
      <c r="L24" s="95"/>
    </row>
    <row r="25" spans="1:12" ht="27.95" customHeight="1">
      <c r="A25" s="85"/>
      <c r="B25" s="1161" t="s">
        <v>191</v>
      </c>
      <c r="C25" s="1161"/>
      <c r="D25" s="1161"/>
      <c r="E25" s="1161"/>
      <c r="F25" s="1161"/>
      <c r="G25" s="1161"/>
      <c r="H25" s="1154" t="e">
        <f>'04-221Master'!#REF!</f>
        <v>#REF!</v>
      </c>
      <c r="I25" s="1155"/>
      <c r="J25" s="1155"/>
      <c r="K25" s="1155"/>
      <c r="L25" s="1156"/>
    </row>
    <row r="26" spans="1:12" ht="27.95" customHeight="1">
      <c r="A26" s="85"/>
      <c r="B26" s="1369"/>
      <c r="C26" s="1369"/>
      <c r="D26" s="1369"/>
      <c r="E26" s="1369"/>
      <c r="F26" s="1369"/>
      <c r="G26" s="1369"/>
      <c r="H26" s="1370" t="e">
        <f>'04-221Master'!#REF!</f>
        <v>#REF!</v>
      </c>
      <c r="I26" s="1371"/>
      <c r="J26" s="1371"/>
      <c r="K26" s="1371"/>
      <c r="L26" s="1151"/>
    </row>
    <row r="27" spans="1:12" ht="27.95" customHeight="1">
      <c r="A27" s="13"/>
      <c r="B27" s="1369"/>
      <c r="C27" s="1369"/>
      <c r="D27" s="1369"/>
      <c r="E27" s="1369"/>
      <c r="F27" s="1369"/>
      <c r="G27" s="1369"/>
      <c r="H27" s="1372" t="e">
        <f>'04-221Master'!#REF!</f>
        <v>#REF!</v>
      </c>
      <c r="I27" s="1371"/>
      <c r="J27" s="1371"/>
      <c r="K27" s="1371"/>
      <c r="L27" s="1151"/>
    </row>
    <row r="28" spans="1:12" ht="27.95" customHeight="1">
      <c r="A28" s="13"/>
      <c r="B28" s="86" t="s">
        <v>192</v>
      </c>
      <c r="C28" s="87"/>
      <c r="D28" s="87"/>
      <c r="E28" s="87"/>
      <c r="F28" s="87"/>
      <c r="G28" s="91"/>
      <c r="H28" s="1359" t="e">
        <f>'04-221Master'!#REF!</f>
        <v>#REF!</v>
      </c>
      <c r="I28" s="1149"/>
      <c r="J28" s="1149"/>
      <c r="K28" s="1149"/>
      <c r="L28" s="1360"/>
    </row>
    <row r="29" spans="1:12" ht="27.95" customHeight="1">
      <c r="A29" s="13"/>
      <c r="B29" s="86"/>
      <c r="C29" s="87"/>
      <c r="D29" s="87"/>
      <c r="E29" s="87"/>
      <c r="F29" s="87"/>
      <c r="G29" s="91"/>
      <c r="H29" s="1359" t="e">
        <f>'04-221Master'!#REF!</f>
        <v>#REF!</v>
      </c>
      <c r="I29" s="1149"/>
      <c r="J29" s="1149"/>
      <c r="K29" s="1149"/>
      <c r="L29" s="1360"/>
    </row>
    <row r="30" spans="1:12" ht="27.95" customHeight="1">
      <c r="A30" s="13"/>
      <c r="B30" s="86"/>
      <c r="C30" s="87"/>
      <c r="D30" s="87"/>
      <c r="E30" s="87"/>
      <c r="F30" s="87"/>
      <c r="G30" s="91"/>
      <c r="H30" s="1359" t="e">
        <f>'04-221Master'!#REF!</f>
        <v>#REF!</v>
      </c>
      <c r="I30" s="1149"/>
      <c r="J30" s="1149"/>
      <c r="K30" s="1149"/>
      <c r="L30" s="1360"/>
    </row>
    <row r="31" spans="1:12" ht="27.95" customHeight="1">
      <c r="A31" s="13"/>
      <c r="B31" s="86" t="s">
        <v>199</v>
      </c>
      <c r="C31" s="87"/>
      <c r="D31" s="87"/>
      <c r="E31" s="87"/>
      <c r="F31" s="87"/>
      <c r="G31" s="91"/>
      <c r="H31" s="88"/>
      <c r="I31" s="90"/>
      <c r="J31" s="90"/>
      <c r="K31" s="90"/>
      <c r="L31" s="95"/>
    </row>
    <row r="32" spans="1:12" ht="27.95" customHeight="1">
      <c r="A32" s="13"/>
      <c r="B32" s="97" t="s">
        <v>200</v>
      </c>
      <c r="C32" s="159"/>
      <c r="D32" s="159"/>
      <c r="E32" s="159"/>
      <c r="F32" s="159"/>
      <c r="G32" s="160"/>
      <c r="H32" s="161"/>
      <c r="I32" s="162"/>
      <c r="J32" s="163"/>
      <c r="K32" s="162"/>
      <c r="L32" s="164"/>
    </row>
    <row r="33" spans="1:12" ht="49.5" customHeight="1">
      <c r="A33" s="13"/>
      <c r="B33" s="86" t="s">
        <v>203</v>
      </c>
      <c r="C33" s="87"/>
      <c r="D33" s="90"/>
      <c r="E33" s="171" t="s">
        <v>205</v>
      </c>
      <c r="F33" s="65"/>
      <c r="G33" s="1361" t="s">
        <v>204</v>
      </c>
      <c r="H33" s="1362"/>
      <c r="I33" s="175" t="s">
        <v>201</v>
      </c>
      <c r="J33" s="173" t="s">
        <v>206</v>
      </c>
      <c r="K33" s="1361" t="s">
        <v>202</v>
      </c>
      <c r="L33" s="1363"/>
    </row>
    <row r="34" spans="1:12" ht="27.95" customHeight="1">
      <c r="A34" s="13"/>
      <c r="B34" s="174">
        <v>1</v>
      </c>
      <c r="C34" s="87"/>
      <c r="D34" s="87"/>
      <c r="E34" s="177">
        <v>2</v>
      </c>
      <c r="F34" s="91"/>
      <c r="G34" s="177">
        <v>3</v>
      </c>
      <c r="H34" s="193"/>
      <c r="I34" s="193">
        <v>4</v>
      </c>
      <c r="J34" s="102">
        <v>5</v>
      </c>
      <c r="K34" s="93"/>
      <c r="L34" s="94">
        <v>6</v>
      </c>
    </row>
    <row r="35" spans="1:12" ht="27.95" customHeight="1">
      <c r="A35" s="13"/>
      <c r="B35" s="291" t="e">
        <f>'04-221Master'!#REF!</f>
        <v>#REF!</v>
      </c>
      <c r="C35" s="189"/>
      <c r="D35" s="190"/>
      <c r="E35" s="192" t="s">
        <v>362</v>
      </c>
      <c r="F35" s="190"/>
      <c r="G35" s="192" t="s">
        <v>363</v>
      </c>
      <c r="H35" s="65"/>
      <c r="I35" s="11" t="s">
        <v>364</v>
      </c>
      <c r="J35" s="290">
        <v>1</v>
      </c>
      <c r="K35" s="1364" t="s">
        <v>37</v>
      </c>
      <c r="L35" s="1375"/>
    </row>
    <row r="36" spans="1:12" ht="27.95" customHeight="1">
      <c r="A36" s="13"/>
      <c r="B36" s="86"/>
      <c r="C36" s="189"/>
      <c r="D36" s="190"/>
      <c r="E36" s="191"/>
      <c r="F36" s="190"/>
      <c r="G36" s="191"/>
      <c r="H36" s="65"/>
      <c r="I36" s="11"/>
      <c r="J36" s="11"/>
      <c r="K36" s="192"/>
      <c r="L36" s="65"/>
    </row>
    <row r="37" spans="1:12" ht="26.25" customHeight="1">
      <c r="A37" s="13"/>
      <c r="B37" s="86"/>
      <c r="C37" s="189"/>
      <c r="D37" s="190"/>
      <c r="E37" s="191"/>
      <c r="F37" s="190"/>
      <c r="G37" s="191"/>
      <c r="H37" s="65"/>
      <c r="I37" s="11"/>
      <c r="J37" s="11"/>
      <c r="K37" s="192"/>
      <c r="L37" s="65"/>
    </row>
    <row r="38" spans="1:12" ht="27.75" customHeight="1">
      <c r="A38" s="13"/>
      <c r="B38" s="72"/>
      <c r="C38" s="17"/>
      <c r="D38" s="73"/>
      <c r="E38" s="191"/>
      <c r="F38" s="190"/>
      <c r="G38" s="191"/>
      <c r="H38" s="65"/>
      <c r="I38" s="11"/>
      <c r="J38" s="11"/>
      <c r="K38" s="192"/>
      <c r="L38" s="65"/>
    </row>
    <row r="39" spans="1:12">
      <c r="A39" s="13"/>
      <c r="B39" t="s">
        <v>207</v>
      </c>
      <c r="L39" s="14"/>
    </row>
    <row r="40" spans="1:12">
      <c r="A40" s="13"/>
      <c r="B40" t="s">
        <v>208</v>
      </c>
      <c r="L40" s="14"/>
    </row>
    <row r="41" spans="1:12">
      <c r="A41" s="13"/>
      <c r="B41" t="s">
        <v>209</v>
      </c>
      <c r="L41" s="14"/>
    </row>
    <row r="42" spans="1:12">
      <c r="A42" s="13"/>
      <c r="L42" s="14"/>
    </row>
    <row r="43" spans="1:12">
      <c r="A43" s="13"/>
      <c r="I43" t="s">
        <v>210</v>
      </c>
      <c r="L43" s="14"/>
    </row>
    <row r="44" spans="1:12" ht="18.75">
      <c r="A44" s="13"/>
      <c r="F44" s="179" t="s">
        <v>193</v>
      </c>
      <c r="L44" s="14"/>
    </row>
    <row r="45" spans="1:12">
      <c r="A45" s="13" t="s">
        <v>194</v>
      </c>
      <c r="K45" s="229" t="e">
        <f>'04-221Master'!#REF!</f>
        <v>#REF!</v>
      </c>
      <c r="L45" s="14"/>
    </row>
    <row r="46" spans="1:12">
      <c r="A46" s="13" t="s">
        <v>195</v>
      </c>
      <c r="L46" s="14"/>
    </row>
    <row r="47" spans="1:12">
      <c r="A47" s="13"/>
      <c r="L47" s="14"/>
    </row>
    <row r="48" spans="1:12">
      <c r="A48" s="13"/>
      <c r="L48" s="14"/>
    </row>
    <row r="49" spans="1:12">
      <c r="A49" s="13"/>
      <c r="F49" t="s">
        <v>196</v>
      </c>
      <c r="L49" s="14"/>
    </row>
    <row r="50" spans="1:12">
      <c r="A50" s="13" t="s">
        <v>197</v>
      </c>
      <c r="B50" t="s">
        <v>361</v>
      </c>
      <c r="F50" t="str">
        <f>'04-221Master'!AP5</f>
        <v>Burgeon IT Services Pvt.Ltd.</v>
      </c>
      <c r="L50" s="14"/>
    </row>
    <row r="51" spans="1:12">
      <c r="A51" s="13" t="s">
        <v>198</v>
      </c>
      <c r="B51" s="289" t="e">
        <f>'04-221Master'!#REF!</f>
        <v>#REF!</v>
      </c>
      <c r="F51" t="str">
        <f>'04-221Master'!AP6</f>
        <v>Siri Mansion LIGB 436 Dr.A S Rao Nagar,Hyderabad</v>
      </c>
      <c r="L51" s="14"/>
    </row>
    <row r="52" spans="1:12" ht="15.75" thickBot="1">
      <c r="A52" s="25"/>
      <c r="B52" s="23"/>
      <c r="C52" s="23"/>
      <c r="D52" s="23"/>
      <c r="E52" s="23"/>
      <c r="F52" s="23"/>
      <c r="G52" s="23"/>
      <c r="H52" s="23"/>
      <c r="I52" s="23"/>
      <c r="J52" s="23"/>
      <c r="K52" s="23"/>
      <c r="L52" s="24"/>
    </row>
    <row r="53" spans="1:12" ht="27.95" customHeight="1">
      <c r="A53" s="74"/>
      <c r="B53" s="1376" t="s">
        <v>181</v>
      </c>
      <c r="C53" s="1164"/>
      <c r="D53" s="1164"/>
      <c r="E53" s="1164"/>
      <c r="F53" s="1164"/>
      <c r="G53" s="1164"/>
      <c r="H53" s="1164"/>
      <c r="I53" s="1164"/>
      <c r="J53" s="1164"/>
      <c r="K53" s="1164"/>
      <c r="L53" s="1165"/>
    </row>
    <row r="54" spans="1:12" ht="27.95" customHeight="1">
      <c r="A54" s="13"/>
      <c r="B54" s="1167" t="s">
        <v>182</v>
      </c>
      <c r="C54" s="1167"/>
      <c r="D54" s="1167"/>
      <c r="E54" s="1167"/>
      <c r="F54" s="1167"/>
      <c r="G54" s="1167"/>
      <c r="H54" s="1167"/>
      <c r="I54" s="1167"/>
      <c r="J54" s="1167"/>
      <c r="K54" s="1167"/>
      <c r="L54" s="1168"/>
    </row>
    <row r="55" spans="1:12" ht="27.95" customHeight="1" thickBot="1">
      <c r="A55" s="25"/>
      <c r="B55" s="1170" t="s">
        <v>183</v>
      </c>
      <c r="C55" s="1170"/>
      <c r="D55" s="1170"/>
      <c r="E55" s="1170"/>
      <c r="F55" s="1170"/>
      <c r="G55" s="1170"/>
      <c r="H55" s="1170"/>
      <c r="I55" s="1170"/>
      <c r="J55" s="1170"/>
      <c r="K55" s="1170"/>
      <c r="L55" s="1171"/>
    </row>
    <row r="56" spans="1:12" ht="27.95" customHeight="1">
      <c r="A56" s="13"/>
      <c r="B56" s="1173" t="s">
        <v>108</v>
      </c>
      <c r="C56" s="1173"/>
      <c r="D56" s="1173"/>
      <c r="E56" s="1173"/>
      <c r="F56" s="1173"/>
      <c r="H56" s="1174" t="s">
        <v>109</v>
      </c>
      <c r="I56" s="1174"/>
      <c r="J56" s="1174"/>
      <c r="K56" s="1174"/>
      <c r="L56" s="1175"/>
    </row>
    <row r="57" spans="1:12" ht="27.95" customHeight="1" thickBot="1">
      <c r="A57" s="13"/>
      <c r="B57" s="1173"/>
      <c r="C57" s="1173"/>
      <c r="D57" s="1173"/>
      <c r="E57" s="1173"/>
      <c r="F57" s="1173"/>
      <c r="H57" s="1174"/>
      <c r="I57" s="1174"/>
      <c r="J57" s="1174"/>
      <c r="K57" s="1174"/>
      <c r="L57" s="1175"/>
    </row>
    <row r="58" spans="1:12" ht="27.95" customHeight="1">
      <c r="A58" s="13"/>
      <c r="B58" s="74"/>
      <c r="C58" s="75"/>
      <c r="D58" s="75"/>
      <c r="E58" s="75"/>
      <c r="F58" s="76"/>
      <c r="H58" s="74"/>
      <c r="I58" s="75"/>
      <c r="J58" s="75"/>
      <c r="K58" s="75"/>
      <c r="L58" s="76"/>
    </row>
    <row r="59" spans="1:12">
      <c r="A59" s="13"/>
      <c r="B59" s="77" t="str">
        <f>'04-221Master'!F5</f>
        <v>Burgeon IT Services Pvt.Ltd.</v>
      </c>
      <c r="F59" s="14"/>
      <c r="H59" s="77" t="str">
        <f>'04-221Master'!AP5</f>
        <v>Burgeon IT Services Pvt.Ltd.</v>
      </c>
      <c r="L59" s="14"/>
    </row>
    <row r="60" spans="1:12">
      <c r="A60" s="13"/>
      <c r="B60" s="13"/>
      <c r="F60" s="14"/>
      <c r="H60" s="13"/>
      <c r="L60" s="14"/>
    </row>
    <row r="61" spans="1:12">
      <c r="A61" s="13"/>
      <c r="B61" s="77" t="str">
        <f>'04-221Master'!F6</f>
        <v>Siri Mansion LIGB 436 Dr.A S Rao Nagar,Hyderabad</v>
      </c>
      <c r="F61" s="14"/>
      <c r="H61" s="77" t="str">
        <f>'04-221Master'!AP6</f>
        <v>Siri Mansion LIGB 436 Dr.A S Rao Nagar,Hyderabad</v>
      </c>
      <c r="L61" s="14"/>
    </row>
    <row r="62" spans="1:12" ht="15.75" thickBot="1">
      <c r="A62" s="13"/>
      <c r="B62" s="25"/>
      <c r="C62" s="23"/>
      <c r="D62" s="23"/>
      <c r="E62" s="23"/>
      <c r="F62" s="24"/>
      <c r="H62" s="25"/>
      <c r="I62" s="23"/>
      <c r="J62" s="23"/>
      <c r="K62" s="23"/>
      <c r="L62" s="24"/>
    </row>
    <row r="63" spans="1:12">
      <c r="A63" s="13"/>
      <c r="J63" t="s">
        <v>110</v>
      </c>
      <c r="L63" s="14"/>
    </row>
    <row r="64" spans="1:12">
      <c r="A64" s="13"/>
      <c r="B64" s="1177" t="s">
        <v>111</v>
      </c>
      <c r="C64" s="1177"/>
      <c r="D64" s="1177"/>
      <c r="E64" s="1177"/>
      <c r="F64" s="1177"/>
      <c r="H64" s="1177" t="s">
        <v>4</v>
      </c>
      <c r="I64" s="1177"/>
      <c r="J64" s="1177"/>
      <c r="K64" s="1177"/>
      <c r="L64" s="1178"/>
    </row>
    <row r="65" spans="1:12" ht="15.75" thickBot="1">
      <c r="A65" s="13"/>
      <c r="L65" s="14"/>
    </row>
    <row r="66" spans="1:12">
      <c r="A66" s="13"/>
      <c r="B66" s="74"/>
      <c r="C66" s="75"/>
      <c r="D66" s="75"/>
      <c r="E66" s="75"/>
      <c r="F66" s="76"/>
      <c r="H66" s="78"/>
      <c r="I66" s="79"/>
      <c r="J66" s="79"/>
      <c r="K66" s="79"/>
      <c r="L66" s="80"/>
    </row>
    <row r="67" spans="1:12">
      <c r="A67" s="13"/>
      <c r="B67" s="13"/>
      <c r="F67" s="14"/>
      <c r="H67" s="77" t="str">
        <f>'04-221Master'!AP10</f>
        <v>INFOSYS  LTD.IL Pune SEZ Unit-I,Plot No. 24/3</v>
      </c>
      <c r="I67" s="2"/>
      <c r="J67" s="2"/>
      <c r="K67" s="2"/>
      <c r="L67" s="81"/>
    </row>
    <row r="68" spans="1:12">
      <c r="A68" s="13"/>
      <c r="B68" s="77" t="str">
        <f>'04-221Master'!F8</f>
        <v>IT SUPPORTIVE SERVICES&amp; Pune SEZ Unit-1</v>
      </c>
      <c r="F68" s="14"/>
      <c r="H68" s="77"/>
      <c r="I68" s="2"/>
      <c r="J68" s="2"/>
      <c r="K68" s="2"/>
      <c r="L68" s="81"/>
    </row>
    <row r="69" spans="1:12">
      <c r="A69" s="13"/>
      <c r="B69" s="13"/>
      <c r="F69" s="14"/>
      <c r="H69" s="77" t="str">
        <f>'04-221Master'!AP11</f>
        <v>Rajiv gandhi Info tech park,Village Mann,Pune,Maharashtra 411057</v>
      </c>
      <c r="I69" s="2"/>
      <c r="J69" s="2"/>
      <c r="K69" s="2"/>
      <c r="L69" s="81"/>
    </row>
    <row r="70" spans="1:12" ht="15.75" thickBot="1">
      <c r="A70" s="13"/>
      <c r="B70" s="25"/>
      <c r="C70" s="23"/>
      <c r="D70" s="23"/>
      <c r="E70" s="23"/>
      <c r="F70" s="24"/>
      <c r="H70" s="82"/>
      <c r="I70" s="83"/>
      <c r="J70" s="83"/>
      <c r="K70" s="83"/>
      <c r="L70" s="84"/>
    </row>
    <row r="71" spans="1:12">
      <c r="A71" s="85"/>
      <c r="B71" s="1369" t="s">
        <v>184</v>
      </c>
      <c r="C71" s="1369"/>
      <c r="D71" s="1369"/>
      <c r="E71" s="1369"/>
      <c r="F71" s="1369"/>
      <c r="G71" s="1369"/>
      <c r="H71" s="1372" t="e">
        <f>'04-221Master'!#REF!</f>
        <v>#REF!</v>
      </c>
      <c r="I71" s="1371"/>
      <c r="J71" s="1371"/>
      <c r="K71" s="1371"/>
      <c r="L71" s="1151"/>
    </row>
    <row r="72" spans="1:12">
      <c r="A72" s="85"/>
      <c r="B72" s="1373" t="s">
        <v>185</v>
      </c>
      <c r="C72" s="1373"/>
      <c r="D72" s="1373"/>
      <c r="E72" s="1373"/>
      <c r="F72" s="1373"/>
      <c r="G72" s="1373"/>
      <c r="H72" s="1372" t="e">
        <f>'04-221Master'!#REF!</f>
        <v>#REF!</v>
      </c>
      <c r="I72" s="1371"/>
      <c r="J72" s="1371"/>
      <c r="K72" s="1371"/>
      <c r="L72" s="1151"/>
    </row>
    <row r="73" spans="1:12">
      <c r="A73" s="85"/>
      <c r="B73" s="1369" t="s">
        <v>186</v>
      </c>
      <c r="C73" s="1369"/>
      <c r="D73" s="1369"/>
      <c r="E73" s="1369"/>
      <c r="F73" s="1369"/>
      <c r="G73" s="1369"/>
      <c r="H73" s="1372" t="e">
        <f>'04-221Master'!#REF!</f>
        <v>#REF!</v>
      </c>
      <c r="I73" s="1371"/>
      <c r="J73" s="1371"/>
      <c r="K73" s="1371"/>
      <c r="L73" s="1151"/>
    </row>
    <row r="74" spans="1:12">
      <c r="A74" s="85"/>
      <c r="B74" s="1369" t="s">
        <v>187</v>
      </c>
      <c r="C74" s="1369"/>
      <c r="D74" s="1369"/>
      <c r="E74" s="1369"/>
      <c r="F74" s="1369"/>
      <c r="G74" s="1369"/>
      <c r="H74" s="1374" t="e">
        <f>'04-221Master'!#REF!</f>
        <v>#REF!</v>
      </c>
      <c r="I74" s="1371"/>
      <c r="J74" s="1371"/>
      <c r="K74" s="1371"/>
      <c r="L74" s="1151"/>
    </row>
    <row r="75" spans="1:12">
      <c r="A75" s="85"/>
      <c r="B75" s="86" t="s">
        <v>188</v>
      </c>
      <c r="C75" s="87"/>
      <c r="D75" s="87"/>
      <c r="E75" s="87"/>
      <c r="F75" s="87"/>
      <c r="G75" s="87"/>
      <c r="H75" s="1366" t="s">
        <v>189</v>
      </c>
      <c r="I75" s="1367"/>
      <c r="J75" s="1367"/>
      <c r="K75" s="1367"/>
      <c r="L75" s="1368"/>
    </row>
    <row r="76" spans="1:12">
      <c r="A76" s="85"/>
      <c r="B76" s="86" t="s">
        <v>190</v>
      </c>
      <c r="C76" s="87"/>
      <c r="D76" s="87"/>
      <c r="E76" s="87"/>
      <c r="F76" s="87"/>
      <c r="G76" s="87"/>
      <c r="H76" s="88"/>
      <c r="I76" s="90"/>
      <c r="J76" s="178"/>
      <c r="K76" s="90"/>
      <c r="L76" s="95"/>
    </row>
    <row r="77" spans="1:12">
      <c r="A77" s="85"/>
      <c r="B77" s="1161" t="s">
        <v>191</v>
      </c>
      <c r="C77" s="1161"/>
      <c r="D77" s="1161"/>
      <c r="E77" s="1161"/>
      <c r="F77" s="1161"/>
      <c r="G77" s="1161"/>
      <c r="H77" s="1154" t="e">
        <f>'04-221Master'!#REF!</f>
        <v>#REF!</v>
      </c>
      <c r="I77" s="1155"/>
      <c r="J77" s="1155"/>
      <c r="K77" s="1155"/>
      <c r="L77" s="1156"/>
    </row>
    <row r="78" spans="1:12">
      <c r="A78" s="85"/>
      <c r="B78" s="1369"/>
      <c r="C78" s="1369"/>
      <c r="D78" s="1369"/>
      <c r="E78" s="1369"/>
      <c r="F78" s="1369"/>
      <c r="G78" s="1369"/>
      <c r="H78" s="1370" t="e">
        <f>'04-221Master'!#REF!</f>
        <v>#REF!</v>
      </c>
      <c r="I78" s="1371"/>
      <c r="J78" s="1371"/>
      <c r="K78" s="1371"/>
      <c r="L78" s="1151"/>
    </row>
    <row r="79" spans="1:12">
      <c r="A79" s="13"/>
      <c r="B79" s="1369"/>
      <c r="C79" s="1369"/>
      <c r="D79" s="1369"/>
      <c r="E79" s="1369"/>
      <c r="F79" s="1369"/>
      <c r="G79" s="1369"/>
      <c r="H79" s="1372" t="e">
        <f>'04-221Master'!#REF!</f>
        <v>#REF!</v>
      </c>
      <c r="I79" s="1371"/>
      <c r="J79" s="1371"/>
      <c r="K79" s="1371"/>
      <c r="L79" s="1151"/>
    </row>
    <row r="80" spans="1:12" ht="15" customHeight="1">
      <c r="A80" s="13"/>
      <c r="B80" s="86" t="s">
        <v>192</v>
      </c>
      <c r="C80" s="87"/>
      <c r="D80" s="87"/>
      <c r="E80" s="87"/>
      <c r="F80" s="87"/>
      <c r="G80" s="91"/>
      <c r="H80" s="1359" t="e">
        <f>'04-221Master'!#REF!</f>
        <v>#REF!</v>
      </c>
      <c r="I80" s="1149"/>
      <c r="J80" s="1149"/>
      <c r="K80" s="1149"/>
      <c r="L80" s="1360"/>
    </row>
    <row r="81" spans="1:12">
      <c r="A81" s="13"/>
      <c r="B81" s="86"/>
      <c r="C81" s="87"/>
      <c r="D81" s="87"/>
      <c r="E81" s="87"/>
      <c r="F81" s="87"/>
      <c r="G81" s="91"/>
      <c r="H81" s="1359" t="e">
        <f>'04-221Master'!#REF!</f>
        <v>#REF!</v>
      </c>
      <c r="I81" s="1149"/>
      <c r="J81" s="1149"/>
      <c r="K81" s="1149"/>
      <c r="L81" s="1360"/>
    </row>
    <row r="82" spans="1:12">
      <c r="A82" s="13"/>
      <c r="B82" s="86"/>
      <c r="C82" s="87"/>
      <c r="D82" s="87"/>
      <c r="E82" s="87"/>
      <c r="F82" s="87"/>
      <c r="G82" s="91"/>
      <c r="H82" s="1359" t="e">
        <f>'04-221Master'!#REF!</f>
        <v>#REF!</v>
      </c>
      <c r="I82" s="1149"/>
      <c r="J82" s="1149"/>
      <c r="K82" s="1149"/>
      <c r="L82" s="1360"/>
    </row>
    <row r="83" spans="1:12">
      <c r="A83" s="13"/>
      <c r="B83" s="86" t="s">
        <v>199</v>
      </c>
      <c r="C83" s="87"/>
      <c r="D83" s="87"/>
      <c r="E83" s="87"/>
      <c r="F83" s="87"/>
      <c r="G83" s="91"/>
      <c r="H83" s="88"/>
      <c r="I83" s="90"/>
      <c r="J83" s="90"/>
      <c r="K83" s="90"/>
      <c r="L83" s="95"/>
    </row>
    <row r="84" spans="1:12">
      <c r="A84" s="13"/>
      <c r="B84" s="97" t="s">
        <v>200</v>
      </c>
      <c r="C84" s="159"/>
      <c r="D84" s="159"/>
      <c r="E84" s="159"/>
      <c r="F84" s="159"/>
      <c r="G84" s="160"/>
      <c r="H84" s="161"/>
      <c r="I84" s="162"/>
      <c r="J84" s="163"/>
      <c r="K84" s="162"/>
      <c r="L84" s="164"/>
    </row>
    <row r="85" spans="1:12" ht="45">
      <c r="A85" s="13"/>
      <c r="B85" s="86" t="s">
        <v>203</v>
      </c>
      <c r="C85" s="87"/>
      <c r="D85" s="90"/>
      <c r="E85" s="171" t="s">
        <v>205</v>
      </c>
      <c r="F85" s="65"/>
      <c r="G85" s="1361" t="s">
        <v>204</v>
      </c>
      <c r="H85" s="1362"/>
      <c r="I85" s="175" t="s">
        <v>201</v>
      </c>
      <c r="J85" s="173" t="s">
        <v>206</v>
      </c>
      <c r="K85" s="1361" t="s">
        <v>202</v>
      </c>
      <c r="L85" s="1363"/>
    </row>
    <row r="86" spans="1:12">
      <c r="A86" s="13"/>
      <c r="B86" s="174">
        <v>1</v>
      </c>
      <c r="C86" s="87"/>
      <c r="D86" s="87"/>
      <c r="E86" s="177">
        <v>2</v>
      </c>
      <c r="F86" s="91"/>
      <c r="G86" s="177">
        <v>3</v>
      </c>
      <c r="H86" s="193"/>
      <c r="I86" s="193">
        <v>4</v>
      </c>
      <c r="J86" s="102">
        <v>5</v>
      </c>
      <c r="K86" s="93"/>
      <c r="L86" s="94">
        <v>6</v>
      </c>
    </row>
    <row r="87" spans="1:12">
      <c r="A87" s="13"/>
      <c r="B87" s="291" t="e">
        <f>'04-221Master'!#REF!</f>
        <v>#REF!</v>
      </c>
      <c r="C87" s="189"/>
      <c r="D87" s="190"/>
      <c r="E87" s="192" t="s">
        <v>362</v>
      </c>
      <c r="F87" s="190"/>
      <c r="G87" s="192" t="s">
        <v>363</v>
      </c>
      <c r="H87" s="65"/>
      <c r="I87" s="11" t="s">
        <v>364</v>
      </c>
      <c r="J87" s="290">
        <v>1</v>
      </c>
      <c r="K87" s="1364" t="s">
        <v>37</v>
      </c>
      <c r="L87" s="1375"/>
    </row>
    <row r="88" spans="1:12">
      <c r="A88" s="13"/>
      <c r="B88" s="86"/>
      <c r="C88" s="189"/>
      <c r="D88" s="190"/>
      <c r="E88" s="191"/>
      <c r="F88" s="190"/>
      <c r="G88" s="191"/>
      <c r="H88" s="65"/>
      <c r="I88" s="11"/>
      <c r="J88" s="11"/>
      <c r="K88" s="192"/>
      <c r="L88" s="65"/>
    </row>
    <row r="89" spans="1:12">
      <c r="A89" s="13"/>
      <c r="B89" s="86"/>
      <c r="C89" s="189"/>
      <c r="D89" s="190"/>
      <c r="E89" s="191"/>
      <c r="F89" s="190"/>
      <c r="G89" s="191"/>
      <c r="H89" s="65"/>
      <c r="I89" s="11"/>
      <c r="J89" s="11"/>
      <c r="K89" s="192"/>
      <c r="L89" s="65"/>
    </row>
    <row r="90" spans="1:12">
      <c r="A90" s="13"/>
      <c r="B90" s="72"/>
      <c r="C90" s="17"/>
      <c r="D90" s="73"/>
      <c r="E90" s="191"/>
      <c r="F90" s="190"/>
      <c r="G90" s="191"/>
      <c r="H90" s="65"/>
      <c r="I90" s="11"/>
      <c r="J90" s="11"/>
      <c r="K90" s="192"/>
      <c r="L90" s="65"/>
    </row>
    <row r="91" spans="1:12">
      <c r="A91" s="13"/>
      <c r="B91" t="s">
        <v>207</v>
      </c>
      <c r="L91" s="14"/>
    </row>
    <row r="92" spans="1:12">
      <c r="A92" s="13"/>
      <c r="B92" t="s">
        <v>208</v>
      </c>
      <c r="L92" s="14"/>
    </row>
    <row r="93" spans="1:12">
      <c r="A93" s="13"/>
      <c r="B93" t="s">
        <v>209</v>
      </c>
      <c r="L93" s="14"/>
    </row>
    <row r="94" spans="1:12">
      <c r="A94" s="13"/>
      <c r="L94" s="14"/>
    </row>
    <row r="95" spans="1:12" ht="27.95" customHeight="1">
      <c r="A95" s="13"/>
      <c r="I95" t="s">
        <v>210</v>
      </c>
      <c r="L95" s="14"/>
    </row>
    <row r="96" spans="1:12" ht="27.95" customHeight="1">
      <c r="A96" s="13"/>
      <c r="F96" s="179" t="s">
        <v>193</v>
      </c>
      <c r="L96" s="14"/>
    </row>
    <row r="97" spans="1:12" ht="27.95" customHeight="1">
      <c r="A97" s="13" t="s">
        <v>194</v>
      </c>
      <c r="K97" s="229" t="e">
        <f>'04-221Master'!#REF!</f>
        <v>#REF!</v>
      </c>
      <c r="L97" s="14"/>
    </row>
    <row r="98" spans="1:12" ht="27.95" customHeight="1">
      <c r="A98" s="13" t="s">
        <v>195</v>
      </c>
      <c r="L98" s="14"/>
    </row>
    <row r="99" spans="1:12" ht="27.95" customHeight="1">
      <c r="A99" s="13"/>
      <c r="L99" s="14"/>
    </row>
    <row r="100" spans="1:12" ht="27.95" customHeight="1">
      <c r="A100" s="13"/>
      <c r="L100" s="14"/>
    </row>
    <row r="101" spans="1:12" ht="27.95" customHeight="1">
      <c r="A101" s="13"/>
      <c r="F101" t="s">
        <v>196</v>
      </c>
      <c r="L101" s="14"/>
    </row>
    <row r="102" spans="1:12" ht="27.95" customHeight="1">
      <c r="A102" s="13" t="s">
        <v>197</v>
      </c>
      <c r="B102" t="s">
        <v>361</v>
      </c>
      <c r="F102" t="str">
        <f>'04-221Master'!F5</f>
        <v>Burgeon IT Services Pvt.Ltd.</v>
      </c>
      <c r="L102" s="14"/>
    </row>
    <row r="103" spans="1:12" ht="27.95" customHeight="1">
      <c r="A103" s="13" t="s">
        <v>198</v>
      </c>
      <c r="B103" s="289" t="e">
        <f>'04-221Master'!#REF!</f>
        <v>#REF!</v>
      </c>
      <c r="F103" t="str">
        <f>'04-221Master'!F6</f>
        <v>Siri Mansion LIGB 436 Dr.A S Rao Nagar,Hyderabad</v>
      </c>
      <c r="L103" s="14"/>
    </row>
    <row r="104" spans="1:12" ht="27.95" customHeight="1" thickBot="1">
      <c r="A104" s="25"/>
      <c r="B104" s="23"/>
      <c r="C104" s="23"/>
      <c r="D104" s="23"/>
      <c r="E104" s="23"/>
      <c r="F104" s="23"/>
      <c r="G104" s="23"/>
      <c r="H104" s="23"/>
      <c r="I104" s="23"/>
      <c r="J104" s="23"/>
      <c r="K104" s="23"/>
      <c r="L104" s="24"/>
    </row>
    <row r="105" spans="1:12" ht="27.95" customHeight="1">
      <c r="B105" s="180"/>
      <c r="C105" s="176"/>
      <c r="D105" s="176"/>
      <c r="E105" s="176"/>
      <c r="F105" s="176"/>
      <c r="G105" s="176"/>
      <c r="H105" s="1351"/>
      <c r="I105" s="1352"/>
      <c r="J105" s="1352"/>
      <c r="K105" s="1352"/>
      <c r="L105" s="1352"/>
    </row>
    <row r="106" spans="1:12" ht="27.95" customHeight="1" thickBot="1">
      <c r="B106" s="180"/>
      <c r="C106" s="176"/>
      <c r="D106" s="176"/>
      <c r="E106" s="176"/>
      <c r="F106" s="176"/>
      <c r="G106" s="176"/>
      <c r="H106" s="1351"/>
      <c r="I106" s="1352"/>
      <c r="J106" s="1352"/>
      <c r="K106" s="1352"/>
      <c r="L106" s="1352"/>
    </row>
    <row r="107" spans="1:12" ht="27.95" customHeight="1">
      <c r="A107" s="74"/>
      <c r="B107" s="1376" t="s">
        <v>181</v>
      </c>
      <c r="C107" s="1164"/>
      <c r="D107" s="1164"/>
      <c r="E107" s="1164"/>
      <c r="F107" s="1164"/>
      <c r="G107" s="1164"/>
      <c r="H107" s="1164"/>
      <c r="I107" s="1164"/>
      <c r="J107" s="1164"/>
      <c r="K107" s="1164"/>
      <c r="L107" s="1165"/>
    </row>
    <row r="108" spans="1:12" ht="27.95" customHeight="1">
      <c r="A108" s="13"/>
      <c r="B108" s="1167" t="s">
        <v>182</v>
      </c>
      <c r="C108" s="1167"/>
      <c r="D108" s="1167"/>
      <c r="E108" s="1167"/>
      <c r="F108" s="1167"/>
      <c r="G108" s="1167"/>
      <c r="H108" s="1167"/>
      <c r="I108" s="1167"/>
      <c r="J108" s="1167"/>
      <c r="K108" s="1167"/>
      <c r="L108" s="1168"/>
    </row>
    <row r="109" spans="1:12" ht="27.95" customHeight="1" thickBot="1">
      <c r="A109" s="25"/>
      <c r="B109" s="1170" t="s">
        <v>183</v>
      </c>
      <c r="C109" s="1170"/>
      <c r="D109" s="1170"/>
      <c r="E109" s="1170"/>
      <c r="F109" s="1170"/>
      <c r="G109" s="1170"/>
      <c r="H109" s="1170"/>
      <c r="I109" s="1170"/>
      <c r="J109" s="1170"/>
      <c r="K109" s="1170"/>
      <c r="L109" s="1171"/>
    </row>
    <row r="110" spans="1:12" ht="27.95" customHeight="1">
      <c r="A110" s="13"/>
      <c r="B110" s="1173" t="s">
        <v>108</v>
      </c>
      <c r="C110" s="1173"/>
      <c r="D110" s="1173"/>
      <c r="E110" s="1173"/>
      <c r="F110" s="1173"/>
      <c r="H110" s="1174" t="s">
        <v>109</v>
      </c>
      <c r="I110" s="1174"/>
      <c r="J110" s="1174"/>
      <c r="K110" s="1174"/>
      <c r="L110" s="1175"/>
    </row>
    <row r="111" spans="1:12" ht="27.95" customHeight="1" thickBot="1">
      <c r="A111" s="13"/>
      <c r="B111" s="1173"/>
      <c r="C111" s="1173"/>
      <c r="D111" s="1173"/>
      <c r="E111" s="1173"/>
      <c r="F111" s="1173"/>
      <c r="H111" s="1174"/>
      <c r="I111" s="1174"/>
      <c r="J111" s="1174"/>
      <c r="K111" s="1174"/>
      <c r="L111" s="1175"/>
    </row>
    <row r="112" spans="1:12" ht="27.95" customHeight="1">
      <c r="A112" s="13"/>
      <c r="B112" s="74"/>
      <c r="C112" s="75"/>
      <c r="D112" s="75"/>
      <c r="E112" s="75"/>
      <c r="F112" s="76"/>
      <c r="H112" s="74"/>
      <c r="I112" s="75"/>
      <c r="J112" s="75"/>
      <c r="K112" s="75"/>
      <c r="L112" s="76"/>
    </row>
    <row r="113" spans="1:12">
      <c r="A113" s="13"/>
      <c r="B113" s="77" t="str">
        <f>'04-221Master'!F5</f>
        <v>Burgeon IT Services Pvt.Ltd.</v>
      </c>
      <c r="F113" s="14"/>
      <c r="H113" s="77" t="str">
        <f>'04-221Master'!AP5</f>
        <v>Burgeon IT Services Pvt.Ltd.</v>
      </c>
      <c r="L113" s="14"/>
    </row>
    <row r="114" spans="1:12">
      <c r="A114" s="13"/>
      <c r="B114" s="13"/>
      <c r="F114" s="14"/>
      <c r="H114" s="13"/>
      <c r="L114" s="14"/>
    </row>
    <row r="115" spans="1:12">
      <c r="A115" s="13"/>
      <c r="B115" s="77" t="str">
        <f>'04-221Master'!F6</f>
        <v>Siri Mansion LIGB 436 Dr.A S Rao Nagar,Hyderabad</v>
      </c>
      <c r="F115" s="14"/>
      <c r="H115" s="77" t="str">
        <f>'04-221Master'!AP6</f>
        <v>Siri Mansion LIGB 436 Dr.A S Rao Nagar,Hyderabad</v>
      </c>
      <c r="L115" s="14"/>
    </row>
    <row r="116" spans="1:12" ht="15.75" thickBot="1">
      <c r="A116" s="13"/>
      <c r="B116" s="25"/>
      <c r="C116" s="23"/>
      <c r="D116" s="23"/>
      <c r="E116" s="23"/>
      <c r="F116" s="24"/>
      <c r="H116" s="25"/>
      <c r="I116" s="23"/>
      <c r="J116" s="23"/>
      <c r="K116" s="23"/>
      <c r="L116" s="24"/>
    </row>
    <row r="117" spans="1:12">
      <c r="A117" s="13"/>
      <c r="J117" t="s">
        <v>110</v>
      </c>
      <c r="L117" s="14"/>
    </row>
    <row r="118" spans="1:12">
      <c r="A118" s="13"/>
      <c r="B118" s="1177" t="s">
        <v>111</v>
      </c>
      <c r="C118" s="1177"/>
      <c r="D118" s="1177"/>
      <c r="E118" s="1177"/>
      <c r="F118" s="1177"/>
      <c r="H118" s="1177" t="s">
        <v>4</v>
      </c>
      <c r="I118" s="1177"/>
      <c r="J118" s="1177"/>
      <c r="K118" s="1177"/>
      <c r="L118" s="1178"/>
    </row>
    <row r="119" spans="1:12" ht="15.75" thickBot="1">
      <c r="A119" s="13"/>
      <c r="L119" s="14"/>
    </row>
    <row r="120" spans="1:12">
      <c r="A120" s="13"/>
      <c r="B120" s="74"/>
      <c r="C120" s="75"/>
      <c r="D120" s="75"/>
      <c r="E120" s="75"/>
      <c r="F120" s="76"/>
      <c r="H120" s="78"/>
      <c r="I120" s="79"/>
      <c r="J120" s="79"/>
      <c r="K120" s="79"/>
      <c r="L120" s="80"/>
    </row>
    <row r="121" spans="1:12">
      <c r="A121" s="13"/>
      <c r="B121" s="13"/>
      <c r="F121" s="14"/>
      <c r="H121" s="77" t="str">
        <f>'04-221Master'!AP10</f>
        <v>INFOSYS  LTD.IL Pune SEZ Unit-I,Plot No. 24/3</v>
      </c>
      <c r="I121" s="2"/>
      <c r="J121" s="2"/>
      <c r="K121" s="2"/>
      <c r="L121" s="81"/>
    </row>
    <row r="122" spans="1:12">
      <c r="A122" s="13"/>
      <c r="B122" s="77" t="str">
        <f>'04-221Master'!F8</f>
        <v>IT SUPPORTIVE SERVICES&amp; Pune SEZ Unit-1</v>
      </c>
      <c r="F122" s="14"/>
      <c r="H122" s="77"/>
      <c r="I122" s="2"/>
      <c r="J122" s="2"/>
      <c r="K122" s="2"/>
      <c r="L122" s="81"/>
    </row>
    <row r="123" spans="1:12">
      <c r="A123" s="13"/>
      <c r="B123" s="13"/>
      <c r="F123" s="14"/>
      <c r="H123" s="77" t="str">
        <f>'04-221Master'!AP11</f>
        <v>Rajiv gandhi Info tech park,Village Mann,Pune,Maharashtra 411057</v>
      </c>
      <c r="I123" s="2"/>
      <c r="J123" s="2"/>
      <c r="K123" s="2"/>
      <c r="L123" s="81"/>
    </row>
    <row r="124" spans="1:12" ht="15.75" thickBot="1">
      <c r="A124" s="13"/>
      <c r="B124" s="25"/>
      <c r="C124" s="23"/>
      <c r="D124" s="23"/>
      <c r="E124" s="23"/>
      <c r="F124" s="24"/>
      <c r="H124" s="82"/>
      <c r="I124" s="83"/>
      <c r="J124" s="83"/>
      <c r="K124" s="83"/>
      <c r="L124" s="84"/>
    </row>
    <row r="125" spans="1:12">
      <c r="A125" s="85"/>
      <c r="B125" s="1369" t="s">
        <v>184</v>
      </c>
      <c r="C125" s="1369"/>
      <c r="D125" s="1369"/>
      <c r="E125" s="1369"/>
      <c r="F125" s="1369"/>
      <c r="G125" s="1369"/>
      <c r="H125" s="1372" t="e">
        <f>'04-221Master'!#REF!</f>
        <v>#REF!</v>
      </c>
      <c r="I125" s="1371"/>
      <c r="J125" s="1371"/>
      <c r="K125" s="1371"/>
      <c r="L125" s="1151"/>
    </row>
    <row r="126" spans="1:12">
      <c r="A126" s="85"/>
      <c r="B126" s="1373" t="s">
        <v>185</v>
      </c>
      <c r="C126" s="1373"/>
      <c r="D126" s="1373"/>
      <c r="E126" s="1373"/>
      <c r="F126" s="1373"/>
      <c r="G126" s="1373"/>
      <c r="H126" s="1372" t="e">
        <f>'04-221Master'!#REF!</f>
        <v>#REF!</v>
      </c>
      <c r="I126" s="1371"/>
      <c r="J126" s="1371"/>
      <c r="K126" s="1371"/>
      <c r="L126" s="1151"/>
    </row>
    <row r="127" spans="1:12">
      <c r="A127" s="85"/>
      <c r="B127" s="1369" t="s">
        <v>186</v>
      </c>
      <c r="C127" s="1369"/>
      <c r="D127" s="1369"/>
      <c r="E127" s="1369"/>
      <c r="F127" s="1369"/>
      <c r="G127" s="1369"/>
      <c r="H127" s="1372" t="e">
        <f>'04-221Master'!#REF!</f>
        <v>#REF!</v>
      </c>
      <c r="I127" s="1371"/>
      <c r="J127" s="1371"/>
      <c r="K127" s="1371"/>
      <c r="L127" s="1151"/>
    </row>
    <row r="128" spans="1:12">
      <c r="A128" s="85"/>
      <c r="B128" s="1369" t="s">
        <v>187</v>
      </c>
      <c r="C128" s="1369"/>
      <c r="D128" s="1369"/>
      <c r="E128" s="1369"/>
      <c r="F128" s="1369"/>
      <c r="G128" s="1369"/>
      <c r="H128" s="1374" t="e">
        <f>'04-221Master'!#REF!</f>
        <v>#REF!</v>
      </c>
      <c r="I128" s="1371"/>
      <c r="J128" s="1371"/>
      <c r="K128" s="1371"/>
      <c r="L128" s="1151"/>
    </row>
    <row r="129" spans="1:12">
      <c r="A129" s="85"/>
      <c r="B129" s="86" t="s">
        <v>188</v>
      </c>
      <c r="C129" s="87"/>
      <c r="D129" s="87"/>
      <c r="E129" s="87"/>
      <c r="F129" s="87"/>
      <c r="G129" s="87"/>
      <c r="H129" s="1366" t="s">
        <v>189</v>
      </c>
      <c r="I129" s="1367"/>
      <c r="J129" s="1367"/>
      <c r="K129" s="1367"/>
      <c r="L129" s="1368"/>
    </row>
    <row r="130" spans="1:12">
      <c r="A130" s="85"/>
      <c r="B130" s="86" t="s">
        <v>190</v>
      </c>
      <c r="C130" s="87"/>
      <c r="D130" s="87"/>
      <c r="E130" s="87"/>
      <c r="F130" s="87"/>
      <c r="G130" s="87"/>
      <c r="H130" s="88"/>
      <c r="I130" s="90"/>
      <c r="J130" s="178"/>
      <c r="K130" s="90"/>
      <c r="L130" s="95"/>
    </row>
    <row r="131" spans="1:12">
      <c r="A131" s="85"/>
      <c r="B131" s="1161" t="s">
        <v>191</v>
      </c>
      <c r="C131" s="1161"/>
      <c r="D131" s="1161"/>
      <c r="E131" s="1161"/>
      <c r="F131" s="1161"/>
      <c r="G131" s="1161"/>
      <c r="H131" s="1154" t="e">
        <f>'04-221Master'!#REF!</f>
        <v>#REF!</v>
      </c>
      <c r="I131" s="1155"/>
      <c r="J131" s="1155"/>
      <c r="K131" s="1155"/>
      <c r="L131" s="1156"/>
    </row>
    <row r="132" spans="1:12">
      <c r="A132" s="85"/>
      <c r="B132" s="1369"/>
      <c r="C132" s="1369"/>
      <c r="D132" s="1369"/>
      <c r="E132" s="1369"/>
      <c r="F132" s="1369"/>
      <c r="G132" s="1369"/>
      <c r="H132" s="1370" t="e">
        <f>'04-221Master'!#REF!</f>
        <v>#REF!</v>
      </c>
      <c r="I132" s="1371"/>
      <c r="J132" s="1371"/>
      <c r="K132" s="1371"/>
      <c r="L132" s="1151"/>
    </row>
    <row r="133" spans="1:12">
      <c r="A133" s="13"/>
      <c r="B133" s="1369"/>
      <c r="C133" s="1369"/>
      <c r="D133" s="1369"/>
      <c r="E133" s="1369"/>
      <c r="F133" s="1369"/>
      <c r="G133" s="1369"/>
      <c r="H133" s="1372" t="e">
        <f>'04-221Master'!#REF!</f>
        <v>#REF!</v>
      </c>
      <c r="I133" s="1371"/>
      <c r="J133" s="1371"/>
      <c r="K133" s="1371"/>
      <c r="L133" s="1151"/>
    </row>
    <row r="134" spans="1:12">
      <c r="A134" s="13"/>
      <c r="B134" s="86" t="s">
        <v>192</v>
      </c>
      <c r="C134" s="87"/>
      <c r="D134" s="87"/>
      <c r="E134" s="87"/>
      <c r="F134" s="87"/>
      <c r="G134" s="91"/>
      <c r="H134" s="1359" t="e">
        <f>'04-221Master'!#REF!</f>
        <v>#REF!</v>
      </c>
      <c r="I134" s="1149"/>
      <c r="J134" s="1149"/>
      <c r="K134" s="1149"/>
      <c r="L134" s="1360"/>
    </row>
    <row r="135" spans="1:12">
      <c r="A135" s="13"/>
      <c r="B135" s="86"/>
      <c r="C135" s="87"/>
      <c r="D135" s="87"/>
      <c r="E135" s="87"/>
      <c r="F135" s="87"/>
      <c r="G135" s="91"/>
      <c r="H135" s="1359" t="e">
        <f>'04-221Master'!#REF!</f>
        <v>#REF!</v>
      </c>
      <c r="I135" s="1149"/>
      <c r="J135" s="1149"/>
      <c r="K135" s="1149"/>
      <c r="L135" s="1360"/>
    </row>
    <row r="136" spans="1:12">
      <c r="A136" s="13"/>
      <c r="B136" s="86"/>
      <c r="C136" s="87"/>
      <c r="D136" s="87"/>
      <c r="E136" s="87"/>
      <c r="F136" s="87"/>
      <c r="G136" s="91"/>
      <c r="H136" s="1359" t="e">
        <f>'04-221Master'!#REF!</f>
        <v>#REF!</v>
      </c>
      <c r="I136" s="1149"/>
      <c r="J136" s="1149"/>
      <c r="K136" s="1149"/>
      <c r="L136" s="1360"/>
    </row>
    <row r="137" spans="1:12">
      <c r="A137" s="13"/>
      <c r="B137" s="86" t="s">
        <v>199</v>
      </c>
      <c r="C137" s="87"/>
      <c r="D137" s="87"/>
      <c r="E137" s="87"/>
      <c r="F137" s="87"/>
      <c r="G137" s="91"/>
      <c r="H137" s="88"/>
      <c r="I137" s="90"/>
      <c r="J137" s="90"/>
      <c r="K137" s="90"/>
      <c r="L137" s="95"/>
    </row>
    <row r="138" spans="1:12">
      <c r="A138" s="13"/>
      <c r="B138" s="97" t="s">
        <v>200</v>
      </c>
      <c r="C138" s="159"/>
      <c r="D138" s="159"/>
      <c r="E138" s="159"/>
      <c r="F138" s="159"/>
      <c r="G138" s="160"/>
      <c r="H138" s="161"/>
      <c r="I138" s="162"/>
      <c r="J138" s="163"/>
      <c r="K138" s="162"/>
      <c r="L138" s="164"/>
    </row>
    <row r="139" spans="1:12" ht="45">
      <c r="A139" s="13"/>
      <c r="B139" s="86" t="s">
        <v>203</v>
      </c>
      <c r="C139" s="87"/>
      <c r="D139" s="90"/>
      <c r="E139" s="171" t="s">
        <v>205</v>
      </c>
      <c r="F139" s="65"/>
      <c r="G139" s="1361" t="s">
        <v>204</v>
      </c>
      <c r="H139" s="1362"/>
      <c r="I139" s="175" t="s">
        <v>201</v>
      </c>
      <c r="J139" s="173" t="s">
        <v>206</v>
      </c>
      <c r="K139" s="1361" t="s">
        <v>202</v>
      </c>
      <c r="L139" s="1363"/>
    </row>
    <row r="140" spans="1:12">
      <c r="A140" s="13"/>
      <c r="B140" s="174">
        <v>1</v>
      </c>
      <c r="C140" s="87"/>
      <c r="D140" s="87"/>
      <c r="E140" s="177">
        <v>2</v>
      </c>
      <c r="F140" s="91"/>
      <c r="G140" s="177">
        <v>3</v>
      </c>
      <c r="H140" s="193"/>
      <c r="I140" s="193">
        <v>4</v>
      </c>
      <c r="J140" s="102">
        <v>5</v>
      </c>
      <c r="K140" s="93"/>
      <c r="L140" s="94">
        <v>6</v>
      </c>
    </row>
    <row r="141" spans="1:12">
      <c r="A141" s="13"/>
      <c r="B141" s="291" t="e">
        <f>'04-221Master'!#REF!</f>
        <v>#REF!</v>
      </c>
      <c r="C141" s="189"/>
      <c r="D141" s="190"/>
      <c r="E141" s="192" t="s">
        <v>362</v>
      </c>
      <c r="F141" s="190"/>
      <c r="G141" s="192" t="s">
        <v>363</v>
      </c>
      <c r="H141" s="65"/>
      <c r="I141" s="11" t="s">
        <v>364</v>
      </c>
      <c r="J141" s="290">
        <v>1</v>
      </c>
      <c r="K141" s="1364" t="s">
        <v>37</v>
      </c>
      <c r="L141" s="1375"/>
    </row>
    <row r="142" spans="1:12">
      <c r="A142" s="13"/>
      <c r="B142" s="86"/>
      <c r="C142" s="189"/>
      <c r="D142" s="190"/>
      <c r="E142" s="191"/>
      <c r="F142" s="190"/>
      <c r="G142" s="191"/>
      <c r="H142" s="65"/>
      <c r="I142" s="11"/>
      <c r="J142" s="11"/>
      <c r="K142" s="192"/>
      <c r="L142" s="65"/>
    </row>
    <row r="143" spans="1:12">
      <c r="A143" s="13"/>
      <c r="B143" s="86"/>
      <c r="C143" s="189"/>
      <c r="D143" s="190"/>
      <c r="E143" s="191"/>
      <c r="F143" s="190"/>
      <c r="G143" s="191"/>
      <c r="H143" s="65"/>
      <c r="I143" s="11"/>
      <c r="J143" s="11"/>
      <c r="K143" s="192"/>
      <c r="L143" s="65"/>
    </row>
    <row r="144" spans="1:12">
      <c r="A144" s="13"/>
      <c r="B144" s="72"/>
      <c r="C144" s="17"/>
      <c r="D144" s="73"/>
      <c r="E144" s="191"/>
      <c r="F144" s="190"/>
      <c r="G144" s="191"/>
      <c r="H144" s="65"/>
      <c r="I144" s="11"/>
      <c r="J144" s="11"/>
      <c r="K144" s="192"/>
      <c r="L144" s="65"/>
    </row>
    <row r="145" spans="1:12">
      <c r="A145" s="13"/>
      <c r="B145" t="s">
        <v>207</v>
      </c>
      <c r="L145" s="14"/>
    </row>
    <row r="146" spans="1:12">
      <c r="A146" s="13"/>
      <c r="B146" t="s">
        <v>208</v>
      </c>
      <c r="L146" s="14"/>
    </row>
    <row r="147" spans="1:12">
      <c r="A147" s="13"/>
      <c r="B147" t="s">
        <v>209</v>
      </c>
      <c r="L147" s="14"/>
    </row>
    <row r="148" spans="1:12" ht="27.95" customHeight="1">
      <c r="A148" s="13"/>
      <c r="L148" s="14"/>
    </row>
    <row r="149" spans="1:12" ht="27.95" customHeight="1">
      <c r="A149" s="13"/>
      <c r="I149" t="s">
        <v>210</v>
      </c>
      <c r="L149" s="14"/>
    </row>
    <row r="150" spans="1:12" ht="27.95" customHeight="1">
      <c r="A150" s="13"/>
      <c r="F150" s="179" t="s">
        <v>193</v>
      </c>
      <c r="L150" s="14"/>
    </row>
    <row r="151" spans="1:12" ht="27.95" customHeight="1">
      <c r="A151" s="13" t="s">
        <v>194</v>
      </c>
      <c r="K151" s="229" t="e">
        <f>'04-221Master'!#REF!</f>
        <v>#REF!</v>
      </c>
      <c r="L151" s="14"/>
    </row>
    <row r="152" spans="1:12" ht="27.95" customHeight="1">
      <c r="A152" s="13" t="s">
        <v>195</v>
      </c>
      <c r="L152" s="14"/>
    </row>
    <row r="153" spans="1:12" ht="27.95" customHeight="1">
      <c r="A153" s="13"/>
      <c r="L153" s="14"/>
    </row>
    <row r="154" spans="1:12" ht="27.95" customHeight="1">
      <c r="A154" s="13"/>
      <c r="L154" s="14"/>
    </row>
    <row r="155" spans="1:12" ht="27.95" customHeight="1">
      <c r="A155" s="13"/>
      <c r="F155" t="s">
        <v>196</v>
      </c>
      <c r="L155" s="14"/>
    </row>
    <row r="156" spans="1:12" ht="27.95" customHeight="1">
      <c r="A156" s="13" t="s">
        <v>197</v>
      </c>
      <c r="B156" t="s">
        <v>361</v>
      </c>
      <c r="F156" t="str">
        <f>'04-221Master'!F5</f>
        <v>Burgeon IT Services Pvt.Ltd.</v>
      </c>
      <c r="L156" s="14"/>
    </row>
    <row r="157" spans="1:12" ht="27.95" customHeight="1">
      <c r="A157" s="13" t="s">
        <v>198</v>
      </c>
      <c r="B157" s="289" t="e">
        <f>'04-221Master'!#REF!</f>
        <v>#REF!</v>
      </c>
      <c r="F157" t="str">
        <f>'04-221Master'!F6</f>
        <v>Siri Mansion LIGB 436 Dr.A S Rao Nagar,Hyderabad</v>
      </c>
      <c r="L157" s="14"/>
    </row>
    <row r="158" spans="1:12" ht="27.95" customHeight="1" thickBot="1">
      <c r="A158" s="25"/>
      <c r="B158" s="23"/>
      <c r="C158" s="23"/>
      <c r="D158" s="23"/>
      <c r="E158" s="23"/>
      <c r="F158" s="23"/>
      <c r="G158" s="23"/>
      <c r="H158" s="23"/>
      <c r="I158" s="23"/>
      <c r="J158" s="23"/>
      <c r="K158" s="23"/>
      <c r="L158" s="24"/>
    </row>
    <row r="159" spans="1:12" ht="27.95" customHeight="1" thickBot="1">
      <c r="B159" s="180"/>
      <c r="C159" s="176"/>
      <c r="D159" s="176"/>
      <c r="E159" s="176"/>
      <c r="F159" s="176"/>
      <c r="G159" s="176"/>
      <c r="H159" s="165"/>
      <c r="I159" s="165"/>
      <c r="J159" s="166"/>
      <c r="K159" s="165"/>
      <c r="L159" s="165"/>
    </row>
    <row r="160" spans="1:12" ht="27.95" customHeight="1">
      <c r="A160" s="74"/>
      <c r="B160" s="1376" t="s">
        <v>181</v>
      </c>
      <c r="C160" s="1164"/>
      <c r="D160" s="1164"/>
      <c r="E160" s="1164"/>
      <c r="F160" s="1164"/>
      <c r="G160" s="1164"/>
      <c r="H160" s="1164"/>
      <c r="I160" s="1164"/>
      <c r="J160" s="1164"/>
      <c r="K160" s="1164"/>
      <c r="L160" s="1165"/>
    </row>
    <row r="161" spans="1:12" ht="27.95" customHeight="1">
      <c r="A161" s="13"/>
      <c r="B161" s="1167" t="s">
        <v>182</v>
      </c>
      <c r="C161" s="1167"/>
      <c r="D161" s="1167"/>
      <c r="E161" s="1167"/>
      <c r="F161" s="1167"/>
      <c r="G161" s="1167"/>
      <c r="H161" s="1167"/>
      <c r="I161" s="1167"/>
      <c r="J161" s="1167"/>
      <c r="K161" s="1167"/>
      <c r="L161" s="1168"/>
    </row>
    <row r="162" spans="1:12" ht="27.95" customHeight="1" thickBot="1">
      <c r="A162" s="25"/>
      <c r="B162" s="1170" t="s">
        <v>183</v>
      </c>
      <c r="C162" s="1170"/>
      <c r="D162" s="1170"/>
      <c r="E162" s="1170"/>
      <c r="F162" s="1170"/>
      <c r="G162" s="1170"/>
      <c r="H162" s="1170"/>
      <c r="I162" s="1170"/>
      <c r="J162" s="1170"/>
      <c r="K162" s="1170"/>
      <c r="L162" s="1171"/>
    </row>
    <row r="163" spans="1:12" ht="27.95" customHeight="1">
      <c r="A163" s="13"/>
      <c r="B163" s="1173" t="s">
        <v>108</v>
      </c>
      <c r="C163" s="1173"/>
      <c r="D163" s="1173"/>
      <c r="E163" s="1173"/>
      <c r="F163" s="1173"/>
      <c r="H163" s="1174" t="s">
        <v>109</v>
      </c>
      <c r="I163" s="1174"/>
      <c r="J163" s="1174"/>
      <c r="K163" s="1174"/>
      <c r="L163" s="1175"/>
    </row>
    <row r="164" spans="1:12" ht="27.95" customHeight="1" thickBot="1">
      <c r="A164" s="13"/>
      <c r="B164" s="1173"/>
      <c r="C164" s="1173"/>
      <c r="D164" s="1173"/>
      <c r="E164" s="1173"/>
      <c r="F164" s="1173"/>
      <c r="H164" s="1174"/>
      <c r="I164" s="1174"/>
      <c r="J164" s="1174"/>
      <c r="K164" s="1174"/>
      <c r="L164" s="1175"/>
    </row>
    <row r="165" spans="1:12" ht="27.95" customHeight="1">
      <c r="A165" s="13"/>
      <c r="B165" s="74"/>
      <c r="C165" s="75"/>
      <c r="D165" s="75"/>
      <c r="E165" s="75"/>
      <c r="F165" s="76"/>
      <c r="H165" s="74"/>
      <c r="I165" s="75"/>
      <c r="J165" s="75"/>
      <c r="K165" s="75"/>
      <c r="L165" s="76"/>
    </row>
    <row r="166" spans="1:12">
      <c r="A166" s="13"/>
      <c r="B166" s="77" t="str">
        <f>'04-221Master'!F5</f>
        <v>Burgeon IT Services Pvt.Ltd.</v>
      </c>
      <c r="F166" s="14"/>
      <c r="H166" s="77" t="str">
        <f>'04-221Master'!AP5</f>
        <v>Burgeon IT Services Pvt.Ltd.</v>
      </c>
      <c r="L166" s="14"/>
    </row>
    <row r="167" spans="1:12">
      <c r="A167" s="13"/>
      <c r="B167" s="13"/>
      <c r="F167" s="14"/>
      <c r="H167" s="13"/>
      <c r="L167" s="14"/>
    </row>
    <row r="168" spans="1:12">
      <c r="A168" s="13"/>
      <c r="B168" s="77" t="str">
        <f>'04-221Master'!F6</f>
        <v>Siri Mansion LIGB 436 Dr.A S Rao Nagar,Hyderabad</v>
      </c>
      <c r="F168" s="14"/>
      <c r="H168" s="77" t="str">
        <f>'04-221Master'!AP6</f>
        <v>Siri Mansion LIGB 436 Dr.A S Rao Nagar,Hyderabad</v>
      </c>
      <c r="L168" s="14"/>
    </row>
    <row r="169" spans="1:12" ht="15.75" thickBot="1">
      <c r="A169" s="13"/>
      <c r="B169" s="25"/>
      <c r="C169" s="23"/>
      <c r="D169" s="23"/>
      <c r="E169" s="23"/>
      <c r="F169" s="24"/>
      <c r="H169" s="25"/>
      <c r="I169" s="23"/>
      <c r="J169" s="23"/>
      <c r="K169" s="23"/>
      <c r="L169" s="24"/>
    </row>
    <row r="170" spans="1:12">
      <c r="A170" s="13"/>
      <c r="J170" t="s">
        <v>110</v>
      </c>
      <c r="L170" s="14"/>
    </row>
    <row r="171" spans="1:12">
      <c r="A171" s="13"/>
      <c r="B171" s="1177" t="s">
        <v>111</v>
      </c>
      <c r="C171" s="1177"/>
      <c r="D171" s="1177"/>
      <c r="E171" s="1177"/>
      <c r="F171" s="1177"/>
      <c r="H171" s="1177" t="s">
        <v>4</v>
      </c>
      <c r="I171" s="1177"/>
      <c r="J171" s="1177"/>
      <c r="K171" s="1177"/>
      <c r="L171" s="1178"/>
    </row>
    <row r="172" spans="1:12" ht="15.75" thickBot="1">
      <c r="A172" s="13"/>
      <c r="L172" s="14"/>
    </row>
    <row r="173" spans="1:12">
      <c r="A173" s="13"/>
      <c r="B173" s="74"/>
      <c r="C173" s="75"/>
      <c r="D173" s="75"/>
      <c r="E173" s="75"/>
      <c r="F173" s="76"/>
      <c r="H173" s="78"/>
      <c r="I173" s="79"/>
      <c r="J173" s="79"/>
      <c r="K173" s="79"/>
      <c r="L173" s="80"/>
    </row>
    <row r="174" spans="1:12">
      <c r="A174" s="13"/>
      <c r="B174" s="13"/>
      <c r="F174" s="14"/>
      <c r="H174" s="77" t="str">
        <f>'04-221Master'!AP10</f>
        <v>INFOSYS  LTD.IL Pune SEZ Unit-I,Plot No. 24/3</v>
      </c>
      <c r="I174" s="2"/>
      <c r="J174" s="2"/>
      <c r="K174" s="2"/>
      <c r="L174" s="81"/>
    </row>
    <row r="175" spans="1:12">
      <c r="A175" s="13"/>
      <c r="B175" s="77" t="str">
        <f>'04-221Master'!F8</f>
        <v>IT SUPPORTIVE SERVICES&amp; Pune SEZ Unit-1</v>
      </c>
      <c r="F175" s="14"/>
      <c r="H175" s="77"/>
      <c r="I175" s="2"/>
      <c r="J175" s="2"/>
      <c r="K175" s="2"/>
      <c r="L175" s="81"/>
    </row>
    <row r="176" spans="1:12">
      <c r="A176" s="13"/>
      <c r="B176" s="13"/>
      <c r="F176" s="14"/>
      <c r="H176" s="77" t="str">
        <f>'04-221Master'!AP11</f>
        <v>Rajiv gandhi Info tech park,Village Mann,Pune,Maharashtra 411057</v>
      </c>
      <c r="I176" s="2"/>
      <c r="J176" s="2"/>
      <c r="K176" s="2"/>
      <c r="L176" s="81"/>
    </row>
    <row r="177" spans="1:12" ht="15.75" thickBot="1">
      <c r="A177" s="13"/>
      <c r="B177" s="25"/>
      <c r="C177" s="23"/>
      <c r="D177" s="23"/>
      <c r="E177" s="23"/>
      <c r="F177" s="24"/>
      <c r="H177" s="82"/>
      <c r="I177" s="83"/>
      <c r="J177" s="83"/>
      <c r="K177" s="83"/>
      <c r="L177" s="84"/>
    </row>
    <row r="178" spans="1:12">
      <c r="A178" s="85"/>
      <c r="B178" s="1369" t="s">
        <v>184</v>
      </c>
      <c r="C178" s="1369"/>
      <c r="D178" s="1369"/>
      <c r="E178" s="1369"/>
      <c r="F178" s="1369"/>
      <c r="G178" s="1369"/>
      <c r="H178" s="1372" t="e">
        <f>'04-221Master'!#REF!</f>
        <v>#REF!</v>
      </c>
      <c r="I178" s="1371"/>
      <c r="J178" s="1371"/>
      <c r="K178" s="1371"/>
      <c r="L178" s="1151"/>
    </row>
    <row r="179" spans="1:12">
      <c r="A179" s="85"/>
      <c r="B179" s="1373" t="s">
        <v>185</v>
      </c>
      <c r="C179" s="1373"/>
      <c r="D179" s="1373"/>
      <c r="E179" s="1373"/>
      <c r="F179" s="1373"/>
      <c r="G179" s="1373"/>
      <c r="H179" s="1372" t="e">
        <f>'04-221Master'!#REF!</f>
        <v>#REF!</v>
      </c>
      <c r="I179" s="1371"/>
      <c r="J179" s="1371"/>
      <c r="K179" s="1371"/>
      <c r="L179" s="1151"/>
    </row>
    <row r="180" spans="1:12">
      <c r="A180" s="85"/>
      <c r="B180" s="1369" t="s">
        <v>186</v>
      </c>
      <c r="C180" s="1369"/>
      <c r="D180" s="1369"/>
      <c r="E180" s="1369"/>
      <c r="F180" s="1369"/>
      <c r="G180" s="1369"/>
      <c r="H180" s="1372" t="e">
        <f>'04-221Master'!#REF!</f>
        <v>#REF!</v>
      </c>
      <c r="I180" s="1371"/>
      <c r="J180" s="1371"/>
      <c r="K180" s="1371"/>
      <c r="L180" s="1151"/>
    </row>
    <row r="181" spans="1:12">
      <c r="A181" s="85"/>
      <c r="B181" s="1369" t="s">
        <v>187</v>
      </c>
      <c r="C181" s="1369"/>
      <c r="D181" s="1369"/>
      <c r="E181" s="1369"/>
      <c r="F181" s="1369"/>
      <c r="G181" s="1369"/>
      <c r="H181" s="1374" t="e">
        <f>'04-221Master'!#REF!</f>
        <v>#REF!</v>
      </c>
      <c r="I181" s="1371"/>
      <c r="J181" s="1371"/>
      <c r="K181" s="1371"/>
      <c r="L181" s="1151"/>
    </row>
    <row r="182" spans="1:12">
      <c r="A182" s="85"/>
      <c r="B182" s="86" t="s">
        <v>188</v>
      </c>
      <c r="C182" s="87"/>
      <c r="D182" s="87"/>
      <c r="E182" s="87"/>
      <c r="F182" s="87"/>
      <c r="G182" s="87"/>
      <c r="H182" s="1366" t="s">
        <v>189</v>
      </c>
      <c r="I182" s="1367"/>
      <c r="J182" s="1367"/>
      <c r="K182" s="1367"/>
      <c r="L182" s="1368"/>
    </row>
    <row r="183" spans="1:12">
      <c r="A183" s="85"/>
      <c r="B183" s="86" t="s">
        <v>190</v>
      </c>
      <c r="C183" s="87"/>
      <c r="D183" s="87"/>
      <c r="E183" s="87"/>
      <c r="F183" s="87"/>
      <c r="G183" s="87"/>
      <c r="H183" s="88"/>
      <c r="I183" s="90"/>
      <c r="J183" s="178"/>
      <c r="K183" s="90"/>
      <c r="L183" s="95"/>
    </row>
    <row r="184" spans="1:12">
      <c r="A184" s="85"/>
      <c r="B184" s="1161" t="s">
        <v>191</v>
      </c>
      <c r="C184" s="1161"/>
      <c r="D184" s="1161"/>
      <c r="E184" s="1161"/>
      <c r="F184" s="1161"/>
      <c r="G184" s="1161"/>
      <c r="H184" s="1154" t="e">
        <f>'04-221Master'!#REF!</f>
        <v>#REF!</v>
      </c>
      <c r="I184" s="1155"/>
      <c r="J184" s="1155"/>
      <c r="K184" s="1155"/>
      <c r="L184" s="1156"/>
    </row>
    <row r="185" spans="1:12">
      <c r="A185" s="85"/>
      <c r="B185" s="1369"/>
      <c r="C185" s="1369"/>
      <c r="D185" s="1369"/>
      <c r="E185" s="1369"/>
      <c r="F185" s="1369"/>
      <c r="G185" s="1369"/>
      <c r="H185" s="1370" t="e">
        <f>'04-221Master'!#REF!</f>
        <v>#REF!</v>
      </c>
      <c r="I185" s="1371"/>
      <c r="J185" s="1371"/>
      <c r="K185" s="1371"/>
      <c r="L185" s="1151"/>
    </row>
    <row r="186" spans="1:12">
      <c r="A186" s="13"/>
      <c r="B186" s="1369"/>
      <c r="C186" s="1369"/>
      <c r="D186" s="1369"/>
      <c r="E186" s="1369"/>
      <c r="F186" s="1369"/>
      <c r="G186" s="1369"/>
      <c r="H186" s="1372" t="e">
        <f>'04-221Master'!#REF!</f>
        <v>#REF!</v>
      </c>
      <c r="I186" s="1371"/>
      <c r="J186" s="1371"/>
      <c r="K186" s="1371"/>
      <c r="L186" s="1151"/>
    </row>
    <row r="187" spans="1:12">
      <c r="A187" s="13"/>
      <c r="B187" s="86" t="s">
        <v>192</v>
      </c>
      <c r="C187" s="87"/>
      <c r="D187" s="87"/>
      <c r="E187" s="87"/>
      <c r="F187" s="87"/>
      <c r="G187" s="91"/>
      <c r="H187" s="1359" t="e">
        <f>'04-221Master'!#REF!</f>
        <v>#REF!</v>
      </c>
      <c r="I187" s="1149"/>
      <c r="J187" s="1149"/>
      <c r="K187" s="1149"/>
      <c r="L187" s="1360"/>
    </row>
    <row r="188" spans="1:12">
      <c r="A188" s="13"/>
      <c r="B188" s="86"/>
      <c r="C188" s="87"/>
      <c r="D188" s="87"/>
      <c r="E188" s="87"/>
      <c r="F188" s="87"/>
      <c r="G188" s="91"/>
      <c r="H188" s="1359" t="e">
        <f>'04-221Master'!#REF!</f>
        <v>#REF!</v>
      </c>
      <c r="I188" s="1149"/>
      <c r="J188" s="1149"/>
      <c r="K188" s="1149"/>
      <c r="L188" s="1360"/>
    </row>
    <row r="189" spans="1:12">
      <c r="A189" s="13"/>
      <c r="B189" s="86"/>
      <c r="C189" s="87"/>
      <c r="D189" s="87"/>
      <c r="E189" s="87"/>
      <c r="F189" s="87"/>
      <c r="G189" s="91"/>
      <c r="H189" s="1359" t="e">
        <f>'04-221Master'!#REF!</f>
        <v>#REF!</v>
      </c>
      <c r="I189" s="1149"/>
      <c r="J189" s="1149"/>
      <c r="K189" s="1149"/>
      <c r="L189" s="1360"/>
    </row>
    <row r="190" spans="1:12">
      <c r="A190" s="13"/>
      <c r="B190" s="86" t="s">
        <v>199</v>
      </c>
      <c r="C190" s="87"/>
      <c r="D190" s="87"/>
      <c r="E190" s="87"/>
      <c r="F190" s="87"/>
      <c r="G190" s="91"/>
      <c r="H190" s="88"/>
      <c r="I190" s="90"/>
      <c r="J190" s="90"/>
      <c r="K190" s="90"/>
      <c r="L190" s="95"/>
    </row>
    <row r="191" spans="1:12">
      <c r="A191" s="13"/>
      <c r="B191" s="97" t="s">
        <v>200</v>
      </c>
      <c r="C191" s="159"/>
      <c r="D191" s="159"/>
      <c r="E191" s="159"/>
      <c r="F191" s="159"/>
      <c r="G191" s="160"/>
      <c r="H191" s="161"/>
      <c r="I191" s="162"/>
      <c r="J191" s="163"/>
      <c r="K191" s="162"/>
      <c r="L191" s="164"/>
    </row>
    <row r="192" spans="1:12" ht="45">
      <c r="A192" s="13"/>
      <c r="B192" s="86" t="s">
        <v>203</v>
      </c>
      <c r="C192" s="87"/>
      <c r="D192" s="90"/>
      <c r="E192" s="171" t="s">
        <v>205</v>
      </c>
      <c r="F192" s="65"/>
      <c r="G192" s="1361" t="s">
        <v>204</v>
      </c>
      <c r="H192" s="1362"/>
      <c r="I192" s="175" t="s">
        <v>201</v>
      </c>
      <c r="J192" s="173" t="s">
        <v>206</v>
      </c>
      <c r="K192" s="1361" t="s">
        <v>202</v>
      </c>
      <c r="L192" s="1363"/>
    </row>
    <row r="193" spans="1:12">
      <c r="A193" s="13"/>
      <c r="B193" s="174">
        <v>1</v>
      </c>
      <c r="C193" s="87"/>
      <c r="D193" s="87"/>
      <c r="E193" s="177">
        <v>2</v>
      </c>
      <c r="F193" s="91"/>
      <c r="G193" s="177">
        <v>3</v>
      </c>
      <c r="H193" s="193"/>
      <c r="I193" s="193">
        <v>4</v>
      </c>
      <c r="J193" s="102">
        <v>5</v>
      </c>
      <c r="K193" s="93"/>
      <c r="L193" s="94">
        <v>6</v>
      </c>
    </row>
    <row r="194" spans="1:12">
      <c r="A194" s="13"/>
      <c r="B194" s="291" t="e">
        <f>'04-221Master'!#REF!</f>
        <v>#REF!</v>
      </c>
      <c r="C194" s="189"/>
      <c r="D194" s="190"/>
      <c r="E194" s="192" t="s">
        <v>362</v>
      </c>
      <c r="F194" s="190"/>
      <c r="G194" s="192" t="s">
        <v>363</v>
      </c>
      <c r="H194" s="65"/>
      <c r="I194" s="11" t="s">
        <v>364</v>
      </c>
      <c r="J194" s="290">
        <v>1</v>
      </c>
      <c r="K194" s="1364" t="s">
        <v>37</v>
      </c>
      <c r="L194" s="1375"/>
    </row>
    <row r="195" spans="1:12">
      <c r="A195" s="13"/>
      <c r="B195" s="86"/>
      <c r="C195" s="189"/>
      <c r="D195" s="190"/>
      <c r="E195" s="191"/>
      <c r="F195" s="190"/>
      <c r="G195" s="191"/>
      <c r="H195" s="65"/>
      <c r="I195" s="11"/>
      <c r="J195" s="11"/>
      <c r="K195" s="192"/>
      <c r="L195" s="65"/>
    </row>
    <row r="196" spans="1:12">
      <c r="A196" s="13"/>
      <c r="B196" s="86"/>
      <c r="C196" s="189"/>
      <c r="D196" s="190"/>
      <c r="E196" s="191"/>
      <c r="F196" s="190"/>
      <c r="G196" s="191"/>
      <c r="H196" s="65"/>
      <c r="I196" s="11"/>
      <c r="J196" s="11"/>
      <c r="K196" s="192"/>
      <c r="L196" s="65"/>
    </row>
    <row r="197" spans="1:12">
      <c r="A197" s="13"/>
      <c r="B197" s="72"/>
      <c r="C197" s="17"/>
      <c r="D197" s="73"/>
      <c r="E197" s="191"/>
      <c r="F197" s="190"/>
      <c r="G197" s="191"/>
      <c r="H197" s="65"/>
      <c r="I197" s="11"/>
      <c r="J197" s="11"/>
      <c r="K197" s="192"/>
      <c r="L197" s="65"/>
    </row>
    <row r="198" spans="1:12">
      <c r="A198" s="13"/>
      <c r="B198" t="s">
        <v>207</v>
      </c>
      <c r="L198" s="14"/>
    </row>
    <row r="199" spans="1:12">
      <c r="A199" s="13"/>
      <c r="B199" t="s">
        <v>208</v>
      </c>
      <c r="L199" s="14"/>
    </row>
    <row r="200" spans="1:12">
      <c r="A200" s="13"/>
      <c r="B200" t="s">
        <v>209</v>
      </c>
      <c r="L200" s="14"/>
    </row>
    <row r="201" spans="1:12" ht="27.95" customHeight="1">
      <c r="A201" s="13"/>
      <c r="L201" s="14"/>
    </row>
    <row r="202" spans="1:12" ht="27.95" customHeight="1">
      <c r="A202" s="13"/>
      <c r="I202" t="s">
        <v>210</v>
      </c>
      <c r="L202" s="14"/>
    </row>
    <row r="203" spans="1:12" ht="27.95" customHeight="1">
      <c r="A203" s="13"/>
      <c r="F203" s="179" t="s">
        <v>193</v>
      </c>
      <c r="L203" s="14"/>
    </row>
    <row r="204" spans="1:12" ht="27.95" customHeight="1">
      <c r="A204" s="13" t="s">
        <v>194</v>
      </c>
      <c r="K204" s="229" t="e">
        <f>'04-221Master'!#REF!</f>
        <v>#REF!</v>
      </c>
      <c r="L204" s="14"/>
    </row>
    <row r="205" spans="1:12" ht="27.95" customHeight="1">
      <c r="A205" s="13" t="s">
        <v>195</v>
      </c>
      <c r="L205" s="14"/>
    </row>
    <row r="206" spans="1:12" ht="27.95" customHeight="1">
      <c r="A206" s="13"/>
      <c r="L206" s="14"/>
    </row>
    <row r="207" spans="1:12" ht="27.95" customHeight="1">
      <c r="A207" s="13"/>
      <c r="L207" s="14"/>
    </row>
    <row r="208" spans="1:12" ht="27.95" customHeight="1">
      <c r="A208" s="13"/>
      <c r="F208" t="s">
        <v>196</v>
      </c>
      <c r="L208" s="14"/>
    </row>
    <row r="209" spans="1:12" ht="27.95" customHeight="1">
      <c r="A209" s="13" t="s">
        <v>197</v>
      </c>
      <c r="B209" t="s">
        <v>361</v>
      </c>
      <c r="F209" t="str">
        <f>'04-221Master'!F5</f>
        <v>Burgeon IT Services Pvt.Ltd.</v>
      </c>
      <c r="L209" s="14"/>
    </row>
    <row r="210" spans="1:12" ht="27.95" customHeight="1">
      <c r="A210" s="13" t="s">
        <v>198</v>
      </c>
      <c r="B210" s="289" t="e">
        <f>'04-221Master'!#REF!</f>
        <v>#REF!</v>
      </c>
      <c r="F210" t="str">
        <f>'04-221Master'!F6</f>
        <v>Siri Mansion LIGB 436 Dr.A S Rao Nagar,Hyderabad</v>
      </c>
      <c r="L210" s="14"/>
    </row>
    <row r="211" spans="1:12" ht="27.95" customHeight="1" thickBot="1">
      <c r="A211" s="25"/>
      <c r="B211" s="23"/>
      <c r="C211" s="23"/>
      <c r="D211" s="23"/>
      <c r="E211" s="23"/>
      <c r="F211" s="23"/>
      <c r="G211" s="23"/>
      <c r="H211" s="23"/>
      <c r="I211" s="23"/>
      <c r="J211" s="23"/>
      <c r="K211" s="23"/>
      <c r="L211" s="24"/>
    </row>
    <row r="212" spans="1:12" ht="27.95" customHeight="1" thickBot="1">
      <c r="B212" s="180"/>
      <c r="C212" s="176"/>
      <c r="D212" s="176"/>
      <c r="E212" s="176"/>
      <c r="F212" s="176"/>
      <c r="G212" s="176"/>
      <c r="H212" s="165"/>
      <c r="I212" s="165"/>
      <c r="J212" s="166"/>
      <c r="K212" s="165"/>
      <c r="L212" s="165"/>
    </row>
    <row r="213" spans="1:12" ht="27.95" customHeight="1">
      <c r="A213" s="74"/>
      <c r="B213" s="1376" t="s">
        <v>181</v>
      </c>
      <c r="C213" s="1164"/>
      <c r="D213" s="1164"/>
      <c r="E213" s="1164"/>
      <c r="F213" s="1164"/>
      <c r="G213" s="1164"/>
      <c r="H213" s="1164"/>
      <c r="I213" s="1164"/>
      <c r="J213" s="1164"/>
      <c r="K213" s="1164"/>
      <c r="L213" s="1165"/>
    </row>
    <row r="214" spans="1:12" ht="27.95" customHeight="1">
      <c r="A214" s="13"/>
      <c r="B214" s="1167" t="s">
        <v>182</v>
      </c>
      <c r="C214" s="1167"/>
      <c r="D214" s="1167"/>
      <c r="E214" s="1167"/>
      <c r="F214" s="1167"/>
      <c r="G214" s="1167"/>
      <c r="H214" s="1167"/>
      <c r="I214" s="1167"/>
      <c r="J214" s="1167"/>
      <c r="K214" s="1167"/>
      <c r="L214" s="1168"/>
    </row>
    <row r="215" spans="1:12" ht="27.95" customHeight="1" thickBot="1">
      <c r="A215" s="25"/>
      <c r="B215" s="1170" t="s">
        <v>183</v>
      </c>
      <c r="C215" s="1170"/>
      <c r="D215" s="1170"/>
      <c r="E215" s="1170"/>
      <c r="F215" s="1170"/>
      <c r="G215" s="1170"/>
      <c r="H215" s="1170"/>
      <c r="I215" s="1170"/>
      <c r="J215" s="1170"/>
      <c r="K215" s="1170"/>
      <c r="L215" s="1171"/>
    </row>
    <row r="216" spans="1:12" ht="27.95" customHeight="1">
      <c r="A216" s="13"/>
      <c r="B216" s="1173" t="s">
        <v>108</v>
      </c>
      <c r="C216" s="1173"/>
      <c r="D216" s="1173"/>
      <c r="E216" s="1173"/>
      <c r="F216" s="1173"/>
      <c r="H216" s="1174" t="s">
        <v>109</v>
      </c>
      <c r="I216" s="1174"/>
      <c r="J216" s="1174"/>
      <c r="K216" s="1174"/>
      <c r="L216" s="1175"/>
    </row>
    <row r="217" spans="1:12" ht="27.95" customHeight="1" thickBot="1">
      <c r="A217" s="13"/>
      <c r="B217" s="1173"/>
      <c r="C217" s="1173"/>
      <c r="D217" s="1173"/>
      <c r="E217" s="1173"/>
      <c r="F217" s="1173"/>
      <c r="H217" s="1174"/>
      <c r="I217" s="1174"/>
      <c r="J217" s="1174"/>
      <c r="K217" s="1174"/>
      <c r="L217" s="1175"/>
    </row>
    <row r="218" spans="1:12" ht="27.95" customHeight="1">
      <c r="A218" s="13"/>
      <c r="B218" s="74"/>
      <c r="C218" s="75"/>
      <c r="D218" s="75"/>
      <c r="E218" s="75"/>
      <c r="F218" s="76"/>
      <c r="H218" s="74"/>
      <c r="I218" s="75"/>
      <c r="J218" s="75"/>
      <c r="K218" s="75"/>
      <c r="L218" s="76"/>
    </row>
    <row r="219" spans="1:12">
      <c r="A219" s="13"/>
      <c r="B219" s="77" t="str">
        <f>'04-221Master'!F5</f>
        <v>Burgeon IT Services Pvt.Ltd.</v>
      </c>
      <c r="F219" s="14"/>
      <c r="H219" s="77" t="str">
        <f>'04-221Master'!AP5</f>
        <v>Burgeon IT Services Pvt.Ltd.</v>
      </c>
      <c r="L219" s="14"/>
    </row>
    <row r="220" spans="1:12">
      <c r="A220" s="13"/>
      <c r="B220" s="13"/>
      <c r="F220" s="14"/>
      <c r="H220" s="13"/>
      <c r="L220" s="14"/>
    </row>
    <row r="221" spans="1:12">
      <c r="A221" s="13"/>
      <c r="B221" s="77" t="str">
        <f>'04-221Master'!F6</f>
        <v>Siri Mansion LIGB 436 Dr.A S Rao Nagar,Hyderabad</v>
      </c>
      <c r="F221" s="14"/>
      <c r="H221" s="77" t="str">
        <f>'04-221Master'!AP6</f>
        <v>Siri Mansion LIGB 436 Dr.A S Rao Nagar,Hyderabad</v>
      </c>
      <c r="L221" s="14"/>
    </row>
    <row r="222" spans="1:12" ht="15.75" thickBot="1">
      <c r="A222" s="13"/>
      <c r="B222" s="25"/>
      <c r="C222" s="23"/>
      <c r="D222" s="23"/>
      <c r="E222" s="23"/>
      <c r="F222" s="24"/>
      <c r="H222" s="25"/>
      <c r="I222" s="23"/>
      <c r="J222" s="23"/>
      <c r="K222" s="23"/>
      <c r="L222" s="24"/>
    </row>
    <row r="223" spans="1:12">
      <c r="A223" s="13"/>
      <c r="J223" t="s">
        <v>110</v>
      </c>
      <c r="L223" s="14"/>
    </row>
    <row r="224" spans="1:12">
      <c r="A224" s="13"/>
      <c r="B224" s="1177" t="s">
        <v>111</v>
      </c>
      <c r="C224" s="1177"/>
      <c r="D224" s="1177"/>
      <c r="E224" s="1177"/>
      <c r="F224" s="1177"/>
      <c r="H224" s="1177" t="s">
        <v>4</v>
      </c>
      <c r="I224" s="1177"/>
      <c r="J224" s="1177"/>
      <c r="K224" s="1177"/>
      <c r="L224" s="1178"/>
    </row>
    <row r="225" spans="1:12" ht="15.75" thickBot="1">
      <c r="A225" s="13"/>
      <c r="L225" s="14"/>
    </row>
    <row r="226" spans="1:12">
      <c r="A226" s="13"/>
      <c r="B226" s="74"/>
      <c r="C226" s="75"/>
      <c r="D226" s="75"/>
      <c r="E226" s="75"/>
      <c r="F226" s="76"/>
      <c r="H226" s="78"/>
      <c r="I226" s="79"/>
      <c r="J226" s="79"/>
      <c r="K226" s="79"/>
      <c r="L226" s="80"/>
    </row>
    <row r="227" spans="1:12">
      <c r="A227" s="13"/>
      <c r="B227" s="13"/>
      <c r="F227" s="14"/>
      <c r="H227" s="77" t="str">
        <f>'04-221Master'!AP10</f>
        <v>INFOSYS  LTD.IL Pune SEZ Unit-I,Plot No. 24/3</v>
      </c>
      <c r="I227" s="2"/>
      <c r="J227" s="2"/>
      <c r="K227" s="2"/>
      <c r="L227" s="81"/>
    </row>
    <row r="228" spans="1:12">
      <c r="A228" s="13"/>
      <c r="B228" s="77" t="str">
        <f>'04-221Master'!F8</f>
        <v>IT SUPPORTIVE SERVICES&amp; Pune SEZ Unit-1</v>
      </c>
      <c r="F228" s="14"/>
      <c r="H228" s="77"/>
      <c r="I228" s="2"/>
      <c r="J228" s="2"/>
      <c r="K228" s="2"/>
      <c r="L228" s="81"/>
    </row>
    <row r="229" spans="1:12">
      <c r="A229" s="13"/>
      <c r="B229" s="13"/>
      <c r="F229" s="14"/>
      <c r="H229" s="77" t="str">
        <f>'04-221Master'!AP11</f>
        <v>Rajiv gandhi Info tech park,Village Mann,Pune,Maharashtra 411057</v>
      </c>
      <c r="I229" s="2"/>
      <c r="J229" s="2"/>
      <c r="K229" s="2"/>
      <c r="L229" s="81"/>
    </row>
    <row r="230" spans="1:12" ht="15.75" thickBot="1">
      <c r="A230" s="13"/>
      <c r="B230" s="25"/>
      <c r="C230" s="23"/>
      <c r="D230" s="23"/>
      <c r="E230" s="23"/>
      <c r="F230" s="24"/>
      <c r="H230" s="82"/>
      <c r="I230" s="83"/>
      <c r="J230" s="83"/>
      <c r="K230" s="83"/>
      <c r="L230" s="84"/>
    </row>
    <row r="231" spans="1:12">
      <c r="A231" s="85"/>
      <c r="B231" s="1369" t="s">
        <v>184</v>
      </c>
      <c r="C231" s="1369"/>
      <c r="D231" s="1369"/>
      <c r="E231" s="1369"/>
      <c r="F231" s="1369"/>
      <c r="G231" s="1369"/>
      <c r="H231" s="1372" t="e">
        <f>'04-221Master'!#REF!</f>
        <v>#REF!</v>
      </c>
      <c r="I231" s="1371"/>
      <c r="J231" s="1371"/>
      <c r="K231" s="1371"/>
      <c r="L231" s="1151"/>
    </row>
    <row r="232" spans="1:12">
      <c r="A232" s="85"/>
      <c r="B232" s="1373" t="s">
        <v>185</v>
      </c>
      <c r="C232" s="1373"/>
      <c r="D232" s="1373"/>
      <c r="E232" s="1373"/>
      <c r="F232" s="1373"/>
      <c r="G232" s="1373"/>
      <c r="H232" s="1372" t="e">
        <f>'04-221Master'!#REF!</f>
        <v>#REF!</v>
      </c>
      <c r="I232" s="1371"/>
      <c r="J232" s="1371"/>
      <c r="K232" s="1371"/>
      <c r="L232" s="1151"/>
    </row>
    <row r="233" spans="1:12">
      <c r="A233" s="85"/>
      <c r="B233" s="1369" t="s">
        <v>186</v>
      </c>
      <c r="C233" s="1369"/>
      <c r="D233" s="1369"/>
      <c r="E233" s="1369"/>
      <c r="F233" s="1369"/>
      <c r="G233" s="1369"/>
      <c r="H233" s="1372" t="e">
        <f>'04-221Master'!#REF!</f>
        <v>#REF!</v>
      </c>
      <c r="I233" s="1371"/>
      <c r="J233" s="1371"/>
      <c r="K233" s="1371"/>
      <c r="L233" s="1151"/>
    </row>
    <row r="234" spans="1:12">
      <c r="A234" s="85"/>
      <c r="B234" s="1369" t="s">
        <v>187</v>
      </c>
      <c r="C234" s="1369"/>
      <c r="D234" s="1369"/>
      <c r="E234" s="1369"/>
      <c r="F234" s="1369"/>
      <c r="G234" s="1369"/>
      <c r="H234" s="1374" t="e">
        <f>'04-221Master'!#REF!</f>
        <v>#REF!</v>
      </c>
      <c r="I234" s="1371"/>
      <c r="J234" s="1371"/>
      <c r="K234" s="1371"/>
      <c r="L234" s="1151"/>
    </row>
    <row r="235" spans="1:12">
      <c r="A235" s="85"/>
      <c r="B235" s="86" t="s">
        <v>188</v>
      </c>
      <c r="C235" s="87"/>
      <c r="D235" s="87"/>
      <c r="E235" s="87"/>
      <c r="F235" s="87"/>
      <c r="G235" s="87"/>
      <c r="H235" s="1366" t="s">
        <v>189</v>
      </c>
      <c r="I235" s="1367"/>
      <c r="J235" s="1367"/>
      <c r="K235" s="1367"/>
      <c r="L235" s="1368"/>
    </row>
    <row r="236" spans="1:12">
      <c r="A236" s="85"/>
      <c r="B236" s="86" t="s">
        <v>190</v>
      </c>
      <c r="C236" s="87"/>
      <c r="D236" s="87"/>
      <c r="E236" s="87"/>
      <c r="F236" s="87"/>
      <c r="G236" s="87"/>
      <c r="H236" s="88"/>
      <c r="I236" s="90"/>
      <c r="J236" s="178"/>
      <c r="K236" s="90"/>
      <c r="L236" s="95"/>
    </row>
    <row r="237" spans="1:12">
      <c r="A237" s="85"/>
      <c r="B237" s="1161" t="s">
        <v>191</v>
      </c>
      <c r="C237" s="1161"/>
      <c r="D237" s="1161"/>
      <c r="E237" s="1161"/>
      <c r="F237" s="1161"/>
      <c r="G237" s="1161"/>
      <c r="H237" s="1154" t="e">
        <f>'04-221Master'!#REF!</f>
        <v>#REF!</v>
      </c>
      <c r="I237" s="1155"/>
      <c r="J237" s="1155"/>
      <c r="K237" s="1155"/>
      <c r="L237" s="1156"/>
    </row>
    <row r="238" spans="1:12">
      <c r="A238" s="85"/>
      <c r="B238" s="1369"/>
      <c r="C238" s="1369"/>
      <c r="D238" s="1369"/>
      <c r="E238" s="1369"/>
      <c r="F238" s="1369"/>
      <c r="G238" s="1369"/>
      <c r="H238" s="1370" t="e">
        <f>'04-221Master'!#REF!</f>
        <v>#REF!</v>
      </c>
      <c r="I238" s="1371"/>
      <c r="J238" s="1371"/>
      <c r="K238" s="1371"/>
      <c r="L238" s="1151"/>
    </row>
    <row r="239" spans="1:12">
      <c r="A239" s="13"/>
      <c r="B239" s="1369"/>
      <c r="C239" s="1369"/>
      <c r="D239" s="1369"/>
      <c r="E239" s="1369"/>
      <c r="F239" s="1369"/>
      <c r="G239" s="1369"/>
      <c r="H239" s="1372" t="e">
        <f>'04-221Master'!#REF!</f>
        <v>#REF!</v>
      </c>
      <c r="I239" s="1371"/>
      <c r="J239" s="1371"/>
      <c r="K239" s="1371"/>
      <c r="L239" s="1151"/>
    </row>
    <row r="240" spans="1:12">
      <c r="A240" s="13"/>
      <c r="B240" s="86" t="s">
        <v>192</v>
      </c>
      <c r="C240" s="87"/>
      <c r="D240" s="87"/>
      <c r="E240" s="87"/>
      <c r="F240" s="87"/>
      <c r="G240" s="91"/>
      <c r="H240" s="1359" t="e">
        <f>'04-221Master'!#REF!</f>
        <v>#REF!</v>
      </c>
      <c r="I240" s="1149"/>
      <c r="J240" s="1149"/>
      <c r="K240" s="1149"/>
      <c r="L240" s="1360"/>
    </row>
    <row r="241" spans="1:12">
      <c r="A241" s="13"/>
      <c r="B241" s="86"/>
      <c r="C241" s="87"/>
      <c r="D241" s="87"/>
      <c r="E241" s="87"/>
      <c r="F241" s="87"/>
      <c r="G241" s="91"/>
      <c r="H241" s="1359" t="e">
        <f>'04-221Master'!#REF!</f>
        <v>#REF!</v>
      </c>
      <c r="I241" s="1149"/>
      <c r="J241" s="1149"/>
      <c r="K241" s="1149"/>
      <c r="L241" s="1360"/>
    </row>
    <row r="242" spans="1:12">
      <c r="A242" s="13"/>
      <c r="B242" s="86"/>
      <c r="C242" s="87"/>
      <c r="D242" s="87"/>
      <c r="E242" s="87"/>
      <c r="F242" s="87"/>
      <c r="G242" s="91"/>
      <c r="H242" s="1359" t="e">
        <f>'04-221Master'!#REF!</f>
        <v>#REF!</v>
      </c>
      <c r="I242" s="1149"/>
      <c r="J242" s="1149"/>
      <c r="K242" s="1149"/>
      <c r="L242" s="1360"/>
    </row>
    <row r="243" spans="1:12">
      <c r="A243" s="13"/>
      <c r="B243" s="86" t="s">
        <v>199</v>
      </c>
      <c r="C243" s="87"/>
      <c r="D243" s="87"/>
      <c r="E243" s="87"/>
      <c r="F243" s="87"/>
      <c r="G243" s="91"/>
      <c r="H243" s="88"/>
      <c r="I243" s="90"/>
      <c r="J243" s="90"/>
      <c r="K243" s="90"/>
      <c r="L243" s="95"/>
    </row>
    <row r="244" spans="1:12">
      <c r="A244" s="13"/>
      <c r="B244" s="97" t="s">
        <v>200</v>
      </c>
      <c r="C244" s="159"/>
      <c r="D244" s="159"/>
      <c r="E244" s="159"/>
      <c r="F244" s="159"/>
      <c r="G244" s="160"/>
      <c r="H244" s="161"/>
      <c r="I244" s="162"/>
      <c r="J244" s="163"/>
      <c r="K244" s="162"/>
      <c r="L244" s="164"/>
    </row>
    <row r="245" spans="1:12" ht="45">
      <c r="A245" s="13"/>
      <c r="B245" s="86" t="s">
        <v>203</v>
      </c>
      <c r="C245" s="87"/>
      <c r="D245" s="90"/>
      <c r="E245" s="171" t="s">
        <v>205</v>
      </c>
      <c r="F245" s="65"/>
      <c r="G245" s="1361" t="s">
        <v>204</v>
      </c>
      <c r="H245" s="1362"/>
      <c r="I245" s="175" t="s">
        <v>201</v>
      </c>
      <c r="J245" s="173" t="s">
        <v>206</v>
      </c>
      <c r="K245" s="1361" t="s">
        <v>202</v>
      </c>
      <c r="L245" s="1363"/>
    </row>
    <row r="246" spans="1:12">
      <c r="A246" s="13"/>
      <c r="B246" s="174">
        <v>1</v>
      </c>
      <c r="C246" s="87"/>
      <c r="D246" s="87"/>
      <c r="E246" s="177">
        <v>2</v>
      </c>
      <c r="F246" s="91"/>
      <c r="G246" s="177">
        <v>3</v>
      </c>
      <c r="H246" s="193"/>
      <c r="I246" s="193">
        <v>4</v>
      </c>
      <c r="J246" s="102">
        <v>5</v>
      </c>
      <c r="K246" s="93"/>
      <c r="L246" s="94">
        <v>6</v>
      </c>
    </row>
    <row r="247" spans="1:12">
      <c r="A247" s="13"/>
      <c r="B247" s="291" t="e">
        <f>'04-221Master'!#REF!</f>
        <v>#REF!</v>
      </c>
      <c r="C247" s="189"/>
      <c r="D247" s="190"/>
      <c r="E247" s="192" t="s">
        <v>362</v>
      </c>
      <c r="F247" s="190"/>
      <c r="G247" s="192" t="s">
        <v>363</v>
      </c>
      <c r="H247" s="65"/>
      <c r="I247" s="11" t="s">
        <v>364</v>
      </c>
      <c r="J247" s="290">
        <v>1</v>
      </c>
      <c r="K247" s="1364" t="s">
        <v>37</v>
      </c>
      <c r="L247" s="1375"/>
    </row>
    <row r="248" spans="1:12">
      <c r="A248" s="13"/>
      <c r="B248" s="86"/>
      <c r="C248" s="189"/>
      <c r="D248" s="190"/>
      <c r="E248" s="191"/>
      <c r="F248" s="190"/>
      <c r="G248" s="191"/>
      <c r="H248" s="65"/>
      <c r="I248" s="11"/>
      <c r="J248" s="11"/>
      <c r="K248" s="192"/>
      <c r="L248" s="65"/>
    </row>
    <row r="249" spans="1:12">
      <c r="A249" s="13"/>
      <c r="B249" s="86"/>
      <c r="C249" s="189"/>
      <c r="D249" s="190"/>
      <c r="E249" s="191"/>
      <c r="F249" s="190"/>
      <c r="G249" s="191"/>
      <c r="H249" s="65"/>
      <c r="I249" s="11"/>
      <c r="J249" s="11"/>
      <c r="K249" s="192"/>
      <c r="L249" s="65"/>
    </row>
    <row r="250" spans="1:12">
      <c r="A250" s="13"/>
      <c r="B250" s="72"/>
      <c r="C250" s="17"/>
      <c r="D250" s="73"/>
      <c r="E250" s="191"/>
      <c r="F250" s="190"/>
      <c r="G250" s="191"/>
      <c r="H250" s="65"/>
      <c r="I250" s="11"/>
      <c r="J250" s="11"/>
      <c r="K250" s="192"/>
      <c r="L250" s="65"/>
    </row>
    <row r="251" spans="1:12">
      <c r="A251" s="13"/>
      <c r="B251" t="s">
        <v>207</v>
      </c>
      <c r="L251" s="14"/>
    </row>
    <row r="252" spans="1:12">
      <c r="A252" s="13"/>
      <c r="B252" t="s">
        <v>208</v>
      </c>
      <c r="L252" s="14"/>
    </row>
    <row r="253" spans="1:12">
      <c r="A253" s="13"/>
      <c r="B253" t="s">
        <v>209</v>
      </c>
      <c r="L253" s="14"/>
    </row>
    <row r="254" spans="1:12" ht="27.95" customHeight="1">
      <c r="A254" s="13"/>
      <c r="L254" s="14"/>
    </row>
    <row r="255" spans="1:12" ht="27.95" customHeight="1">
      <c r="A255" s="13"/>
      <c r="I255" t="s">
        <v>210</v>
      </c>
      <c r="L255" s="14"/>
    </row>
    <row r="256" spans="1:12" ht="27.95" customHeight="1">
      <c r="A256" s="13"/>
      <c r="F256" s="179" t="s">
        <v>193</v>
      </c>
      <c r="L256" s="14"/>
    </row>
    <row r="257" spans="1:12" ht="27.95" customHeight="1">
      <c r="A257" s="13" t="s">
        <v>194</v>
      </c>
      <c r="K257" s="229" t="e">
        <f>'04-221Master'!#REF!</f>
        <v>#REF!</v>
      </c>
      <c r="L257" s="14"/>
    </row>
    <row r="258" spans="1:12" ht="27.95" customHeight="1">
      <c r="A258" s="13" t="s">
        <v>195</v>
      </c>
      <c r="L258" s="14"/>
    </row>
    <row r="259" spans="1:12" ht="27.95" customHeight="1">
      <c r="A259" s="13"/>
      <c r="L259" s="14"/>
    </row>
    <row r="260" spans="1:12" ht="27.95" customHeight="1">
      <c r="A260" s="13"/>
      <c r="L260" s="14"/>
    </row>
    <row r="261" spans="1:12" ht="27.95" customHeight="1">
      <c r="A261" s="13"/>
      <c r="F261" t="s">
        <v>196</v>
      </c>
      <c r="L261" s="14"/>
    </row>
    <row r="262" spans="1:12" ht="27.95" customHeight="1">
      <c r="A262" s="13" t="s">
        <v>197</v>
      </c>
      <c r="B262" t="s">
        <v>361</v>
      </c>
      <c r="F262" t="str">
        <f>'04-221Master'!F5</f>
        <v>Burgeon IT Services Pvt.Ltd.</v>
      </c>
      <c r="L262" s="14"/>
    </row>
    <row r="263" spans="1:12" ht="27.95" customHeight="1">
      <c r="A263" s="13" t="s">
        <v>198</v>
      </c>
      <c r="B263" s="289" t="e">
        <f>'04-221Master'!#REF!</f>
        <v>#REF!</v>
      </c>
      <c r="F263" t="str">
        <f>'04-221Master'!F6</f>
        <v>Siri Mansion LIGB 436 Dr.A S Rao Nagar,Hyderabad</v>
      </c>
      <c r="L263" s="14"/>
    </row>
    <row r="264" spans="1:12" ht="27.95" customHeight="1" thickBot="1">
      <c r="A264" s="25"/>
      <c r="B264" s="23"/>
      <c r="C264" s="23"/>
      <c r="D264" s="23"/>
      <c r="E264" s="23"/>
      <c r="F264" s="23"/>
      <c r="G264" s="23"/>
      <c r="H264" s="23"/>
      <c r="I264" s="23"/>
      <c r="J264" s="23"/>
      <c r="K264" s="23"/>
      <c r="L264" s="24"/>
    </row>
    <row r="265" spans="1:12" ht="27.95" customHeight="1" thickBot="1">
      <c r="B265" s="180"/>
      <c r="C265" s="176"/>
      <c r="D265" s="176"/>
      <c r="E265" s="176"/>
      <c r="F265" s="176"/>
      <c r="G265" s="176"/>
      <c r="H265" s="165"/>
      <c r="I265" s="165"/>
      <c r="J265" s="166"/>
      <c r="K265" s="165"/>
      <c r="L265" s="165"/>
    </row>
    <row r="266" spans="1:12" ht="27.95" customHeight="1">
      <c r="A266" s="74"/>
      <c r="B266" s="1376" t="s">
        <v>181</v>
      </c>
      <c r="C266" s="1164"/>
      <c r="D266" s="1164"/>
      <c r="E266" s="1164"/>
      <c r="F266" s="1164"/>
      <c r="G266" s="1164"/>
      <c r="H266" s="1164"/>
      <c r="I266" s="1164"/>
      <c r="J266" s="1164"/>
      <c r="K266" s="1164"/>
      <c r="L266" s="1165"/>
    </row>
    <row r="267" spans="1:12" ht="27.95" customHeight="1">
      <c r="A267" s="13"/>
      <c r="B267" s="1167" t="s">
        <v>182</v>
      </c>
      <c r="C267" s="1167"/>
      <c r="D267" s="1167"/>
      <c r="E267" s="1167"/>
      <c r="F267" s="1167"/>
      <c r="G267" s="1167"/>
      <c r="H267" s="1167"/>
      <c r="I267" s="1167"/>
      <c r="J267" s="1167"/>
      <c r="K267" s="1167"/>
      <c r="L267" s="1168"/>
    </row>
    <row r="268" spans="1:12" ht="27.95" customHeight="1" thickBot="1">
      <c r="A268" s="25"/>
      <c r="B268" s="1170" t="s">
        <v>183</v>
      </c>
      <c r="C268" s="1170"/>
      <c r="D268" s="1170"/>
      <c r="E268" s="1170"/>
      <c r="F268" s="1170"/>
      <c r="G268" s="1170"/>
      <c r="H268" s="1170"/>
      <c r="I268" s="1170"/>
      <c r="J268" s="1170"/>
      <c r="K268" s="1170"/>
      <c r="L268" s="1171"/>
    </row>
    <row r="269" spans="1:12" ht="27.95" customHeight="1">
      <c r="A269" s="13"/>
      <c r="B269" s="1173" t="s">
        <v>108</v>
      </c>
      <c r="C269" s="1173"/>
      <c r="D269" s="1173"/>
      <c r="E269" s="1173"/>
      <c r="F269" s="1173"/>
      <c r="H269" s="1174" t="s">
        <v>109</v>
      </c>
      <c r="I269" s="1174"/>
      <c r="J269" s="1174"/>
      <c r="K269" s="1174"/>
      <c r="L269" s="1175"/>
    </row>
    <row r="270" spans="1:12" ht="27.95" customHeight="1" thickBot="1">
      <c r="A270" s="13"/>
      <c r="B270" s="1173"/>
      <c r="C270" s="1173"/>
      <c r="D270" s="1173"/>
      <c r="E270" s="1173"/>
      <c r="F270" s="1173"/>
      <c r="H270" s="1174"/>
      <c r="I270" s="1174"/>
      <c r="J270" s="1174"/>
      <c r="K270" s="1174"/>
      <c r="L270" s="1175"/>
    </row>
    <row r="271" spans="1:12" ht="27.95" customHeight="1">
      <c r="A271" s="13"/>
      <c r="B271" s="74"/>
      <c r="C271" s="75"/>
      <c r="D271" s="75"/>
      <c r="E271" s="75"/>
      <c r="F271" s="76"/>
      <c r="H271" s="74"/>
      <c r="I271" s="75"/>
      <c r="J271" s="75"/>
      <c r="K271" s="75"/>
      <c r="L271" s="76"/>
    </row>
    <row r="272" spans="1:12">
      <c r="A272" s="13"/>
      <c r="B272" s="77" t="str">
        <f>'04-221Master'!F5</f>
        <v>Burgeon IT Services Pvt.Ltd.</v>
      </c>
      <c r="F272" s="14"/>
      <c r="H272" s="77" t="str">
        <f>'04-221Master'!AP5</f>
        <v>Burgeon IT Services Pvt.Ltd.</v>
      </c>
      <c r="L272" s="14"/>
    </row>
    <row r="273" spans="1:12">
      <c r="A273" s="13"/>
      <c r="B273" s="13"/>
      <c r="F273" s="14"/>
      <c r="H273" s="13"/>
      <c r="L273" s="14"/>
    </row>
    <row r="274" spans="1:12">
      <c r="A274" s="13"/>
      <c r="B274" s="77" t="str">
        <f>'04-221Master'!F6</f>
        <v>Siri Mansion LIGB 436 Dr.A S Rao Nagar,Hyderabad</v>
      </c>
      <c r="F274" s="14"/>
      <c r="H274" s="77" t="str">
        <f>'04-221Master'!AP6</f>
        <v>Siri Mansion LIGB 436 Dr.A S Rao Nagar,Hyderabad</v>
      </c>
      <c r="L274" s="14"/>
    </row>
    <row r="275" spans="1:12" ht="15.75" thickBot="1">
      <c r="A275" s="13"/>
      <c r="B275" s="25"/>
      <c r="C275" s="23"/>
      <c r="D275" s="23"/>
      <c r="E275" s="23"/>
      <c r="F275" s="24"/>
      <c r="H275" s="25"/>
      <c r="I275" s="23"/>
      <c r="J275" s="23"/>
      <c r="K275" s="23"/>
      <c r="L275" s="24"/>
    </row>
    <row r="276" spans="1:12">
      <c r="A276" s="13"/>
      <c r="J276" t="s">
        <v>110</v>
      </c>
      <c r="L276" s="14"/>
    </row>
    <row r="277" spans="1:12">
      <c r="A277" s="13"/>
      <c r="B277" s="1177" t="s">
        <v>111</v>
      </c>
      <c r="C277" s="1177"/>
      <c r="D277" s="1177"/>
      <c r="E277" s="1177"/>
      <c r="F277" s="1177"/>
      <c r="H277" s="1177" t="s">
        <v>4</v>
      </c>
      <c r="I277" s="1177"/>
      <c r="J277" s="1177"/>
      <c r="K277" s="1177"/>
      <c r="L277" s="1178"/>
    </row>
    <row r="278" spans="1:12" ht="15.75" thickBot="1">
      <c r="A278" s="13"/>
      <c r="L278" s="14"/>
    </row>
    <row r="279" spans="1:12">
      <c r="A279" s="13"/>
      <c r="B279" s="74"/>
      <c r="C279" s="75"/>
      <c r="D279" s="75"/>
      <c r="E279" s="75"/>
      <c r="F279" s="76"/>
      <c r="H279" s="78"/>
      <c r="I279" s="79"/>
      <c r="J279" s="79"/>
      <c r="K279" s="79"/>
      <c r="L279" s="80"/>
    </row>
    <row r="280" spans="1:12">
      <c r="A280" s="13"/>
      <c r="B280" s="13"/>
      <c r="F280" s="14"/>
      <c r="H280" s="77" t="str">
        <f>'04-221Master'!AP10</f>
        <v>INFOSYS  LTD.IL Pune SEZ Unit-I,Plot No. 24/3</v>
      </c>
      <c r="I280" s="2"/>
      <c r="J280" s="2"/>
      <c r="K280" s="2"/>
      <c r="L280" s="81"/>
    </row>
    <row r="281" spans="1:12">
      <c r="A281" s="13"/>
      <c r="B281" s="77" t="str">
        <f>'04-221Master'!F8</f>
        <v>IT SUPPORTIVE SERVICES&amp; Pune SEZ Unit-1</v>
      </c>
      <c r="F281" s="14"/>
      <c r="H281" s="77"/>
      <c r="I281" s="2"/>
      <c r="J281" s="2"/>
      <c r="K281" s="2"/>
      <c r="L281" s="81"/>
    </row>
    <row r="282" spans="1:12">
      <c r="A282" s="13"/>
      <c r="B282" s="13"/>
      <c r="F282" s="14"/>
      <c r="H282" s="77" t="str">
        <f>'04-221Master'!AP11</f>
        <v>Rajiv gandhi Info tech park,Village Mann,Pune,Maharashtra 411057</v>
      </c>
      <c r="I282" s="2"/>
      <c r="J282" s="2"/>
      <c r="K282" s="2"/>
      <c r="L282" s="81"/>
    </row>
    <row r="283" spans="1:12" ht="15.75" thickBot="1">
      <c r="A283" s="13"/>
      <c r="B283" s="25"/>
      <c r="C283" s="23"/>
      <c r="D283" s="23"/>
      <c r="E283" s="23"/>
      <c r="F283" s="24"/>
      <c r="H283" s="82"/>
      <c r="I283" s="83"/>
      <c r="J283" s="83"/>
      <c r="K283" s="83"/>
      <c r="L283" s="84"/>
    </row>
    <row r="284" spans="1:12">
      <c r="A284" s="85"/>
      <c r="B284" s="1369" t="s">
        <v>184</v>
      </c>
      <c r="C284" s="1369"/>
      <c r="D284" s="1369"/>
      <c r="E284" s="1369"/>
      <c r="F284" s="1369"/>
      <c r="G284" s="1369"/>
      <c r="H284" s="1372" t="e">
        <f>'04-221Master'!#REF!</f>
        <v>#REF!</v>
      </c>
      <c r="I284" s="1371"/>
      <c r="J284" s="1371"/>
      <c r="K284" s="1371"/>
      <c r="L284" s="1151"/>
    </row>
    <row r="285" spans="1:12">
      <c r="A285" s="85"/>
      <c r="B285" s="1373" t="s">
        <v>185</v>
      </c>
      <c r="C285" s="1373"/>
      <c r="D285" s="1373"/>
      <c r="E285" s="1373"/>
      <c r="F285" s="1373"/>
      <c r="G285" s="1373"/>
      <c r="H285" s="1372" t="e">
        <f>'04-221Master'!#REF!</f>
        <v>#REF!</v>
      </c>
      <c r="I285" s="1371"/>
      <c r="J285" s="1371"/>
      <c r="K285" s="1371"/>
      <c r="L285" s="1151"/>
    </row>
    <row r="286" spans="1:12">
      <c r="A286" s="85"/>
      <c r="B286" s="1369" t="s">
        <v>186</v>
      </c>
      <c r="C286" s="1369"/>
      <c r="D286" s="1369"/>
      <c r="E286" s="1369"/>
      <c r="F286" s="1369"/>
      <c r="G286" s="1369"/>
      <c r="H286" s="1372" t="e">
        <f>'04-221Master'!#REF!</f>
        <v>#REF!</v>
      </c>
      <c r="I286" s="1371"/>
      <c r="J286" s="1371"/>
      <c r="K286" s="1371"/>
      <c r="L286" s="1151"/>
    </row>
    <row r="287" spans="1:12">
      <c r="A287" s="85"/>
      <c r="B287" s="1369" t="s">
        <v>187</v>
      </c>
      <c r="C287" s="1369"/>
      <c r="D287" s="1369"/>
      <c r="E287" s="1369"/>
      <c r="F287" s="1369"/>
      <c r="G287" s="1369"/>
      <c r="H287" s="1374" t="e">
        <f>'04-221Master'!#REF!</f>
        <v>#REF!</v>
      </c>
      <c r="I287" s="1371"/>
      <c r="J287" s="1371"/>
      <c r="K287" s="1371"/>
      <c r="L287" s="1151"/>
    </row>
    <row r="288" spans="1:12">
      <c r="A288" s="85"/>
      <c r="B288" s="86" t="s">
        <v>188</v>
      </c>
      <c r="C288" s="87"/>
      <c r="D288" s="87"/>
      <c r="E288" s="87"/>
      <c r="F288" s="87"/>
      <c r="G288" s="87"/>
      <c r="H288" s="1366" t="s">
        <v>189</v>
      </c>
      <c r="I288" s="1367"/>
      <c r="J288" s="1367"/>
      <c r="K288" s="1367"/>
      <c r="L288" s="1368"/>
    </row>
    <row r="289" spans="1:12">
      <c r="A289" s="85"/>
      <c r="B289" s="86" t="s">
        <v>190</v>
      </c>
      <c r="C289" s="87"/>
      <c r="D289" s="87"/>
      <c r="E289" s="87"/>
      <c r="F289" s="87"/>
      <c r="G289" s="87"/>
      <c r="H289" s="88"/>
      <c r="I289" s="90"/>
      <c r="J289" s="178"/>
      <c r="K289" s="90"/>
      <c r="L289" s="95"/>
    </row>
    <row r="290" spans="1:12">
      <c r="A290" s="85"/>
      <c r="B290" s="1161" t="s">
        <v>191</v>
      </c>
      <c r="C290" s="1161"/>
      <c r="D290" s="1161"/>
      <c r="E290" s="1161"/>
      <c r="F290" s="1161"/>
      <c r="G290" s="1161"/>
      <c r="H290" s="1154" t="e">
        <f>'04-221Master'!#REF!</f>
        <v>#REF!</v>
      </c>
      <c r="I290" s="1155"/>
      <c r="J290" s="1155"/>
      <c r="K290" s="1155"/>
      <c r="L290" s="1156"/>
    </row>
    <row r="291" spans="1:12">
      <c r="A291" s="85"/>
      <c r="B291" s="1369"/>
      <c r="C291" s="1369"/>
      <c r="D291" s="1369"/>
      <c r="E291" s="1369"/>
      <c r="F291" s="1369"/>
      <c r="G291" s="1369"/>
      <c r="H291" s="1370" t="e">
        <f>'04-221Master'!#REF!</f>
        <v>#REF!</v>
      </c>
      <c r="I291" s="1371"/>
      <c r="J291" s="1371"/>
      <c r="K291" s="1371"/>
      <c r="L291" s="1151"/>
    </row>
    <row r="292" spans="1:12">
      <c r="A292" s="13"/>
      <c r="B292" s="1369"/>
      <c r="C292" s="1369"/>
      <c r="D292" s="1369"/>
      <c r="E292" s="1369"/>
      <c r="F292" s="1369"/>
      <c r="G292" s="1369"/>
      <c r="H292" s="1372" t="e">
        <f>'04-221Master'!#REF!</f>
        <v>#REF!</v>
      </c>
      <c r="I292" s="1371"/>
      <c r="J292" s="1371"/>
      <c r="K292" s="1371"/>
      <c r="L292" s="1151"/>
    </row>
    <row r="293" spans="1:12">
      <c r="A293" s="13"/>
      <c r="B293" s="86" t="s">
        <v>192</v>
      </c>
      <c r="C293" s="87"/>
      <c r="D293" s="87"/>
      <c r="E293" s="87"/>
      <c r="F293" s="87"/>
      <c r="G293" s="91"/>
      <c r="H293" s="1359" t="e">
        <f>'04-221Master'!#REF!</f>
        <v>#REF!</v>
      </c>
      <c r="I293" s="1149"/>
      <c r="J293" s="1149"/>
      <c r="K293" s="1149"/>
      <c r="L293" s="1360"/>
    </row>
    <row r="294" spans="1:12">
      <c r="A294" s="13"/>
      <c r="B294" s="86"/>
      <c r="C294" s="87"/>
      <c r="D294" s="87"/>
      <c r="E294" s="87"/>
      <c r="F294" s="87"/>
      <c r="G294" s="91"/>
      <c r="H294" s="1359" t="e">
        <f>'04-221Master'!#REF!</f>
        <v>#REF!</v>
      </c>
      <c r="I294" s="1149"/>
      <c r="J294" s="1149"/>
      <c r="K294" s="1149"/>
      <c r="L294" s="1360"/>
    </row>
    <row r="295" spans="1:12">
      <c r="A295" s="13"/>
      <c r="B295" s="86"/>
      <c r="C295" s="87"/>
      <c r="D295" s="87"/>
      <c r="E295" s="87"/>
      <c r="F295" s="87"/>
      <c r="G295" s="91"/>
      <c r="H295" s="1359" t="e">
        <f>'04-221Master'!#REF!</f>
        <v>#REF!</v>
      </c>
      <c r="I295" s="1149"/>
      <c r="J295" s="1149"/>
      <c r="K295" s="1149"/>
      <c r="L295" s="1360"/>
    </row>
    <row r="296" spans="1:12">
      <c r="A296" s="13"/>
      <c r="B296" s="86" t="s">
        <v>199</v>
      </c>
      <c r="C296" s="87"/>
      <c r="D296" s="87"/>
      <c r="E296" s="87"/>
      <c r="F296" s="87"/>
      <c r="G296" s="91"/>
      <c r="H296" s="88"/>
      <c r="I296" s="90"/>
      <c r="J296" s="90"/>
      <c r="K296" s="90"/>
      <c r="L296" s="95"/>
    </row>
    <row r="297" spans="1:12">
      <c r="A297" s="13"/>
      <c r="B297" s="97" t="s">
        <v>200</v>
      </c>
      <c r="C297" s="159"/>
      <c r="D297" s="159"/>
      <c r="E297" s="159"/>
      <c r="F297" s="159"/>
      <c r="G297" s="160"/>
      <c r="H297" s="161"/>
      <c r="I297" s="162"/>
      <c r="J297" s="163"/>
      <c r="K297" s="162"/>
      <c r="L297" s="164"/>
    </row>
    <row r="298" spans="1:12" ht="45">
      <c r="A298" s="13"/>
      <c r="B298" s="86" t="s">
        <v>203</v>
      </c>
      <c r="C298" s="87"/>
      <c r="D298" s="90"/>
      <c r="E298" s="171" t="s">
        <v>205</v>
      </c>
      <c r="F298" s="65"/>
      <c r="G298" s="1361" t="s">
        <v>204</v>
      </c>
      <c r="H298" s="1362"/>
      <c r="I298" s="175" t="s">
        <v>201</v>
      </c>
      <c r="J298" s="173" t="s">
        <v>206</v>
      </c>
      <c r="K298" s="1361" t="s">
        <v>202</v>
      </c>
      <c r="L298" s="1363"/>
    </row>
    <row r="299" spans="1:12">
      <c r="A299" s="13"/>
      <c r="B299" s="174">
        <v>1</v>
      </c>
      <c r="C299" s="87"/>
      <c r="D299" s="87"/>
      <c r="E299" s="177">
        <v>2</v>
      </c>
      <c r="F299" s="91"/>
      <c r="G299" s="177">
        <v>3</v>
      </c>
      <c r="H299" s="193"/>
      <c r="I299" s="193">
        <v>4</v>
      </c>
      <c r="J299" s="102">
        <v>5</v>
      </c>
      <c r="K299" s="93"/>
      <c r="L299" s="94">
        <v>6</v>
      </c>
    </row>
    <row r="300" spans="1:12">
      <c r="A300" s="13"/>
      <c r="B300" s="291" t="e">
        <f>'04-221Master'!#REF!</f>
        <v>#REF!</v>
      </c>
      <c r="C300" s="189"/>
      <c r="D300" s="190"/>
      <c r="E300" s="192" t="s">
        <v>362</v>
      </c>
      <c r="F300" s="190"/>
      <c r="G300" s="192" t="s">
        <v>363</v>
      </c>
      <c r="H300" s="65"/>
      <c r="I300" s="11" t="s">
        <v>364</v>
      </c>
      <c r="J300" s="290">
        <v>1</v>
      </c>
      <c r="K300" s="1364" t="s">
        <v>37</v>
      </c>
      <c r="L300" s="1375"/>
    </row>
    <row r="301" spans="1:12">
      <c r="A301" s="13"/>
      <c r="B301" s="86"/>
      <c r="C301" s="189"/>
      <c r="D301" s="190"/>
      <c r="E301" s="191"/>
      <c r="F301" s="190"/>
      <c r="G301" s="191"/>
      <c r="H301" s="65"/>
      <c r="I301" s="11"/>
      <c r="J301" s="11"/>
      <c r="K301" s="192"/>
      <c r="L301" s="65"/>
    </row>
    <row r="302" spans="1:12">
      <c r="A302" s="13"/>
      <c r="B302" s="86"/>
      <c r="C302" s="189"/>
      <c r="D302" s="190"/>
      <c r="E302" s="191"/>
      <c r="F302" s="190"/>
      <c r="G302" s="191"/>
      <c r="H302" s="65"/>
      <c r="I302" s="11"/>
      <c r="J302" s="11"/>
      <c r="K302" s="192"/>
      <c r="L302" s="65"/>
    </row>
    <row r="303" spans="1:12">
      <c r="A303" s="13"/>
      <c r="B303" s="72"/>
      <c r="C303" s="17"/>
      <c r="D303" s="73"/>
      <c r="E303" s="191"/>
      <c r="F303" s="190"/>
      <c r="G303" s="191"/>
      <c r="H303" s="65"/>
      <c r="I303" s="11"/>
      <c r="J303" s="11"/>
      <c r="K303" s="192"/>
      <c r="L303" s="65"/>
    </row>
    <row r="304" spans="1:12">
      <c r="A304" s="13"/>
      <c r="B304" t="s">
        <v>207</v>
      </c>
      <c r="L304" s="14"/>
    </row>
    <row r="305" spans="1:12">
      <c r="A305" s="13"/>
      <c r="B305" t="s">
        <v>208</v>
      </c>
      <c r="L305" s="14"/>
    </row>
    <row r="306" spans="1:12">
      <c r="A306" s="13"/>
      <c r="B306" t="s">
        <v>209</v>
      </c>
      <c r="L306" s="14"/>
    </row>
    <row r="307" spans="1:12" ht="27.95" customHeight="1">
      <c r="A307" s="13"/>
      <c r="L307" s="14"/>
    </row>
    <row r="308" spans="1:12" ht="27.95" customHeight="1">
      <c r="A308" s="13"/>
      <c r="I308" t="s">
        <v>210</v>
      </c>
      <c r="L308" s="14"/>
    </row>
    <row r="309" spans="1:12" ht="27.95" customHeight="1">
      <c r="A309" s="13"/>
      <c r="F309" s="179" t="s">
        <v>193</v>
      </c>
      <c r="L309" s="14"/>
    </row>
    <row r="310" spans="1:12" ht="27.95" customHeight="1">
      <c r="A310" s="13" t="s">
        <v>194</v>
      </c>
      <c r="K310" s="229" t="e">
        <f>'04-221Master'!#REF!</f>
        <v>#REF!</v>
      </c>
      <c r="L310" s="14"/>
    </row>
    <row r="311" spans="1:12" ht="27.95" customHeight="1">
      <c r="A311" s="13" t="s">
        <v>195</v>
      </c>
      <c r="L311" s="14"/>
    </row>
    <row r="312" spans="1:12" ht="27.95" customHeight="1">
      <c r="A312" s="13"/>
      <c r="L312" s="14"/>
    </row>
    <row r="313" spans="1:12" ht="27.95" customHeight="1">
      <c r="A313" s="13"/>
      <c r="L313" s="14"/>
    </row>
    <row r="314" spans="1:12" ht="27.95" customHeight="1">
      <c r="A314" s="13"/>
      <c r="F314" t="s">
        <v>196</v>
      </c>
      <c r="L314" s="14"/>
    </row>
    <row r="315" spans="1:12" ht="27.95" customHeight="1">
      <c r="A315" s="13" t="s">
        <v>197</v>
      </c>
      <c r="B315" t="s">
        <v>361</v>
      </c>
      <c r="F315" t="str">
        <f>'04-221Master'!F5</f>
        <v>Burgeon IT Services Pvt.Ltd.</v>
      </c>
      <c r="L315" s="14"/>
    </row>
    <row r="316" spans="1:12" ht="27.95" customHeight="1">
      <c r="A316" s="13" t="s">
        <v>198</v>
      </c>
      <c r="B316" s="289" t="e">
        <f>'04-221Master'!#REF!</f>
        <v>#REF!</v>
      </c>
      <c r="F316" t="str">
        <f>'04-221Master'!F6</f>
        <v>Siri Mansion LIGB 436 Dr.A S Rao Nagar,Hyderabad</v>
      </c>
      <c r="L316" s="14"/>
    </row>
    <row r="317" spans="1:12" ht="27.95" customHeight="1" thickBot="1">
      <c r="A317" s="25"/>
      <c r="B317" s="23"/>
      <c r="C317" s="23"/>
      <c r="D317" s="23"/>
      <c r="E317" s="23"/>
      <c r="F317" s="23"/>
      <c r="G317" s="23"/>
      <c r="H317" s="23"/>
      <c r="I317" s="23"/>
      <c r="J317" s="23"/>
      <c r="K317" s="23"/>
      <c r="L317" s="24"/>
    </row>
    <row r="318" spans="1:12" ht="27.95" customHeight="1" thickBot="1">
      <c r="B318" s="180"/>
      <c r="C318" s="176"/>
      <c r="D318" s="176"/>
      <c r="E318" s="176"/>
      <c r="F318" s="176"/>
      <c r="G318" s="176"/>
      <c r="H318" s="165"/>
      <c r="I318" s="165"/>
      <c r="J318" s="166"/>
      <c r="K318" s="165"/>
      <c r="L318" s="165"/>
    </row>
    <row r="319" spans="1:12" ht="27.95" customHeight="1">
      <c r="A319" s="74"/>
      <c r="B319" s="1376" t="s">
        <v>181</v>
      </c>
      <c r="C319" s="1164"/>
      <c r="D319" s="1164"/>
      <c r="E319" s="1164"/>
      <c r="F319" s="1164"/>
      <c r="G319" s="1164"/>
      <c r="H319" s="1164"/>
      <c r="I319" s="1164"/>
      <c r="J319" s="1164"/>
      <c r="K319" s="1164"/>
      <c r="L319" s="1165"/>
    </row>
    <row r="320" spans="1:12" ht="27.95" customHeight="1">
      <c r="A320" s="13"/>
      <c r="B320" s="1167" t="s">
        <v>182</v>
      </c>
      <c r="C320" s="1167"/>
      <c r="D320" s="1167"/>
      <c r="E320" s="1167"/>
      <c r="F320" s="1167"/>
      <c r="G320" s="1167"/>
      <c r="H320" s="1167"/>
      <c r="I320" s="1167"/>
      <c r="J320" s="1167"/>
      <c r="K320" s="1167"/>
      <c r="L320" s="1168"/>
    </row>
    <row r="321" spans="1:12" ht="27.95" customHeight="1" thickBot="1">
      <c r="A321" s="25"/>
      <c r="B321" s="1170" t="s">
        <v>183</v>
      </c>
      <c r="C321" s="1170"/>
      <c r="D321" s="1170"/>
      <c r="E321" s="1170"/>
      <c r="F321" s="1170"/>
      <c r="G321" s="1170"/>
      <c r="H321" s="1170"/>
      <c r="I321" s="1170"/>
      <c r="J321" s="1170"/>
      <c r="K321" s="1170"/>
      <c r="L321" s="1171"/>
    </row>
    <row r="322" spans="1:12" ht="27.95" customHeight="1">
      <c r="A322" s="13"/>
      <c r="B322" s="1173" t="s">
        <v>108</v>
      </c>
      <c r="C322" s="1173"/>
      <c r="D322" s="1173"/>
      <c r="E322" s="1173"/>
      <c r="F322" s="1173"/>
      <c r="H322" s="1174" t="s">
        <v>109</v>
      </c>
      <c r="I322" s="1174"/>
      <c r="J322" s="1174"/>
      <c r="K322" s="1174"/>
      <c r="L322" s="1175"/>
    </row>
    <row r="323" spans="1:12" ht="27.95" customHeight="1" thickBot="1">
      <c r="A323" s="13"/>
      <c r="B323" s="1173"/>
      <c r="C323" s="1173"/>
      <c r="D323" s="1173"/>
      <c r="E323" s="1173"/>
      <c r="F323" s="1173"/>
      <c r="H323" s="1174"/>
      <c r="I323" s="1174"/>
      <c r="J323" s="1174"/>
      <c r="K323" s="1174"/>
      <c r="L323" s="1175"/>
    </row>
    <row r="324" spans="1:12" ht="27.95" customHeight="1">
      <c r="A324" s="13"/>
      <c r="B324" s="74"/>
      <c r="C324" s="75"/>
      <c r="D324" s="75"/>
      <c r="E324" s="75"/>
      <c r="F324" s="76"/>
      <c r="H324" s="74"/>
      <c r="I324" s="75"/>
      <c r="J324" s="75"/>
      <c r="K324" s="75"/>
      <c r="L324" s="76"/>
    </row>
    <row r="325" spans="1:12">
      <c r="A325" s="13"/>
      <c r="B325" s="158" t="str">
        <f>'04-221Master'!F5</f>
        <v>Burgeon IT Services Pvt.Ltd.</v>
      </c>
      <c r="F325" s="14"/>
      <c r="H325" s="77" t="str">
        <f>'04-221Master'!AP5</f>
        <v>Burgeon IT Services Pvt.Ltd.</v>
      </c>
      <c r="L325" s="14"/>
    </row>
    <row r="326" spans="1:12">
      <c r="A326" s="13"/>
      <c r="B326" s="13"/>
      <c r="F326" s="14"/>
      <c r="H326" s="13"/>
      <c r="L326" s="14"/>
    </row>
    <row r="327" spans="1:12">
      <c r="A327" s="13"/>
      <c r="B327" s="77" t="str">
        <f>'04-221Master'!F6</f>
        <v>Siri Mansion LIGB 436 Dr.A S Rao Nagar,Hyderabad</v>
      </c>
      <c r="F327" s="14"/>
      <c r="H327" s="77" t="str">
        <f>'04-221Master'!AP6</f>
        <v>Siri Mansion LIGB 436 Dr.A S Rao Nagar,Hyderabad</v>
      </c>
      <c r="L327" s="14"/>
    </row>
    <row r="328" spans="1:12" ht="15.75" thickBot="1">
      <c r="A328" s="13"/>
      <c r="B328" s="25"/>
      <c r="C328" s="23"/>
      <c r="D328" s="23"/>
      <c r="E328" s="23"/>
      <c r="F328" s="24"/>
      <c r="H328" s="25"/>
      <c r="I328" s="23"/>
      <c r="J328" s="23"/>
      <c r="K328" s="23"/>
      <c r="L328" s="24"/>
    </row>
    <row r="329" spans="1:12">
      <c r="A329" s="13"/>
      <c r="J329" t="s">
        <v>110</v>
      </c>
      <c r="L329" s="14"/>
    </row>
    <row r="330" spans="1:12">
      <c r="A330" s="13"/>
      <c r="B330" s="1177" t="s">
        <v>111</v>
      </c>
      <c r="C330" s="1177"/>
      <c r="D330" s="1177"/>
      <c r="E330" s="1177"/>
      <c r="F330" s="1177"/>
      <c r="H330" s="1177" t="s">
        <v>4</v>
      </c>
      <c r="I330" s="1177"/>
      <c r="J330" s="1177"/>
      <c r="K330" s="1177"/>
      <c r="L330" s="1178"/>
    </row>
    <row r="331" spans="1:12" ht="15.75" thickBot="1">
      <c r="A331" s="13"/>
      <c r="L331" s="14"/>
    </row>
    <row r="332" spans="1:12">
      <c r="A332" s="13"/>
      <c r="B332" s="74"/>
      <c r="C332" s="75"/>
      <c r="D332" s="75"/>
      <c r="E332" s="75"/>
      <c r="F332" s="76"/>
      <c r="H332" s="78"/>
      <c r="I332" s="79"/>
      <c r="J332" s="79"/>
      <c r="K332" s="79"/>
      <c r="L332" s="80"/>
    </row>
    <row r="333" spans="1:12">
      <c r="A333" s="13"/>
      <c r="B333" s="13"/>
      <c r="F333" s="14"/>
      <c r="H333" s="77" t="str">
        <f>'04-221Master'!AP10</f>
        <v>INFOSYS  LTD.IL Pune SEZ Unit-I,Plot No. 24/3</v>
      </c>
      <c r="I333" s="2"/>
      <c r="J333" s="2"/>
      <c r="K333" s="2"/>
      <c r="L333" s="81"/>
    </row>
    <row r="334" spans="1:12">
      <c r="A334" s="13"/>
      <c r="B334" s="77" t="str">
        <f>'04-221Master'!F8</f>
        <v>IT SUPPORTIVE SERVICES&amp; Pune SEZ Unit-1</v>
      </c>
      <c r="F334" s="14"/>
      <c r="H334" s="77"/>
      <c r="I334" s="2"/>
      <c r="J334" s="2"/>
      <c r="K334" s="2"/>
      <c r="L334" s="81"/>
    </row>
    <row r="335" spans="1:12">
      <c r="A335" s="13"/>
      <c r="B335" s="13"/>
      <c r="F335" s="14"/>
      <c r="H335" s="77" t="str">
        <f>'04-221Master'!AP11</f>
        <v>Rajiv gandhi Info tech park,Village Mann,Pune,Maharashtra 411057</v>
      </c>
      <c r="I335" s="2"/>
      <c r="J335" s="2"/>
      <c r="K335" s="2"/>
      <c r="L335" s="81"/>
    </row>
    <row r="336" spans="1:12" ht="15.75" thickBot="1">
      <c r="A336" s="13"/>
      <c r="B336" s="25"/>
      <c r="C336" s="23"/>
      <c r="D336" s="23"/>
      <c r="E336" s="23"/>
      <c r="F336" s="24"/>
      <c r="H336" s="82"/>
      <c r="I336" s="83"/>
      <c r="J336" s="83"/>
      <c r="K336" s="83"/>
      <c r="L336" s="84"/>
    </row>
    <row r="337" spans="1:12">
      <c r="A337" s="85"/>
      <c r="B337" s="1369" t="s">
        <v>184</v>
      </c>
      <c r="C337" s="1369"/>
      <c r="D337" s="1369"/>
      <c r="E337" s="1369"/>
      <c r="F337" s="1369"/>
      <c r="G337" s="1369"/>
      <c r="H337" s="1372" t="e">
        <f>'04-221Master'!#REF!</f>
        <v>#REF!</v>
      </c>
      <c r="I337" s="1371"/>
      <c r="J337" s="1371"/>
      <c r="K337" s="1371"/>
      <c r="L337" s="1151"/>
    </row>
    <row r="338" spans="1:12">
      <c r="A338" s="85"/>
      <c r="B338" s="1373" t="s">
        <v>185</v>
      </c>
      <c r="C338" s="1373"/>
      <c r="D338" s="1373"/>
      <c r="E338" s="1373"/>
      <c r="F338" s="1373"/>
      <c r="G338" s="1373"/>
      <c r="H338" s="1372" t="e">
        <f>'04-221Master'!#REF!</f>
        <v>#REF!</v>
      </c>
      <c r="I338" s="1371"/>
      <c r="J338" s="1371"/>
      <c r="K338" s="1371"/>
      <c r="L338" s="1151"/>
    </row>
    <row r="339" spans="1:12">
      <c r="A339" s="85"/>
      <c r="B339" s="1369" t="s">
        <v>186</v>
      </c>
      <c r="C339" s="1369"/>
      <c r="D339" s="1369"/>
      <c r="E339" s="1369"/>
      <c r="F339" s="1369"/>
      <c r="G339" s="1369"/>
      <c r="H339" s="1372" t="e">
        <f>'04-221Master'!#REF!</f>
        <v>#REF!</v>
      </c>
      <c r="I339" s="1371"/>
      <c r="J339" s="1371"/>
      <c r="K339" s="1371"/>
      <c r="L339" s="1151"/>
    </row>
    <row r="340" spans="1:12">
      <c r="A340" s="85"/>
      <c r="B340" s="1369" t="s">
        <v>187</v>
      </c>
      <c r="C340" s="1369"/>
      <c r="D340" s="1369"/>
      <c r="E340" s="1369"/>
      <c r="F340" s="1369"/>
      <c r="G340" s="1369"/>
      <c r="H340" s="1374" t="e">
        <f>'04-221Master'!#REF!</f>
        <v>#REF!</v>
      </c>
      <c r="I340" s="1371"/>
      <c r="J340" s="1371"/>
      <c r="K340" s="1371"/>
      <c r="L340" s="1151"/>
    </row>
    <row r="341" spans="1:12">
      <c r="A341" s="85"/>
      <c r="B341" s="86" t="s">
        <v>188</v>
      </c>
      <c r="C341" s="87"/>
      <c r="D341" s="87"/>
      <c r="E341" s="87"/>
      <c r="F341" s="87"/>
      <c r="G341" s="87"/>
      <c r="H341" s="1366" t="s">
        <v>189</v>
      </c>
      <c r="I341" s="1367"/>
      <c r="J341" s="1367"/>
      <c r="K341" s="1367"/>
      <c r="L341" s="1368"/>
    </row>
    <row r="342" spans="1:12">
      <c r="A342" s="85"/>
      <c r="B342" s="86" t="s">
        <v>190</v>
      </c>
      <c r="C342" s="87"/>
      <c r="D342" s="87"/>
      <c r="E342" s="87"/>
      <c r="F342" s="87"/>
      <c r="G342" s="87"/>
      <c r="H342" s="88"/>
      <c r="I342" s="90"/>
      <c r="J342" s="178"/>
      <c r="K342" s="90"/>
      <c r="L342" s="95"/>
    </row>
    <row r="343" spans="1:12">
      <c r="A343" s="85"/>
      <c r="B343" s="1161" t="s">
        <v>191</v>
      </c>
      <c r="C343" s="1161"/>
      <c r="D343" s="1161"/>
      <c r="E343" s="1161"/>
      <c r="F343" s="1161"/>
      <c r="G343" s="1161"/>
      <c r="H343" s="1154" t="e">
        <f>'04-221Master'!#REF!</f>
        <v>#REF!</v>
      </c>
      <c r="I343" s="1155"/>
      <c r="J343" s="1155"/>
      <c r="K343" s="1155"/>
      <c r="L343" s="1156"/>
    </row>
    <row r="344" spans="1:12">
      <c r="A344" s="85"/>
      <c r="B344" s="1369"/>
      <c r="C344" s="1369"/>
      <c r="D344" s="1369"/>
      <c r="E344" s="1369"/>
      <c r="F344" s="1369"/>
      <c r="G344" s="1369"/>
      <c r="H344" s="1370" t="e">
        <f>'04-221Master'!#REF!</f>
        <v>#REF!</v>
      </c>
      <c r="I344" s="1371"/>
      <c r="J344" s="1371"/>
      <c r="K344" s="1371"/>
      <c r="L344" s="1151"/>
    </row>
    <row r="345" spans="1:12">
      <c r="A345" s="13"/>
      <c r="B345" s="1369"/>
      <c r="C345" s="1369"/>
      <c r="D345" s="1369"/>
      <c r="E345" s="1369"/>
      <c r="F345" s="1369"/>
      <c r="G345" s="1369"/>
      <c r="H345" s="1372" t="e">
        <f>'04-221Master'!#REF!</f>
        <v>#REF!</v>
      </c>
      <c r="I345" s="1371"/>
      <c r="J345" s="1371"/>
      <c r="K345" s="1371"/>
      <c r="L345" s="1151"/>
    </row>
    <row r="346" spans="1:12">
      <c r="A346" s="13"/>
      <c r="B346" s="86" t="s">
        <v>192</v>
      </c>
      <c r="C346" s="87"/>
      <c r="D346" s="87"/>
      <c r="E346" s="87"/>
      <c r="F346" s="87"/>
      <c r="G346" s="91"/>
      <c r="H346" s="1359" t="e">
        <f>'04-221Master'!#REF!</f>
        <v>#REF!</v>
      </c>
      <c r="I346" s="1149"/>
      <c r="J346" s="1149"/>
      <c r="K346" s="1149"/>
      <c r="L346" s="1360"/>
    </row>
    <row r="347" spans="1:12">
      <c r="A347" s="13"/>
      <c r="B347" s="86"/>
      <c r="C347" s="87"/>
      <c r="D347" s="87"/>
      <c r="E347" s="87"/>
      <c r="F347" s="87"/>
      <c r="G347" s="91"/>
      <c r="H347" s="1359" t="e">
        <f>'04-221Master'!#REF!</f>
        <v>#REF!</v>
      </c>
      <c r="I347" s="1149"/>
      <c r="J347" s="1149"/>
      <c r="K347" s="1149"/>
      <c r="L347" s="1360"/>
    </row>
    <row r="348" spans="1:12">
      <c r="A348" s="13"/>
      <c r="B348" s="86"/>
      <c r="C348" s="87"/>
      <c r="D348" s="87"/>
      <c r="E348" s="87"/>
      <c r="F348" s="87"/>
      <c r="G348" s="91"/>
      <c r="H348" s="1359" t="e">
        <f>'04-221Master'!#REF!</f>
        <v>#REF!</v>
      </c>
      <c r="I348" s="1149"/>
      <c r="J348" s="1149"/>
      <c r="K348" s="1149"/>
      <c r="L348" s="1360"/>
    </row>
    <row r="349" spans="1:12">
      <c r="A349" s="13"/>
      <c r="B349" s="86" t="s">
        <v>199</v>
      </c>
      <c r="C349" s="87"/>
      <c r="D349" s="87"/>
      <c r="E349" s="87"/>
      <c r="F349" s="87"/>
      <c r="G349" s="91"/>
      <c r="H349" s="88"/>
      <c r="I349" s="90"/>
      <c r="J349" s="90"/>
      <c r="K349" s="90"/>
      <c r="L349" s="95"/>
    </row>
    <row r="350" spans="1:12">
      <c r="A350" s="13"/>
      <c r="B350" s="97" t="s">
        <v>200</v>
      </c>
      <c r="C350" s="159"/>
      <c r="D350" s="159"/>
      <c r="E350" s="159"/>
      <c r="F350" s="159"/>
      <c r="G350" s="160"/>
      <c r="H350" s="161"/>
      <c r="I350" s="162"/>
      <c r="J350" s="163"/>
      <c r="K350" s="162"/>
      <c r="L350" s="164"/>
    </row>
    <row r="351" spans="1:12" ht="45">
      <c r="A351" s="13"/>
      <c r="B351" s="86" t="s">
        <v>203</v>
      </c>
      <c r="C351" s="87"/>
      <c r="D351" s="90"/>
      <c r="E351" s="171" t="s">
        <v>205</v>
      </c>
      <c r="F351" s="65"/>
      <c r="G351" s="1361" t="s">
        <v>204</v>
      </c>
      <c r="H351" s="1362"/>
      <c r="I351" s="175" t="s">
        <v>201</v>
      </c>
      <c r="J351" s="173" t="s">
        <v>206</v>
      </c>
      <c r="K351" s="1361" t="s">
        <v>202</v>
      </c>
      <c r="L351" s="1363"/>
    </row>
    <row r="352" spans="1:12">
      <c r="A352" s="13"/>
      <c r="B352" s="174">
        <v>1</v>
      </c>
      <c r="C352" s="87"/>
      <c r="D352" s="87"/>
      <c r="E352" s="177">
        <v>2</v>
      </c>
      <c r="F352" s="91"/>
      <c r="G352" s="177">
        <v>3</v>
      </c>
      <c r="H352" s="193"/>
      <c r="I352" s="193">
        <v>4</v>
      </c>
      <c r="J352" s="102">
        <v>5</v>
      </c>
      <c r="K352" s="93"/>
      <c r="L352" s="94">
        <v>6</v>
      </c>
    </row>
    <row r="353" spans="1:12">
      <c r="A353" s="13"/>
      <c r="B353" s="291" t="e">
        <f>'04-221Master'!#REF!</f>
        <v>#REF!</v>
      </c>
      <c r="C353" s="189"/>
      <c r="D353" s="190"/>
      <c r="E353" s="192" t="s">
        <v>362</v>
      </c>
      <c r="F353" s="190"/>
      <c r="G353" s="192" t="s">
        <v>363</v>
      </c>
      <c r="H353" s="65"/>
      <c r="I353" s="11" t="s">
        <v>364</v>
      </c>
      <c r="J353" s="290">
        <v>1</v>
      </c>
      <c r="K353" s="1364" t="s">
        <v>37</v>
      </c>
      <c r="L353" s="1375"/>
    </row>
    <row r="354" spans="1:12">
      <c r="A354" s="13"/>
      <c r="B354" s="86"/>
      <c r="C354" s="189"/>
      <c r="D354" s="190"/>
      <c r="E354" s="191"/>
      <c r="F354" s="190"/>
      <c r="G354" s="191"/>
      <c r="H354" s="65"/>
      <c r="I354" s="11"/>
      <c r="J354" s="11"/>
      <c r="K354" s="192"/>
      <c r="L354" s="65"/>
    </row>
    <row r="355" spans="1:12">
      <c r="A355" s="13"/>
      <c r="B355" s="86"/>
      <c r="C355" s="189"/>
      <c r="D355" s="190"/>
      <c r="E355" s="191"/>
      <c r="F355" s="190"/>
      <c r="G355" s="191"/>
      <c r="H355" s="65"/>
      <c r="I355" s="11"/>
      <c r="J355" s="11"/>
      <c r="K355" s="192"/>
      <c r="L355" s="65"/>
    </row>
    <row r="356" spans="1:12">
      <c r="A356" s="13"/>
      <c r="B356" s="72"/>
      <c r="C356" s="17"/>
      <c r="D356" s="73"/>
      <c r="E356" s="191"/>
      <c r="F356" s="190"/>
      <c r="G356" s="191"/>
      <c r="H356" s="65"/>
      <c r="I356" s="11"/>
      <c r="J356" s="11"/>
      <c r="K356" s="192"/>
      <c r="L356" s="65"/>
    </row>
    <row r="357" spans="1:12">
      <c r="A357" s="13"/>
      <c r="B357" t="s">
        <v>207</v>
      </c>
      <c r="L357" s="14"/>
    </row>
    <row r="358" spans="1:12">
      <c r="A358" s="13"/>
      <c r="B358" t="s">
        <v>208</v>
      </c>
      <c r="L358" s="14"/>
    </row>
    <row r="359" spans="1:12">
      <c r="A359" s="13"/>
      <c r="B359" t="s">
        <v>209</v>
      </c>
      <c r="L359" s="14"/>
    </row>
    <row r="360" spans="1:12" ht="27.95" customHeight="1">
      <c r="A360" s="13"/>
      <c r="L360" s="14"/>
    </row>
    <row r="361" spans="1:12" ht="27.95" customHeight="1">
      <c r="A361" s="13"/>
      <c r="I361" t="s">
        <v>210</v>
      </c>
      <c r="L361" s="14"/>
    </row>
    <row r="362" spans="1:12" ht="27.95" customHeight="1">
      <c r="A362" s="13"/>
      <c r="F362" s="179" t="s">
        <v>193</v>
      </c>
      <c r="L362" s="14"/>
    </row>
    <row r="363" spans="1:12" ht="27.95" customHeight="1">
      <c r="A363" s="13" t="s">
        <v>194</v>
      </c>
      <c r="K363" s="229" t="e">
        <f>'04-221Master'!#REF!</f>
        <v>#REF!</v>
      </c>
      <c r="L363" s="14"/>
    </row>
    <row r="364" spans="1:12" ht="27.95" customHeight="1">
      <c r="A364" s="13" t="s">
        <v>195</v>
      </c>
      <c r="L364" s="14"/>
    </row>
    <row r="365" spans="1:12" ht="27.95" customHeight="1">
      <c r="A365" s="13"/>
      <c r="L365" s="14"/>
    </row>
    <row r="366" spans="1:12" ht="27.95" customHeight="1">
      <c r="A366" s="13"/>
      <c r="L366" s="14"/>
    </row>
    <row r="367" spans="1:12" ht="27.95" customHeight="1">
      <c r="A367" s="13"/>
      <c r="F367" t="s">
        <v>196</v>
      </c>
      <c r="L367" s="14"/>
    </row>
    <row r="368" spans="1:12" ht="27.95" customHeight="1">
      <c r="A368" s="13" t="s">
        <v>197</v>
      </c>
      <c r="B368" t="s">
        <v>361</v>
      </c>
      <c r="F368" t="str">
        <f>'04-221Master'!F5</f>
        <v>Burgeon IT Services Pvt.Ltd.</v>
      </c>
      <c r="L368" s="14"/>
    </row>
    <row r="369" spans="1:12" ht="27.95" customHeight="1">
      <c r="A369" s="13" t="s">
        <v>198</v>
      </c>
      <c r="B369" s="289" t="e">
        <f>'04-221Master'!#REF!</f>
        <v>#REF!</v>
      </c>
      <c r="F369" t="str">
        <f>'04-221Master'!F6</f>
        <v>Siri Mansion LIGB 436 Dr.A S Rao Nagar,Hyderabad</v>
      </c>
      <c r="L369" s="14"/>
    </row>
    <row r="370" spans="1:12" ht="27.95" customHeight="1" thickBot="1">
      <c r="A370" s="25"/>
      <c r="B370" s="23"/>
      <c r="C370" s="23"/>
      <c r="D370" s="23"/>
      <c r="E370" s="23"/>
      <c r="F370" s="23"/>
      <c r="G370" s="23"/>
      <c r="H370" s="23"/>
      <c r="I370" s="23"/>
      <c r="J370" s="23"/>
      <c r="K370" s="23"/>
      <c r="L370" s="24"/>
    </row>
    <row r="371" spans="1:12" ht="27.95" customHeight="1" thickBot="1">
      <c r="B371" s="180"/>
      <c r="C371" s="176"/>
      <c r="D371" s="176"/>
      <c r="E371" s="176"/>
      <c r="F371" s="176"/>
      <c r="G371" s="176"/>
      <c r="H371" s="165"/>
      <c r="I371" s="165"/>
      <c r="J371" s="166"/>
      <c r="K371" s="165"/>
      <c r="L371" s="165"/>
    </row>
    <row r="372" spans="1:12" ht="27.95" customHeight="1">
      <c r="A372" s="74"/>
      <c r="B372" s="1376" t="s">
        <v>181</v>
      </c>
      <c r="C372" s="1164"/>
      <c r="D372" s="1164"/>
      <c r="E372" s="1164"/>
      <c r="F372" s="1164"/>
      <c r="G372" s="1164"/>
      <c r="H372" s="1164"/>
      <c r="I372" s="1164"/>
      <c r="J372" s="1164"/>
      <c r="K372" s="1164"/>
      <c r="L372" s="1165"/>
    </row>
    <row r="373" spans="1:12" ht="27.95" customHeight="1">
      <c r="A373" s="13"/>
      <c r="B373" s="1167" t="s">
        <v>182</v>
      </c>
      <c r="C373" s="1167"/>
      <c r="D373" s="1167"/>
      <c r="E373" s="1167"/>
      <c r="F373" s="1167"/>
      <c r="G373" s="1167"/>
      <c r="H373" s="1167"/>
      <c r="I373" s="1167"/>
      <c r="J373" s="1167"/>
      <c r="K373" s="1167"/>
      <c r="L373" s="1168"/>
    </row>
    <row r="374" spans="1:12" ht="27.95" customHeight="1" thickBot="1">
      <c r="A374" s="25"/>
      <c r="B374" s="1170" t="s">
        <v>183</v>
      </c>
      <c r="C374" s="1170"/>
      <c r="D374" s="1170"/>
      <c r="E374" s="1170"/>
      <c r="F374" s="1170"/>
      <c r="G374" s="1170"/>
      <c r="H374" s="1170"/>
      <c r="I374" s="1170"/>
      <c r="J374" s="1170"/>
      <c r="K374" s="1170"/>
      <c r="L374" s="1171"/>
    </row>
    <row r="375" spans="1:12" ht="27.95" customHeight="1">
      <c r="A375" s="13"/>
      <c r="B375" s="1173" t="s">
        <v>108</v>
      </c>
      <c r="C375" s="1173"/>
      <c r="D375" s="1173"/>
      <c r="E375" s="1173"/>
      <c r="F375" s="1173"/>
      <c r="H375" s="1174" t="s">
        <v>109</v>
      </c>
      <c r="I375" s="1174"/>
      <c r="J375" s="1174"/>
      <c r="K375" s="1174"/>
      <c r="L375" s="1175"/>
    </row>
    <row r="376" spans="1:12" ht="27.95" customHeight="1" thickBot="1">
      <c r="A376" s="13"/>
      <c r="B376" s="1173"/>
      <c r="C376" s="1173"/>
      <c r="D376" s="1173"/>
      <c r="E376" s="1173"/>
      <c r="F376" s="1173"/>
      <c r="H376" s="1174"/>
      <c r="I376" s="1174"/>
      <c r="J376" s="1174"/>
      <c r="K376" s="1174"/>
      <c r="L376" s="1175"/>
    </row>
    <row r="377" spans="1:12" ht="27.95" customHeight="1">
      <c r="A377" s="13"/>
      <c r="B377" s="74"/>
      <c r="C377" s="75"/>
      <c r="D377" s="75"/>
      <c r="E377" s="75"/>
      <c r="F377" s="76"/>
      <c r="H377" s="74"/>
      <c r="I377" s="75"/>
      <c r="J377" s="75"/>
      <c r="K377" s="75"/>
      <c r="L377" s="76"/>
    </row>
    <row r="378" spans="1:12">
      <c r="A378" s="13"/>
      <c r="B378" s="77" t="str">
        <f>'04-221Master'!F5</f>
        <v>Burgeon IT Services Pvt.Ltd.</v>
      </c>
      <c r="F378" s="14"/>
      <c r="H378" s="77" t="str">
        <f>'04-221Master'!AP5</f>
        <v>Burgeon IT Services Pvt.Ltd.</v>
      </c>
      <c r="L378" s="14"/>
    </row>
    <row r="379" spans="1:12">
      <c r="A379" s="13"/>
      <c r="B379" s="13"/>
      <c r="F379" s="14"/>
      <c r="H379" s="13"/>
      <c r="L379" s="14"/>
    </row>
    <row r="380" spans="1:12">
      <c r="A380" s="13"/>
      <c r="B380" s="77" t="str">
        <f>'04-221Master'!F6</f>
        <v>Siri Mansion LIGB 436 Dr.A S Rao Nagar,Hyderabad</v>
      </c>
      <c r="F380" s="14"/>
      <c r="H380" s="77" t="str">
        <f>'04-221Master'!AP6</f>
        <v>Siri Mansion LIGB 436 Dr.A S Rao Nagar,Hyderabad</v>
      </c>
      <c r="L380" s="14"/>
    </row>
    <row r="381" spans="1:12" ht="15.75" thickBot="1">
      <c r="A381" s="13"/>
      <c r="B381" s="25"/>
      <c r="C381" s="23"/>
      <c r="D381" s="23"/>
      <c r="E381" s="23"/>
      <c r="F381" s="24"/>
      <c r="H381" s="25"/>
      <c r="I381" s="23"/>
      <c r="J381" s="23"/>
      <c r="K381" s="23"/>
      <c r="L381" s="24"/>
    </row>
    <row r="382" spans="1:12">
      <c r="A382" s="13"/>
      <c r="J382" t="s">
        <v>110</v>
      </c>
      <c r="L382" s="14"/>
    </row>
    <row r="383" spans="1:12">
      <c r="A383" s="13"/>
      <c r="B383" s="1177" t="s">
        <v>111</v>
      </c>
      <c r="C383" s="1177"/>
      <c r="D383" s="1177"/>
      <c r="E383" s="1177"/>
      <c r="F383" s="1177"/>
      <c r="H383" s="1177" t="s">
        <v>4</v>
      </c>
      <c r="I383" s="1177"/>
      <c r="J383" s="1177"/>
      <c r="K383" s="1177"/>
      <c r="L383" s="1178"/>
    </row>
    <row r="384" spans="1:12" ht="15" customHeight="1" thickBot="1">
      <c r="A384" s="13"/>
      <c r="L384" s="14"/>
    </row>
    <row r="385" spans="1:12">
      <c r="A385" s="13"/>
      <c r="B385" s="74"/>
      <c r="C385" s="75"/>
      <c r="D385" s="75"/>
      <c r="E385" s="75"/>
      <c r="F385" s="76"/>
      <c r="H385" s="78"/>
      <c r="I385" s="79"/>
      <c r="J385" s="79"/>
      <c r="K385" s="79"/>
      <c r="L385" s="80"/>
    </row>
    <row r="386" spans="1:12">
      <c r="A386" s="13"/>
      <c r="B386" s="13"/>
      <c r="F386" s="14"/>
      <c r="H386" s="77" t="str">
        <f>'04-221Master'!AP10</f>
        <v>INFOSYS  LTD.IL Pune SEZ Unit-I,Plot No. 24/3</v>
      </c>
      <c r="I386" s="2"/>
      <c r="J386" s="2"/>
      <c r="K386" s="2"/>
      <c r="L386" s="81"/>
    </row>
    <row r="387" spans="1:12">
      <c r="A387" s="13"/>
      <c r="B387" s="77" t="str">
        <f>'04-221Master'!F8</f>
        <v>IT SUPPORTIVE SERVICES&amp; Pune SEZ Unit-1</v>
      </c>
      <c r="F387" s="14"/>
      <c r="H387" s="77"/>
      <c r="I387" s="2"/>
      <c r="J387" s="2"/>
      <c r="K387" s="2"/>
      <c r="L387" s="81"/>
    </row>
    <row r="388" spans="1:12">
      <c r="A388" s="13"/>
      <c r="B388" s="13"/>
      <c r="F388" s="14"/>
      <c r="H388" s="77" t="str">
        <f>'04-221Master'!AP11</f>
        <v>Rajiv gandhi Info tech park,Village Mann,Pune,Maharashtra 411057</v>
      </c>
      <c r="I388" s="2"/>
      <c r="J388" s="2"/>
      <c r="K388" s="2"/>
      <c r="L388" s="81"/>
    </row>
    <row r="389" spans="1:12" ht="15.75" thickBot="1">
      <c r="A389" s="13"/>
      <c r="B389" s="25"/>
      <c r="C389" s="23"/>
      <c r="D389" s="23"/>
      <c r="E389" s="23"/>
      <c r="F389" s="24"/>
      <c r="H389" s="82"/>
      <c r="I389" s="83"/>
      <c r="J389" s="83"/>
      <c r="K389" s="83"/>
      <c r="L389" s="84"/>
    </row>
    <row r="390" spans="1:12">
      <c r="A390" s="85"/>
      <c r="B390" s="1369" t="s">
        <v>184</v>
      </c>
      <c r="C390" s="1369"/>
      <c r="D390" s="1369"/>
      <c r="E390" s="1369"/>
      <c r="F390" s="1369"/>
      <c r="G390" s="1369"/>
      <c r="H390" s="1372" t="e">
        <f>'04-221Master'!#REF!</f>
        <v>#REF!</v>
      </c>
      <c r="I390" s="1371"/>
      <c r="J390" s="1371"/>
      <c r="K390" s="1371"/>
      <c r="L390" s="1151"/>
    </row>
    <row r="391" spans="1:12">
      <c r="A391" s="85"/>
      <c r="B391" s="1373" t="s">
        <v>185</v>
      </c>
      <c r="C391" s="1373"/>
      <c r="D391" s="1373"/>
      <c r="E391" s="1373"/>
      <c r="F391" s="1373"/>
      <c r="G391" s="1373"/>
      <c r="H391" s="1372" t="e">
        <f>'04-221Master'!#REF!</f>
        <v>#REF!</v>
      </c>
      <c r="I391" s="1371"/>
      <c r="J391" s="1371"/>
      <c r="K391" s="1371"/>
      <c r="L391" s="1151"/>
    </row>
    <row r="392" spans="1:12">
      <c r="A392" s="85"/>
      <c r="B392" s="1369" t="s">
        <v>186</v>
      </c>
      <c r="C392" s="1369"/>
      <c r="D392" s="1369"/>
      <c r="E392" s="1369"/>
      <c r="F392" s="1369"/>
      <c r="G392" s="1369"/>
      <c r="H392" s="1372" t="e">
        <f>'04-221Master'!#REF!</f>
        <v>#REF!</v>
      </c>
      <c r="I392" s="1371"/>
      <c r="J392" s="1371"/>
      <c r="K392" s="1371"/>
      <c r="L392" s="1151"/>
    </row>
    <row r="393" spans="1:12">
      <c r="A393" s="85"/>
      <c r="B393" s="1369" t="s">
        <v>187</v>
      </c>
      <c r="C393" s="1369"/>
      <c r="D393" s="1369"/>
      <c r="E393" s="1369"/>
      <c r="F393" s="1369"/>
      <c r="G393" s="1369"/>
      <c r="H393" s="1374" t="e">
        <f>'04-221Master'!#REF!</f>
        <v>#REF!</v>
      </c>
      <c r="I393" s="1371"/>
      <c r="J393" s="1371"/>
      <c r="K393" s="1371"/>
      <c r="L393" s="1151"/>
    </row>
    <row r="394" spans="1:12">
      <c r="A394" s="85"/>
      <c r="B394" s="86" t="s">
        <v>188</v>
      </c>
      <c r="C394" s="87"/>
      <c r="D394" s="87"/>
      <c r="E394" s="87"/>
      <c r="F394" s="87"/>
      <c r="G394" s="87"/>
      <c r="H394" s="1366" t="s">
        <v>189</v>
      </c>
      <c r="I394" s="1367"/>
      <c r="J394" s="1367"/>
      <c r="K394" s="1367"/>
      <c r="L394" s="1368"/>
    </row>
    <row r="395" spans="1:12">
      <c r="A395" s="85"/>
      <c r="B395" s="86" t="s">
        <v>190</v>
      </c>
      <c r="C395" s="87"/>
      <c r="D395" s="87"/>
      <c r="E395" s="87"/>
      <c r="F395" s="87"/>
      <c r="G395" s="87"/>
      <c r="H395" s="88"/>
      <c r="I395" s="90"/>
      <c r="J395" s="178"/>
      <c r="K395" s="90"/>
      <c r="L395" s="95"/>
    </row>
    <row r="396" spans="1:12">
      <c r="A396" s="85"/>
      <c r="B396" s="1161" t="s">
        <v>191</v>
      </c>
      <c r="C396" s="1161"/>
      <c r="D396" s="1161"/>
      <c r="E396" s="1161"/>
      <c r="F396" s="1161"/>
      <c r="G396" s="1161"/>
      <c r="H396" s="1154" t="e">
        <f>'04-221Master'!#REF!</f>
        <v>#REF!</v>
      </c>
      <c r="I396" s="1155"/>
      <c r="J396" s="1155"/>
      <c r="K396" s="1155"/>
      <c r="L396" s="1156"/>
    </row>
    <row r="397" spans="1:12">
      <c r="A397" s="85"/>
      <c r="B397" s="1369"/>
      <c r="C397" s="1369"/>
      <c r="D397" s="1369"/>
      <c r="E397" s="1369"/>
      <c r="F397" s="1369"/>
      <c r="G397" s="1369"/>
      <c r="H397" s="1370" t="e">
        <f>'04-221Master'!#REF!</f>
        <v>#REF!</v>
      </c>
      <c r="I397" s="1371"/>
      <c r="J397" s="1371"/>
      <c r="K397" s="1371"/>
      <c r="L397" s="1151"/>
    </row>
    <row r="398" spans="1:12">
      <c r="A398" s="13"/>
      <c r="B398" s="1369"/>
      <c r="C398" s="1369"/>
      <c r="D398" s="1369"/>
      <c r="E398" s="1369"/>
      <c r="F398" s="1369"/>
      <c r="G398" s="1369"/>
      <c r="H398" s="1372" t="e">
        <f>'04-221Master'!#REF!</f>
        <v>#REF!</v>
      </c>
      <c r="I398" s="1371"/>
      <c r="J398" s="1371"/>
      <c r="K398" s="1371"/>
      <c r="L398" s="1151"/>
    </row>
    <row r="399" spans="1:12" ht="27.95" customHeight="1">
      <c r="A399" s="13"/>
      <c r="B399" s="86" t="s">
        <v>192</v>
      </c>
      <c r="C399" s="87"/>
      <c r="D399" s="87"/>
      <c r="E399" s="87"/>
      <c r="F399" s="87"/>
      <c r="G399" s="91"/>
      <c r="H399" s="1359" t="e">
        <f>'04-221Master'!#REF!</f>
        <v>#REF!</v>
      </c>
      <c r="I399" s="1149"/>
      <c r="J399" s="1149"/>
      <c r="K399" s="1149"/>
      <c r="L399" s="1360"/>
    </row>
    <row r="400" spans="1:12" ht="27.95" customHeight="1">
      <c r="A400" s="13"/>
      <c r="B400" s="86"/>
      <c r="C400" s="87"/>
      <c r="D400" s="87"/>
      <c r="E400" s="87"/>
      <c r="F400" s="87"/>
      <c r="G400" s="91"/>
      <c r="H400" s="1359" t="e">
        <f>'04-221Master'!#REF!</f>
        <v>#REF!</v>
      </c>
      <c r="I400" s="1149"/>
      <c r="J400" s="1149"/>
      <c r="K400" s="1149"/>
      <c r="L400" s="1360"/>
    </row>
    <row r="401" spans="1:12" ht="27.95" customHeight="1">
      <c r="A401" s="13"/>
      <c r="B401" s="86"/>
      <c r="C401" s="87"/>
      <c r="D401" s="87"/>
      <c r="E401" s="87"/>
      <c r="F401" s="87"/>
      <c r="G401" s="91"/>
      <c r="H401" s="1359" t="e">
        <f>'04-221Master'!#REF!</f>
        <v>#REF!</v>
      </c>
      <c r="I401" s="1149"/>
      <c r="J401" s="1149"/>
      <c r="K401" s="1149"/>
      <c r="L401" s="1360"/>
    </row>
    <row r="402" spans="1:12" ht="27.95" customHeight="1">
      <c r="A402" s="13"/>
      <c r="B402" s="86" t="s">
        <v>199</v>
      </c>
      <c r="C402" s="87"/>
      <c r="D402" s="87"/>
      <c r="E402" s="87"/>
      <c r="F402" s="87"/>
      <c r="G402" s="91"/>
      <c r="H402" s="88"/>
      <c r="I402" s="90"/>
      <c r="J402" s="90"/>
      <c r="K402" s="90"/>
      <c r="L402" s="95"/>
    </row>
    <row r="403" spans="1:12" ht="27.95" customHeight="1">
      <c r="A403" s="13"/>
      <c r="B403" s="97" t="s">
        <v>200</v>
      </c>
      <c r="C403" s="159"/>
      <c r="D403" s="159"/>
      <c r="E403" s="159"/>
      <c r="F403" s="159"/>
      <c r="G403" s="160"/>
      <c r="H403" s="161"/>
      <c r="I403" s="162"/>
      <c r="J403" s="163"/>
      <c r="K403" s="162"/>
      <c r="L403" s="164"/>
    </row>
    <row r="404" spans="1:12" ht="27.95" customHeight="1">
      <c r="A404" s="13"/>
      <c r="B404" s="86" t="s">
        <v>203</v>
      </c>
      <c r="C404" s="87"/>
      <c r="D404" s="90"/>
      <c r="E404" s="171" t="s">
        <v>205</v>
      </c>
      <c r="F404" s="65"/>
      <c r="G404" s="1361" t="s">
        <v>204</v>
      </c>
      <c r="H404" s="1362"/>
      <c r="I404" s="175" t="s">
        <v>201</v>
      </c>
      <c r="J404" s="173" t="s">
        <v>206</v>
      </c>
      <c r="K404" s="1361" t="s">
        <v>202</v>
      </c>
      <c r="L404" s="1363"/>
    </row>
    <row r="405" spans="1:12" ht="27.95" customHeight="1">
      <c r="A405" s="13"/>
      <c r="B405" s="174">
        <v>1</v>
      </c>
      <c r="C405" s="87"/>
      <c r="D405" s="87"/>
      <c r="E405" s="177">
        <v>2</v>
      </c>
      <c r="F405" s="91"/>
      <c r="G405" s="177">
        <v>3</v>
      </c>
      <c r="H405" s="193"/>
      <c r="I405" s="193">
        <v>4</v>
      </c>
      <c r="J405" s="102">
        <v>5</v>
      </c>
      <c r="K405" s="93"/>
      <c r="L405" s="94">
        <v>6</v>
      </c>
    </row>
    <row r="406" spans="1:12" ht="27.95" customHeight="1">
      <c r="A406" s="13"/>
      <c r="B406" s="291" t="e">
        <f>'04-221Master'!#REF!</f>
        <v>#REF!</v>
      </c>
      <c r="C406" s="189"/>
      <c r="D406" s="190"/>
      <c r="E406" s="192" t="s">
        <v>362</v>
      </c>
      <c r="F406" s="190"/>
      <c r="G406" s="192" t="s">
        <v>363</v>
      </c>
      <c r="H406" s="65"/>
      <c r="I406" s="11" t="s">
        <v>364</v>
      </c>
      <c r="J406" s="290">
        <v>1</v>
      </c>
      <c r="K406" s="1364" t="s">
        <v>37</v>
      </c>
      <c r="L406" s="1375"/>
    </row>
    <row r="407" spans="1:12" ht="27.95" customHeight="1">
      <c r="A407" s="13"/>
      <c r="B407" s="86"/>
      <c r="C407" s="189"/>
      <c r="D407" s="190"/>
      <c r="E407" s="191"/>
      <c r="F407" s="190"/>
      <c r="G407" s="191"/>
      <c r="H407" s="65"/>
      <c r="I407" s="11"/>
      <c r="J407" s="11"/>
      <c r="K407" s="192"/>
      <c r="L407" s="65"/>
    </row>
    <row r="408" spans="1:12" ht="27.95" customHeight="1">
      <c r="A408" s="13"/>
      <c r="B408" s="86"/>
      <c r="C408" s="189"/>
      <c r="D408" s="190"/>
      <c r="E408" s="191"/>
      <c r="F408" s="190"/>
      <c r="G408" s="191"/>
      <c r="H408" s="65"/>
      <c r="I408" s="11"/>
      <c r="J408" s="11"/>
      <c r="K408" s="192"/>
      <c r="L408" s="65"/>
    </row>
    <row r="409" spans="1:12" ht="27.95" customHeight="1">
      <c r="A409" s="13"/>
      <c r="B409" s="72"/>
      <c r="C409" s="17"/>
      <c r="D409" s="73"/>
      <c r="E409" s="191"/>
      <c r="F409" s="190"/>
      <c r="G409" s="191"/>
      <c r="H409" s="65"/>
      <c r="I409" s="11"/>
      <c r="J409" s="11"/>
      <c r="K409" s="192"/>
      <c r="L409" s="65"/>
    </row>
    <row r="410" spans="1:12" ht="27.95" customHeight="1">
      <c r="A410" s="13"/>
      <c r="B410" t="s">
        <v>207</v>
      </c>
      <c r="L410" s="14"/>
    </row>
    <row r="411" spans="1:12" ht="27.95" customHeight="1">
      <c r="A411" s="13"/>
      <c r="B411" t="s">
        <v>208</v>
      </c>
      <c r="L411" s="14"/>
    </row>
    <row r="412" spans="1:12" ht="27.95" customHeight="1">
      <c r="A412" s="13"/>
      <c r="B412" t="s">
        <v>209</v>
      </c>
      <c r="L412" s="14"/>
    </row>
    <row r="413" spans="1:12" ht="27.95" customHeight="1">
      <c r="A413" s="13"/>
      <c r="I413" t="s">
        <v>210</v>
      </c>
      <c r="L413" s="14"/>
    </row>
    <row r="414" spans="1:12" ht="27.95" customHeight="1">
      <c r="A414" s="13"/>
      <c r="F414" s="179" t="s">
        <v>193</v>
      </c>
      <c r="L414" s="14"/>
    </row>
    <row r="415" spans="1:12" ht="27.95" customHeight="1">
      <c r="A415" s="13" t="s">
        <v>194</v>
      </c>
      <c r="K415" s="229" t="e">
        <f>'04-221Master'!#REF!</f>
        <v>#REF!</v>
      </c>
      <c r="L415" s="14"/>
    </row>
    <row r="416" spans="1:12">
      <c r="A416" s="13" t="s">
        <v>195</v>
      </c>
      <c r="L416" s="14"/>
    </row>
    <row r="417" spans="1:12">
      <c r="A417" s="13"/>
      <c r="L417" s="14"/>
    </row>
    <row r="418" spans="1:12">
      <c r="A418" s="13"/>
      <c r="L418" s="14"/>
    </row>
    <row r="419" spans="1:12">
      <c r="A419" s="13"/>
      <c r="F419" t="s">
        <v>196</v>
      </c>
      <c r="L419" s="14"/>
    </row>
    <row r="420" spans="1:12">
      <c r="A420" s="13" t="s">
        <v>197</v>
      </c>
      <c r="B420" t="s">
        <v>361</v>
      </c>
      <c r="F420" t="str">
        <f>'04-221Master'!F5</f>
        <v>Burgeon IT Services Pvt.Ltd.</v>
      </c>
      <c r="L420" s="14"/>
    </row>
    <row r="421" spans="1:12">
      <c r="A421" s="13" t="s">
        <v>198</v>
      </c>
      <c r="B421" s="289" t="e">
        <f>'04-221Master'!#REF!</f>
        <v>#REF!</v>
      </c>
      <c r="F421" t="str">
        <f>'04-221Master'!F6</f>
        <v>Siri Mansion LIGB 436 Dr.A S Rao Nagar,Hyderabad</v>
      </c>
      <c r="L421" s="14"/>
    </row>
    <row r="422" spans="1:12" ht="15" customHeight="1" thickBot="1">
      <c r="A422" s="25"/>
      <c r="B422" s="23"/>
      <c r="C422" s="23"/>
      <c r="D422" s="23"/>
      <c r="E422" s="23"/>
      <c r="F422" s="23"/>
      <c r="G422" s="23"/>
      <c r="H422" s="23"/>
      <c r="I422" s="23"/>
      <c r="J422" s="23"/>
      <c r="K422" s="23"/>
      <c r="L422" s="24"/>
    </row>
    <row r="423" spans="1:12" ht="15.75" thickBot="1">
      <c r="B423" s="180"/>
      <c r="C423" s="176"/>
      <c r="D423" s="176"/>
      <c r="E423" s="176"/>
      <c r="F423" s="176"/>
      <c r="G423" s="176"/>
      <c r="H423" s="165"/>
      <c r="I423" s="165"/>
      <c r="J423" s="166"/>
      <c r="K423" s="165"/>
      <c r="L423" s="165"/>
    </row>
    <row r="424" spans="1:12" ht="32.25">
      <c r="A424" s="74"/>
      <c r="B424" s="1376" t="s">
        <v>181</v>
      </c>
      <c r="C424" s="1164"/>
      <c r="D424" s="1164"/>
      <c r="E424" s="1164"/>
      <c r="F424" s="1164"/>
      <c r="G424" s="1164"/>
      <c r="H424" s="1164"/>
      <c r="I424" s="1164"/>
      <c r="J424" s="1164"/>
      <c r="K424" s="1164"/>
      <c r="L424" s="1165"/>
    </row>
    <row r="425" spans="1:12" ht="23.25">
      <c r="A425" s="13"/>
      <c r="B425" s="1167" t="s">
        <v>182</v>
      </c>
      <c r="C425" s="1167"/>
      <c r="D425" s="1167"/>
      <c r="E425" s="1167"/>
      <c r="F425" s="1167"/>
      <c r="G425" s="1167"/>
      <c r="H425" s="1167"/>
      <c r="I425" s="1167"/>
      <c r="J425" s="1167"/>
      <c r="K425" s="1167"/>
      <c r="L425" s="1168"/>
    </row>
    <row r="426" spans="1:12" ht="16.5" thickBot="1">
      <c r="A426" s="25"/>
      <c r="B426" s="1170" t="s">
        <v>183</v>
      </c>
      <c r="C426" s="1170"/>
      <c r="D426" s="1170"/>
      <c r="E426" s="1170"/>
      <c r="F426" s="1170"/>
      <c r="G426" s="1170"/>
      <c r="H426" s="1170"/>
      <c r="I426" s="1170"/>
      <c r="J426" s="1170"/>
      <c r="K426" s="1170"/>
      <c r="L426" s="1171"/>
    </row>
    <row r="427" spans="1:12">
      <c r="A427" s="13"/>
      <c r="B427" s="1173" t="s">
        <v>108</v>
      </c>
      <c r="C427" s="1173"/>
      <c r="D427" s="1173"/>
      <c r="E427" s="1173"/>
      <c r="F427" s="1173"/>
      <c r="H427" s="1174" t="s">
        <v>109</v>
      </c>
      <c r="I427" s="1174"/>
      <c r="J427" s="1174"/>
      <c r="K427" s="1174"/>
      <c r="L427" s="1175"/>
    </row>
    <row r="428" spans="1:12" ht="15.75" thickBot="1">
      <c r="A428" s="13"/>
      <c r="B428" s="1173"/>
      <c r="C428" s="1173"/>
      <c r="D428" s="1173"/>
      <c r="E428" s="1173"/>
      <c r="F428" s="1173"/>
      <c r="H428" s="1174"/>
      <c r="I428" s="1174"/>
      <c r="J428" s="1174"/>
      <c r="K428" s="1174"/>
      <c r="L428" s="1175"/>
    </row>
    <row r="429" spans="1:12">
      <c r="A429" s="13"/>
      <c r="B429" s="74"/>
      <c r="C429" s="75"/>
      <c r="D429" s="75"/>
      <c r="E429" s="75"/>
      <c r="F429" s="76"/>
      <c r="H429" s="74"/>
      <c r="I429" s="75"/>
      <c r="J429" s="75"/>
      <c r="K429" s="75"/>
      <c r="L429" s="76"/>
    </row>
    <row r="430" spans="1:12">
      <c r="A430" s="13"/>
      <c r="B430" s="77" t="str">
        <f>'04-221Master'!F5</f>
        <v>Burgeon IT Services Pvt.Ltd.</v>
      </c>
      <c r="F430" s="14"/>
      <c r="H430" s="77" t="str">
        <f>'04-221Master'!AP5</f>
        <v>Burgeon IT Services Pvt.Ltd.</v>
      </c>
      <c r="L430" s="14"/>
    </row>
    <row r="431" spans="1:12">
      <c r="A431" s="13"/>
      <c r="B431" s="13"/>
      <c r="F431" s="14"/>
      <c r="H431" s="13"/>
      <c r="L431" s="14"/>
    </row>
    <row r="432" spans="1:12">
      <c r="A432" s="13"/>
      <c r="B432" s="77" t="str">
        <f>'04-221Master'!F6</f>
        <v>Siri Mansion LIGB 436 Dr.A S Rao Nagar,Hyderabad</v>
      </c>
      <c r="F432" s="14"/>
      <c r="H432" s="77" t="str">
        <f>'04-221Master'!AP6</f>
        <v>Siri Mansion LIGB 436 Dr.A S Rao Nagar,Hyderabad</v>
      </c>
      <c r="L432" s="14"/>
    </row>
    <row r="433" spans="1:12" ht="15.75" thickBot="1">
      <c r="A433" s="13"/>
      <c r="B433" s="25"/>
      <c r="C433" s="23"/>
      <c r="D433" s="23"/>
      <c r="E433" s="23"/>
      <c r="F433" s="24"/>
      <c r="H433" s="25"/>
      <c r="I433" s="23"/>
      <c r="J433" s="23"/>
      <c r="K433" s="23"/>
      <c r="L433" s="24"/>
    </row>
    <row r="434" spans="1:12">
      <c r="A434" s="13"/>
      <c r="J434" t="s">
        <v>110</v>
      </c>
      <c r="L434" s="14"/>
    </row>
    <row r="435" spans="1:12">
      <c r="A435" s="13"/>
      <c r="B435" s="1177" t="s">
        <v>111</v>
      </c>
      <c r="C435" s="1177"/>
      <c r="D435" s="1177"/>
      <c r="E435" s="1177"/>
      <c r="F435" s="1177"/>
      <c r="H435" s="1177" t="s">
        <v>4</v>
      </c>
      <c r="I435" s="1177"/>
      <c r="J435" s="1177"/>
      <c r="K435" s="1177"/>
      <c r="L435" s="1178"/>
    </row>
    <row r="436" spans="1:12" ht="15.75" thickBot="1">
      <c r="A436" s="13"/>
      <c r="L436" s="14"/>
    </row>
    <row r="437" spans="1:12" ht="15" customHeight="1">
      <c r="A437" s="13"/>
      <c r="B437" s="74"/>
      <c r="C437" s="75"/>
      <c r="D437" s="75"/>
      <c r="E437" s="75"/>
      <c r="F437" s="76"/>
      <c r="H437" s="78"/>
      <c r="I437" s="79"/>
      <c r="J437" s="79"/>
      <c r="K437" s="79"/>
      <c r="L437" s="80"/>
    </row>
    <row r="438" spans="1:12" ht="15" customHeight="1">
      <c r="A438" s="13"/>
      <c r="B438" s="13"/>
      <c r="F438" s="14"/>
      <c r="H438" s="77" t="str">
        <f>'04-221Master'!AP10</f>
        <v>INFOSYS  LTD.IL Pune SEZ Unit-I,Plot No. 24/3</v>
      </c>
      <c r="I438" s="2"/>
      <c r="J438" s="2"/>
      <c r="K438" s="2"/>
      <c r="L438" s="81"/>
    </row>
    <row r="439" spans="1:12" ht="15" customHeight="1">
      <c r="A439" s="13"/>
      <c r="B439" s="77" t="str">
        <f>'04-221Master'!F8</f>
        <v>IT SUPPORTIVE SERVICES&amp; Pune SEZ Unit-1</v>
      </c>
      <c r="F439" s="14"/>
      <c r="H439" s="77"/>
      <c r="I439" s="2"/>
      <c r="J439" s="2"/>
      <c r="K439" s="2"/>
      <c r="L439" s="81"/>
    </row>
    <row r="440" spans="1:12" ht="15" customHeight="1">
      <c r="A440" s="13"/>
      <c r="B440" s="13"/>
      <c r="F440" s="14"/>
      <c r="H440" s="77" t="str">
        <f>'04-221Master'!AP11</f>
        <v>Rajiv gandhi Info tech park,Village Mann,Pune,Maharashtra 411057</v>
      </c>
      <c r="I440" s="2"/>
      <c r="J440" s="2"/>
      <c r="K440" s="2"/>
      <c r="L440" s="81"/>
    </row>
    <row r="441" spans="1:12" ht="15" customHeight="1" thickBot="1">
      <c r="A441" s="13"/>
      <c r="B441" s="25"/>
      <c r="C441" s="23"/>
      <c r="D441" s="23"/>
      <c r="E441" s="23"/>
      <c r="F441" s="24"/>
      <c r="H441" s="82"/>
      <c r="I441" s="83"/>
      <c r="J441" s="83"/>
      <c r="K441" s="83"/>
      <c r="L441" s="84"/>
    </row>
    <row r="442" spans="1:12" ht="27.95" customHeight="1">
      <c r="A442" s="85"/>
      <c r="B442" s="1369" t="s">
        <v>184</v>
      </c>
      <c r="C442" s="1369"/>
      <c r="D442" s="1369"/>
      <c r="E442" s="1369"/>
      <c r="F442" s="1369"/>
      <c r="G442" s="1369"/>
      <c r="H442" s="1372" t="e">
        <f>'04-221Master'!#REF!</f>
        <v>#REF!</v>
      </c>
      <c r="I442" s="1371"/>
      <c r="J442" s="1371"/>
      <c r="K442" s="1371"/>
      <c r="L442" s="1151"/>
    </row>
    <row r="443" spans="1:12" ht="27.95" customHeight="1">
      <c r="A443" s="85"/>
      <c r="B443" s="1373" t="s">
        <v>185</v>
      </c>
      <c r="C443" s="1373"/>
      <c r="D443" s="1373"/>
      <c r="E443" s="1373"/>
      <c r="F443" s="1373"/>
      <c r="G443" s="1373"/>
      <c r="H443" s="1372" t="e">
        <f>'04-221Master'!#REF!</f>
        <v>#REF!</v>
      </c>
      <c r="I443" s="1371"/>
      <c r="J443" s="1371"/>
      <c r="K443" s="1371"/>
      <c r="L443" s="1151"/>
    </row>
    <row r="444" spans="1:12" ht="27.95" customHeight="1">
      <c r="A444" s="85"/>
      <c r="B444" s="1369" t="s">
        <v>186</v>
      </c>
      <c r="C444" s="1369"/>
      <c r="D444" s="1369"/>
      <c r="E444" s="1369"/>
      <c r="F444" s="1369"/>
      <c r="G444" s="1369"/>
      <c r="H444" s="1372" t="e">
        <f>'04-221Master'!#REF!</f>
        <v>#REF!</v>
      </c>
      <c r="I444" s="1371"/>
      <c r="J444" s="1371"/>
      <c r="K444" s="1371"/>
      <c r="L444" s="1151"/>
    </row>
    <row r="445" spans="1:12" ht="27.95" customHeight="1">
      <c r="A445" s="85"/>
      <c r="B445" s="1369" t="s">
        <v>187</v>
      </c>
      <c r="C445" s="1369"/>
      <c r="D445" s="1369"/>
      <c r="E445" s="1369"/>
      <c r="F445" s="1369"/>
      <c r="G445" s="1369"/>
      <c r="H445" s="1374" t="e">
        <f>'04-221Master'!#REF!</f>
        <v>#REF!</v>
      </c>
      <c r="I445" s="1371"/>
      <c r="J445" s="1371"/>
      <c r="K445" s="1371"/>
      <c r="L445" s="1151"/>
    </row>
    <row r="446" spans="1:12" ht="27.95" customHeight="1">
      <c r="A446" s="85"/>
      <c r="B446" s="86" t="s">
        <v>188</v>
      </c>
      <c r="C446" s="87"/>
      <c r="D446" s="87"/>
      <c r="E446" s="87"/>
      <c r="F446" s="87"/>
      <c r="G446" s="87"/>
      <c r="H446" s="1366" t="s">
        <v>189</v>
      </c>
      <c r="I446" s="1367"/>
      <c r="J446" s="1367"/>
      <c r="K446" s="1367"/>
      <c r="L446" s="1368"/>
    </row>
    <row r="447" spans="1:12" ht="27.95" customHeight="1">
      <c r="A447" s="85"/>
      <c r="B447" s="86" t="s">
        <v>190</v>
      </c>
      <c r="C447" s="87"/>
      <c r="D447" s="87"/>
      <c r="E447" s="87"/>
      <c r="F447" s="87"/>
      <c r="G447" s="87"/>
      <c r="H447" s="88"/>
      <c r="I447" s="90"/>
      <c r="J447" s="178"/>
      <c r="K447" s="90"/>
      <c r="L447" s="95"/>
    </row>
    <row r="448" spans="1:12" ht="27.95" customHeight="1">
      <c r="A448" s="85"/>
      <c r="B448" s="1161" t="s">
        <v>191</v>
      </c>
      <c r="C448" s="1161"/>
      <c r="D448" s="1161"/>
      <c r="E448" s="1161"/>
      <c r="F448" s="1161"/>
      <c r="G448" s="1161"/>
      <c r="H448" s="1154" t="e">
        <f>'04-221Master'!#REF!</f>
        <v>#REF!</v>
      </c>
      <c r="I448" s="1155"/>
      <c r="J448" s="1155"/>
      <c r="K448" s="1155"/>
      <c r="L448" s="1156"/>
    </row>
    <row r="449" spans="1:12" ht="27.95" customHeight="1">
      <c r="A449" s="85"/>
      <c r="B449" s="1369"/>
      <c r="C449" s="1369"/>
      <c r="D449" s="1369"/>
      <c r="E449" s="1369"/>
      <c r="F449" s="1369"/>
      <c r="G449" s="1369"/>
      <c r="H449" s="1370" t="e">
        <f>'04-221Master'!#REF!</f>
        <v>#REF!</v>
      </c>
      <c r="I449" s="1371"/>
      <c r="J449" s="1371"/>
      <c r="K449" s="1371"/>
      <c r="L449" s="1151"/>
    </row>
    <row r="450" spans="1:12" ht="27.95" customHeight="1">
      <c r="A450" s="13"/>
      <c r="B450" s="1369"/>
      <c r="C450" s="1369"/>
      <c r="D450" s="1369"/>
      <c r="E450" s="1369"/>
      <c r="F450" s="1369"/>
      <c r="G450" s="1369"/>
      <c r="H450" s="1372" t="e">
        <f>'04-221Master'!#REF!</f>
        <v>#REF!</v>
      </c>
      <c r="I450" s="1371"/>
      <c r="J450" s="1371"/>
      <c r="K450" s="1371"/>
      <c r="L450" s="1151"/>
    </row>
    <row r="451" spans="1:12" ht="27.95" customHeight="1">
      <c r="A451" s="13"/>
      <c r="B451" s="86" t="s">
        <v>192</v>
      </c>
      <c r="C451" s="87"/>
      <c r="D451" s="87"/>
      <c r="E451" s="87"/>
      <c r="F451" s="87"/>
      <c r="G451" s="91"/>
      <c r="H451" s="1359" t="e">
        <f>'04-221Master'!#REF!</f>
        <v>#REF!</v>
      </c>
      <c r="I451" s="1149"/>
      <c r="J451" s="1149"/>
      <c r="K451" s="1149"/>
      <c r="L451" s="1360"/>
    </row>
    <row r="452" spans="1:12" ht="27.95" customHeight="1">
      <c r="A452" s="13"/>
      <c r="B452" s="86"/>
      <c r="C452" s="87"/>
      <c r="D452" s="87"/>
      <c r="E452" s="87"/>
      <c r="F452" s="87"/>
      <c r="G452" s="91"/>
      <c r="H452" s="1359" t="e">
        <f>'04-221Master'!#REF!</f>
        <v>#REF!</v>
      </c>
      <c r="I452" s="1149"/>
      <c r="J452" s="1149"/>
      <c r="K452" s="1149"/>
      <c r="L452" s="1360"/>
    </row>
    <row r="453" spans="1:12" ht="27.95" customHeight="1">
      <c r="A453" s="13"/>
      <c r="B453" s="86"/>
      <c r="C453" s="87"/>
      <c r="D453" s="87"/>
      <c r="E453" s="87"/>
      <c r="F453" s="87"/>
      <c r="G453" s="91"/>
      <c r="H453" s="1359" t="e">
        <f>'04-221Master'!#REF!</f>
        <v>#REF!</v>
      </c>
      <c r="I453" s="1149"/>
      <c r="J453" s="1149"/>
      <c r="K453" s="1149"/>
      <c r="L453" s="1360"/>
    </row>
    <row r="454" spans="1:12" ht="27.95" customHeight="1">
      <c r="A454" s="13"/>
      <c r="B454" s="86" t="s">
        <v>199</v>
      </c>
      <c r="C454" s="87"/>
      <c r="D454" s="87"/>
      <c r="E454" s="87"/>
      <c r="F454" s="87"/>
      <c r="G454" s="91"/>
      <c r="H454" s="88"/>
      <c r="I454" s="90"/>
      <c r="J454" s="90"/>
      <c r="K454" s="90"/>
      <c r="L454" s="95"/>
    </row>
    <row r="455" spans="1:12">
      <c r="A455" s="13"/>
      <c r="B455" s="97" t="s">
        <v>200</v>
      </c>
      <c r="C455" s="159"/>
      <c r="D455" s="159"/>
      <c r="E455" s="159"/>
      <c r="F455" s="159"/>
      <c r="G455" s="160"/>
      <c r="H455" s="161"/>
      <c r="I455" s="162"/>
      <c r="J455" s="163"/>
      <c r="K455" s="162"/>
      <c r="L455" s="164"/>
    </row>
    <row r="456" spans="1:12" ht="45">
      <c r="A456" s="13"/>
      <c r="B456" s="86" t="s">
        <v>203</v>
      </c>
      <c r="C456" s="87"/>
      <c r="D456" s="90"/>
      <c r="E456" s="171" t="s">
        <v>205</v>
      </c>
      <c r="F456" s="65"/>
      <c r="G456" s="1361" t="s">
        <v>204</v>
      </c>
      <c r="H456" s="1362"/>
      <c r="I456" s="175" t="s">
        <v>201</v>
      </c>
      <c r="J456" s="173" t="s">
        <v>206</v>
      </c>
      <c r="K456" s="1361" t="s">
        <v>202</v>
      </c>
      <c r="L456" s="1363"/>
    </row>
    <row r="457" spans="1:12">
      <c r="A457" s="13"/>
      <c r="B457" s="174">
        <v>1</v>
      </c>
      <c r="C457" s="87"/>
      <c r="D457" s="87"/>
      <c r="E457" s="177">
        <v>2</v>
      </c>
      <c r="F457" s="91"/>
      <c r="G457" s="177">
        <v>3</v>
      </c>
      <c r="H457" s="193"/>
      <c r="I457" s="193">
        <v>4</v>
      </c>
      <c r="J457" s="102">
        <v>5</v>
      </c>
      <c r="K457" s="93"/>
      <c r="L457" s="94">
        <v>6</v>
      </c>
    </row>
    <row r="458" spans="1:12">
      <c r="A458" s="13"/>
      <c r="B458" s="291" t="e">
        <f>'04-221Master'!#REF!</f>
        <v>#REF!</v>
      </c>
      <c r="C458" s="189"/>
      <c r="D458" s="190"/>
      <c r="E458" s="192" t="s">
        <v>362</v>
      </c>
      <c r="F458" s="190"/>
      <c r="G458" s="192" t="s">
        <v>363</v>
      </c>
      <c r="H458" s="65"/>
      <c r="I458" s="11" t="s">
        <v>364</v>
      </c>
      <c r="J458" s="290">
        <v>1</v>
      </c>
      <c r="K458" s="1364" t="s">
        <v>37</v>
      </c>
      <c r="L458" s="1375"/>
    </row>
    <row r="459" spans="1:12">
      <c r="A459" s="13"/>
      <c r="B459" s="86"/>
      <c r="C459" s="189"/>
      <c r="D459" s="190"/>
      <c r="E459" s="191"/>
      <c r="F459" s="190"/>
      <c r="G459" s="191"/>
      <c r="H459" s="65"/>
      <c r="I459" s="11"/>
      <c r="J459" s="11"/>
      <c r="K459" s="192"/>
      <c r="L459" s="65"/>
    </row>
    <row r="460" spans="1:12" ht="15" customHeight="1">
      <c r="A460" s="13"/>
      <c r="B460" s="86"/>
      <c r="C460" s="189"/>
      <c r="D460" s="190"/>
      <c r="E460" s="191"/>
      <c r="F460" s="190"/>
      <c r="G460" s="191"/>
      <c r="H460" s="65"/>
      <c r="I460" s="11"/>
      <c r="J460" s="11"/>
      <c r="K460" s="192"/>
      <c r="L460" s="65"/>
    </row>
    <row r="461" spans="1:12">
      <c r="A461" s="13"/>
      <c r="B461" s="72"/>
      <c r="C461" s="17"/>
      <c r="D461" s="73"/>
      <c r="E461" s="191"/>
      <c r="F461" s="190"/>
      <c r="G461" s="191"/>
      <c r="H461" s="65"/>
      <c r="I461" s="11"/>
      <c r="J461" s="11"/>
      <c r="K461" s="192"/>
      <c r="L461" s="65"/>
    </row>
    <row r="462" spans="1:12" ht="24.95" customHeight="1">
      <c r="A462" s="13"/>
      <c r="B462" t="s">
        <v>207</v>
      </c>
      <c r="L462" s="14"/>
    </row>
    <row r="463" spans="1:12" ht="24.95" customHeight="1">
      <c r="A463" s="13"/>
      <c r="B463" t="s">
        <v>208</v>
      </c>
      <c r="L463" s="14"/>
    </row>
    <row r="464" spans="1:12" ht="24.95" customHeight="1">
      <c r="A464" s="13"/>
      <c r="B464" t="s">
        <v>209</v>
      </c>
      <c r="L464" s="14"/>
    </row>
    <row r="465" spans="1:12">
      <c r="A465" s="13"/>
      <c r="L465" s="14"/>
    </row>
    <row r="466" spans="1:12">
      <c r="A466" s="13"/>
      <c r="I466" t="s">
        <v>210</v>
      </c>
      <c r="L466" s="14"/>
    </row>
    <row r="467" spans="1:12" ht="18.75">
      <c r="A467" s="13"/>
      <c r="F467" s="179" t="s">
        <v>193</v>
      </c>
      <c r="L467" s="14"/>
    </row>
    <row r="468" spans="1:12">
      <c r="A468" s="13" t="s">
        <v>194</v>
      </c>
      <c r="K468" s="229" t="e">
        <f>'04-221Master'!#REF!</f>
        <v>#REF!</v>
      </c>
      <c r="L468" s="14"/>
    </row>
    <row r="469" spans="1:12">
      <c r="A469" s="13" t="s">
        <v>195</v>
      </c>
      <c r="L469" s="14"/>
    </row>
    <row r="470" spans="1:12">
      <c r="A470" s="13"/>
      <c r="L470" s="14"/>
    </row>
    <row r="471" spans="1:12">
      <c r="A471" s="13"/>
      <c r="L471" s="14"/>
    </row>
    <row r="472" spans="1:12">
      <c r="A472" s="13"/>
      <c r="F472" t="s">
        <v>196</v>
      </c>
      <c r="L472" s="14"/>
    </row>
    <row r="473" spans="1:12">
      <c r="A473" s="13" t="s">
        <v>197</v>
      </c>
      <c r="B473" t="s">
        <v>361</v>
      </c>
      <c r="F473" t="str">
        <f>'04-221Master'!F5</f>
        <v>Burgeon IT Services Pvt.Ltd.</v>
      </c>
      <c r="L473" s="14"/>
    </row>
    <row r="474" spans="1:12">
      <c r="A474" s="13" t="s">
        <v>198</v>
      </c>
      <c r="B474" s="289" t="e">
        <f>'04-221Master'!#REF!</f>
        <v>#REF!</v>
      </c>
      <c r="F474" t="str">
        <f>'04-221Master'!F6</f>
        <v>Siri Mansion LIGB 436 Dr.A S Rao Nagar,Hyderabad</v>
      </c>
      <c r="L474" s="14"/>
    </row>
    <row r="475" spans="1:12">
      <c r="A475" s="13"/>
      <c r="B475" s="289"/>
      <c r="L475" s="14"/>
    </row>
    <row r="476" spans="1:12">
      <c r="A476" s="13"/>
      <c r="B476" s="289"/>
      <c r="L476" s="14"/>
    </row>
    <row r="477" spans="1:12" ht="15.75" thickBot="1">
      <c r="A477" s="25"/>
      <c r="B477" s="23"/>
      <c r="C477" s="23"/>
      <c r="D477" s="23"/>
      <c r="E477" s="23"/>
      <c r="F477" s="23"/>
      <c r="G477" s="23"/>
      <c r="H477" s="23"/>
      <c r="I477" s="23"/>
      <c r="J477" s="23"/>
      <c r="K477" s="23"/>
      <c r="L477" s="24"/>
    </row>
    <row r="478" spans="1:12" ht="27.95" customHeight="1">
      <c r="A478" s="74"/>
      <c r="B478" s="1376" t="s">
        <v>181</v>
      </c>
      <c r="C478" s="1164"/>
      <c r="D478" s="1164"/>
      <c r="E478" s="1164"/>
      <c r="F478" s="1164"/>
      <c r="G478" s="1164"/>
      <c r="H478" s="1164"/>
      <c r="I478" s="1164"/>
      <c r="J478" s="1164"/>
      <c r="K478" s="1164"/>
      <c r="L478" s="1165"/>
    </row>
    <row r="479" spans="1:12" ht="27.95" customHeight="1">
      <c r="A479" s="13"/>
      <c r="B479" s="1167" t="s">
        <v>182</v>
      </c>
      <c r="C479" s="1167"/>
      <c r="D479" s="1167"/>
      <c r="E479" s="1167"/>
      <c r="F479" s="1167"/>
      <c r="G479" s="1167"/>
      <c r="H479" s="1167"/>
      <c r="I479" s="1167"/>
      <c r="J479" s="1167"/>
      <c r="K479" s="1167"/>
      <c r="L479" s="1168"/>
    </row>
    <row r="480" spans="1:12" ht="27.95" customHeight="1" thickBot="1">
      <c r="A480" s="25"/>
      <c r="B480" s="1170" t="s">
        <v>183</v>
      </c>
      <c r="C480" s="1170"/>
      <c r="D480" s="1170"/>
      <c r="E480" s="1170"/>
      <c r="F480" s="1170"/>
      <c r="G480" s="1170"/>
      <c r="H480" s="1170"/>
      <c r="I480" s="1170"/>
      <c r="J480" s="1170"/>
      <c r="K480" s="1170"/>
      <c r="L480" s="1171"/>
    </row>
    <row r="481" spans="1:12" ht="27.95" customHeight="1">
      <c r="A481" s="13"/>
      <c r="B481" s="1173" t="s">
        <v>108</v>
      </c>
      <c r="C481" s="1173"/>
      <c r="D481" s="1173"/>
      <c r="E481" s="1173"/>
      <c r="F481" s="1173"/>
      <c r="H481" s="1174" t="s">
        <v>109</v>
      </c>
      <c r="I481" s="1174"/>
      <c r="J481" s="1174"/>
      <c r="K481" s="1174"/>
      <c r="L481" s="1175"/>
    </row>
    <row r="482" spans="1:12" ht="27.95" customHeight="1" thickBot="1">
      <c r="A482" s="13"/>
      <c r="B482" s="1173"/>
      <c r="C482" s="1173"/>
      <c r="D482" s="1173"/>
      <c r="E482" s="1173"/>
      <c r="F482" s="1173"/>
      <c r="H482" s="1174"/>
      <c r="I482" s="1174"/>
      <c r="J482" s="1174"/>
      <c r="K482" s="1174"/>
      <c r="L482" s="1175"/>
    </row>
    <row r="483" spans="1:12" ht="27.95" customHeight="1">
      <c r="A483" s="13"/>
      <c r="B483" s="74"/>
      <c r="C483" s="75"/>
      <c r="D483" s="75"/>
      <c r="E483" s="75"/>
      <c r="F483" s="76"/>
      <c r="H483" s="74"/>
      <c r="I483" s="75"/>
      <c r="J483" s="75"/>
      <c r="K483" s="75"/>
      <c r="L483" s="76"/>
    </row>
    <row r="484" spans="1:12" ht="27.95" customHeight="1">
      <c r="A484" s="13"/>
      <c r="B484" s="77" t="e">
        <f>#REF!</f>
        <v>#REF!</v>
      </c>
      <c r="F484" s="14"/>
      <c r="H484" s="77" t="e">
        <f>#REF!</f>
        <v>#REF!</v>
      </c>
      <c r="L484" s="14"/>
    </row>
    <row r="485" spans="1:12" ht="27.95" customHeight="1">
      <c r="A485" s="13"/>
      <c r="B485" s="13"/>
      <c r="F485" s="14"/>
      <c r="H485" s="13"/>
      <c r="L485" s="14"/>
    </row>
    <row r="486" spans="1:12" ht="27.95" customHeight="1">
      <c r="A486" s="13"/>
      <c r="B486" s="77" t="e">
        <f>#REF!</f>
        <v>#REF!</v>
      </c>
      <c r="F486" s="14"/>
      <c r="H486" s="77" t="e">
        <f>#REF!</f>
        <v>#REF!</v>
      </c>
      <c r="L486" s="14"/>
    </row>
    <row r="487" spans="1:12" ht="27.95" customHeight="1" thickBot="1">
      <c r="A487" s="13"/>
      <c r="B487" s="25"/>
      <c r="C487" s="23"/>
      <c r="D487" s="23"/>
      <c r="E487" s="23"/>
      <c r="F487" s="24"/>
      <c r="H487" s="25"/>
      <c r="I487" s="23"/>
      <c r="J487" s="23"/>
      <c r="K487" s="23"/>
      <c r="L487" s="24"/>
    </row>
    <row r="488" spans="1:12" ht="27.95" customHeight="1">
      <c r="A488" s="13"/>
      <c r="J488" t="s">
        <v>110</v>
      </c>
      <c r="L488" s="14"/>
    </row>
    <row r="489" spans="1:12" ht="27.95" customHeight="1">
      <c r="A489" s="13"/>
      <c r="B489" s="1177" t="s">
        <v>111</v>
      </c>
      <c r="C489" s="1177"/>
      <c r="D489" s="1177"/>
      <c r="E489" s="1177"/>
      <c r="F489" s="1177"/>
      <c r="H489" s="1177" t="s">
        <v>4</v>
      </c>
      <c r="I489" s="1177"/>
      <c r="J489" s="1177"/>
      <c r="K489" s="1177"/>
      <c r="L489" s="1178"/>
    </row>
    <row r="490" spans="1:12" ht="27.95" customHeight="1" thickBot="1">
      <c r="A490" s="13"/>
      <c r="L490" s="14"/>
    </row>
    <row r="491" spans="1:12" ht="15" customHeight="1">
      <c r="A491" s="13"/>
      <c r="B491" s="74"/>
      <c r="C491" s="75"/>
      <c r="D491" s="75"/>
      <c r="E491" s="75"/>
      <c r="F491" s="76"/>
      <c r="H491" s="78"/>
      <c r="I491" s="79"/>
      <c r="J491" s="79"/>
      <c r="K491" s="79"/>
      <c r="L491" s="80"/>
    </row>
    <row r="492" spans="1:12" ht="15" customHeight="1">
      <c r="A492" s="13"/>
      <c r="B492" s="13"/>
      <c r="F492" s="14"/>
      <c r="H492" s="77" t="e">
        <f>#REF!</f>
        <v>#REF!</v>
      </c>
      <c r="I492" s="2"/>
      <c r="J492" s="2"/>
      <c r="K492" s="2"/>
      <c r="L492" s="81"/>
    </row>
    <row r="493" spans="1:12" ht="15" customHeight="1">
      <c r="A493" s="13"/>
      <c r="B493" s="77" t="e">
        <f>#REF!</f>
        <v>#REF!</v>
      </c>
      <c r="F493" s="14"/>
      <c r="H493" s="77"/>
      <c r="I493" s="2"/>
      <c r="J493" s="2"/>
      <c r="K493" s="2"/>
      <c r="L493" s="81"/>
    </row>
    <row r="494" spans="1:12" ht="15" customHeight="1">
      <c r="A494" s="13"/>
      <c r="B494" s="13"/>
      <c r="F494" s="14"/>
      <c r="H494" s="77" t="e">
        <f>#REF!</f>
        <v>#REF!</v>
      </c>
      <c r="I494" s="2"/>
      <c r="J494" s="2"/>
      <c r="K494" s="2"/>
      <c r="L494" s="81"/>
    </row>
    <row r="495" spans="1:12" ht="15" customHeight="1" thickBot="1">
      <c r="A495" s="13"/>
      <c r="B495" s="25"/>
      <c r="C495" s="23"/>
      <c r="D495" s="23"/>
      <c r="E495" s="23"/>
      <c r="F495" s="24"/>
      <c r="H495" s="82"/>
      <c r="I495" s="83"/>
      <c r="J495" s="83"/>
      <c r="K495" s="83"/>
      <c r="L495" s="84"/>
    </row>
    <row r="496" spans="1:12">
      <c r="A496" s="85"/>
      <c r="B496" s="1369" t="s">
        <v>184</v>
      </c>
      <c r="C496" s="1369"/>
      <c r="D496" s="1369"/>
      <c r="E496" s="1369"/>
      <c r="F496" s="1369"/>
      <c r="G496" s="1369"/>
      <c r="H496" s="1372">
        <f>'04-221Master'!B387</f>
        <v>0</v>
      </c>
      <c r="I496" s="1371"/>
      <c r="J496" s="1371"/>
      <c r="K496" s="1371"/>
      <c r="L496" s="1151"/>
    </row>
    <row r="497" spans="1:12" ht="15" customHeight="1">
      <c r="A497" s="85"/>
      <c r="B497" s="1373" t="s">
        <v>185</v>
      </c>
      <c r="C497" s="1373"/>
      <c r="D497" s="1373"/>
      <c r="E497" s="1373"/>
      <c r="F497" s="1373"/>
      <c r="G497" s="1373"/>
      <c r="H497" s="1372">
        <f>'04-221Master'!E387</f>
        <v>0</v>
      </c>
      <c r="I497" s="1371"/>
      <c r="J497" s="1371"/>
      <c r="K497" s="1371"/>
      <c r="L497" s="1151"/>
    </row>
    <row r="498" spans="1:12">
      <c r="A498" s="85"/>
      <c r="B498" s="1369" t="s">
        <v>186</v>
      </c>
      <c r="C498" s="1369"/>
      <c r="D498" s="1369"/>
      <c r="E498" s="1369"/>
      <c r="F498" s="1369"/>
      <c r="G498" s="1369"/>
      <c r="H498" s="1372">
        <f>'04-221Master'!C387</f>
        <v>0</v>
      </c>
      <c r="I498" s="1371"/>
      <c r="J498" s="1371"/>
      <c r="K498" s="1371"/>
      <c r="L498" s="1151"/>
    </row>
    <row r="499" spans="1:12">
      <c r="A499" s="85"/>
      <c r="B499" s="1369" t="s">
        <v>187</v>
      </c>
      <c r="C499" s="1369"/>
      <c r="D499" s="1369"/>
      <c r="E499" s="1369"/>
      <c r="F499" s="1369"/>
      <c r="G499" s="1369"/>
      <c r="H499" s="1374">
        <f>'04-221Master'!D387</f>
        <v>0</v>
      </c>
      <c r="I499" s="1371"/>
      <c r="J499" s="1371"/>
      <c r="K499" s="1371"/>
      <c r="L499" s="1151"/>
    </row>
    <row r="500" spans="1:12">
      <c r="A500" s="85"/>
      <c r="B500" s="86" t="s">
        <v>188</v>
      </c>
      <c r="C500" s="87"/>
      <c r="D500" s="87"/>
      <c r="E500" s="87"/>
      <c r="F500" s="87"/>
      <c r="G500" s="87"/>
      <c r="H500" s="1366" t="s">
        <v>189</v>
      </c>
      <c r="I500" s="1367"/>
      <c r="J500" s="1367"/>
      <c r="K500" s="1367"/>
      <c r="L500" s="1368"/>
    </row>
    <row r="501" spans="1:12" ht="15" customHeight="1">
      <c r="A501" s="85"/>
      <c r="B501" s="86" t="s">
        <v>190</v>
      </c>
      <c r="C501" s="87"/>
      <c r="D501" s="87"/>
      <c r="E501" s="87"/>
      <c r="F501" s="87"/>
      <c r="G501" s="87"/>
      <c r="H501" s="88"/>
      <c r="I501" s="90"/>
      <c r="J501" s="178"/>
      <c r="K501" s="90"/>
      <c r="L501" s="95"/>
    </row>
    <row r="502" spans="1:12" ht="15" customHeight="1">
      <c r="A502" s="85"/>
      <c r="B502" s="1161" t="s">
        <v>191</v>
      </c>
      <c r="C502" s="1161"/>
      <c r="D502" s="1161"/>
      <c r="E502" s="1161"/>
      <c r="F502" s="1161"/>
      <c r="G502" s="1161"/>
      <c r="H502" s="1154">
        <f>'04-221Master'!G387</f>
        <v>0</v>
      </c>
      <c r="I502" s="1155"/>
      <c r="J502" s="1155"/>
      <c r="K502" s="1155"/>
      <c r="L502" s="1156"/>
    </row>
    <row r="503" spans="1:12">
      <c r="A503" s="85"/>
      <c r="B503" s="1369"/>
      <c r="C503" s="1369"/>
      <c r="D503" s="1369"/>
      <c r="E503" s="1369"/>
      <c r="F503" s="1369"/>
      <c r="G503" s="1369"/>
      <c r="H503" s="1370">
        <f>'04-221Master'!H387</f>
        <v>0</v>
      </c>
      <c r="I503" s="1371"/>
      <c r="J503" s="1371"/>
      <c r="K503" s="1371"/>
      <c r="L503" s="1151"/>
    </row>
    <row r="504" spans="1:12">
      <c r="A504" s="13"/>
      <c r="B504" s="1369"/>
      <c r="C504" s="1369"/>
      <c r="D504" s="1369"/>
      <c r="E504" s="1369"/>
      <c r="F504" s="1369"/>
      <c r="G504" s="1369"/>
      <c r="H504" s="1372">
        <f>'04-221Master'!I387</f>
        <v>0</v>
      </c>
      <c r="I504" s="1371"/>
      <c r="J504" s="1371"/>
      <c r="K504" s="1371"/>
      <c r="L504" s="1151"/>
    </row>
    <row r="505" spans="1:12">
      <c r="A505" s="13"/>
      <c r="B505" s="86" t="s">
        <v>192</v>
      </c>
      <c r="C505" s="87"/>
      <c r="D505" s="87"/>
      <c r="E505" s="87"/>
      <c r="F505" s="87"/>
      <c r="G505" s="91"/>
      <c r="H505" s="1359">
        <f>'04-221Master'!J387</f>
        <v>0</v>
      </c>
      <c r="I505" s="1149"/>
      <c r="J505" s="1149"/>
      <c r="K505" s="1149"/>
      <c r="L505" s="1360"/>
    </row>
    <row r="506" spans="1:12">
      <c r="A506" s="13"/>
      <c r="B506" s="86"/>
      <c r="C506" s="87"/>
      <c r="D506" s="87"/>
      <c r="E506" s="87"/>
      <c r="F506" s="87"/>
      <c r="G506" s="91"/>
      <c r="H506" s="1359">
        <f>'04-221Master'!K387</f>
        <v>0</v>
      </c>
      <c r="I506" s="1149"/>
      <c r="J506" s="1149"/>
      <c r="K506" s="1149"/>
      <c r="L506" s="1360"/>
    </row>
    <row r="507" spans="1:12">
      <c r="A507" s="13"/>
      <c r="B507" s="86"/>
      <c r="C507" s="87"/>
      <c r="D507" s="87"/>
      <c r="E507" s="87"/>
      <c r="F507" s="87"/>
      <c r="G507" s="91"/>
      <c r="H507" s="1359">
        <f>'04-221Master'!L387</f>
        <v>0</v>
      </c>
      <c r="I507" s="1149"/>
      <c r="J507" s="1149"/>
      <c r="K507" s="1149"/>
      <c r="L507" s="1360"/>
    </row>
    <row r="508" spans="1:12">
      <c r="A508" s="13"/>
      <c r="B508" s="86" t="s">
        <v>199</v>
      </c>
      <c r="C508" s="87"/>
      <c r="D508" s="87"/>
      <c r="E508" s="87"/>
      <c r="F508" s="87"/>
      <c r="G508" s="91"/>
      <c r="H508" s="88"/>
      <c r="I508" s="90"/>
      <c r="J508" s="90"/>
      <c r="K508" s="90"/>
      <c r="L508" s="95"/>
    </row>
    <row r="509" spans="1:12">
      <c r="A509" s="13"/>
      <c r="B509" s="97" t="s">
        <v>200</v>
      </c>
      <c r="C509" s="159"/>
      <c r="D509" s="159"/>
      <c r="E509" s="159"/>
      <c r="F509" s="159"/>
      <c r="G509" s="160"/>
      <c r="H509" s="161"/>
      <c r="I509" s="162"/>
      <c r="J509" s="163"/>
      <c r="K509" s="162"/>
      <c r="L509" s="164"/>
    </row>
    <row r="510" spans="1:12" ht="45" customHeight="1">
      <c r="A510" s="13"/>
      <c r="B510" s="86" t="s">
        <v>203</v>
      </c>
      <c r="C510" s="87"/>
      <c r="D510" s="90"/>
      <c r="E510" s="171" t="s">
        <v>205</v>
      </c>
      <c r="F510" s="65"/>
      <c r="G510" s="1361" t="s">
        <v>204</v>
      </c>
      <c r="H510" s="1362"/>
      <c r="I510" s="175" t="s">
        <v>201</v>
      </c>
      <c r="J510" s="173" t="s">
        <v>206</v>
      </c>
      <c r="K510" s="1361" t="s">
        <v>202</v>
      </c>
      <c r="L510" s="1363"/>
    </row>
    <row r="511" spans="1:12">
      <c r="A511" s="13"/>
      <c r="B511" s="174">
        <v>1</v>
      </c>
      <c r="C511" s="87"/>
      <c r="D511" s="87"/>
      <c r="E511" s="177">
        <v>2</v>
      </c>
      <c r="F511" s="91"/>
      <c r="G511" s="177">
        <v>3</v>
      </c>
      <c r="H511" s="193"/>
      <c r="I511" s="193">
        <v>4</v>
      </c>
      <c r="J511" s="102">
        <v>5</v>
      </c>
      <c r="K511" s="93"/>
      <c r="L511" s="94">
        <v>6</v>
      </c>
    </row>
    <row r="512" spans="1:12">
      <c r="A512" s="13"/>
      <c r="B512" s="291">
        <f>'04-221Master'!E387</f>
        <v>0</v>
      </c>
      <c r="C512" s="189"/>
      <c r="D512" s="190"/>
      <c r="E512" s="192" t="s">
        <v>362</v>
      </c>
      <c r="F512" s="190"/>
      <c r="G512" s="192" t="s">
        <v>363</v>
      </c>
      <c r="H512" s="65"/>
      <c r="I512" s="11" t="s">
        <v>364</v>
      </c>
      <c r="J512" s="290">
        <v>1</v>
      </c>
      <c r="K512" s="1364" t="s">
        <v>37</v>
      </c>
      <c r="L512" s="1375"/>
    </row>
    <row r="513" spans="1:12">
      <c r="A513" s="13"/>
      <c r="B513" s="86"/>
      <c r="C513" s="189"/>
      <c r="D513" s="190"/>
      <c r="E513" s="191"/>
      <c r="F513" s="190"/>
      <c r="G513" s="191"/>
      <c r="H513" s="65"/>
      <c r="I513" s="11"/>
      <c r="J513" s="11"/>
      <c r="K513" s="192"/>
      <c r="L513" s="65"/>
    </row>
    <row r="514" spans="1:12">
      <c r="A514" s="13"/>
      <c r="B514" s="86"/>
      <c r="C514" s="189"/>
      <c r="D514" s="190"/>
      <c r="E514" s="191"/>
      <c r="F514" s="190"/>
      <c r="G514" s="191"/>
      <c r="H514" s="65"/>
      <c r="I514" s="11"/>
      <c r="J514" s="11"/>
      <c r="K514" s="192"/>
      <c r="L514" s="65"/>
    </row>
    <row r="515" spans="1:12">
      <c r="A515" s="13"/>
      <c r="B515" s="72"/>
      <c r="C515" s="17"/>
      <c r="D515" s="73"/>
      <c r="E515" s="191"/>
      <c r="F515" s="190"/>
      <c r="G515" s="191"/>
      <c r="H515" s="65"/>
      <c r="I515" s="11"/>
      <c r="J515" s="11"/>
      <c r="K515" s="192"/>
      <c r="L515" s="65"/>
    </row>
    <row r="516" spans="1:12" ht="27.95" customHeight="1">
      <c r="A516" s="13"/>
      <c r="B516" t="s">
        <v>207</v>
      </c>
      <c r="L516" s="14"/>
    </row>
    <row r="517" spans="1:12" ht="27.95" customHeight="1">
      <c r="A517" s="13"/>
      <c r="B517" t="s">
        <v>208</v>
      </c>
      <c r="L517" s="14"/>
    </row>
    <row r="518" spans="1:12" ht="27.95" customHeight="1">
      <c r="A518" s="13"/>
      <c r="B518" t="s">
        <v>209</v>
      </c>
      <c r="L518" s="14"/>
    </row>
    <row r="519" spans="1:12" ht="27.95" customHeight="1">
      <c r="A519" s="13"/>
      <c r="I519" t="s">
        <v>210</v>
      </c>
      <c r="L519" s="14"/>
    </row>
    <row r="520" spans="1:12" ht="27.95" customHeight="1">
      <c r="A520" s="13"/>
      <c r="F520" s="179" t="s">
        <v>193</v>
      </c>
      <c r="L520" s="14"/>
    </row>
    <row r="521" spans="1:12" ht="27.95" customHeight="1">
      <c r="A521" s="13" t="s">
        <v>194</v>
      </c>
      <c r="K521" s="229">
        <f>'04-221Master'!B387</f>
        <v>0</v>
      </c>
      <c r="L521" s="14"/>
    </row>
    <row r="522" spans="1:12" ht="27.95" customHeight="1">
      <c r="A522" s="13" t="s">
        <v>195</v>
      </c>
      <c r="L522" s="14"/>
    </row>
    <row r="523" spans="1:12" ht="27.95" customHeight="1">
      <c r="A523" s="13"/>
      <c r="F523" t="s">
        <v>196</v>
      </c>
      <c r="L523" s="14"/>
    </row>
    <row r="524" spans="1:12" ht="27.95" customHeight="1">
      <c r="A524" s="13" t="s">
        <v>197</v>
      </c>
      <c r="B524" t="s">
        <v>361</v>
      </c>
      <c r="F524">
        <f>'04-221Master'!AP377</f>
        <v>0</v>
      </c>
      <c r="L524" s="14"/>
    </row>
    <row r="525" spans="1:12" ht="27.95" customHeight="1">
      <c r="A525" s="13" t="s">
        <v>198</v>
      </c>
      <c r="B525" s="289">
        <f>'04-221Master'!N387</f>
        <v>0</v>
      </c>
      <c r="F525">
        <f>'04-221Master'!AP378</f>
        <v>0</v>
      </c>
      <c r="L525" s="14"/>
    </row>
    <row r="526" spans="1:12" ht="27.95" customHeight="1" thickBot="1">
      <c r="A526" s="25"/>
      <c r="B526" s="23"/>
      <c r="C526" s="23"/>
      <c r="D526" s="23"/>
      <c r="E526" s="23"/>
      <c r="F526" s="23"/>
      <c r="G526" s="23"/>
      <c r="H526" s="23"/>
      <c r="I526" s="23"/>
      <c r="J526" s="23"/>
      <c r="K526" s="23"/>
      <c r="L526" s="24"/>
    </row>
    <row r="527" spans="1:12" ht="27.95" customHeight="1">
      <c r="A527" s="74"/>
      <c r="B527" s="1376" t="s">
        <v>181</v>
      </c>
      <c r="C527" s="1164"/>
      <c r="D527" s="1164"/>
      <c r="E527" s="1164"/>
      <c r="F527" s="1164"/>
      <c r="G527" s="1164"/>
      <c r="H527" s="1164"/>
      <c r="I527" s="1164"/>
      <c r="J527" s="1164"/>
      <c r="K527" s="1164"/>
      <c r="L527" s="1165"/>
    </row>
    <row r="528" spans="1:12" ht="27.95" customHeight="1">
      <c r="A528" s="13"/>
      <c r="B528" s="1167" t="s">
        <v>182</v>
      </c>
      <c r="C528" s="1167"/>
      <c r="D528" s="1167"/>
      <c r="E528" s="1167"/>
      <c r="F528" s="1167"/>
      <c r="G528" s="1167"/>
      <c r="H528" s="1167"/>
      <c r="I528" s="1167"/>
      <c r="J528" s="1167"/>
      <c r="K528" s="1167"/>
      <c r="L528" s="1168"/>
    </row>
    <row r="529" spans="1:12" ht="27.95" customHeight="1" thickBot="1">
      <c r="A529" s="25"/>
      <c r="B529" s="1170" t="s">
        <v>183</v>
      </c>
      <c r="C529" s="1170"/>
      <c r="D529" s="1170"/>
      <c r="E529" s="1170"/>
      <c r="F529" s="1170"/>
      <c r="G529" s="1170"/>
      <c r="H529" s="1170"/>
      <c r="I529" s="1170"/>
      <c r="J529" s="1170"/>
      <c r="K529" s="1170"/>
      <c r="L529" s="1171"/>
    </row>
    <row r="530" spans="1:12" ht="27.95" customHeight="1">
      <c r="A530" s="13"/>
      <c r="B530" s="1173" t="s">
        <v>108</v>
      </c>
      <c r="C530" s="1173"/>
      <c r="D530" s="1173"/>
      <c r="E530" s="1173"/>
      <c r="F530" s="1173"/>
      <c r="H530" s="1174" t="s">
        <v>109</v>
      </c>
      <c r="I530" s="1174"/>
      <c r="J530" s="1174"/>
      <c r="K530" s="1174"/>
      <c r="L530" s="1175"/>
    </row>
    <row r="531" spans="1:12" ht="27.95" customHeight="1" thickBot="1">
      <c r="A531" s="13"/>
      <c r="B531" s="1173"/>
      <c r="C531" s="1173"/>
      <c r="D531" s="1173"/>
      <c r="E531" s="1173"/>
      <c r="F531" s="1173"/>
      <c r="H531" s="1174"/>
      <c r="I531" s="1174"/>
      <c r="J531" s="1174"/>
      <c r="K531" s="1174"/>
      <c r="L531" s="1175"/>
    </row>
    <row r="532" spans="1:12">
      <c r="A532" s="13"/>
      <c r="B532" s="74"/>
      <c r="C532" s="75"/>
      <c r="D532" s="75"/>
      <c r="E532" s="75"/>
      <c r="F532" s="76"/>
      <c r="H532" s="74"/>
      <c r="I532" s="75"/>
      <c r="J532" s="75"/>
      <c r="K532" s="75"/>
      <c r="L532" s="76"/>
    </row>
    <row r="533" spans="1:12">
      <c r="A533" s="13"/>
      <c r="B533" s="77" t="e">
        <f>#REF!</f>
        <v>#REF!</v>
      </c>
      <c r="F533" s="14"/>
      <c r="H533" s="77" t="e">
        <f>#REF!</f>
        <v>#REF!</v>
      </c>
      <c r="L533" s="14"/>
    </row>
    <row r="534" spans="1:12">
      <c r="A534" s="13"/>
      <c r="B534" s="13"/>
      <c r="F534" s="14"/>
      <c r="H534" s="13"/>
      <c r="L534" s="14"/>
    </row>
    <row r="535" spans="1:12">
      <c r="A535" s="13"/>
      <c r="B535" s="77" t="e">
        <f>#REF!</f>
        <v>#REF!</v>
      </c>
      <c r="F535" s="14"/>
      <c r="H535" s="77" t="e">
        <f>#REF!</f>
        <v>#REF!</v>
      </c>
      <c r="L535" s="14"/>
    </row>
    <row r="536" spans="1:12" ht="15.75" thickBot="1">
      <c r="A536" s="13"/>
      <c r="B536" s="25"/>
      <c r="C536" s="23"/>
      <c r="D536" s="23"/>
      <c r="E536" s="23"/>
      <c r="F536" s="24"/>
      <c r="H536" s="25"/>
      <c r="I536" s="23"/>
      <c r="J536" s="23"/>
      <c r="K536" s="23"/>
      <c r="L536" s="24"/>
    </row>
    <row r="537" spans="1:12" ht="15" customHeight="1">
      <c r="A537" s="13"/>
      <c r="J537" t="s">
        <v>110</v>
      </c>
      <c r="L537" s="14"/>
    </row>
    <row r="538" spans="1:12">
      <c r="A538" s="13"/>
      <c r="B538" s="1177" t="s">
        <v>111</v>
      </c>
      <c r="C538" s="1177"/>
      <c r="D538" s="1177"/>
      <c r="E538" s="1177"/>
      <c r="F538" s="1177"/>
      <c r="H538" s="1177" t="s">
        <v>4</v>
      </c>
      <c r="I538" s="1177"/>
      <c r="J538" s="1177"/>
      <c r="K538" s="1177"/>
      <c r="L538" s="1178"/>
    </row>
    <row r="539" spans="1:12" ht="15.75" thickBot="1">
      <c r="A539" s="13"/>
      <c r="L539" s="14"/>
    </row>
    <row r="540" spans="1:12">
      <c r="A540" s="13"/>
      <c r="B540" s="74"/>
      <c r="C540" s="75"/>
      <c r="D540" s="75"/>
      <c r="E540" s="75"/>
      <c r="F540" s="76"/>
      <c r="H540" s="78"/>
      <c r="I540" s="79"/>
      <c r="J540" s="79"/>
      <c r="K540" s="79"/>
      <c r="L540" s="80"/>
    </row>
    <row r="541" spans="1:12">
      <c r="A541" s="13"/>
      <c r="B541" s="13"/>
      <c r="F541" s="14"/>
      <c r="H541" s="77" t="e">
        <f>#REF!</f>
        <v>#REF!</v>
      </c>
      <c r="I541" s="2"/>
      <c r="J541" s="2"/>
      <c r="K541" s="2"/>
      <c r="L541" s="81"/>
    </row>
    <row r="542" spans="1:12">
      <c r="A542" s="13"/>
      <c r="B542" s="77" t="e">
        <f>#REF!</f>
        <v>#REF!</v>
      </c>
      <c r="F542" s="14"/>
      <c r="H542" s="77"/>
      <c r="I542" s="2"/>
      <c r="J542" s="2"/>
      <c r="K542" s="2"/>
      <c r="L542" s="81"/>
    </row>
    <row r="543" spans="1:12">
      <c r="A543" s="13"/>
      <c r="B543" s="13"/>
      <c r="F543" s="14"/>
      <c r="H543" s="77" t="e">
        <f>#REF!</f>
        <v>#REF!</v>
      </c>
      <c r="I543" s="2"/>
      <c r="J543" s="2"/>
      <c r="K543" s="2"/>
      <c r="L543" s="81"/>
    </row>
    <row r="544" spans="1:12" ht="15.75" thickBot="1">
      <c r="A544" s="13"/>
      <c r="B544" s="25"/>
      <c r="C544" s="23"/>
      <c r="D544" s="23"/>
      <c r="E544" s="23"/>
      <c r="F544" s="24"/>
      <c r="H544" s="82"/>
      <c r="I544" s="83"/>
      <c r="J544" s="83"/>
      <c r="K544" s="83"/>
      <c r="L544" s="84"/>
    </row>
    <row r="545" spans="1:12">
      <c r="A545" s="85"/>
      <c r="B545" s="1369" t="s">
        <v>184</v>
      </c>
      <c r="C545" s="1369"/>
      <c r="D545" s="1369"/>
      <c r="E545" s="1369"/>
      <c r="F545" s="1369"/>
      <c r="G545" s="1369"/>
      <c r="H545" s="1372">
        <f>'04-221Master'!B438</f>
        <v>0</v>
      </c>
      <c r="I545" s="1371"/>
      <c r="J545" s="1371"/>
      <c r="K545" s="1371"/>
      <c r="L545" s="1151"/>
    </row>
    <row r="546" spans="1:12">
      <c r="A546" s="85"/>
      <c r="B546" s="1373" t="s">
        <v>185</v>
      </c>
      <c r="C546" s="1373"/>
      <c r="D546" s="1373"/>
      <c r="E546" s="1373"/>
      <c r="F546" s="1373"/>
      <c r="G546" s="1373"/>
      <c r="H546" s="1372">
        <f>'04-221Master'!E438</f>
        <v>0</v>
      </c>
      <c r="I546" s="1371"/>
      <c r="J546" s="1371"/>
      <c r="K546" s="1371"/>
      <c r="L546" s="1151"/>
    </row>
    <row r="547" spans="1:12">
      <c r="A547" s="85"/>
      <c r="B547" s="1369" t="s">
        <v>186</v>
      </c>
      <c r="C547" s="1369"/>
      <c r="D547" s="1369"/>
      <c r="E547" s="1369"/>
      <c r="F547" s="1369"/>
      <c r="G547" s="1369"/>
      <c r="H547" s="1372">
        <f>'04-221Master'!C438</f>
        <v>0</v>
      </c>
      <c r="I547" s="1371"/>
      <c r="J547" s="1371"/>
      <c r="K547" s="1371"/>
      <c r="L547" s="1151"/>
    </row>
    <row r="548" spans="1:12">
      <c r="A548" s="85"/>
      <c r="B548" s="1369" t="s">
        <v>187</v>
      </c>
      <c r="C548" s="1369"/>
      <c r="D548" s="1369"/>
      <c r="E548" s="1369"/>
      <c r="F548" s="1369"/>
      <c r="G548" s="1369"/>
      <c r="H548" s="1374">
        <f>'04-221Master'!D438</f>
        <v>0</v>
      </c>
      <c r="I548" s="1371"/>
      <c r="J548" s="1371"/>
      <c r="K548" s="1371"/>
      <c r="L548" s="1151"/>
    </row>
    <row r="549" spans="1:12">
      <c r="A549" s="85"/>
      <c r="B549" s="86" t="s">
        <v>188</v>
      </c>
      <c r="C549" s="87"/>
      <c r="D549" s="87"/>
      <c r="E549" s="87"/>
      <c r="F549" s="87"/>
      <c r="G549" s="87"/>
      <c r="H549" s="1366" t="s">
        <v>189</v>
      </c>
      <c r="I549" s="1367"/>
      <c r="J549" s="1367"/>
      <c r="K549" s="1367"/>
      <c r="L549" s="1368"/>
    </row>
    <row r="550" spans="1:12">
      <c r="A550" s="85"/>
      <c r="B550" s="86" t="s">
        <v>190</v>
      </c>
      <c r="C550" s="87"/>
      <c r="D550" s="87"/>
      <c r="E550" s="87"/>
      <c r="F550" s="87"/>
      <c r="G550" s="87"/>
      <c r="H550" s="88"/>
      <c r="I550" s="90"/>
      <c r="J550" s="178"/>
      <c r="K550" s="90"/>
      <c r="L550" s="95"/>
    </row>
    <row r="551" spans="1:12">
      <c r="A551" s="85"/>
      <c r="B551" s="1161" t="s">
        <v>191</v>
      </c>
      <c r="C551" s="1161"/>
      <c r="D551" s="1161"/>
      <c r="E551" s="1161"/>
      <c r="F551" s="1161"/>
      <c r="G551" s="1161"/>
      <c r="H551" s="1154">
        <f>'04-221Master'!G438</f>
        <v>0</v>
      </c>
      <c r="I551" s="1155"/>
      <c r="J551" s="1155"/>
      <c r="K551" s="1155"/>
      <c r="L551" s="1156"/>
    </row>
    <row r="552" spans="1:12" ht="27.95" customHeight="1">
      <c r="A552" s="85"/>
      <c r="B552" s="1369"/>
      <c r="C552" s="1369"/>
      <c r="D552" s="1369"/>
      <c r="E552" s="1369"/>
      <c r="F552" s="1369"/>
      <c r="G552" s="1369"/>
      <c r="H552" s="1370">
        <f>'04-221Master'!H438</f>
        <v>0</v>
      </c>
      <c r="I552" s="1371"/>
      <c r="J552" s="1371"/>
      <c r="K552" s="1371"/>
      <c r="L552" s="1151"/>
    </row>
    <row r="553" spans="1:12" ht="27.95" customHeight="1">
      <c r="A553" s="13"/>
      <c r="B553" s="1369"/>
      <c r="C553" s="1369"/>
      <c r="D553" s="1369"/>
      <c r="E553" s="1369"/>
      <c r="F553" s="1369"/>
      <c r="G553" s="1369"/>
      <c r="H553" s="1372">
        <f>'04-221Master'!I438</f>
        <v>0</v>
      </c>
      <c r="I553" s="1371"/>
      <c r="J553" s="1371"/>
      <c r="K553" s="1371"/>
      <c r="L553" s="1151"/>
    </row>
    <row r="554" spans="1:12" ht="27.95" customHeight="1">
      <c r="A554" s="13"/>
      <c r="B554" s="86" t="s">
        <v>192</v>
      </c>
      <c r="C554" s="87"/>
      <c r="D554" s="87"/>
      <c r="E554" s="87"/>
      <c r="F554" s="87"/>
      <c r="G554" s="91"/>
      <c r="H554" s="1359">
        <f>'04-221Master'!J438</f>
        <v>0</v>
      </c>
      <c r="I554" s="1149"/>
      <c r="J554" s="1149"/>
      <c r="K554" s="1149"/>
      <c r="L554" s="1360"/>
    </row>
    <row r="555" spans="1:12" ht="27.95" customHeight="1">
      <c r="A555" s="13"/>
      <c r="B555" s="86"/>
      <c r="C555" s="87"/>
      <c r="D555" s="87"/>
      <c r="E555" s="87"/>
      <c r="F555" s="87"/>
      <c r="G555" s="91"/>
      <c r="H555" s="1359">
        <f>'04-221Master'!K438</f>
        <v>0</v>
      </c>
      <c r="I555" s="1149"/>
      <c r="J555" s="1149"/>
      <c r="K555" s="1149"/>
      <c r="L555" s="1360"/>
    </row>
    <row r="556" spans="1:12" ht="27.95" customHeight="1">
      <c r="A556" s="13"/>
      <c r="B556" s="86"/>
      <c r="C556" s="87"/>
      <c r="D556" s="87"/>
      <c r="E556" s="87"/>
      <c r="F556" s="87"/>
      <c r="G556" s="91"/>
      <c r="H556" s="1359">
        <f>'04-221Master'!L438</f>
        <v>0</v>
      </c>
      <c r="I556" s="1149"/>
      <c r="J556" s="1149"/>
      <c r="K556" s="1149"/>
      <c r="L556" s="1360"/>
    </row>
    <row r="557" spans="1:12" ht="27.95" customHeight="1">
      <c r="A557" s="13"/>
      <c r="B557" s="86" t="s">
        <v>199</v>
      </c>
      <c r="C557" s="87"/>
      <c r="D557" s="87"/>
      <c r="E557" s="87"/>
      <c r="F557" s="87"/>
      <c r="G557" s="91"/>
      <c r="H557" s="88"/>
      <c r="I557" s="90"/>
      <c r="J557" s="90"/>
      <c r="K557" s="90"/>
      <c r="L557" s="95"/>
    </row>
    <row r="558" spans="1:12" ht="27.95" customHeight="1">
      <c r="A558" s="13"/>
      <c r="B558" s="97" t="s">
        <v>200</v>
      </c>
      <c r="C558" s="159"/>
      <c r="D558" s="159"/>
      <c r="E558" s="159"/>
      <c r="F558" s="159"/>
      <c r="G558" s="160"/>
      <c r="H558" s="161"/>
      <c r="I558" s="162"/>
      <c r="J558" s="163"/>
      <c r="K558" s="162"/>
      <c r="L558" s="164"/>
    </row>
    <row r="559" spans="1:12" ht="27.95" customHeight="1">
      <c r="A559" s="13"/>
      <c r="B559" s="86" t="s">
        <v>203</v>
      </c>
      <c r="C559" s="87"/>
      <c r="D559" s="90"/>
      <c r="E559" s="171" t="s">
        <v>205</v>
      </c>
      <c r="F559" s="65"/>
      <c r="G559" s="1361" t="s">
        <v>204</v>
      </c>
      <c r="H559" s="1362"/>
      <c r="I559" s="175" t="s">
        <v>201</v>
      </c>
      <c r="J559" s="173" t="s">
        <v>206</v>
      </c>
      <c r="K559" s="1361" t="s">
        <v>202</v>
      </c>
      <c r="L559" s="1363"/>
    </row>
    <row r="560" spans="1:12" ht="27.95" customHeight="1">
      <c r="A560" s="13"/>
      <c r="B560" s="174">
        <v>1</v>
      </c>
      <c r="C560" s="87"/>
      <c r="D560" s="87"/>
      <c r="E560" s="177">
        <v>2</v>
      </c>
      <c r="F560" s="91"/>
      <c r="G560" s="177">
        <v>3</v>
      </c>
      <c r="H560" s="193"/>
      <c r="I560" s="193">
        <v>4</v>
      </c>
      <c r="J560" s="102">
        <v>5</v>
      </c>
      <c r="K560" s="93"/>
      <c r="L560" s="94">
        <v>6</v>
      </c>
    </row>
    <row r="561" spans="1:12" ht="27.95" customHeight="1">
      <c r="A561" s="13"/>
      <c r="B561" s="291">
        <f>'04-221Master'!E438</f>
        <v>0</v>
      </c>
      <c r="C561" s="189"/>
      <c r="D561" s="190"/>
      <c r="E561" s="192" t="s">
        <v>362</v>
      </c>
      <c r="F561" s="190"/>
      <c r="G561" s="192" t="s">
        <v>363</v>
      </c>
      <c r="H561" s="65"/>
      <c r="I561" s="11" t="s">
        <v>364</v>
      </c>
      <c r="J561" s="290">
        <v>1</v>
      </c>
      <c r="K561" s="1364" t="s">
        <v>37</v>
      </c>
      <c r="L561" s="1365"/>
    </row>
    <row r="562" spans="1:12" ht="27.95" customHeight="1">
      <c r="A562" s="13"/>
      <c r="B562" s="86"/>
      <c r="C562" s="189"/>
      <c r="D562" s="190"/>
      <c r="E562" s="191"/>
      <c r="F562" s="190"/>
      <c r="G562" s="191"/>
      <c r="H562" s="65"/>
      <c r="I562" s="11"/>
      <c r="J562" s="11"/>
      <c r="K562" s="192"/>
      <c r="L562" s="197"/>
    </row>
    <row r="563" spans="1:12" ht="27.95" customHeight="1">
      <c r="A563" s="13"/>
      <c r="B563" s="86"/>
      <c r="C563" s="189"/>
      <c r="D563" s="190"/>
      <c r="E563" s="191"/>
      <c r="F563" s="190"/>
      <c r="G563" s="191"/>
      <c r="H563" s="65"/>
      <c r="I563" s="11"/>
      <c r="J563" s="11"/>
      <c r="K563" s="192"/>
      <c r="L563" s="197"/>
    </row>
    <row r="564" spans="1:12" ht="27.95" customHeight="1">
      <c r="A564" s="13"/>
      <c r="B564" s="72"/>
      <c r="C564" s="17"/>
      <c r="D564" s="73"/>
      <c r="E564" s="191"/>
      <c r="F564" s="190"/>
      <c r="G564" s="191"/>
      <c r="H564" s="65"/>
      <c r="I564" s="11"/>
      <c r="J564" s="11"/>
      <c r="K564" s="192"/>
      <c r="L564" s="197"/>
    </row>
    <row r="565" spans="1:12" ht="27.95" customHeight="1">
      <c r="A565" s="13"/>
      <c r="B565" t="s">
        <v>207</v>
      </c>
      <c r="L565" s="14"/>
    </row>
    <row r="566" spans="1:12" ht="27.95" customHeight="1">
      <c r="A566" s="13"/>
      <c r="B566" t="s">
        <v>208</v>
      </c>
      <c r="L566" s="14"/>
    </row>
    <row r="567" spans="1:12" ht="27.95" customHeight="1">
      <c r="A567" s="13"/>
      <c r="B567" t="s">
        <v>209</v>
      </c>
      <c r="L567" s="14"/>
    </row>
    <row r="568" spans="1:12" ht="27.95" customHeight="1">
      <c r="A568" s="13"/>
      <c r="I568" t="s">
        <v>210</v>
      </c>
      <c r="L568" s="14"/>
    </row>
    <row r="569" spans="1:12" ht="27.95" customHeight="1">
      <c r="A569" s="13"/>
      <c r="F569" s="179" t="s">
        <v>193</v>
      </c>
      <c r="L569" s="14"/>
    </row>
    <row r="570" spans="1:12">
      <c r="A570" s="13" t="s">
        <v>194</v>
      </c>
      <c r="K570" s="229">
        <f>'04-221Master'!B438</f>
        <v>0</v>
      </c>
      <c r="L570" s="14"/>
    </row>
    <row r="571" spans="1:12">
      <c r="A571" s="13" t="s">
        <v>195</v>
      </c>
      <c r="L571" s="14"/>
    </row>
    <row r="572" spans="1:12">
      <c r="A572" s="13"/>
      <c r="L572" s="14"/>
    </row>
    <row r="573" spans="1:12">
      <c r="A573" s="13"/>
      <c r="L573" s="14"/>
    </row>
    <row r="574" spans="1:12">
      <c r="A574" s="13"/>
      <c r="F574" t="s">
        <v>196</v>
      </c>
      <c r="L574" s="14"/>
    </row>
    <row r="575" spans="1:12">
      <c r="A575" s="13" t="s">
        <v>197</v>
      </c>
      <c r="B575" t="s">
        <v>361</v>
      </c>
      <c r="F575">
        <f>'04-221Master'!AP428</f>
        <v>0</v>
      </c>
      <c r="L575" s="14"/>
    </row>
    <row r="576" spans="1:12" ht="15" customHeight="1">
      <c r="A576" s="13" t="s">
        <v>198</v>
      </c>
      <c r="B576" s="289">
        <f>'04-221Master'!N438</f>
        <v>0</v>
      </c>
      <c r="F576">
        <f>'04-221Master'!AP429</f>
        <v>0</v>
      </c>
      <c r="L576" s="14"/>
    </row>
    <row r="577" spans="1:12" ht="15.75" thickBot="1">
      <c r="A577" s="25"/>
      <c r="B577" s="23"/>
      <c r="C577" s="23"/>
      <c r="D577" s="23"/>
      <c r="E577" s="23"/>
      <c r="F577" s="23"/>
      <c r="G577" s="23"/>
      <c r="H577" s="23"/>
      <c r="I577" s="23"/>
      <c r="J577" s="23"/>
      <c r="K577" s="23"/>
      <c r="L577" s="24"/>
    </row>
    <row r="579" spans="1:12">
      <c r="B579" s="2"/>
      <c r="H579" s="2"/>
    </row>
    <row r="581" spans="1:12">
      <c r="B581" s="2"/>
      <c r="H581" s="2"/>
    </row>
    <row r="584" spans="1:12">
      <c r="B584" s="1177"/>
      <c r="C584" s="1177"/>
      <c r="D584" s="1177"/>
      <c r="E584" s="1177"/>
      <c r="F584" s="1177"/>
      <c r="H584" s="1177"/>
      <c r="I584" s="1177"/>
      <c r="J584" s="1177"/>
      <c r="K584" s="1177"/>
      <c r="L584" s="1177"/>
    </row>
    <row r="586" spans="1:12">
      <c r="H586" s="2"/>
      <c r="I586" s="2"/>
      <c r="J586" s="2"/>
      <c r="K586" s="2"/>
      <c r="L586" s="2"/>
    </row>
    <row r="587" spans="1:12">
      <c r="H587" s="2"/>
      <c r="I587" s="2"/>
      <c r="J587" s="2"/>
      <c r="K587" s="2"/>
      <c r="L587" s="2"/>
    </row>
    <row r="588" spans="1:12">
      <c r="B588" s="2"/>
      <c r="H588" s="2"/>
      <c r="I588" s="2"/>
      <c r="J588" s="2"/>
      <c r="K588" s="2"/>
      <c r="L588" s="2"/>
    </row>
    <row r="589" spans="1:12">
      <c r="H589" s="2"/>
      <c r="I589" s="2"/>
      <c r="J589" s="2"/>
      <c r="K589" s="2"/>
      <c r="L589" s="2"/>
    </row>
    <row r="590" spans="1:12">
      <c r="H590" s="2"/>
      <c r="I590" s="2"/>
      <c r="J590" s="2"/>
      <c r="K590" s="2"/>
      <c r="L590" s="2"/>
    </row>
    <row r="591" spans="1:12" ht="27.95" customHeight="1">
      <c r="A591" s="10"/>
      <c r="B591" s="1353"/>
      <c r="C591" s="1353"/>
      <c r="D591" s="1353"/>
      <c r="E591" s="1353"/>
      <c r="F591" s="1353"/>
      <c r="G591" s="1353"/>
      <c r="H591" s="1351"/>
      <c r="I591" s="1352"/>
      <c r="J591" s="1352"/>
      <c r="K591" s="1352"/>
      <c r="L591" s="1352"/>
    </row>
    <row r="592" spans="1:12" ht="27.95" customHeight="1">
      <c r="A592" s="10"/>
      <c r="B592" s="1174"/>
      <c r="C592" s="1174"/>
      <c r="D592" s="1174"/>
      <c r="E592" s="1174"/>
      <c r="F592" s="1174"/>
      <c r="G592" s="1174"/>
      <c r="H592" s="1351"/>
      <c r="I592" s="1352"/>
      <c r="J592" s="1352"/>
      <c r="K592" s="1352"/>
      <c r="L592" s="1352"/>
    </row>
    <row r="593" spans="1:12" ht="27.95" customHeight="1">
      <c r="A593" s="10"/>
      <c r="B593" s="1353"/>
      <c r="C593" s="1353"/>
      <c r="D593" s="1353"/>
      <c r="E593" s="1353"/>
      <c r="F593" s="1353"/>
      <c r="G593" s="1353"/>
      <c r="H593" s="1351"/>
      <c r="I593" s="1352"/>
      <c r="J593" s="1352"/>
      <c r="K593" s="1352"/>
      <c r="L593" s="1352"/>
    </row>
    <row r="594" spans="1:12" ht="27.95" customHeight="1">
      <c r="A594" s="10"/>
      <c r="B594" s="1353"/>
      <c r="C594" s="1353"/>
      <c r="D594" s="1353"/>
      <c r="E594" s="1353"/>
      <c r="F594" s="1353"/>
      <c r="G594" s="1353"/>
      <c r="H594" s="1355"/>
      <c r="I594" s="1352"/>
      <c r="J594" s="1352"/>
      <c r="K594" s="1352"/>
      <c r="L594" s="1352"/>
    </row>
    <row r="595" spans="1:12" ht="27.95" customHeight="1">
      <c r="A595" s="10"/>
      <c r="B595" s="180"/>
      <c r="C595" s="176"/>
      <c r="D595" s="176"/>
      <c r="E595" s="176"/>
      <c r="F595" s="176"/>
      <c r="G595" s="176"/>
      <c r="H595" s="165"/>
      <c r="I595" s="10"/>
      <c r="J595" s="249"/>
      <c r="K595" s="165"/>
      <c r="L595" s="165"/>
    </row>
    <row r="596" spans="1:12" ht="27.95" customHeight="1">
      <c r="A596" s="10"/>
      <c r="B596" s="180"/>
      <c r="C596" s="176"/>
      <c r="D596" s="176"/>
      <c r="E596" s="176"/>
      <c r="F596" s="176"/>
      <c r="G596" s="176"/>
      <c r="H596" s="165"/>
      <c r="I596" s="165"/>
      <c r="J596" s="249"/>
      <c r="K596" s="165"/>
      <c r="L596" s="165"/>
    </row>
    <row r="597" spans="1:12" ht="27.95" customHeight="1">
      <c r="A597" s="10"/>
      <c r="B597" s="1174"/>
      <c r="C597" s="1174"/>
      <c r="D597" s="1174"/>
      <c r="E597" s="1174"/>
      <c r="F597" s="1174"/>
      <c r="G597" s="1174"/>
      <c r="H597" s="1351"/>
      <c r="I597" s="1352"/>
      <c r="J597" s="1352"/>
      <c r="K597" s="1352"/>
      <c r="L597" s="1352"/>
    </row>
    <row r="598" spans="1:12" ht="27.95" customHeight="1">
      <c r="A598" s="10"/>
      <c r="B598" s="1353"/>
      <c r="C598" s="1353"/>
      <c r="D598" s="1353"/>
      <c r="E598" s="1353"/>
      <c r="F598" s="1353"/>
      <c r="G598" s="1353"/>
      <c r="H598" s="1354"/>
      <c r="I598" s="1352"/>
      <c r="J598" s="1352"/>
      <c r="K598" s="1352"/>
      <c r="L598" s="1352"/>
    </row>
    <row r="599" spans="1:12" ht="27.95" customHeight="1">
      <c r="B599" s="1353"/>
      <c r="C599" s="1353"/>
      <c r="D599" s="1353"/>
      <c r="E599" s="1353"/>
      <c r="F599" s="1353"/>
      <c r="G599" s="1353"/>
      <c r="H599" s="1352"/>
      <c r="I599" s="1352"/>
      <c r="J599" s="1352"/>
      <c r="K599" s="1352"/>
      <c r="L599" s="1352"/>
    </row>
    <row r="600" spans="1:12" ht="27.95" customHeight="1">
      <c r="B600" s="180"/>
      <c r="C600" s="176"/>
      <c r="D600" s="176"/>
      <c r="E600" s="176"/>
      <c r="F600" s="176"/>
      <c r="G600" s="176"/>
      <c r="H600" s="165"/>
      <c r="I600" s="165"/>
      <c r="J600" s="165"/>
      <c r="K600" s="165"/>
      <c r="L600" s="165"/>
    </row>
    <row r="601" spans="1:12" ht="27.95" customHeight="1">
      <c r="B601" s="180"/>
      <c r="C601" s="176"/>
      <c r="D601" s="176"/>
      <c r="E601" s="176"/>
      <c r="F601" s="176"/>
      <c r="G601" s="176"/>
      <c r="H601" s="165"/>
      <c r="I601" s="165"/>
      <c r="J601" s="165"/>
      <c r="K601" s="165"/>
      <c r="L601" s="165"/>
    </row>
    <row r="602" spans="1:12" ht="27.95" customHeight="1">
      <c r="B602" s="180"/>
      <c r="C602" s="176"/>
      <c r="D602" s="176"/>
      <c r="E602" s="176"/>
      <c r="F602" s="176"/>
      <c r="G602" s="176"/>
      <c r="H602" s="165"/>
      <c r="I602" s="165"/>
      <c r="J602" s="166"/>
      <c r="K602" s="165"/>
      <c r="L602" s="165"/>
    </row>
    <row r="603" spans="1:12" ht="27.95" customHeight="1">
      <c r="B603" s="180"/>
      <c r="C603" s="176"/>
      <c r="D603" s="176"/>
      <c r="E603" s="176"/>
      <c r="F603" s="176"/>
      <c r="G603" s="176"/>
      <c r="H603" s="165"/>
      <c r="I603" s="165"/>
      <c r="J603" s="165"/>
      <c r="K603" s="165"/>
      <c r="L603" s="165"/>
    </row>
    <row r="604" spans="1:12" ht="27.95" customHeight="1">
      <c r="B604" s="180"/>
      <c r="C604" s="176"/>
      <c r="D604" s="176"/>
      <c r="E604" s="176"/>
      <c r="F604" s="176"/>
      <c r="G604" s="176"/>
      <c r="H604" s="165"/>
      <c r="I604" s="165"/>
      <c r="J604" s="166"/>
      <c r="K604" s="165"/>
      <c r="L604" s="165"/>
    </row>
    <row r="605" spans="1:12" ht="27.95" customHeight="1">
      <c r="B605" s="180"/>
      <c r="C605" s="176"/>
      <c r="D605" s="165"/>
      <c r="E605" s="166"/>
      <c r="F605" s="165"/>
      <c r="G605" s="166"/>
      <c r="H605" s="165"/>
      <c r="I605" s="166"/>
      <c r="J605" s="165"/>
      <c r="K605" s="166"/>
      <c r="L605" s="166"/>
    </row>
    <row r="606" spans="1:12" ht="27.95" customHeight="1">
      <c r="B606" s="180"/>
      <c r="C606" s="176"/>
      <c r="D606" s="176"/>
      <c r="E606" s="176"/>
      <c r="F606" s="176"/>
      <c r="G606" s="176"/>
      <c r="H606" s="165"/>
      <c r="I606" s="165"/>
      <c r="J606" s="250"/>
      <c r="K606" s="165"/>
      <c r="L606" s="165"/>
    </row>
    <row r="607" spans="1:12" ht="27.95" customHeight="1">
      <c r="B607" s="180"/>
      <c r="C607" s="2"/>
      <c r="D607" s="2"/>
      <c r="E607" s="2"/>
      <c r="F607" s="2"/>
      <c r="G607" s="2"/>
    </row>
    <row r="608" spans="1:12" ht="27.95" customHeight="1">
      <c r="B608" s="180"/>
      <c r="C608" s="2"/>
      <c r="D608" s="2"/>
      <c r="E608" s="2"/>
      <c r="F608" s="2"/>
      <c r="G608" s="2"/>
    </row>
    <row r="611" spans="2:12" ht="32.25">
      <c r="B611" s="1357"/>
      <c r="C611" s="1358"/>
      <c r="D611" s="1358"/>
      <c r="E611" s="1358"/>
      <c r="F611" s="1358"/>
      <c r="G611" s="1358"/>
      <c r="H611" s="1358"/>
      <c r="I611" s="1358"/>
      <c r="J611" s="1358"/>
      <c r="K611" s="1358"/>
      <c r="L611" s="1358"/>
    </row>
    <row r="612" spans="2:12" ht="23.25">
      <c r="B612" s="1167"/>
      <c r="C612" s="1167"/>
      <c r="D612" s="1167"/>
      <c r="E612" s="1167"/>
      <c r="F612" s="1167"/>
      <c r="G612" s="1167"/>
      <c r="H612" s="1167"/>
      <c r="I612" s="1167"/>
      <c r="J612" s="1167"/>
      <c r="K612" s="1167"/>
      <c r="L612" s="1167"/>
    </row>
    <row r="613" spans="2:12" ht="15.75">
      <c r="B613" s="1356"/>
      <c r="C613" s="1356"/>
      <c r="D613" s="1356"/>
      <c r="E613" s="1356"/>
      <c r="F613" s="1356"/>
      <c r="G613" s="1356"/>
      <c r="H613" s="1356"/>
      <c r="I613" s="1356"/>
      <c r="J613" s="1356"/>
      <c r="K613" s="1356"/>
      <c r="L613" s="1356"/>
    </row>
    <row r="614" spans="2:12" ht="15" customHeight="1">
      <c r="B614" s="1173"/>
      <c r="C614" s="1173"/>
      <c r="D614" s="1173"/>
      <c r="E614" s="1173"/>
      <c r="F614" s="1173"/>
      <c r="H614" s="1174"/>
      <c r="I614" s="1174"/>
      <c r="J614" s="1174"/>
      <c r="K614" s="1174"/>
      <c r="L614" s="1174"/>
    </row>
    <row r="615" spans="2:12">
      <c r="B615" s="1173"/>
      <c r="C615" s="1173"/>
      <c r="D615" s="1173"/>
      <c r="E615" s="1173"/>
      <c r="F615" s="1173"/>
      <c r="H615" s="1174"/>
      <c r="I615" s="1174"/>
      <c r="J615" s="1174"/>
      <c r="K615" s="1174"/>
      <c r="L615" s="1174"/>
    </row>
    <row r="617" spans="2:12">
      <c r="B617" s="2"/>
      <c r="H617" s="2"/>
    </row>
    <row r="619" spans="2:12">
      <c r="B619" s="2"/>
      <c r="H619" s="2"/>
    </row>
    <row r="622" spans="2:12">
      <c r="B622" s="1177"/>
      <c r="C622" s="1177"/>
      <c r="D622" s="1177"/>
      <c r="E622" s="1177"/>
      <c r="F622" s="1177"/>
      <c r="H622" s="1177"/>
      <c r="I622" s="1177"/>
      <c r="J622" s="1177"/>
      <c r="K622" s="1177"/>
      <c r="L622" s="1177"/>
    </row>
    <row r="624" spans="2:12">
      <c r="H624" s="2"/>
      <c r="I624" s="2"/>
      <c r="J624" s="2"/>
      <c r="K624" s="2"/>
      <c r="L624" s="2"/>
    </row>
    <row r="625" spans="1:12">
      <c r="H625" s="2"/>
      <c r="I625" s="2"/>
      <c r="J625" s="2"/>
      <c r="K625" s="2"/>
      <c r="L625" s="2"/>
    </row>
    <row r="626" spans="1:12">
      <c r="B626" s="2"/>
      <c r="H626" s="2"/>
      <c r="I626" s="2"/>
      <c r="J626" s="2"/>
      <c r="K626" s="2"/>
      <c r="L626" s="2"/>
    </row>
    <row r="627" spans="1:12">
      <c r="H627" s="2"/>
      <c r="I627" s="2"/>
      <c r="J627" s="2"/>
      <c r="K627" s="2"/>
      <c r="L627" s="2"/>
    </row>
    <row r="628" spans="1:12">
      <c r="H628" s="2"/>
      <c r="I628" s="2"/>
      <c r="J628" s="2"/>
      <c r="K628" s="2"/>
      <c r="L628" s="2"/>
    </row>
    <row r="629" spans="1:12" ht="27.95" customHeight="1">
      <c r="A629" s="10"/>
      <c r="B629" s="1353"/>
      <c r="C629" s="1353"/>
      <c r="D629" s="1353"/>
      <c r="E629" s="1353"/>
      <c r="F629" s="1353"/>
      <c r="G629" s="1353"/>
      <c r="H629" s="1351"/>
      <c r="I629" s="1352"/>
      <c r="J629" s="1352"/>
      <c r="K629" s="1352"/>
      <c r="L629" s="1352"/>
    </row>
    <row r="630" spans="1:12" ht="27.95" customHeight="1">
      <c r="A630" s="10"/>
      <c r="B630" s="1174"/>
      <c r="C630" s="1174"/>
      <c r="D630" s="1174"/>
      <c r="E630" s="1174"/>
      <c r="F630" s="1174"/>
      <c r="G630" s="1174"/>
      <c r="H630" s="1351"/>
      <c r="I630" s="1352"/>
      <c r="J630" s="1352"/>
      <c r="K630" s="1352"/>
      <c r="L630" s="1352"/>
    </row>
    <row r="631" spans="1:12" ht="27.95" customHeight="1">
      <c r="A631" s="10"/>
      <c r="B631" s="1353"/>
      <c r="C631" s="1353"/>
      <c r="D631" s="1353"/>
      <c r="E631" s="1353"/>
      <c r="F631" s="1353"/>
      <c r="G631" s="1353"/>
      <c r="H631" s="1351"/>
      <c r="I631" s="1352"/>
      <c r="J631" s="1352"/>
      <c r="K631" s="1352"/>
      <c r="L631" s="1352"/>
    </row>
    <row r="632" spans="1:12" ht="27.95" customHeight="1">
      <c r="A632" s="10"/>
      <c r="B632" s="1353"/>
      <c r="C632" s="1353"/>
      <c r="D632" s="1353"/>
      <c r="E632" s="1353"/>
      <c r="F632" s="1353"/>
      <c r="G632" s="1353"/>
      <c r="H632" s="1355"/>
      <c r="I632" s="1352"/>
      <c r="J632" s="1352"/>
      <c r="K632" s="1352"/>
      <c r="L632" s="1352"/>
    </row>
    <row r="633" spans="1:12" ht="27.95" customHeight="1">
      <c r="A633" s="10"/>
      <c r="B633" s="180"/>
      <c r="C633" s="176"/>
      <c r="D633" s="176"/>
      <c r="E633" s="176"/>
      <c r="F633" s="176"/>
      <c r="G633" s="176"/>
      <c r="H633" s="165"/>
      <c r="I633" s="10"/>
      <c r="J633" s="249"/>
      <c r="K633" s="165"/>
      <c r="L633" s="165"/>
    </row>
    <row r="634" spans="1:12" ht="27.95" customHeight="1">
      <c r="A634" s="10"/>
      <c r="B634" s="180"/>
      <c r="C634" s="176"/>
      <c r="D634" s="176"/>
      <c r="E634" s="176"/>
      <c r="F634" s="176"/>
      <c r="G634" s="176"/>
      <c r="H634" s="165"/>
      <c r="I634" s="165"/>
      <c r="J634" s="249"/>
      <c r="K634" s="165"/>
      <c r="L634" s="165"/>
    </row>
    <row r="635" spans="1:12" ht="27.95" customHeight="1">
      <c r="A635" s="10"/>
      <c r="B635" s="1174"/>
      <c r="C635" s="1174"/>
      <c r="D635" s="1174"/>
      <c r="E635" s="1174"/>
      <c r="F635" s="1174"/>
      <c r="G635" s="1174"/>
      <c r="H635" s="1351"/>
      <c r="I635" s="1352"/>
      <c r="J635" s="1352"/>
      <c r="K635" s="1352"/>
      <c r="L635" s="1352"/>
    </row>
    <row r="636" spans="1:12" ht="27.95" customHeight="1">
      <c r="A636" s="10"/>
      <c r="B636" s="1353"/>
      <c r="C636" s="1353"/>
      <c r="D636" s="1353"/>
      <c r="E636" s="1353"/>
      <c r="F636" s="1353"/>
      <c r="G636" s="1353"/>
      <c r="H636" s="1354"/>
      <c r="I636" s="1352"/>
      <c r="J636" s="1352"/>
      <c r="K636" s="1352"/>
      <c r="L636" s="1352"/>
    </row>
    <row r="637" spans="1:12" ht="27.95" customHeight="1">
      <c r="B637" s="1353"/>
      <c r="C637" s="1353"/>
      <c r="D637" s="1353"/>
      <c r="E637" s="1353"/>
      <c r="F637" s="1353"/>
      <c r="G637" s="1353"/>
      <c r="H637" s="1352"/>
      <c r="I637" s="1352"/>
      <c r="J637" s="1352"/>
      <c r="K637" s="1352"/>
      <c r="L637" s="1352"/>
    </row>
    <row r="638" spans="1:12" ht="27.95" customHeight="1">
      <c r="B638" s="180"/>
      <c r="C638" s="176"/>
      <c r="D638" s="176"/>
      <c r="E638" s="176"/>
      <c r="F638" s="176"/>
      <c r="G638" s="176"/>
      <c r="H638" s="165"/>
      <c r="I638" s="165"/>
      <c r="J638" s="165"/>
      <c r="K638" s="165"/>
      <c r="L638" s="165"/>
    </row>
    <row r="639" spans="1:12" ht="27.95" customHeight="1">
      <c r="B639" s="180"/>
      <c r="C639" s="176"/>
      <c r="D639" s="176"/>
      <c r="E639" s="176"/>
      <c r="F639" s="176"/>
      <c r="G639" s="176"/>
      <c r="H639" s="165"/>
      <c r="I639" s="165"/>
      <c r="J639" s="165"/>
      <c r="K639" s="165"/>
      <c r="L639" s="165"/>
    </row>
    <row r="640" spans="1:12" ht="27.95" customHeight="1">
      <c r="B640" s="180"/>
      <c r="C640" s="176"/>
      <c r="D640" s="176"/>
      <c r="E640" s="176"/>
      <c r="F640" s="176"/>
      <c r="G640" s="176"/>
      <c r="H640" s="165"/>
      <c r="I640" s="165"/>
      <c r="J640" s="166"/>
      <c r="K640" s="165"/>
      <c r="L640" s="165"/>
    </row>
    <row r="641" spans="2:12" ht="27.95" customHeight="1">
      <c r="B641" s="180"/>
      <c r="C641" s="176"/>
      <c r="D641" s="176"/>
      <c r="E641" s="176"/>
      <c r="F641" s="176"/>
      <c r="G641" s="176"/>
      <c r="H641" s="165"/>
      <c r="I641" s="165"/>
      <c r="J641" s="165"/>
      <c r="K641" s="165"/>
      <c r="L641" s="165"/>
    </row>
    <row r="642" spans="2:12" ht="27.95" customHeight="1">
      <c r="B642" s="180"/>
      <c r="C642" s="176"/>
      <c r="D642" s="176"/>
      <c r="E642" s="176"/>
      <c r="F642" s="176"/>
      <c r="G642" s="176"/>
      <c r="H642" s="165"/>
      <c r="I642" s="165"/>
      <c r="J642" s="166"/>
      <c r="K642" s="165"/>
      <c r="L642" s="165"/>
    </row>
    <row r="643" spans="2:12" ht="27.95" customHeight="1">
      <c r="B643" s="180"/>
      <c r="C643" s="176"/>
      <c r="D643" s="165"/>
      <c r="E643" s="166"/>
      <c r="F643" s="165"/>
      <c r="G643" s="166"/>
      <c r="H643" s="165"/>
      <c r="I643" s="166"/>
      <c r="J643" s="165"/>
      <c r="K643" s="166"/>
      <c r="L643" s="166"/>
    </row>
    <row r="644" spans="2:12" ht="27.95" customHeight="1">
      <c r="B644" s="180"/>
      <c r="C644" s="176"/>
      <c r="D644" s="176"/>
      <c r="E644" s="176"/>
      <c r="F644" s="176"/>
      <c r="G644" s="176"/>
      <c r="H644" s="165"/>
      <c r="I644" s="165"/>
      <c r="J644" s="250"/>
      <c r="K644" s="165"/>
      <c r="L644" s="165"/>
    </row>
    <row r="645" spans="2:12" ht="27.95" customHeight="1">
      <c r="B645" s="180"/>
      <c r="C645" s="2"/>
      <c r="D645" s="2"/>
      <c r="E645" s="2"/>
      <c r="F645" s="2"/>
      <c r="G645" s="2"/>
    </row>
    <row r="646" spans="2:12" ht="27.95" customHeight="1">
      <c r="B646" s="180"/>
      <c r="C646" s="2"/>
      <c r="D646" s="2"/>
      <c r="E646" s="2"/>
      <c r="F646" s="2"/>
      <c r="G646" s="2"/>
    </row>
    <row r="650" spans="2:12" ht="32.25">
      <c r="B650" s="1357"/>
      <c r="C650" s="1358"/>
      <c r="D650" s="1358"/>
      <c r="E650" s="1358"/>
      <c r="F650" s="1358"/>
      <c r="G650" s="1358"/>
      <c r="H650" s="1358"/>
      <c r="I650" s="1358"/>
      <c r="J650" s="1358"/>
      <c r="K650" s="1358"/>
      <c r="L650" s="1358"/>
    </row>
    <row r="651" spans="2:12" ht="23.25">
      <c r="B651" s="1167"/>
      <c r="C651" s="1167"/>
      <c r="D651" s="1167"/>
      <c r="E651" s="1167"/>
      <c r="F651" s="1167"/>
      <c r="G651" s="1167"/>
      <c r="H651" s="1167"/>
      <c r="I651" s="1167"/>
      <c r="J651" s="1167"/>
      <c r="K651" s="1167"/>
      <c r="L651" s="1167"/>
    </row>
    <row r="652" spans="2:12" ht="15.75">
      <c r="B652" s="1356"/>
      <c r="C652" s="1356"/>
      <c r="D652" s="1356"/>
      <c r="E652" s="1356"/>
      <c r="F652" s="1356"/>
      <c r="G652" s="1356"/>
      <c r="H652" s="1356"/>
      <c r="I652" s="1356"/>
      <c r="J652" s="1356"/>
      <c r="K652" s="1356"/>
      <c r="L652" s="1356"/>
    </row>
    <row r="653" spans="2:12" ht="15" customHeight="1">
      <c r="B653" s="1173"/>
      <c r="C653" s="1173"/>
      <c r="D653" s="1173"/>
      <c r="E653" s="1173"/>
      <c r="F653" s="1173"/>
      <c r="H653" s="1174"/>
      <c r="I653" s="1174"/>
      <c r="J653" s="1174"/>
      <c r="K653" s="1174"/>
      <c r="L653" s="1174"/>
    </row>
    <row r="654" spans="2:12">
      <c r="B654" s="1173"/>
      <c r="C654" s="1173"/>
      <c r="D654" s="1173"/>
      <c r="E654" s="1173"/>
      <c r="F654" s="1173"/>
      <c r="H654" s="1174"/>
      <c r="I654" s="1174"/>
      <c r="J654" s="1174"/>
      <c r="K654" s="1174"/>
      <c r="L654" s="1174"/>
    </row>
    <row r="656" spans="2:12">
      <c r="B656" s="2"/>
      <c r="H656" s="2"/>
    </row>
    <row r="658" spans="1:12">
      <c r="B658" s="2"/>
      <c r="H658" s="2"/>
    </row>
    <row r="661" spans="1:12">
      <c r="B661" s="1177"/>
      <c r="C661" s="1177"/>
      <c r="D661" s="1177"/>
      <c r="E661" s="1177"/>
      <c r="F661" s="1177"/>
      <c r="H661" s="1177"/>
      <c r="I661" s="1177"/>
      <c r="J661" s="1177"/>
      <c r="K661" s="1177"/>
      <c r="L661" s="1177"/>
    </row>
    <row r="663" spans="1:12">
      <c r="H663" s="2"/>
      <c r="I663" s="2"/>
      <c r="J663" s="2"/>
      <c r="K663" s="2"/>
      <c r="L663" s="2"/>
    </row>
    <row r="664" spans="1:12">
      <c r="H664" s="2"/>
      <c r="I664" s="2"/>
      <c r="J664" s="2"/>
      <c r="K664" s="2"/>
      <c r="L664" s="2"/>
    </row>
    <row r="665" spans="1:12">
      <c r="B665" s="2"/>
      <c r="H665" s="2"/>
      <c r="I665" s="2"/>
      <c r="J665" s="2"/>
      <c r="K665" s="2"/>
      <c r="L665" s="2"/>
    </row>
    <row r="666" spans="1:12">
      <c r="H666" s="2"/>
      <c r="I666" s="2"/>
      <c r="J666" s="2"/>
      <c r="K666" s="2"/>
      <c r="L666" s="2"/>
    </row>
    <row r="667" spans="1:12">
      <c r="H667" s="2"/>
      <c r="I667" s="2"/>
      <c r="J667" s="2"/>
      <c r="K667" s="2"/>
      <c r="L667" s="2"/>
    </row>
    <row r="668" spans="1:12" ht="27.95" customHeight="1">
      <c r="A668" s="10"/>
      <c r="B668" s="1353"/>
      <c r="C668" s="1353"/>
      <c r="D668" s="1353"/>
      <c r="E668" s="1353"/>
      <c r="F668" s="1353"/>
      <c r="G668" s="1353"/>
      <c r="H668" s="1351"/>
      <c r="I668" s="1352"/>
      <c r="J668" s="1352"/>
      <c r="K668" s="1352"/>
      <c r="L668" s="1352"/>
    </row>
    <row r="669" spans="1:12" ht="27.95" customHeight="1">
      <c r="A669" s="10"/>
      <c r="B669" s="1174"/>
      <c r="C669" s="1174"/>
      <c r="D669" s="1174"/>
      <c r="E669" s="1174"/>
      <c r="F669" s="1174"/>
      <c r="G669" s="1174"/>
      <c r="H669" s="1351"/>
      <c r="I669" s="1352"/>
      <c r="J669" s="1352"/>
      <c r="K669" s="1352"/>
      <c r="L669" s="1352"/>
    </row>
    <row r="670" spans="1:12" ht="27.95" customHeight="1">
      <c r="A670" s="10"/>
      <c r="B670" s="1353"/>
      <c r="C670" s="1353"/>
      <c r="D670" s="1353"/>
      <c r="E670" s="1353"/>
      <c r="F670" s="1353"/>
      <c r="G670" s="1353"/>
      <c r="H670" s="1351"/>
      <c r="I670" s="1352"/>
      <c r="J670" s="1352"/>
      <c r="K670" s="1352"/>
      <c r="L670" s="1352"/>
    </row>
    <row r="671" spans="1:12" ht="27.95" customHeight="1">
      <c r="A671" s="10"/>
      <c r="B671" s="1353"/>
      <c r="C671" s="1353"/>
      <c r="D671" s="1353"/>
      <c r="E671" s="1353"/>
      <c r="F671" s="1353"/>
      <c r="G671" s="1353"/>
      <c r="H671" s="1355"/>
      <c r="I671" s="1352"/>
      <c r="J671" s="1352"/>
      <c r="K671" s="1352"/>
      <c r="L671" s="1352"/>
    </row>
    <row r="672" spans="1:12" ht="27.95" customHeight="1">
      <c r="A672" s="10"/>
      <c r="B672" s="180"/>
      <c r="C672" s="176"/>
      <c r="D672" s="176"/>
      <c r="E672" s="176"/>
      <c r="F672" s="176"/>
      <c r="G672" s="176"/>
      <c r="H672" s="165"/>
      <c r="I672" s="10"/>
      <c r="J672" s="249"/>
      <c r="K672" s="165"/>
      <c r="L672" s="165"/>
    </row>
    <row r="673" spans="1:12" ht="27.95" customHeight="1">
      <c r="A673" s="10"/>
      <c r="B673" s="180"/>
      <c r="C673" s="176"/>
      <c r="D673" s="176"/>
      <c r="E673" s="176"/>
      <c r="F673" s="176"/>
      <c r="G673" s="176"/>
      <c r="H673" s="165"/>
      <c r="I673" s="165"/>
      <c r="J673" s="249"/>
      <c r="K673" s="165"/>
      <c r="L673" s="165"/>
    </row>
    <row r="674" spans="1:12" ht="27.95" customHeight="1">
      <c r="A674" s="10"/>
      <c r="B674" s="1174"/>
      <c r="C674" s="1174"/>
      <c r="D674" s="1174"/>
      <c r="E674" s="1174"/>
      <c r="F674" s="1174"/>
      <c r="G674" s="1174"/>
      <c r="H674" s="1351"/>
      <c r="I674" s="1352"/>
      <c r="J674" s="1352"/>
      <c r="K674" s="1352"/>
      <c r="L674" s="1352"/>
    </row>
    <row r="675" spans="1:12" ht="27.95" customHeight="1">
      <c r="A675" s="10"/>
      <c r="B675" s="1353"/>
      <c r="C675" s="1353"/>
      <c r="D675" s="1353"/>
      <c r="E675" s="1353"/>
      <c r="F675" s="1353"/>
      <c r="G675" s="1353"/>
      <c r="H675" s="1354"/>
      <c r="I675" s="1352"/>
      <c r="J675" s="1352"/>
      <c r="K675" s="1352"/>
      <c r="L675" s="1352"/>
    </row>
    <row r="676" spans="1:12" ht="27.95" customHeight="1">
      <c r="B676" s="1353"/>
      <c r="C676" s="1353"/>
      <c r="D676" s="1353"/>
      <c r="E676" s="1353"/>
      <c r="F676" s="1353"/>
      <c r="G676" s="1353"/>
      <c r="H676" s="1352"/>
      <c r="I676" s="1352"/>
      <c r="J676" s="1352"/>
      <c r="K676" s="1352"/>
      <c r="L676" s="1352"/>
    </row>
    <row r="677" spans="1:12" ht="27.95" customHeight="1">
      <c r="B677" s="180"/>
      <c r="C677" s="176"/>
      <c r="D677" s="176"/>
      <c r="E677" s="176"/>
      <c r="F677" s="176"/>
      <c r="G677" s="176"/>
      <c r="H677" s="165"/>
      <c r="I677" s="165"/>
      <c r="J677" s="165"/>
      <c r="K677" s="165"/>
      <c r="L677" s="165"/>
    </row>
    <row r="678" spans="1:12" ht="27.95" customHeight="1">
      <c r="B678" s="180"/>
      <c r="C678" s="176"/>
      <c r="D678" s="176"/>
      <c r="E678" s="176"/>
      <c r="F678" s="176"/>
      <c r="G678" s="176"/>
      <c r="H678" s="165"/>
      <c r="I678" s="165"/>
      <c r="J678" s="165"/>
      <c r="K678" s="165"/>
      <c r="L678" s="165"/>
    </row>
    <row r="679" spans="1:12" ht="27.95" customHeight="1">
      <c r="B679" s="180"/>
      <c r="C679" s="176"/>
      <c r="D679" s="176"/>
      <c r="E679" s="176"/>
      <c r="F679" s="176"/>
      <c r="G679" s="176"/>
      <c r="H679" s="165"/>
      <c r="I679" s="165"/>
      <c r="J679" s="166"/>
      <c r="K679" s="165"/>
      <c r="L679" s="165"/>
    </row>
    <row r="680" spans="1:12" ht="27.95" customHeight="1">
      <c r="B680" s="180"/>
      <c r="C680" s="176"/>
      <c r="D680" s="176"/>
      <c r="E680" s="176"/>
      <c r="F680" s="176"/>
      <c r="G680" s="176"/>
      <c r="H680" s="165"/>
      <c r="I680" s="165"/>
      <c r="J680" s="165"/>
      <c r="K680" s="165"/>
      <c r="L680" s="165"/>
    </row>
    <row r="681" spans="1:12" ht="27.95" customHeight="1">
      <c r="B681" s="180"/>
      <c r="C681" s="176"/>
      <c r="D681" s="176"/>
      <c r="E681" s="176"/>
      <c r="F681" s="176"/>
      <c r="G681" s="176"/>
      <c r="H681" s="165"/>
      <c r="I681" s="165"/>
      <c r="J681" s="166"/>
      <c r="K681" s="165"/>
      <c r="L681" s="165"/>
    </row>
    <row r="682" spans="1:12" ht="27.95" customHeight="1">
      <c r="B682" s="180"/>
      <c r="C682" s="176"/>
      <c r="D682" s="165"/>
      <c r="E682" s="166"/>
      <c r="F682" s="165"/>
      <c r="G682" s="166"/>
      <c r="H682" s="165"/>
      <c r="I682" s="166"/>
      <c r="J682" s="165"/>
      <c r="K682" s="166"/>
      <c r="L682" s="166"/>
    </row>
    <row r="683" spans="1:12" ht="27.95" customHeight="1">
      <c r="B683" s="180"/>
      <c r="C683" s="176"/>
      <c r="D683" s="176"/>
      <c r="E683" s="176"/>
      <c r="F683" s="176"/>
      <c r="G683" s="176"/>
      <c r="H683" s="165"/>
      <c r="I683" s="165"/>
      <c r="J683" s="250"/>
      <c r="K683" s="165"/>
      <c r="L683" s="165"/>
    </row>
    <row r="684" spans="1:12" ht="27.95" customHeight="1">
      <c r="B684" s="180"/>
      <c r="C684" s="2"/>
      <c r="D684" s="2"/>
      <c r="E684" s="2"/>
      <c r="F684" s="2"/>
      <c r="G684" s="2"/>
    </row>
    <row r="685" spans="1:12" ht="27.95" customHeight="1">
      <c r="B685" s="180"/>
      <c r="C685" s="2"/>
      <c r="D685" s="2"/>
      <c r="E685" s="2"/>
      <c r="F685" s="2"/>
      <c r="G685" s="2"/>
    </row>
    <row r="689" spans="2:12" ht="32.25">
      <c r="B689" s="1357"/>
      <c r="C689" s="1358"/>
      <c r="D689" s="1358"/>
      <c r="E689" s="1358"/>
      <c r="F689" s="1358"/>
      <c r="G689" s="1358"/>
      <c r="H689" s="1358"/>
      <c r="I689" s="1358"/>
      <c r="J689" s="1358"/>
      <c r="K689" s="1358"/>
      <c r="L689" s="1358"/>
    </row>
    <row r="690" spans="2:12" ht="23.25">
      <c r="B690" s="1167"/>
      <c r="C690" s="1167"/>
      <c r="D690" s="1167"/>
      <c r="E690" s="1167"/>
      <c r="F690" s="1167"/>
      <c r="G690" s="1167"/>
      <c r="H690" s="1167"/>
      <c r="I690" s="1167"/>
      <c r="J690" s="1167"/>
      <c r="K690" s="1167"/>
      <c r="L690" s="1167"/>
    </row>
    <row r="691" spans="2:12" ht="15.75">
      <c r="B691" s="1356"/>
      <c r="C691" s="1356"/>
      <c r="D691" s="1356"/>
      <c r="E691" s="1356"/>
      <c r="F691" s="1356"/>
      <c r="G691" s="1356"/>
      <c r="H691" s="1356"/>
      <c r="I691" s="1356"/>
      <c r="J691" s="1356"/>
      <c r="K691" s="1356"/>
      <c r="L691" s="1356"/>
    </row>
    <row r="692" spans="2:12" ht="15" customHeight="1">
      <c r="B692" s="1173"/>
      <c r="C692" s="1173"/>
      <c r="D692" s="1173"/>
      <c r="E692" s="1173"/>
      <c r="F692" s="1173"/>
      <c r="H692" s="1174"/>
      <c r="I692" s="1174"/>
      <c r="J692" s="1174"/>
      <c r="K692" s="1174"/>
      <c r="L692" s="1174"/>
    </row>
    <row r="693" spans="2:12">
      <c r="B693" s="1173"/>
      <c r="C693" s="1173"/>
      <c r="D693" s="1173"/>
      <c r="E693" s="1173"/>
      <c r="F693" s="1173"/>
      <c r="H693" s="1174"/>
      <c r="I693" s="1174"/>
      <c r="J693" s="1174"/>
      <c r="K693" s="1174"/>
      <c r="L693" s="1174"/>
    </row>
    <row r="695" spans="2:12">
      <c r="B695" s="2"/>
      <c r="H695" s="2"/>
    </row>
    <row r="697" spans="2:12">
      <c r="B697" s="2"/>
      <c r="H697" s="2"/>
    </row>
    <row r="700" spans="2:12">
      <c r="B700" s="1177"/>
      <c r="C700" s="1177"/>
      <c r="D700" s="1177"/>
      <c r="E700" s="1177"/>
      <c r="F700" s="1177"/>
      <c r="H700" s="1177"/>
      <c r="I700" s="1177"/>
      <c r="J700" s="1177"/>
      <c r="K700" s="1177"/>
      <c r="L700" s="1177"/>
    </row>
    <row r="702" spans="2:12">
      <c r="H702" s="2"/>
      <c r="I702" s="2"/>
      <c r="J702" s="2"/>
      <c r="K702" s="2"/>
      <c r="L702" s="2"/>
    </row>
    <row r="703" spans="2:12">
      <c r="H703" s="2"/>
      <c r="I703" s="2"/>
      <c r="J703" s="2"/>
      <c r="K703" s="2"/>
      <c r="L703" s="2"/>
    </row>
    <row r="704" spans="2:12">
      <c r="B704" s="2"/>
      <c r="H704" s="2"/>
      <c r="I704" s="2"/>
      <c r="J704" s="2"/>
      <c r="K704" s="2"/>
      <c r="L704" s="2"/>
    </row>
    <row r="705" spans="1:12">
      <c r="H705" s="2"/>
      <c r="I705" s="2"/>
      <c r="J705" s="2"/>
      <c r="K705" s="2"/>
      <c r="L705" s="2"/>
    </row>
    <row r="706" spans="1:12">
      <c r="H706" s="2"/>
      <c r="I706" s="2"/>
      <c r="J706" s="2"/>
      <c r="K706" s="2"/>
      <c r="L706" s="2"/>
    </row>
    <row r="707" spans="1:12" ht="27.95" customHeight="1">
      <c r="A707" s="10"/>
      <c r="B707" s="1353"/>
      <c r="C707" s="1353"/>
      <c r="D707" s="1353"/>
      <c r="E707" s="1353"/>
      <c r="F707" s="1353"/>
      <c r="G707" s="1353"/>
      <c r="H707" s="1351"/>
      <c r="I707" s="1352"/>
      <c r="J707" s="1352"/>
      <c r="K707" s="1352"/>
      <c r="L707" s="1352"/>
    </row>
    <row r="708" spans="1:12" ht="27.95" customHeight="1">
      <c r="A708" s="10"/>
      <c r="B708" s="1174"/>
      <c r="C708" s="1174"/>
      <c r="D708" s="1174"/>
      <c r="E708" s="1174"/>
      <c r="F708" s="1174"/>
      <c r="G708" s="1174"/>
      <c r="H708" s="1351"/>
      <c r="I708" s="1352"/>
      <c r="J708" s="1352"/>
      <c r="K708" s="1352"/>
      <c r="L708" s="1352"/>
    </row>
    <row r="709" spans="1:12" ht="27.95" customHeight="1">
      <c r="A709" s="10"/>
      <c r="B709" s="1353"/>
      <c r="C709" s="1353"/>
      <c r="D709" s="1353"/>
      <c r="E709" s="1353"/>
      <c r="F709" s="1353"/>
      <c r="G709" s="1353"/>
      <c r="H709" s="1351"/>
      <c r="I709" s="1352"/>
      <c r="J709" s="1352"/>
      <c r="K709" s="1352"/>
      <c r="L709" s="1352"/>
    </row>
    <row r="710" spans="1:12" ht="27.95" customHeight="1">
      <c r="A710" s="10"/>
      <c r="B710" s="1353"/>
      <c r="C710" s="1353"/>
      <c r="D710" s="1353"/>
      <c r="E710" s="1353"/>
      <c r="F710" s="1353"/>
      <c r="G710" s="1353"/>
      <c r="H710" s="1355"/>
      <c r="I710" s="1352"/>
      <c r="J710" s="1352"/>
      <c r="K710" s="1352"/>
      <c r="L710" s="1352"/>
    </row>
    <row r="711" spans="1:12" ht="27.95" customHeight="1">
      <c r="A711" s="10"/>
      <c r="B711" s="180"/>
      <c r="C711" s="176"/>
      <c r="D711" s="176"/>
      <c r="E711" s="176"/>
      <c r="F711" s="176"/>
      <c r="G711" s="176"/>
      <c r="H711" s="165"/>
      <c r="I711" s="10"/>
      <c r="J711" s="249"/>
      <c r="K711" s="165"/>
      <c r="L711" s="165"/>
    </row>
    <row r="712" spans="1:12" ht="27.95" customHeight="1">
      <c r="A712" s="10"/>
      <c r="B712" s="180"/>
      <c r="C712" s="176"/>
      <c r="D712" s="176"/>
      <c r="E712" s="176"/>
      <c r="F712" s="176"/>
      <c r="G712" s="176"/>
      <c r="H712" s="165"/>
      <c r="I712" s="165"/>
      <c r="J712" s="249"/>
      <c r="K712" s="165"/>
      <c r="L712" s="165"/>
    </row>
    <row r="713" spans="1:12" ht="27.95" customHeight="1">
      <c r="A713" s="10"/>
      <c r="B713" s="1174"/>
      <c r="C713" s="1174"/>
      <c r="D713" s="1174"/>
      <c r="E713" s="1174"/>
      <c r="F713" s="1174"/>
      <c r="G713" s="1174"/>
      <c r="H713" s="1351"/>
      <c r="I713" s="1352"/>
      <c r="J713" s="1352"/>
      <c r="K713" s="1352"/>
      <c r="L713" s="1352"/>
    </row>
    <row r="714" spans="1:12" ht="27.95" customHeight="1">
      <c r="A714" s="10"/>
      <c r="B714" s="1353"/>
      <c r="C714" s="1353"/>
      <c r="D714" s="1353"/>
      <c r="E714" s="1353"/>
      <c r="F714" s="1353"/>
      <c r="G714" s="1353"/>
      <c r="H714" s="1354"/>
      <c r="I714" s="1352"/>
      <c r="J714" s="1352"/>
      <c r="K714" s="1352"/>
      <c r="L714" s="1352"/>
    </row>
    <row r="715" spans="1:12" ht="27.95" customHeight="1">
      <c r="B715" s="1353"/>
      <c r="C715" s="1353"/>
      <c r="D715" s="1353"/>
      <c r="E715" s="1353"/>
      <c r="F715" s="1353"/>
      <c r="G715" s="1353"/>
      <c r="H715" s="1352"/>
      <c r="I715" s="1352"/>
      <c r="J715" s="1352"/>
      <c r="K715" s="1352"/>
      <c r="L715" s="1352"/>
    </row>
    <row r="716" spans="1:12" ht="27.95" customHeight="1">
      <c r="B716" s="180"/>
      <c r="C716" s="176"/>
      <c r="D716" s="176"/>
      <c r="E716" s="176"/>
      <c r="F716" s="176"/>
      <c r="G716" s="176"/>
      <c r="H716" s="165"/>
      <c r="I716" s="165"/>
      <c r="J716" s="165"/>
      <c r="K716" s="165"/>
      <c r="L716" s="165"/>
    </row>
    <row r="717" spans="1:12" ht="27.95" customHeight="1">
      <c r="B717" s="180"/>
      <c r="C717" s="176"/>
      <c r="D717" s="176"/>
      <c r="E717" s="176"/>
      <c r="F717" s="176"/>
      <c r="G717" s="176"/>
      <c r="H717" s="165"/>
      <c r="I717" s="165"/>
      <c r="J717" s="165"/>
      <c r="K717" s="165"/>
      <c r="L717" s="165"/>
    </row>
    <row r="718" spans="1:12" ht="27.95" customHeight="1">
      <c r="B718" s="180"/>
      <c r="C718" s="176"/>
      <c r="D718" s="176"/>
      <c r="E718" s="176"/>
      <c r="F718" s="176"/>
      <c r="G718" s="176"/>
      <c r="H718" s="165"/>
      <c r="I718" s="165"/>
      <c r="J718" s="166"/>
      <c r="K718" s="165"/>
      <c r="L718" s="165"/>
    </row>
    <row r="719" spans="1:12" ht="27.95" customHeight="1">
      <c r="B719" s="180"/>
      <c r="C719" s="176"/>
      <c r="D719" s="176"/>
      <c r="E719" s="176"/>
      <c r="F719" s="176"/>
      <c r="G719" s="176"/>
      <c r="H719" s="165"/>
      <c r="I719" s="165"/>
      <c r="J719" s="165"/>
      <c r="K719" s="165"/>
      <c r="L719" s="165"/>
    </row>
    <row r="720" spans="1:12" ht="27.95" customHeight="1">
      <c r="B720" s="180"/>
      <c r="C720" s="176"/>
      <c r="D720" s="176"/>
      <c r="E720" s="176"/>
      <c r="F720" s="176"/>
      <c r="G720" s="176"/>
      <c r="H720" s="165"/>
      <c r="I720" s="165"/>
      <c r="J720" s="166"/>
      <c r="K720" s="165"/>
      <c r="L720" s="165"/>
    </row>
    <row r="721" spans="2:12" ht="27.95" customHeight="1">
      <c r="B721" s="180"/>
      <c r="C721" s="176"/>
      <c r="D721" s="165"/>
      <c r="E721" s="166"/>
      <c r="F721" s="165"/>
      <c r="G721" s="166"/>
      <c r="H721" s="165"/>
      <c r="I721" s="166"/>
      <c r="J721" s="165"/>
      <c r="K721" s="166"/>
      <c r="L721" s="166"/>
    </row>
    <row r="722" spans="2:12" ht="27.95" customHeight="1">
      <c r="B722" s="180"/>
      <c r="C722" s="176"/>
      <c r="D722" s="176"/>
      <c r="E722" s="176"/>
      <c r="F722" s="176"/>
      <c r="G722" s="176"/>
      <c r="H722" s="165"/>
      <c r="I722" s="165"/>
      <c r="J722" s="250"/>
      <c r="K722" s="165"/>
      <c r="L722" s="165"/>
    </row>
    <row r="723" spans="2:12" ht="27.95" customHeight="1">
      <c r="B723" s="180"/>
      <c r="C723" s="2"/>
      <c r="D723" s="2"/>
      <c r="E723" s="2"/>
      <c r="F723" s="2"/>
      <c r="G723" s="2"/>
    </row>
    <row r="724" spans="2:12" ht="27.95" customHeight="1">
      <c r="B724" s="180"/>
      <c r="C724" s="2"/>
      <c r="D724" s="2"/>
      <c r="E724" s="2"/>
      <c r="F724" s="2"/>
      <c r="G724" s="2"/>
    </row>
    <row r="728" spans="2:12" ht="32.25">
      <c r="B728" s="1357"/>
      <c r="C728" s="1358"/>
      <c r="D728" s="1358"/>
      <c r="E728" s="1358"/>
      <c r="F728" s="1358"/>
      <c r="G728" s="1358"/>
      <c r="H728" s="1358"/>
      <c r="I728" s="1358"/>
      <c r="J728" s="1358"/>
      <c r="K728" s="1358"/>
      <c r="L728" s="1358"/>
    </row>
    <row r="729" spans="2:12" ht="23.25">
      <c r="B729" s="1167"/>
      <c r="C729" s="1167"/>
      <c r="D729" s="1167"/>
      <c r="E729" s="1167"/>
      <c r="F729" s="1167"/>
      <c r="G729" s="1167"/>
      <c r="H729" s="1167"/>
      <c r="I729" s="1167"/>
      <c r="J729" s="1167"/>
      <c r="K729" s="1167"/>
      <c r="L729" s="1167"/>
    </row>
    <row r="730" spans="2:12" ht="15.75">
      <c r="B730" s="1356"/>
      <c r="C730" s="1356"/>
      <c r="D730" s="1356"/>
      <c r="E730" s="1356"/>
      <c r="F730" s="1356"/>
      <c r="G730" s="1356"/>
      <c r="H730" s="1356"/>
      <c r="I730" s="1356"/>
      <c r="J730" s="1356"/>
      <c r="K730" s="1356"/>
      <c r="L730" s="1356"/>
    </row>
    <row r="731" spans="2:12" ht="15" customHeight="1">
      <c r="B731" s="1173"/>
      <c r="C731" s="1173"/>
      <c r="D731" s="1173"/>
      <c r="E731" s="1173"/>
      <c r="F731" s="1173"/>
      <c r="H731" s="1174"/>
      <c r="I731" s="1174"/>
      <c r="J731" s="1174"/>
      <c r="K731" s="1174"/>
      <c r="L731" s="1174"/>
    </row>
    <row r="732" spans="2:12">
      <c r="B732" s="1173"/>
      <c r="C732" s="1173"/>
      <c r="D732" s="1173"/>
      <c r="E732" s="1173"/>
      <c r="F732" s="1173"/>
      <c r="H732" s="1174"/>
      <c r="I732" s="1174"/>
      <c r="J732" s="1174"/>
      <c r="K732" s="1174"/>
      <c r="L732" s="1174"/>
    </row>
    <row r="734" spans="2:12">
      <c r="B734" s="2"/>
      <c r="H734" s="2"/>
    </row>
    <row r="736" spans="2:12">
      <c r="B736" s="2"/>
      <c r="H736" s="2"/>
    </row>
    <row r="737" spans="1:12" ht="15" customHeight="1"/>
    <row r="739" spans="1:12">
      <c r="B739" s="1177"/>
      <c r="C739" s="1177"/>
      <c r="D739" s="1177"/>
      <c r="E739" s="1177"/>
      <c r="F739" s="1177"/>
      <c r="H739" s="1177"/>
      <c r="I739" s="1177"/>
      <c r="J739" s="1177"/>
      <c r="K739" s="1177"/>
      <c r="L739" s="1177"/>
    </row>
    <row r="741" spans="1:12">
      <c r="H741" s="2"/>
      <c r="I741" s="2"/>
      <c r="J741" s="2"/>
      <c r="K741" s="2"/>
      <c r="L741" s="2"/>
    </row>
    <row r="742" spans="1:12">
      <c r="H742" s="2"/>
      <c r="I742" s="2"/>
      <c r="J742" s="2"/>
      <c r="K742" s="2"/>
      <c r="L742" s="2"/>
    </row>
    <row r="743" spans="1:12">
      <c r="B743" s="2"/>
      <c r="H743" s="2"/>
      <c r="I743" s="2"/>
      <c r="J743" s="2"/>
      <c r="K743" s="2"/>
      <c r="L743" s="2"/>
    </row>
    <row r="744" spans="1:12">
      <c r="H744" s="2"/>
      <c r="I744" s="2"/>
      <c r="J744" s="2"/>
      <c r="K744" s="2"/>
      <c r="L744" s="2"/>
    </row>
    <row r="745" spans="1:12">
      <c r="H745" s="2"/>
      <c r="I745" s="2"/>
      <c r="J745" s="2"/>
      <c r="K745" s="2"/>
      <c r="L745" s="2"/>
    </row>
    <row r="746" spans="1:12" ht="27.95" customHeight="1">
      <c r="A746" s="10"/>
      <c r="B746" s="1353"/>
      <c r="C746" s="1353"/>
      <c r="D746" s="1353"/>
      <c r="E746" s="1353"/>
      <c r="F746" s="1353"/>
      <c r="G746" s="1353"/>
      <c r="H746" s="1351"/>
      <c r="I746" s="1352"/>
      <c r="J746" s="1352"/>
      <c r="K746" s="1352"/>
      <c r="L746" s="1352"/>
    </row>
    <row r="747" spans="1:12" ht="27.95" customHeight="1">
      <c r="A747" s="10"/>
      <c r="B747" s="1174"/>
      <c r="C747" s="1174"/>
      <c r="D747" s="1174"/>
      <c r="E747" s="1174"/>
      <c r="F747" s="1174"/>
      <c r="G747" s="1174"/>
      <c r="H747" s="1351"/>
      <c r="I747" s="1352"/>
      <c r="J747" s="1352"/>
      <c r="K747" s="1352"/>
      <c r="L747" s="1352"/>
    </row>
    <row r="748" spans="1:12" ht="27.95" customHeight="1">
      <c r="A748" s="10"/>
      <c r="B748" s="1353"/>
      <c r="C748" s="1353"/>
      <c r="D748" s="1353"/>
      <c r="E748" s="1353"/>
      <c r="F748" s="1353"/>
      <c r="G748" s="1353"/>
      <c r="H748" s="1351"/>
      <c r="I748" s="1352"/>
      <c r="J748" s="1352"/>
      <c r="K748" s="1352"/>
      <c r="L748" s="1352"/>
    </row>
    <row r="749" spans="1:12" ht="27.95" customHeight="1">
      <c r="A749" s="10"/>
      <c r="B749" s="1353"/>
      <c r="C749" s="1353"/>
      <c r="D749" s="1353"/>
      <c r="E749" s="1353"/>
      <c r="F749" s="1353"/>
      <c r="G749" s="1353"/>
      <c r="H749" s="1355"/>
      <c r="I749" s="1352"/>
      <c r="J749" s="1352"/>
      <c r="K749" s="1352"/>
      <c r="L749" s="1352"/>
    </row>
    <row r="750" spans="1:12" ht="27.95" customHeight="1">
      <c r="A750" s="10"/>
      <c r="B750" s="180"/>
      <c r="C750" s="176"/>
      <c r="D750" s="176"/>
      <c r="E750" s="176"/>
      <c r="F750" s="176"/>
      <c r="G750" s="176"/>
      <c r="H750" s="165"/>
      <c r="I750" s="10"/>
      <c r="J750" s="249"/>
      <c r="K750" s="165"/>
      <c r="L750" s="165"/>
    </row>
    <row r="751" spans="1:12" ht="27.95" customHeight="1">
      <c r="A751" s="10"/>
      <c r="B751" s="180"/>
      <c r="C751" s="176"/>
      <c r="D751" s="176"/>
      <c r="E751" s="176"/>
      <c r="F751" s="176"/>
      <c r="G751" s="176"/>
      <c r="H751" s="165"/>
      <c r="I751" s="165"/>
      <c r="J751" s="249"/>
      <c r="K751" s="165"/>
      <c r="L751" s="165"/>
    </row>
    <row r="752" spans="1:12" ht="27.95" customHeight="1">
      <c r="A752" s="10"/>
      <c r="B752" s="1174"/>
      <c r="C752" s="1174"/>
      <c r="D752" s="1174"/>
      <c r="E752" s="1174"/>
      <c r="F752" s="1174"/>
      <c r="G752" s="1174"/>
      <c r="H752" s="1351"/>
      <c r="I752" s="1352"/>
      <c r="J752" s="1352"/>
      <c r="K752" s="1352"/>
      <c r="L752" s="1352"/>
    </row>
    <row r="753" spans="1:12" ht="27.95" customHeight="1">
      <c r="A753" s="10"/>
      <c r="B753" s="1353"/>
      <c r="C753" s="1353"/>
      <c r="D753" s="1353"/>
      <c r="E753" s="1353"/>
      <c r="F753" s="1353"/>
      <c r="G753" s="1353"/>
      <c r="H753" s="1354"/>
      <c r="I753" s="1352"/>
      <c r="J753" s="1352"/>
      <c r="K753" s="1352"/>
      <c r="L753" s="1352"/>
    </row>
    <row r="754" spans="1:12" ht="27.95" customHeight="1">
      <c r="B754" s="1353"/>
      <c r="C754" s="1353"/>
      <c r="D754" s="1353"/>
      <c r="E754" s="1353"/>
      <c r="F754" s="1353"/>
      <c r="G754" s="1353"/>
      <c r="H754" s="1352"/>
      <c r="I754" s="1352"/>
      <c r="J754" s="1352"/>
      <c r="K754" s="1352"/>
      <c r="L754" s="1352"/>
    </row>
    <row r="755" spans="1:12" ht="27.95" customHeight="1">
      <c r="B755" s="180"/>
      <c r="C755" s="176"/>
      <c r="D755" s="176"/>
      <c r="E755" s="176"/>
      <c r="F755" s="176"/>
      <c r="G755" s="176"/>
      <c r="H755" s="165"/>
      <c r="I755" s="165"/>
      <c r="J755" s="165"/>
      <c r="K755" s="165"/>
      <c r="L755" s="165"/>
    </row>
    <row r="756" spans="1:12" ht="27.95" customHeight="1">
      <c r="B756" s="180"/>
      <c r="C756" s="176"/>
      <c r="D756" s="176"/>
      <c r="E756" s="176"/>
      <c r="F756" s="176"/>
      <c r="G756" s="176"/>
      <c r="H756" s="165"/>
      <c r="I756" s="165"/>
      <c r="J756" s="165"/>
      <c r="K756" s="165"/>
      <c r="L756" s="165"/>
    </row>
    <row r="757" spans="1:12" ht="27.95" customHeight="1">
      <c r="B757" s="180"/>
      <c r="C757" s="176"/>
      <c r="D757" s="176"/>
      <c r="E757" s="176"/>
      <c r="F757" s="176"/>
      <c r="G757" s="176"/>
      <c r="H757" s="165"/>
      <c r="I757" s="165"/>
      <c r="J757" s="166"/>
      <c r="K757" s="165"/>
      <c r="L757" s="165"/>
    </row>
    <row r="758" spans="1:12" ht="27.95" customHeight="1">
      <c r="B758" s="180"/>
      <c r="C758" s="176"/>
      <c r="D758" s="176"/>
      <c r="E758" s="176"/>
      <c r="F758" s="176"/>
      <c r="G758" s="176"/>
      <c r="H758" s="165"/>
      <c r="I758" s="165"/>
      <c r="J758" s="165"/>
      <c r="K758" s="165"/>
      <c r="L758" s="165"/>
    </row>
    <row r="759" spans="1:12" ht="27.95" customHeight="1">
      <c r="B759" s="180"/>
      <c r="C759" s="176"/>
      <c r="D759" s="176"/>
      <c r="E759" s="176"/>
      <c r="F759" s="176"/>
      <c r="G759" s="176"/>
      <c r="H759" s="165"/>
      <c r="I759" s="165"/>
      <c r="J759" s="166"/>
      <c r="K759" s="165"/>
      <c r="L759" s="165"/>
    </row>
    <row r="760" spans="1:12" ht="27.95" customHeight="1">
      <c r="B760" s="180"/>
      <c r="C760" s="176"/>
      <c r="D760" s="165"/>
      <c r="E760" s="166"/>
      <c r="F760" s="165"/>
      <c r="G760" s="166"/>
      <c r="H760" s="165"/>
      <c r="I760" s="166"/>
      <c r="J760" s="165"/>
      <c r="K760" s="166"/>
      <c r="L760" s="166"/>
    </row>
    <row r="761" spans="1:12" ht="27.95" customHeight="1">
      <c r="B761" s="180"/>
      <c r="C761" s="176"/>
      <c r="D761" s="176"/>
      <c r="E761" s="176"/>
      <c r="F761" s="176"/>
      <c r="G761" s="176"/>
      <c r="H761" s="165"/>
      <c r="I761" s="165"/>
      <c r="J761" s="250"/>
      <c r="K761" s="165"/>
      <c r="L761" s="165"/>
    </row>
    <row r="762" spans="1:12" ht="27.95" customHeight="1">
      <c r="B762" s="180"/>
      <c r="C762" s="2"/>
      <c r="D762" s="2"/>
      <c r="E762" s="2"/>
      <c r="F762" s="2"/>
      <c r="G762" s="2"/>
    </row>
    <row r="763" spans="1:12" ht="27.95" customHeight="1">
      <c r="B763" s="180"/>
      <c r="C763" s="2"/>
      <c r="D763" s="2"/>
      <c r="E763" s="2"/>
      <c r="F763" s="2"/>
      <c r="G763" s="2"/>
    </row>
  </sheetData>
  <mergeCells count="410">
    <mergeCell ref="B545:G545"/>
    <mergeCell ref="B527:L527"/>
    <mergeCell ref="H507:L507"/>
    <mergeCell ref="G510:H510"/>
    <mergeCell ref="K510:L510"/>
    <mergeCell ref="K512:L512"/>
    <mergeCell ref="B528:L528"/>
    <mergeCell ref="B529:L529"/>
    <mergeCell ref="B530:F531"/>
    <mergeCell ref="H530:L531"/>
    <mergeCell ref="B538:F538"/>
    <mergeCell ref="H538:L538"/>
    <mergeCell ref="K351:L351"/>
    <mergeCell ref="K353:L353"/>
    <mergeCell ref="B372:L372"/>
    <mergeCell ref="B393:G393"/>
    <mergeCell ref="H393:L393"/>
    <mergeCell ref="H394:L394"/>
    <mergeCell ref="B396:G396"/>
    <mergeCell ref="H396:L396"/>
    <mergeCell ref="B397:G397"/>
    <mergeCell ref="H397:L397"/>
    <mergeCell ref="B287:G287"/>
    <mergeCell ref="H287:L287"/>
    <mergeCell ref="H288:L288"/>
    <mergeCell ref="B290:G290"/>
    <mergeCell ref="H290:L290"/>
    <mergeCell ref="B291:G291"/>
    <mergeCell ref="H291:L291"/>
    <mergeCell ref="B292:G292"/>
    <mergeCell ref="H292:L292"/>
    <mergeCell ref="B269:F270"/>
    <mergeCell ref="H269:L270"/>
    <mergeCell ref="B277:F277"/>
    <mergeCell ref="H277:L277"/>
    <mergeCell ref="B284:G284"/>
    <mergeCell ref="H284:L284"/>
    <mergeCell ref="B285:G285"/>
    <mergeCell ref="H285:L285"/>
    <mergeCell ref="B286:G286"/>
    <mergeCell ref="H286:L286"/>
    <mergeCell ref="H240:L240"/>
    <mergeCell ref="H241:L241"/>
    <mergeCell ref="H242:L242"/>
    <mergeCell ref="G245:H245"/>
    <mergeCell ref="K245:L245"/>
    <mergeCell ref="K247:L247"/>
    <mergeCell ref="B266:L266"/>
    <mergeCell ref="B267:L267"/>
    <mergeCell ref="B268:L268"/>
    <mergeCell ref="H233:L233"/>
    <mergeCell ref="B234:G234"/>
    <mergeCell ref="H234:L234"/>
    <mergeCell ref="H235:L235"/>
    <mergeCell ref="B237:G237"/>
    <mergeCell ref="H237:L237"/>
    <mergeCell ref="B238:G238"/>
    <mergeCell ref="H238:L238"/>
    <mergeCell ref="B239:G239"/>
    <mergeCell ref="H239:L239"/>
    <mergeCell ref="B233:G233"/>
    <mergeCell ref="B186:G186"/>
    <mergeCell ref="H186:L186"/>
    <mergeCell ref="H187:L187"/>
    <mergeCell ref="H188:L188"/>
    <mergeCell ref="H189:L189"/>
    <mergeCell ref="G192:H192"/>
    <mergeCell ref="K192:L192"/>
    <mergeCell ref="K194:L194"/>
    <mergeCell ref="B213:L213"/>
    <mergeCell ref="B180:G180"/>
    <mergeCell ref="H180:L180"/>
    <mergeCell ref="B181:G181"/>
    <mergeCell ref="H181:L181"/>
    <mergeCell ref="H182:L182"/>
    <mergeCell ref="B184:G184"/>
    <mergeCell ref="H184:L184"/>
    <mergeCell ref="B185:G185"/>
    <mergeCell ref="H185:L185"/>
    <mergeCell ref="B127:G127"/>
    <mergeCell ref="H127:L127"/>
    <mergeCell ref="B128:G128"/>
    <mergeCell ref="H128:L128"/>
    <mergeCell ref="H129:L129"/>
    <mergeCell ref="B131:G131"/>
    <mergeCell ref="H131:L131"/>
    <mergeCell ref="B132:G132"/>
    <mergeCell ref="H132:L132"/>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H28:L28"/>
    <mergeCell ref="H29:L29"/>
    <mergeCell ref="H30:L30"/>
    <mergeCell ref="G33:H33"/>
    <mergeCell ref="K33:L33"/>
    <mergeCell ref="B54:L54"/>
    <mergeCell ref="B55:L55"/>
    <mergeCell ref="B56:F57"/>
    <mergeCell ref="H56:L57"/>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81:L81"/>
    <mergeCell ref="H82:L82"/>
    <mergeCell ref="G85:H85"/>
    <mergeCell ref="K85:L85"/>
    <mergeCell ref="K87:L87"/>
    <mergeCell ref="H105:L105"/>
    <mergeCell ref="H106:L106"/>
    <mergeCell ref="B107:L107"/>
    <mergeCell ref="B108:L108"/>
    <mergeCell ref="B109:L109"/>
    <mergeCell ref="B110:F111"/>
    <mergeCell ref="H110:L111"/>
    <mergeCell ref="B118:F118"/>
    <mergeCell ref="H118:L118"/>
    <mergeCell ref="B125:G125"/>
    <mergeCell ref="H125:L125"/>
    <mergeCell ref="B126:G126"/>
    <mergeCell ref="H126:L126"/>
    <mergeCell ref="B133:G133"/>
    <mergeCell ref="H133:L133"/>
    <mergeCell ref="H134:L134"/>
    <mergeCell ref="H135:L135"/>
    <mergeCell ref="H136:L136"/>
    <mergeCell ref="G139:H139"/>
    <mergeCell ref="K139:L139"/>
    <mergeCell ref="K141:L141"/>
    <mergeCell ref="B160:L160"/>
    <mergeCell ref="B161:L161"/>
    <mergeCell ref="B162:L162"/>
    <mergeCell ref="B163:F164"/>
    <mergeCell ref="H163:L164"/>
    <mergeCell ref="B171:F171"/>
    <mergeCell ref="H171:L171"/>
    <mergeCell ref="B178:G178"/>
    <mergeCell ref="H178:L178"/>
    <mergeCell ref="B179:G179"/>
    <mergeCell ref="H179:L179"/>
    <mergeCell ref="B214:L214"/>
    <mergeCell ref="B215:L215"/>
    <mergeCell ref="B216:F217"/>
    <mergeCell ref="H216:L217"/>
    <mergeCell ref="B224:F224"/>
    <mergeCell ref="H224:L224"/>
    <mergeCell ref="B231:G231"/>
    <mergeCell ref="H231:L231"/>
    <mergeCell ref="B232:G232"/>
    <mergeCell ref="H232:L232"/>
    <mergeCell ref="H293:L293"/>
    <mergeCell ref="H294:L294"/>
    <mergeCell ref="H295:L295"/>
    <mergeCell ref="G298:H298"/>
    <mergeCell ref="K298:L298"/>
    <mergeCell ref="K300:L300"/>
    <mergeCell ref="B319:L319"/>
    <mergeCell ref="B320:L320"/>
    <mergeCell ref="B321:L321"/>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446:L446"/>
    <mergeCell ref="B448:G448"/>
    <mergeCell ref="H448:L448"/>
    <mergeCell ref="B449:G449"/>
    <mergeCell ref="H449:L449"/>
    <mergeCell ref="B450:G450"/>
    <mergeCell ref="H450:L450"/>
    <mergeCell ref="H451:L451"/>
    <mergeCell ref="H452:L452"/>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555:L555"/>
    <mergeCell ref="H556:L556"/>
    <mergeCell ref="G559:H559"/>
    <mergeCell ref="K559:L559"/>
    <mergeCell ref="K561:L561"/>
    <mergeCell ref="B593:G593"/>
    <mergeCell ref="H593:L593"/>
    <mergeCell ref="B594:G594"/>
    <mergeCell ref="H594:L594"/>
    <mergeCell ref="B597:G597"/>
    <mergeCell ref="H597:L597"/>
    <mergeCell ref="B584:F584"/>
    <mergeCell ref="H584:L584"/>
    <mergeCell ref="B591:G591"/>
    <mergeCell ref="H591:L591"/>
    <mergeCell ref="B592:G592"/>
    <mergeCell ref="H592:L592"/>
    <mergeCell ref="B613:L613"/>
    <mergeCell ref="B614:F615"/>
    <mergeCell ref="H614:L615"/>
    <mergeCell ref="B622:F622"/>
    <mergeCell ref="H622:L622"/>
    <mergeCell ref="B629:G629"/>
    <mergeCell ref="H629:L629"/>
    <mergeCell ref="B598:G598"/>
    <mergeCell ref="H598:L598"/>
    <mergeCell ref="B599:G599"/>
    <mergeCell ref="H599:L599"/>
    <mergeCell ref="B611:L611"/>
    <mergeCell ref="B612:L612"/>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709:G709"/>
    <mergeCell ref="H709:L709"/>
    <mergeCell ref="B710:G710"/>
    <mergeCell ref="H710:L710"/>
    <mergeCell ref="B713:G713"/>
    <mergeCell ref="H713:L713"/>
    <mergeCell ref="B700:F700"/>
    <mergeCell ref="H700:L700"/>
    <mergeCell ref="B707:G707"/>
    <mergeCell ref="H707:L707"/>
    <mergeCell ref="B708:G708"/>
    <mergeCell ref="H708:L708"/>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52:G752"/>
    <mergeCell ref="H752:L752"/>
    <mergeCell ref="B753:G753"/>
    <mergeCell ref="H753:L753"/>
    <mergeCell ref="B754:G754"/>
    <mergeCell ref="H754:L754"/>
    <mergeCell ref="B747:G747"/>
    <mergeCell ref="H747:L747"/>
    <mergeCell ref="B748:G748"/>
    <mergeCell ref="H748:L748"/>
    <mergeCell ref="B749:G749"/>
    <mergeCell ref="H749:L749"/>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7"/>
  <dimension ref="A1:L766"/>
  <sheetViews>
    <sheetView topLeftCell="A22" zoomScale="110" zoomScaleNormal="110" workbookViewId="0">
      <selection activeCell="M14" sqref="M14"/>
    </sheetView>
  </sheetViews>
  <sheetFormatPr defaultRowHeight="15"/>
  <cols>
    <col min="3" max="3" width="9.140625" customWidth="1"/>
    <col min="6" max="6" width="16.85546875" customWidth="1"/>
    <col min="10" max="10" width="14.5703125" customWidth="1"/>
    <col min="12" max="12" width="22.7109375" customWidth="1"/>
  </cols>
  <sheetData>
    <row r="1" spans="1:12" ht="32.25" customHeight="1">
      <c r="A1" s="74"/>
      <c r="B1" s="75"/>
      <c r="C1" s="75"/>
      <c r="D1" s="184"/>
      <c r="E1" s="184"/>
      <c r="F1" s="184"/>
      <c r="G1" s="184"/>
      <c r="H1" s="184"/>
      <c r="I1" s="184"/>
      <c r="J1" s="75"/>
      <c r="K1" s="186" t="s">
        <v>212</v>
      </c>
      <c r="L1" s="185"/>
    </row>
    <row r="2" spans="1:12" ht="21">
      <c r="A2" s="13"/>
      <c r="B2" s="1386" t="s">
        <v>211</v>
      </c>
      <c r="C2" s="1386"/>
      <c r="D2" s="1386"/>
      <c r="E2" s="1386"/>
      <c r="F2" s="1386"/>
      <c r="G2" s="1386"/>
      <c r="H2" s="1386"/>
      <c r="I2" s="1386"/>
      <c r="J2" s="1386"/>
      <c r="K2" s="1386"/>
      <c r="L2" s="1387"/>
    </row>
    <row r="3" spans="1:12" ht="15.75">
      <c r="A3" s="13"/>
      <c r="B3" s="1356" t="s">
        <v>213</v>
      </c>
      <c r="C3" s="1356"/>
      <c r="D3" s="1356"/>
      <c r="E3" s="1356"/>
      <c r="F3" s="1356"/>
      <c r="G3" s="1356"/>
      <c r="H3" s="1356"/>
      <c r="I3" s="1356"/>
      <c r="J3" s="1356"/>
      <c r="K3" s="1356"/>
      <c r="L3" s="1388"/>
    </row>
    <row r="4" spans="1:12" ht="15" customHeight="1">
      <c r="A4" s="13"/>
      <c r="B4" s="187" t="s">
        <v>214</v>
      </c>
      <c r="C4" s="187"/>
      <c r="D4" s="187"/>
      <c r="E4" s="187"/>
      <c r="F4" s="187"/>
      <c r="H4" s="188"/>
      <c r="I4" s="188"/>
      <c r="J4" s="188"/>
      <c r="K4" s="188"/>
      <c r="L4" s="196"/>
    </row>
    <row r="5" spans="1:12">
      <c r="A5" s="13"/>
      <c r="B5" s="187"/>
      <c r="C5" s="187"/>
      <c r="D5" s="187"/>
      <c r="E5" s="187"/>
      <c r="F5" s="187"/>
      <c r="H5" s="188"/>
      <c r="I5" s="188"/>
      <c r="J5" s="188"/>
      <c r="K5" s="188"/>
      <c r="L5" s="196"/>
    </row>
    <row r="6" spans="1:12">
      <c r="A6" s="13"/>
      <c r="B6" s="1369" t="s">
        <v>184</v>
      </c>
      <c r="C6" s="1369"/>
      <c r="D6" s="1369"/>
      <c r="E6" s="1369"/>
      <c r="F6" s="1369"/>
      <c r="G6" s="1369"/>
      <c r="H6" s="1372" t="e">
        <f>'04-221Master'!#REF!</f>
        <v>#REF!</v>
      </c>
      <c r="I6" s="1371"/>
      <c r="J6" s="1371"/>
      <c r="K6" s="1371"/>
      <c r="L6" s="1151"/>
    </row>
    <row r="7" spans="1:12">
      <c r="A7" s="13"/>
      <c r="B7" s="1373" t="s">
        <v>185</v>
      </c>
      <c r="C7" s="1373"/>
      <c r="D7" s="1373"/>
      <c r="E7" s="1373"/>
      <c r="F7" s="1373"/>
      <c r="G7" s="1373"/>
      <c r="H7" s="1372" t="e">
        <f>'04-221Master'!#REF!</f>
        <v>#REF!</v>
      </c>
      <c r="I7" s="1371"/>
      <c r="J7" s="1371"/>
      <c r="K7" s="1371"/>
      <c r="L7" s="1151"/>
    </row>
    <row r="8" spans="1:12">
      <c r="A8" s="13"/>
      <c r="B8" s="1369" t="s">
        <v>186</v>
      </c>
      <c r="C8" s="1369"/>
      <c r="D8" s="1369"/>
      <c r="E8" s="1369"/>
      <c r="F8" s="1369"/>
      <c r="G8" s="1369"/>
      <c r="H8" s="1372" t="e">
        <f>'04-221Master'!#REF!</f>
        <v>#REF!</v>
      </c>
      <c r="I8" s="1371"/>
      <c r="J8" s="1371"/>
      <c r="K8" s="1371"/>
      <c r="L8" s="1151"/>
    </row>
    <row r="9" spans="1:12">
      <c r="A9" s="13"/>
      <c r="B9" s="1369" t="s">
        <v>187</v>
      </c>
      <c r="C9" s="1369"/>
      <c r="D9" s="1369"/>
      <c r="E9" s="1369"/>
      <c r="F9" s="1369"/>
      <c r="G9" s="1369"/>
      <c r="H9" s="1374" t="e">
        <f>'04-221Master'!#REF!</f>
        <v>#REF!</v>
      </c>
      <c r="I9" s="1371"/>
      <c r="J9" s="1371"/>
      <c r="K9" s="1371"/>
      <c r="L9" s="1151"/>
    </row>
    <row r="10" spans="1:12">
      <c r="A10" s="13"/>
      <c r="B10" s="86" t="s">
        <v>188</v>
      </c>
      <c r="C10" s="87"/>
      <c r="D10" s="87"/>
      <c r="E10" s="87"/>
      <c r="F10" s="87"/>
      <c r="G10" s="87"/>
      <c r="H10" s="1366" t="s">
        <v>189</v>
      </c>
      <c r="I10" s="1367"/>
      <c r="J10" s="1367"/>
      <c r="K10" s="1367"/>
      <c r="L10" s="1368"/>
    </row>
    <row r="11" spans="1:12">
      <c r="A11" s="13"/>
      <c r="B11" s="86" t="s">
        <v>190</v>
      </c>
      <c r="C11" s="87"/>
      <c r="D11" s="87"/>
      <c r="E11" s="87"/>
      <c r="F11" s="87"/>
      <c r="G11" s="87"/>
      <c r="H11" s="88"/>
      <c r="I11" s="90"/>
      <c r="J11" s="178"/>
      <c r="K11" s="90"/>
      <c r="L11" s="95"/>
    </row>
    <row r="12" spans="1:12">
      <c r="A12" s="13"/>
      <c r="B12" s="1161" t="s">
        <v>191</v>
      </c>
      <c r="C12" s="1161"/>
      <c r="D12" s="1161"/>
      <c r="E12" s="1161"/>
      <c r="F12" s="1161"/>
      <c r="G12" s="1161"/>
      <c r="H12" s="1154" t="e">
        <f>'04-221Master'!#REF!</f>
        <v>#REF!</v>
      </c>
      <c r="I12" s="1155"/>
      <c r="J12" s="1155"/>
      <c r="K12" s="1155"/>
      <c r="L12" s="1156"/>
    </row>
    <row r="13" spans="1:12">
      <c r="A13" s="13"/>
      <c r="B13" s="1369"/>
      <c r="C13" s="1369"/>
      <c r="D13" s="1369"/>
      <c r="E13" s="1369"/>
      <c r="F13" s="1369"/>
      <c r="G13" s="1369"/>
      <c r="H13" s="1370" t="e">
        <f>'04-221Master'!#REF!</f>
        <v>#REF!</v>
      </c>
      <c r="I13" s="1371"/>
      <c r="J13" s="1371"/>
      <c r="K13" s="1371"/>
      <c r="L13" s="1151"/>
    </row>
    <row r="14" spans="1:12">
      <c r="A14" s="13"/>
      <c r="B14" s="1369"/>
      <c r="C14" s="1369"/>
      <c r="D14" s="1369"/>
      <c r="E14" s="1369"/>
      <c r="F14" s="1369"/>
      <c r="G14" s="1369"/>
      <c r="H14" s="1372" t="e">
        <f>'04-221Master'!#REF!</f>
        <v>#REF!</v>
      </c>
      <c r="I14" s="1371"/>
      <c r="J14" s="1371"/>
      <c r="K14" s="1371"/>
      <c r="L14" s="1151"/>
    </row>
    <row r="15" spans="1:12">
      <c r="A15" s="13"/>
      <c r="G15" s="2" t="s">
        <v>215</v>
      </c>
      <c r="H15" s="2"/>
      <c r="I15" s="2"/>
      <c r="J15" s="2"/>
      <c r="K15" s="2"/>
      <c r="L15" s="81"/>
    </row>
    <row r="16" spans="1:12">
      <c r="A16" s="13"/>
      <c r="B16" s="180" t="s">
        <v>199</v>
      </c>
      <c r="C16" s="176"/>
      <c r="D16" s="176"/>
      <c r="E16" s="176"/>
      <c r="F16" s="176"/>
      <c r="G16" s="176"/>
      <c r="H16" s="165"/>
      <c r="I16" s="165"/>
      <c r="J16" s="165"/>
      <c r="K16" s="165"/>
      <c r="L16" s="183"/>
    </row>
    <row r="17" spans="1:12">
      <c r="A17" s="13"/>
      <c r="B17" s="180" t="s">
        <v>200</v>
      </c>
      <c r="C17" s="176"/>
      <c r="D17" s="176"/>
      <c r="E17" s="176"/>
      <c r="F17" s="176"/>
      <c r="G17" s="176"/>
      <c r="H17" s="165"/>
      <c r="I17" s="165"/>
      <c r="J17" s="166"/>
      <c r="K17" s="165"/>
      <c r="L17" s="183"/>
    </row>
    <row r="18" spans="1:12" ht="27.95" customHeight="1">
      <c r="A18" s="85"/>
      <c r="B18" s="86" t="s">
        <v>203</v>
      </c>
      <c r="C18" s="87"/>
      <c r="D18" s="193"/>
      <c r="E18" s="171" t="s">
        <v>205</v>
      </c>
      <c r="F18" s="65"/>
      <c r="G18" s="1361" t="s">
        <v>204</v>
      </c>
      <c r="H18" s="1362"/>
      <c r="I18" s="170" t="s">
        <v>201</v>
      </c>
      <c r="J18" s="173" t="s">
        <v>206</v>
      </c>
      <c r="K18" s="1361" t="s">
        <v>202</v>
      </c>
      <c r="L18" s="1363"/>
    </row>
    <row r="19" spans="1:12" ht="20.100000000000001" customHeight="1">
      <c r="A19" s="85"/>
      <c r="B19" s="174">
        <v>1</v>
      </c>
      <c r="C19" s="87"/>
      <c r="D19" s="87"/>
      <c r="E19" s="177">
        <v>2</v>
      </c>
      <c r="F19" s="91"/>
      <c r="G19" s="177">
        <v>3</v>
      </c>
      <c r="H19" s="193"/>
      <c r="I19" s="193">
        <v>4</v>
      </c>
      <c r="J19" s="102">
        <v>5</v>
      </c>
      <c r="K19" s="93"/>
      <c r="L19" s="94">
        <v>6</v>
      </c>
    </row>
    <row r="20" spans="1:12" ht="20.100000000000001" customHeight="1">
      <c r="A20" s="85"/>
      <c r="B20" s="86" t="e">
        <f>'04-221Master'!#REF!</f>
        <v>#REF!</v>
      </c>
      <c r="C20" s="189"/>
      <c r="D20" s="190"/>
      <c r="E20" s="191" t="s">
        <v>365</v>
      </c>
      <c r="F20" s="190"/>
      <c r="G20" s="191" t="s">
        <v>363</v>
      </c>
      <c r="H20" s="65"/>
      <c r="I20" s="11" t="s">
        <v>366</v>
      </c>
      <c r="J20" s="290">
        <v>1</v>
      </c>
      <c r="K20" s="192" t="s">
        <v>37</v>
      </c>
      <c r="L20" s="197"/>
    </row>
    <row r="21" spans="1:12" ht="20.100000000000001" customHeight="1">
      <c r="A21" s="85"/>
      <c r="B21" s="86"/>
      <c r="C21" s="189"/>
      <c r="D21" s="190"/>
      <c r="E21" s="191"/>
      <c r="F21" s="190"/>
      <c r="G21" s="191"/>
      <c r="H21" s="65"/>
      <c r="I21" s="11"/>
      <c r="J21" s="11"/>
      <c r="K21" s="192"/>
      <c r="L21" s="197"/>
    </row>
    <row r="22" spans="1:12" ht="20.100000000000001" customHeight="1">
      <c r="A22" s="85"/>
      <c r="B22" s="86"/>
      <c r="C22" s="189"/>
      <c r="D22" s="190"/>
      <c r="E22" s="191"/>
      <c r="F22" s="190"/>
      <c r="G22" s="191"/>
      <c r="H22" s="65"/>
      <c r="I22" s="11"/>
      <c r="J22" s="11"/>
      <c r="K22" s="192"/>
      <c r="L22" s="197"/>
    </row>
    <row r="23" spans="1:12" ht="20.100000000000001" customHeight="1">
      <c r="A23" s="85"/>
      <c r="B23" s="72"/>
      <c r="C23" s="17"/>
      <c r="D23" s="73"/>
      <c r="E23" s="191"/>
      <c r="F23" s="190"/>
      <c r="G23" s="191"/>
      <c r="H23" s="65"/>
      <c r="I23" s="11"/>
      <c r="J23" s="11"/>
      <c r="K23" s="192"/>
      <c r="L23" s="197"/>
    </row>
    <row r="24" spans="1:12" ht="27.95" customHeight="1">
      <c r="A24" s="85"/>
      <c r="B24" t="s">
        <v>207</v>
      </c>
      <c r="L24" s="14"/>
    </row>
    <row r="25" spans="1:12" ht="27.95" customHeight="1">
      <c r="A25" s="13"/>
      <c r="B25" t="s">
        <v>208</v>
      </c>
      <c r="L25" s="14"/>
    </row>
    <row r="26" spans="1:12" ht="27.95" customHeight="1">
      <c r="A26" s="13"/>
      <c r="B26" t="s">
        <v>219</v>
      </c>
      <c r="J26" t="s">
        <v>218</v>
      </c>
      <c r="L26" s="14"/>
    </row>
    <row r="27" spans="1:12" ht="19.5" customHeight="1">
      <c r="A27" s="13"/>
      <c r="G27" s="2" t="s">
        <v>216</v>
      </c>
      <c r="H27" s="2"/>
      <c r="I27" s="2"/>
      <c r="J27" s="2"/>
      <c r="K27" s="2"/>
      <c r="L27" s="81"/>
    </row>
    <row r="28" spans="1:12" ht="11.25" customHeight="1">
      <c r="A28" s="13"/>
      <c r="B28" s="2"/>
      <c r="G28" t="s">
        <v>217</v>
      </c>
      <c r="H28" s="2"/>
      <c r="I28" s="2"/>
      <c r="J28" s="2"/>
      <c r="K28" s="2"/>
      <c r="L28" s="81"/>
    </row>
    <row r="29" spans="1:12" ht="27.95" customHeight="1">
      <c r="A29" s="13"/>
      <c r="B29" s="180" t="s">
        <v>220</v>
      </c>
      <c r="C29" s="176"/>
      <c r="D29" s="176"/>
      <c r="E29" s="176"/>
      <c r="F29" s="176"/>
      <c r="G29" s="176"/>
      <c r="H29" s="165"/>
      <c r="I29" s="165"/>
      <c r="J29" s="165"/>
      <c r="K29" s="165"/>
      <c r="L29" s="183"/>
    </row>
    <row r="30" spans="1:12" ht="27.95" customHeight="1">
      <c r="A30" s="13"/>
      <c r="B30" s="180" t="s">
        <v>221</v>
      </c>
      <c r="C30" s="176"/>
      <c r="D30" s="176"/>
      <c r="E30" s="176"/>
      <c r="F30" s="176"/>
      <c r="G30" s="176"/>
      <c r="H30" s="165"/>
      <c r="I30" s="165"/>
      <c r="J30" s="166"/>
      <c r="K30" s="165"/>
      <c r="L30" s="183"/>
    </row>
    <row r="31" spans="1:12" ht="27.95" customHeight="1">
      <c r="A31" s="13"/>
      <c r="B31" s="86" t="s">
        <v>5</v>
      </c>
      <c r="C31" s="1379" t="s">
        <v>222</v>
      </c>
      <c r="D31" s="1149"/>
      <c r="E31" s="1149"/>
      <c r="F31" s="1149"/>
      <c r="G31" s="1149"/>
      <c r="H31" s="1380"/>
      <c r="I31" s="172" t="s">
        <v>102</v>
      </c>
      <c r="J31" s="1381" t="s">
        <v>223</v>
      </c>
      <c r="K31" s="1382"/>
      <c r="L31" s="1383"/>
    </row>
    <row r="32" spans="1:12" ht="20.100000000000001" customHeight="1">
      <c r="A32" s="13"/>
      <c r="B32" s="174">
        <v>1</v>
      </c>
      <c r="C32" s="208"/>
      <c r="D32" s="90"/>
      <c r="E32" s="96">
        <v>2</v>
      </c>
      <c r="F32" s="64"/>
      <c r="G32" s="1378"/>
      <c r="H32" s="1362"/>
      <c r="I32" s="90">
        <v>3</v>
      </c>
      <c r="J32" s="195" t="s">
        <v>224</v>
      </c>
      <c r="K32" s="1384">
        <v>4</v>
      </c>
      <c r="L32" s="1385"/>
    </row>
    <row r="33" spans="1:12" ht="20.100000000000001" customHeight="1">
      <c r="A33" s="13"/>
      <c r="B33" s="86"/>
      <c r="C33" s="208"/>
      <c r="D33" s="90"/>
      <c r="E33" s="96"/>
      <c r="F33" s="64"/>
      <c r="G33" s="1378"/>
      <c r="H33" s="1362"/>
      <c r="I33" s="192"/>
      <c r="J33" s="208"/>
      <c r="K33" s="1378"/>
      <c r="L33" s="1363"/>
    </row>
    <row r="34" spans="1:12" ht="20.100000000000001" customHeight="1">
      <c r="A34" s="13"/>
      <c r="B34" s="86"/>
      <c r="C34" s="208"/>
      <c r="D34" s="90"/>
      <c r="E34" s="96"/>
      <c r="F34" s="64"/>
      <c r="G34" s="1378"/>
      <c r="H34" s="1362"/>
      <c r="I34" s="192"/>
      <c r="J34" s="194"/>
      <c r="K34" s="1378"/>
      <c r="L34" s="1363"/>
    </row>
    <row r="35" spans="1:12" ht="20.100000000000001" customHeight="1">
      <c r="A35" s="13"/>
      <c r="B35" s="86"/>
      <c r="C35" s="208"/>
      <c r="D35" s="90"/>
      <c r="E35" s="96"/>
      <c r="F35" s="64"/>
      <c r="G35" s="1378"/>
      <c r="H35" s="1362"/>
      <c r="I35" s="192"/>
      <c r="J35" s="194"/>
      <c r="K35" s="1378"/>
      <c r="L35" s="1363"/>
    </row>
    <row r="36" spans="1:12" ht="20.100000000000001" customHeight="1">
      <c r="A36" s="13"/>
      <c r="B36" s="72"/>
      <c r="C36" s="208"/>
      <c r="D36" s="90"/>
      <c r="E36" s="96"/>
      <c r="F36" s="64"/>
      <c r="G36" s="1378"/>
      <c r="H36" s="1362"/>
      <c r="I36" s="192"/>
      <c r="J36" s="194"/>
      <c r="K36" s="1378"/>
      <c r="L36" s="1363"/>
    </row>
    <row r="37" spans="1:12" ht="27.95" customHeight="1">
      <c r="A37" s="13"/>
      <c r="B37" t="s">
        <v>228</v>
      </c>
      <c r="L37" s="14"/>
    </row>
    <row r="38" spans="1:12" ht="19.5" customHeight="1">
      <c r="A38" s="13"/>
      <c r="B38" t="s">
        <v>229</v>
      </c>
      <c r="L38" s="14"/>
    </row>
    <row r="39" spans="1:12" ht="19.5" customHeight="1">
      <c r="A39" s="13"/>
      <c r="B39" t="s">
        <v>230</v>
      </c>
      <c r="L39" s="14"/>
    </row>
    <row r="40" spans="1:12" ht="15.75" customHeight="1">
      <c r="A40" s="13"/>
      <c r="B40" t="s">
        <v>231</v>
      </c>
      <c r="L40" s="14"/>
    </row>
    <row r="41" spans="1:12" ht="27.95" customHeight="1">
      <c r="A41" s="13"/>
      <c r="B41" s="191" t="s">
        <v>225</v>
      </c>
      <c r="C41" s="64"/>
      <c r="D41" s="64"/>
      <c r="E41" s="64"/>
      <c r="F41" s="65"/>
      <c r="G41" s="191" t="s">
        <v>201</v>
      </c>
      <c r="H41" s="65"/>
      <c r="I41" s="191" t="s">
        <v>226</v>
      </c>
      <c r="J41" s="64"/>
      <c r="K41" s="65"/>
      <c r="L41" s="14"/>
    </row>
    <row r="42" spans="1:12" ht="27.95" customHeight="1">
      <c r="A42" s="13"/>
      <c r="B42" s="1364"/>
      <c r="C42" s="1377"/>
      <c r="D42" s="1377"/>
      <c r="E42" s="1377"/>
      <c r="F42" s="1375"/>
      <c r="G42" s="1364"/>
      <c r="H42" s="1375"/>
      <c r="I42" s="1364"/>
      <c r="J42" s="1377"/>
      <c r="K42" s="1375"/>
      <c r="L42" s="14"/>
    </row>
    <row r="43" spans="1:12" ht="27.95" customHeight="1">
      <c r="A43" s="13"/>
      <c r="B43" s="1364"/>
      <c r="C43" s="1377"/>
      <c r="D43" s="1377"/>
      <c r="E43" s="1377"/>
      <c r="F43" s="1375"/>
      <c r="G43" s="1364"/>
      <c r="H43" s="1375"/>
      <c r="I43" s="1364"/>
      <c r="J43" s="1377"/>
      <c r="K43" s="1375"/>
      <c r="L43" s="14"/>
    </row>
    <row r="44" spans="1:12" ht="27.95" customHeight="1">
      <c r="A44" s="13"/>
      <c r="B44" s="1364"/>
      <c r="C44" s="1377"/>
      <c r="D44" s="1377"/>
      <c r="E44" s="1377"/>
      <c r="F44" s="1375"/>
      <c r="G44" s="1364"/>
      <c r="H44" s="1375"/>
      <c r="I44" s="1364"/>
      <c r="J44" s="1377"/>
      <c r="K44" s="1375"/>
      <c r="L44" s="14"/>
    </row>
    <row r="45" spans="1:12" ht="27.95" customHeight="1">
      <c r="A45" s="13"/>
      <c r="B45" s="1364"/>
      <c r="C45" s="1377"/>
      <c r="D45" s="1377"/>
      <c r="E45" s="1377"/>
      <c r="F45" s="1375"/>
      <c r="G45" s="1364"/>
      <c r="H45" s="1375"/>
      <c r="I45" s="1364"/>
      <c r="J45" s="1377"/>
      <c r="K45" s="1375"/>
      <c r="L45" s="14"/>
    </row>
    <row r="46" spans="1:12">
      <c r="A46" s="13"/>
      <c r="L46" s="14"/>
    </row>
    <row r="47" spans="1:12">
      <c r="A47" s="13"/>
      <c r="B47" t="s">
        <v>198</v>
      </c>
      <c r="C47" s="289" t="e">
        <f>'04-221Master'!#REF!</f>
        <v>#REF!</v>
      </c>
      <c r="I47" t="s">
        <v>227</v>
      </c>
      <c r="L47" s="14"/>
    </row>
    <row r="48" spans="1:12" ht="18.75">
      <c r="A48" s="13"/>
      <c r="F48" s="179" t="s">
        <v>193</v>
      </c>
      <c r="L48" s="14"/>
    </row>
    <row r="49" spans="1:12">
      <c r="A49" s="13" t="s">
        <v>194</v>
      </c>
      <c r="K49" s="229" t="e">
        <f>'04-221Master'!#REF!</f>
        <v>#REF!</v>
      </c>
      <c r="L49" s="14"/>
    </row>
    <row r="50" spans="1:12">
      <c r="A50" s="13" t="s">
        <v>195</v>
      </c>
      <c r="L50" s="14"/>
    </row>
    <row r="51" spans="1:12">
      <c r="A51" s="13"/>
      <c r="L51" s="14"/>
    </row>
    <row r="52" spans="1:12">
      <c r="A52" s="13"/>
      <c r="F52" t="s">
        <v>196</v>
      </c>
      <c r="L52" s="14"/>
    </row>
    <row r="53" spans="1:12">
      <c r="A53" s="13" t="s">
        <v>197</v>
      </c>
      <c r="B53" t="s">
        <v>361</v>
      </c>
      <c r="F53" t="str">
        <f>'04-221Master'!F5</f>
        <v>Burgeon IT Services Pvt.Ltd.</v>
      </c>
      <c r="L53" s="14"/>
    </row>
    <row r="54" spans="1:12" ht="15.75" thickBot="1">
      <c r="A54" s="25" t="s">
        <v>198</v>
      </c>
      <c r="B54" s="292" t="e">
        <f>'04-221Master'!#REF!</f>
        <v>#REF!</v>
      </c>
      <c r="C54" s="23"/>
      <c r="D54" s="23"/>
      <c r="E54" s="23"/>
      <c r="F54" s="23" t="str">
        <f>'04-221Master'!F6</f>
        <v>Siri Mansion LIGB 436 Dr.A S Rao Nagar,Hyderabad</v>
      </c>
      <c r="G54" s="23"/>
      <c r="H54" s="23"/>
      <c r="I54" s="23"/>
      <c r="J54" s="23"/>
      <c r="K54" s="23"/>
      <c r="L54" s="24"/>
    </row>
    <row r="55" spans="1:12" ht="27.95" customHeight="1">
      <c r="A55" s="74"/>
      <c r="B55" s="75"/>
      <c r="C55" s="75"/>
      <c r="D55" s="184"/>
      <c r="E55" s="184"/>
      <c r="F55" s="184"/>
      <c r="G55" s="184"/>
      <c r="H55" s="184"/>
      <c r="I55" s="184"/>
      <c r="J55" s="75"/>
      <c r="K55" s="186" t="s">
        <v>212</v>
      </c>
      <c r="L55" s="185"/>
    </row>
    <row r="56" spans="1:12" ht="27.95" customHeight="1">
      <c r="A56" s="13"/>
      <c r="B56" s="1386" t="s">
        <v>211</v>
      </c>
      <c r="C56" s="1386"/>
      <c r="D56" s="1386"/>
      <c r="E56" s="1386"/>
      <c r="F56" s="1386"/>
      <c r="G56" s="1386"/>
      <c r="H56" s="1386"/>
      <c r="I56" s="1386"/>
      <c r="J56" s="1386"/>
      <c r="K56" s="1386"/>
      <c r="L56" s="1387"/>
    </row>
    <row r="57" spans="1:12" ht="27.95" customHeight="1">
      <c r="A57" s="13"/>
      <c r="B57" s="1356" t="s">
        <v>213</v>
      </c>
      <c r="C57" s="1356"/>
      <c r="D57" s="1356"/>
      <c r="E57" s="1356"/>
      <c r="F57" s="1356"/>
      <c r="G57" s="1356"/>
      <c r="H57" s="1356"/>
      <c r="I57" s="1356"/>
      <c r="J57" s="1356"/>
      <c r="K57" s="1356"/>
      <c r="L57" s="1388"/>
    </row>
    <row r="58" spans="1:12" ht="27.95" customHeight="1">
      <c r="A58" s="13"/>
      <c r="B58" s="187" t="s">
        <v>214</v>
      </c>
      <c r="C58" s="187"/>
      <c r="D58" s="187"/>
      <c r="E58" s="187"/>
      <c r="F58" s="187"/>
      <c r="H58" s="188"/>
      <c r="I58" s="188"/>
      <c r="J58" s="188"/>
      <c r="K58" s="188"/>
      <c r="L58" s="196"/>
    </row>
    <row r="59" spans="1:12" ht="27.95" customHeight="1">
      <c r="A59" s="13"/>
      <c r="B59" s="187"/>
      <c r="C59" s="187"/>
      <c r="D59" s="187"/>
      <c r="E59" s="187"/>
      <c r="F59" s="187"/>
      <c r="H59" s="188"/>
      <c r="I59" s="188"/>
      <c r="J59" s="188"/>
      <c r="K59" s="188"/>
      <c r="L59" s="196"/>
    </row>
    <row r="60" spans="1:12" ht="27.95" customHeight="1">
      <c r="A60" s="13"/>
      <c r="B60" s="1369" t="s">
        <v>184</v>
      </c>
      <c r="C60" s="1369"/>
      <c r="D60" s="1369"/>
      <c r="E60" s="1369"/>
      <c r="F60" s="1369"/>
      <c r="G60" s="1369"/>
      <c r="H60" s="1372" t="e">
        <f>'04-221Master'!#REF!</f>
        <v>#REF!</v>
      </c>
      <c r="I60" s="1371"/>
      <c r="J60" s="1371"/>
      <c r="K60" s="1371"/>
      <c r="L60" s="1151"/>
    </row>
    <row r="61" spans="1:12" ht="27.95" customHeight="1">
      <c r="A61" s="13"/>
      <c r="B61" s="1373" t="s">
        <v>185</v>
      </c>
      <c r="C61" s="1373"/>
      <c r="D61" s="1373"/>
      <c r="E61" s="1373"/>
      <c r="F61" s="1373"/>
      <c r="G61" s="1373"/>
      <c r="H61" s="1372" t="e">
        <f>'04-221Master'!#REF!</f>
        <v>#REF!</v>
      </c>
      <c r="I61" s="1371"/>
      <c r="J61" s="1371"/>
      <c r="K61" s="1371"/>
      <c r="L61" s="1151"/>
    </row>
    <row r="62" spans="1:12" ht="27.95" customHeight="1">
      <c r="A62" s="13"/>
      <c r="B62" s="1369" t="s">
        <v>186</v>
      </c>
      <c r="C62" s="1369"/>
      <c r="D62" s="1369"/>
      <c r="E62" s="1369"/>
      <c r="F62" s="1369"/>
      <c r="G62" s="1369"/>
      <c r="H62" s="1372" t="e">
        <f>'04-221Master'!#REF!</f>
        <v>#REF!</v>
      </c>
      <c r="I62" s="1371"/>
      <c r="J62" s="1371"/>
      <c r="K62" s="1371"/>
      <c r="L62" s="1151"/>
    </row>
    <row r="63" spans="1:12" ht="27.95" customHeight="1">
      <c r="A63" s="13"/>
      <c r="B63" s="1369" t="s">
        <v>187</v>
      </c>
      <c r="C63" s="1369"/>
      <c r="D63" s="1369"/>
      <c r="E63" s="1369"/>
      <c r="F63" s="1369"/>
      <c r="G63" s="1369"/>
      <c r="H63" s="1374" t="e">
        <f>'04-221Master'!#REF!</f>
        <v>#REF!</v>
      </c>
      <c r="I63" s="1371"/>
      <c r="J63" s="1371"/>
      <c r="K63" s="1371"/>
      <c r="L63" s="1151"/>
    </row>
    <row r="64" spans="1:12" ht="27.95" customHeight="1">
      <c r="A64" s="13"/>
      <c r="B64" s="86" t="s">
        <v>188</v>
      </c>
      <c r="C64" s="87"/>
      <c r="D64" s="87"/>
      <c r="E64" s="87"/>
      <c r="F64" s="87"/>
      <c r="G64" s="87"/>
      <c r="H64" s="1366" t="s">
        <v>189</v>
      </c>
      <c r="I64" s="1367"/>
      <c r="J64" s="1367"/>
      <c r="K64" s="1367"/>
      <c r="L64" s="1368"/>
    </row>
    <row r="65" spans="1:12" ht="27.95" customHeight="1">
      <c r="A65" s="13"/>
      <c r="B65" s="86" t="s">
        <v>190</v>
      </c>
      <c r="C65" s="87"/>
      <c r="D65" s="87"/>
      <c r="E65" s="87"/>
      <c r="F65" s="87"/>
      <c r="G65" s="87"/>
      <c r="H65" s="88"/>
      <c r="I65" s="90"/>
      <c r="J65" s="178"/>
      <c r="K65" s="90"/>
      <c r="L65" s="95"/>
    </row>
    <row r="66" spans="1:12">
      <c r="A66" s="13"/>
      <c r="B66" s="1161" t="s">
        <v>191</v>
      </c>
      <c r="C66" s="1161"/>
      <c r="D66" s="1161"/>
      <c r="E66" s="1161"/>
      <c r="F66" s="1161"/>
      <c r="G66" s="1161"/>
      <c r="H66" s="1154" t="e">
        <f>'04-221Master'!#REF!</f>
        <v>#REF!</v>
      </c>
      <c r="I66" s="1155"/>
      <c r="J66" s="1155"/>
      <c r="K66" s="1155"/>
      <c r="L66" s="1156"/>
    </row>
    <row r="67" spans="1:12">
      <c r="A67" s="13"/>
      <c r="B67" s="1369"/>
      <c r="C67" s="1369"/>
      <c r="D67" s="1369"/>
      <c r="E67" s="1369"/>
      <c r="F67" s="1369"/>
      <c r="G67" s="1369"/>
      <c r="H67" s="1370" t="e">
        <f>'04-221Master'!#REF!</f>
        <v>#REF!</v>
      </c>
      <c r="I67" s="1371"/>
      <c r="J67" s="1371"/>
      <c r="K67" s="1371"/>
      <c r="L67" s="1151"/>
    </row>
    <row r="68" spans="1:12">
      <c r="A68" s="13"/>
      <c r="B68" s="1369"/>
      <c r="C68" s="1369"/>
      <c r="D68" s="1369"/>
      <c r="E68" s="1369"/>
      <c r="F68" s="1369"/>
      <c r="G68" s="1369"/>
      <c r="H68" s="1372" t="e">
        <f>'04-221Master'!#REF!</f>
        <v>#REF!</v>
      </c>
      <c r="I68" s="1371"/>
      <c r="J68" s="1371"/>
      <c r="K68" s="1371"/>
      <c r="L68" s="1151"/>
    </row>
    <row r="69" spans="1:12">
      <c r="A69" s="13"/>
      <c r="G69" s="2" t="s">
        <v>215</v>
      </c>
      <c r="H69" s="2"/>
      <c r="I69" s="2"/>
      <c r="J69" s="2"/>
      <c r="K69" s="2"/>
      <c r="L69" s="81"/>
    </row>
    <row r="70" spans="1:12">
      <c r="A70" s="13"/>
      <c r="B70" s="180" t="s">
        <v>199</v>
      </c>
      <c r="C70" s="176"/>
      <c r="D70" s="176"/>
      <c r="E70" s="176"/>
      <c r="F70" s="176"/>
      <c r="G70" s="176"/>
      <c r="H70" s="165"/>
      <c r="I70" s="165"/>
      <c r="J70" s="165"/>
      <c r="K70" s="165"/>
      <c r="L70" s="183"/>
    </row>
    <row r="71" spans="1:12">
      <c r="A71" s="13"/>
      <c r="B71" s="180" t="s">
        <v>200</v>
      </c>
      <c r="C71" s="176"/>
      <c r="D71" s="176"/>
      <c r="E71" s="176"/>
      <c r="F71" s="176"/>
      <c r="G71" s="176"/>
      <c r="H71" s="165"/>
      <c r="I71" s="165"/>
      <c r="J71" s="166"/>
      <c r="K71" s="165"/>
      <c r="L71" s="183"/>
    </row>
    <row r="72" spans="1:12" ht="45">
      <c r="A72" s="85"/>
      <c r="B72" s="86" t="s">
        <v>203</v>
      </c>
      <c r="C72" s="87"/>
      <c r="D72" s="193"/>
      <c r="E72" s="171" t="s">
        <v>205</v>
      </c>
      <c r="F72" s="65"/>
      <c r="G72" s="1361" t="s">
        <v>204</v>
      </c>
      <c r="H72" s="1362"/>
      <c r="I72" s="170" t="s">
        <v>201</v>
      </c>
      <c r="J72" s="173" t="s">
        <v>206</v>
      </c>
      <c r="K72" s="1361" t="s">
        <v>202</v>
      </c>
      <c r="L72" s="1363"/>
    </row>
    <row r="73" spans="1:12">
      <c r="A73" s="85"/>
      <c r="B73" s="174">
        <v>1</v>
      </c>
      <c r="C73" s="87"/>
      <c r="D73" s="87"/>
      <c r="E73" s="177">
        <v>2</v>
      </c>
      <c r="F73" s="91"/>
      <c r="G73" s="177">
        <v>3</v>
      </c>
      <c r="H73" s="193"/>
      <c r="I73" s="193">
        <v>4</v>
      </c>
      <c r="J73" s="102">
        <v>5</v>
      </c>
      <c r="K73" s="93"/>
      <c r="L73" s="94">
        <v>6</v>
      </c>
    </row>
    <row r="74" spans="1:12">
      <c r="A74" s="85"/>
      <c r="B74" s="86" t="e">
        <f>'04-221Master'!#REF!</f>
        <v>#REF!</v>
      </c>
      <c r="C74" s="189"/>
      <c r="D74" s="190"/>
      <c r="E74" s="191" t="s">
        <v>365</v>
      </c>
      <c r="F74" s="190"/>
      <c r="G74" s="191" t="s">
        <v>363</v>
      </c>
      <c r="H74" s="65"/>
      <c r="I74" s="11" t="s">
        <v>366</v>
      </c>
      <c r="J74" s="290">
        <v>1</v>
      </c>
      <c r="K74" s="192" t="s">
        <v>37</v>
      </c>
      <c r="L74" s="197"/>
    </row>
    <row r="75" spans="1:12">
      <c r="A75" s="85"/>
      <c r="B75" s="86"/>
      <c r="C75" s="189"/>
      <c r="D75" s="190"/>
      <c r="E75" s="191"/>
      <c r="F75" s="190"/>
      <c r="G75" s="191"/>
      <c r="H75" s="65"/>
      <c r="I75" s="11"/>
      <c r="J75" s="11"/>
      <c r="K75" s="192"/>
      <c r="L75" s="197"/>
    </row>
    <row r="76" spans="1:12">
      <c r="A76" s="85"/>
      <c r="B76" s="86"/>
      <c r="C76" s="189"/>
      <c r="D76" s="190"/>
      <c r="E76" s="191"/>
      <c r="F76" s="190"/>
      <c r="G76" s="191"/>
      <c r="H76" s="65"/>
      <c r="I76" s="11"/>
      <c r="J76" s="11"/>
      <c r="K76" s="192"/>
      <c r="L76" s="197"/>
    </row>
    <row r="77" spans="1:12">
      <c r="A77" s="85"/>
      <c r="B77" s="72"/>
      <c r="C77" s="17"/>
      <c r="D77" s="73"/>
      <c r="E77" s="191"/>
      <c r="F77" s="190"/>
      <c r="G77" s="191"/>
      <c r="H77" s="65"/>
      <c r="I77" s="11"/>
      <c r="J77" s="11"/>
      <c r="K77" s="192"/>
      <c r="L77" s="197"/>
    </row>
    <row r="78" spans="1:12">
      <c r="A78" s="85"/>
      <c r="B78" t="s">
        <v>207</v>
      </c>
      <c r="L78" s="14"/>
    </row>
    <row r="79" spans="1:12">
      <c r="A79" s="13"/>
      <c r="B79" t="s">
        <v>208</v>
      </c>
      <c r="L79" s="14"/>
    </row>
    <row r="80" spans="1:12">
      <c r="A80" s="13"/>
      <c r="B80" t="s">
        <v>219</v>
      </c>
      <c r="J80" t="s">
        <v>218</v>
      </c>
      <c r="L80" s="14"/>
    </row>
    <row r="81" spans="1:12">
      <c r="A81" s="13"/>
      <c r="G81" s="2" t="s">
        <v>216</v>
      </c>
      <c r="H81" s="2"/>
      <c r="I81" s="2"/>
      <c r="J81" s="2"/>
      <c r="K81" s="2"/>
      <c r="L81" s="81"/>
    </row>
    <row r="82" spans="1:12">
      <c r="A82" s="13"/>
      <c r="B82" s="2"/>
      <c r="G82" t="s">
        <v>217</v>
      </c>
      <c r="H82" s="2"/>
      <c r="I82" s="2"/>
      <c r="J82" s="2"/>
      <c r="K82" s="2"/>
      <c r="L82" s="81"/>
    </row>
    <row r="83" spans="1:12">
      <c r="A83" s="13"/>
      <c r="B83" s="180" t="s">
        <v>220</v>
      </c>
      <c r="C83" s="176"/>
      <c r="D83" s="176"/>
      <c r="E83" s="176"/>
      <c r="F83" s="176"/>
      <c r="G83" s="176"/>
      <c r="H83" s="165"/>
      <c r="I83" s="165"/>
      <c r="J83" s="165"/>
      <c r="K83" s="165"/>
      <c r="L83" s="183"/>
    </row>
    <row r="84" spans="1:12">
      <c r="A84" s="13"/>
      <c r="B84" s="180" t="s">
        <v>221</v>
      </c>
      <c r="C84" s="176"/>
      <c r="D84" s="176"/>
      <c r="E84" s="176"/>
      <c r="F84" s="176"/>
      <c r="G84" s="176"/>
      <c r="H84" s="165"/>
      <c r="I84" s="165"/>
      <c r="J84" s="166"/>
      <c r="K84" s="165"/>
      <c r="L84" s="183"/>
    </row>
    <row r="85" spans="1:12">
      <c r="A85" s="13"/>
      <c r="B85" s="86" t="s">
        <v>5</v>
      </c>
      <c r="C85" s="1379" t="s">
        <v>222</v>
      </c>
      <c r="D85" s="1149"/>
      <c r="E85" s="1149"/>
      <c r="F85" s="1149"/>
      <c r="G85" s="1149"/>
      <c r="H85" s="1380"/>
      <c r="I85" s="172" t="s">
        <v>102</v>
      </c>
      <c r="J85" s="1381" t="s">
        <v>223</v>
      </c>
      <c r="K85" s="1382"/>
      <c r="L85" s="1383"/>
    </row>
    <row r="86" spans="1:12">
      <c r="A86" s="13"/>
      <c r="B86" s="174">
        <v>1</v>
      </c>
      <c r="C86" s="208"/>
      <c r="D86" s="90"/>
      <c r="E86" s="96">
        <v>2</v>
      </c>
      <c r="F86" s="64"/>
      <c r="G86" s="1378"/>
      <c r="H86" s="1362"/>
      <c r="I86" s="90">
        <v>3</v>
      </c>
      <c r="J86" s="195" t="s">
        <v>224</v>
      </c>
      <c r="K86" s="1384">
        <v>4</v>
      </c>
      <c r="L86" s="1385"/>
    </row>
    <row r="87" spans="1:12" ht="15" customHeight="1">
      <c r="A87" s="13"/>
      <c r="B87" s="86"/>
      <c r="C87" s="208"/>
      <c r="D87" s="90"/>
      <c r="E87" s="96"/>
      <c r="F87" s="64"/>
      <c r="G87" s="1378"/>
      <c r="H87" s="1362"/>
      <c r="I87" s="192"/>
      <c r="J87" s="194"/>
      <c r="K87" s="1378"/>
      <c r="L87" s="1363"/>
    </row>
    <row r="88" spans="1:12">
      <c r="A88" s="13"/>
      <c r="B88" s="86"/>
      <c r="C88" s="208"/>
      <c r="D88" s="90"/>
      <c r="E88" s="96"/>
      <c r="F88" s="64"/>
      <c r="G88" s="1378"/>
      <c r="H88" s="1362"/>
      <c r="I88" s="192"/>
      <c r="J88" s="194"/>
      <c r="K88" s="1378"/>
      <c r="L88" s="1363"/>
    </row>
    <row r="89" spans="1:12">
      <c r="A89" s="13"/>
      <c r="B89" s="86"/>
      <c r="C89" s="208"/>
      <c r="D89" s="90"/>
      <c r="E89" s="96"/>
      <c r="F89" s="64"/>
      <c r="G89" s="1378"/>
      <c r="H89" s="1362"/>
      <c r="I89" s="192"/>
      <c r="J89" s="194"/>
      <c r="K89" s="1378"/>
      <c r="L89" s="1363"/>
    </row>
    <row r="90" spans="1:12">
      <c r="A90" s="13"/>
      <c r="B90" s="72"/>
      <c r="C90" s="208"/>
      <c r="D90" s="90"/>
      <c r="E90" s="96"/>
      <c r="F90" s="64"/>
      <c r="G90" s="1378"/>
      <c r="H90" s="1362"/>
      <c r="I90" s="192"/>
      <c r="J90" s="194"/>
      <c r="K90" s="1378"/>
      <c r="L90" s="1363"/>
    </row>
    <row r="91" spans="1:12">
      <c r="A91" s="13"/>
      <c r="B91" t="s">
        <v>228</v>
      </c>
      <c r="L91" s="14"/>
    </row>
    <row r="92" spans="1:12">
      <c r="A92" s="13"/>
      <c r="B92" t="s">
        <v>229</v>
      </c>
      <c r="L92" s="14"/>
    </row>
    <row r="93" spans="1:12">
      <c r="A93" s="13"/>
      <c r="B93" t="s">
        <v>230</v>
      </c>
      <c r="L93" s="14"/>
    </row>
    <row r="94" spans="1:12">
      <c r="A94" s="13"/>
      <c r="B94" t="s">
        <v>231</v>
      </c>
      <c r="L94" s="14"/>
    </row>
    <row r="95" spans="1:12">
      <c r="A95" s="13"/>
      <c r="B95" s="191" t="s">
        <v>225</v>
      </c>
      <c r="C95" s="64"/>
      <c r="D95" s="64"/>
      <c r="E95" s="64"/>
      <c r="F95" s="65"/>
      <c r="G95" s="191" t="s">
        <v>201</v>
      </c>
      <c r="H95" s="65"/>
      <c r="I95" s="191" t="s">
        <v>226</v>
      </c>
      <c r="J95" s="64"/>
      <c r="K95" s="65"/>
      <c r="L95" s="14"/>
    </row>
    <row r="96" spans="1:12">
      <c r="A96" s="13"/>
      <c r="B96" s="1364"/>
      <c r="C96" s="1377"/>
      <c r="D96" s="1377"/>
      <c r="E96" s="1377"/>
      <c r="F96" s="1375"/>
      <c r="G96" s="1364"/>
      <c r="H96" s="1375"/>
      <c r="I96" s="1364"/>
      <c r="J96" s="1377"/>
      <c r="K96" s="1375"/>
      <c r="L96" s="14"/>
    </row>
    <row r="97" spans="1:12">
      <c r="A97" s="13"/>
      <c r="B97" s="1364"/>
      <c r="C97" s="1377"/>
      <c r="D97" s="1377"/>
      <c r="E97" s="1377"/>
      <c r="F97" s="1375"/>
      <c r="G97" s="1364"/>
      <c r="H97" s="1375"/>
      <c r="I97" s="1364"/>
      <c r="J97" s="1377"/>
      <c r="K97" s="1375"/>
      <c r="L97" s="14"/>
    </row>
    <row r="98" spans="1:12">
      <c r="A98" s="13"/>
      <c r="B98" s="1364"/>
      <c r="C98" s="1377"/>
      <c r="D98" s="1377"/>
      <c r="E98" s="1377"/>
      <c r="F98" s="1375"/>
      <c r="G98" s="1364"/>
      <c r="H98" s="1375"/>
      <c r="I98" s="1364"/>
      <c r="J98" s="1377"/>
      <c r="K98" s="1375"/>
      <c r="L98" s="14"/>
    </row>
    <row r="99" spans="1:12">
      <c r="A99" s="13"/>
      <c r="B99" s="1364"/>
      <c r="C99" s="1377"/>
      <c r="D99" s="1377"/>
      <c r="E99" s="1377"/>
      <c r="F99" s="1375"/>
      <c r="G99" s="1364"/>
      <c r="H99" s="1375"/>
      <c r="I99" s="1364"/>
      <c r="J99" s="1377"/>
      <c r="K99" s="1375"/>
      <c r="L99" s="14"/>
    </row>
    <row r="100" spans="1:12">
      <c r="A100" s="13"/>
      <c r="L100" s="14"/>
    </row>
    <row r="101" spans="1:12">
      <c r="A101" s="13"/>
      <c r="B101" t="s">
        <v>198</v>
      </c>
      <c r="C101" s="289" t="e">
        <f>'04-221Master'!#REF!</f>
        <v>#REF!</v>
      </c>
      <c r="I101" t="s">
        <v>227</v>
      </c>
      <c r="L101" s="14"/>
    </row>
    <row r="102" spans="1:12" ht="27.95" customHeight="1">
      <c r="A102" s="13"/>
      <c r="F102" s="179" t="s">
        <v>193</v>
      </c>
      <c r="L102" s="14"/>
    </row>
    <row r="103" spans="1:12" ht="27.95" customHeight="1">
      <c r="A103" s="13" t="s">
        <v>194</v>
      </c>
      <c r="K103" s="229" t="e">
        <f>'04-221Master'!#REF!</f>
        <v>#REF!</v>
      </c>
      <c r="L103" s="14"/>
    </row>
    <row r="104" spans="1:12" ht="27.95" customHeight="1">
      <c r="A104" s="13" t="s">
        <v>195</v>
      </c>
      <c r="L104" s="14"/>
    </row>
    <row r="105" spans="1:12" ht="27.95" customHeight="1">
      <c r="A105" s="13"/>
      <c r="L105" s="14"/>
    </row>
    <row r="106" spans="1:12" ht="27.95" customHeight="1">
      <c r="A106" s="13"/>
      <c r="F106" t="s">
        <v>196</v>
      </c>
      <c r="L106" s="14"/>
    </row>
    <row r="107" spans="1:12" ht="27.95" customHeight="1">
      <c r="A107" s="13" t="s">
        <v>197</v>
      </c>
      <c r="B107" t="s">
        <v>361</v>
      </c>
      <c r="F107" t="str">
        <f>'04-221Master'!F5</f>
        <v>Burgeon IT Services Pvt.Ltd.</v>
      </c>
      <c r="L107" s="14"/>
    </row>
    <row r="108" spans="1:12" ht="27.95" customHeight="1" thickBot="1">
      <c r="A108" s="25" t="s">
        <v>198</v>
      </c>
      <c r="B108" s="292" t="e">
        <f>'04-221Master'!#REF!</f>
        <v>#REF!</v>
      </c>
      <c r="C108" s="23"/>
      <c r="D108" s="23"/>
      <c r="E108" s="23"/>
      <c r="F108" s="23" t="str">
        <f>'04-221Master'!F6</f>
        <v>Siri Mansion LIGB 436 Dr.A S Rao Nagar,Hyderabad</v>
      </c>
      <c r="G108" s="23"/>
      <c r="H108" s="23"/>
      <c r="I108" s="23"/>
      <c r="J108" s="23"/>
      <c r="K108" s="23"/>
      <c r="L108" s="24"/>
    </row>
    <row r="109" spans="1:12" ht="27.95" customHeight="1">
      <c r="A109" s="74"/>
      <c r="B109" s="75"/>
      <c r="C109" s="75"/>
      <c r="D109" s="184"/>
      <c r="E109" s="184"/>
      <c r="F109" s="184"/>
      <c r="G109" s="184"/>
      <c r="H109" s="184"/>
      <c r="I109" s="184"/>
      <c r="J109" s="75"/>
      <c r="K109" s="186" t="s">
        <v>212</v>
      </c>
      <c r="L109" s="185"/>
    </row>
    <row r="110" spans="1:12" ht="27.95" customHeight="1">
      <c r="A110" s="13"/>
      <c r="B110" s="1386" t="s">
        <v>211</v>
      </c>
      <c r="C110" s="1386"/>
      <c r="D110" s="1386"/>
      <c r="E110" s="1386"/>
      <c r="F110" s="1386"/>
      <c r="G110" s="1386"/>
      <c r="H110" s="1386"/>
      <c r="I110" s="1386"/>
      <c r="J110" s="1386"/>
      <c r="K110" s="1386"/>
      <c r="L110" s="1387"/>
    </row>
    <row r="111" spans="1:12" ht="27.95" customHeight="1">
      <c r="A111" s="13"/>
      <c r="B111" s="1356" t="s">
        <v>213</v>
      </c>
      <c r="C111" s="1356"/>
      <c r="D111" s="1356"/>
      <c r="E111" s="1356"/>
      <c r="F111" s="1356"/>
      <c r="G111" s="1356"/>
      <c r="H111" s="1356"/>
      <c r="I111" s="1356"/>
      <c r="J111" s="1356"/>
      <c r="K111" s="1356"/>
      <c r="L111" s="1388"/>
    </row>
    <row r="112" spans="1:12" ht="27.95" customHeight="1">
      <c r="A112" s="13"/>
      <c r="B112" s="187" t="s">
        <v>214</v>
      </c>
      <c r="C112" s="187"/>
      <c r="D112" s="187"/>
      <c r="E112" s="187"/>
      <c r="F112" s="187"/>
      <c r="H112" s="188"/>
      <c r="I112" s="188"/>
      <c r="J112" s="188"/>
      <c r="K112" s="188"/>
      <c r="L112" s="196"/>
    </row>
    <row r="113" spans="1:12" ht="27.95" customHeight="1">
      <c r="A113" s="13"/>
      <c r="B113" s="187"/>
      <c r="C113" s="187"/>
      <c r="D113" s="187"/>
      <c r="E113" s="187"/>
      <c r="F113" s="187"/>
      <c r="H113" s="188"/>
      <c r="I113" s="188"/>
      <c r="J113" s="188"/>
      <c r="K113" s="188"/>
      <c r="L113" s="196"/>
    </row>
    <row r="114" spans="1:12" ht="27.95" customHeight="1">
      <c r="A114" s="13"/>
      <c r="B114" s="1369" t="s">
        <v>184</v>
      </c>
      <c r="C114" s="1369"/>
      <c r="D114" s="1369"/>
      <c r="E114" s="1369"/>
      <c r="F114" s="1369"/>
      <c r="G114" s="1369"/>
      <c r="H114" s="1372" t="e">
        <f>'04-221Master'!#REF!</f>
        <v>#REF!</v>
      </c>
      <c r="I114" s="1371"/>
      <c r="J114" s="1371"/>
      <c r="K114" s="1371"/>
      <c r="L114" s="1151"/>
    </row>
    <row r="115" spans="1:12" ht="27.95" customHeight="1">
      <c r="A115" s="13"/>
      <c r="B115" s="1373" t="s">
        <v>185</v>
      </c>
      <c r="C115" s="1373"/>
      <c r="D115" s="1373"/>
      <c r="E115" s="1373"/>
      <c r="F115" s="1373"/>
      <c r="G115" s="1373"/>
      <c r="H115" s="1372" t="e">
        <f>'04-221Master'!#REF!</f>
        <v>#REF!</v>
      </c>
      <c r="I115" s="1371"/>
      <c r="J115" s="1371"/>
      <c r="K115" s="1371"/>
      <c r="L115" s="1151"/>
    </row>
    <row r="116" spans="1:12" ht="27.95" customHeight="1">
      <c r="A116" s="13"/>
      <c r="B116" s="1369" t="s">
        <v>186</v>
      </c>
      <c r="C116" s="1369"/>
      <c r="D116" s="1369"/>
      <c r="E116" s="1369"/>
      <c r="F116" s="1369"/>
      <c r="G116" s="1369"/>
      <c r="H116" s="1372" t="e">
        <f>'04-221Master'!#REF!</f>
        <v>#REF!</v>
      </c>
      <c r="I116" s="1371"/>
      <c r="J116" s="1371"/>
      <c r="K116" s="1371"/>
      <c r="L116" s="1151"/>
    </row>
    <row r="117" spans="1:12" ht="27.95" customHeight="1">
      <c r="A117" s="13"/>
      <c r="B117" s="1369" t="s">
        <v>187</v>
      </c>
      <c r="C117" s="1369"/>
      <c r="D117" s="1369"/>
      <c r="E117" s="1369"/>
      <c r="F117" s="1369"/>
      <c r="G117" s="1369"/>
      <c r="H117" s="1374" t="e">
        <f>'04-221Master'!#REF!</f>
        <v>#REF!</v>
      </c>
      <c r="I117" s="1371"/>
      <c r="J117" s="1371"/>
      <c r="K117" s="1371"/>
      <c r="L117" s="1151"/>
    </row>
    <row r="118" spans="1:12" ht="27.95" customHeight="1">
      <c r="A118" s="13"/>
      <c r="B118" s="86" t="s">
        <v>188</v>
      </c>
      <c r="C118" s="87"/>
      <c r="D118" s="87"/>
      <c r="E118" s="87"/>
      <c r="F118" s="87"/>
      <c r="G118" s="87"/>
      <c r="H118" s="1366" t="s">
        <v>189</v>
      </c>
      <c r="I118" s="1367"/>
      <c r="J118" s="1367"/>
      <c r="K118" s="1367"/>
      <c r="L118" s="1368"/>
    </row>
    <row r="119" spans="1:12">
      <c r="A119" s="13"/>
      <c r="B119" s="86" t="s">
        <v>190</v>
      </c>
      <c r="C119" s="87"/>
      <c r="D119" s="87"/>
      <c r="E119" s="87"/>
      <c r="F119" s="87"/>
      <c r="G119" s="87"/>
    </row>
    <row r="120" spans="1:12">
      <c r="A120" s="13"/>
      <c r="B120" s="1161" t="s">
        <v>191</v>
      </c>
      <c r="C120" s="1161"/>
      <c r="D120" s="1161"/>
      <c r="E120" s="1161"/>
      <c r="F120" s="1161"/>
      <c r="G120" s="1161"/>
      <c r="H120" s="1372" t="e">
        <f>'04-221Master'!#REF!</f>
        <v>#REF!</v>
      </c>
      <c r="I120" s="1371"/>
      <c r="J120" s="1371"/>
      <c r="K120" s="1371"/>
      <c r="L120" s="1371"/>
    </row>
    <row r="121" spans="1:12">
      <c r="A121" s="13"/>
      <c r="B121" s="1369"/>
      <c r="C121" s="1369"/>
      <c r="D121" s="1369"/>
      <c r="E121" s="1369"/>
      <c r="F121" s="1369"/>
      <c r="G121" s="1369"/>
      <c r="H121" s="1372" t="e">
        <f>'04-221Master'!#REF!</f>
        <v>#REF!</v>
      </c>
      <c r="I121" s="1371"/>
      <c r="J121" s="1371"/>
      <c r="K121" s="1371"/>
      <c r="L121" s="1371"/>
    </row>
    <row r="122" spans="1:12">
      <c r="A122" s="13"/>
      <c r="B122" s="1369"/>
      <c r="C122" s="1369"/>
      <c r="D122" s="1369"/>
      <c r="E122" s="1369"/>
      <c r="F122" s="1369"/>
      <c r="G122" s="1369"/>
      <c r="H122" s="1370" t="e">
        <f>'04-221Master'!#REF!</f>
        <v>#REF!</v>
      </c>
      <c r="I122" s="1371"/>
      <c r="J122" s="1371"/>
      <c r="K122" s="1371"/>
      <c r="L122" s="1151"/>
    </row>
    <row r="123" spans="1:12">
      <c r="A123" s="13"/>
      <c r="G123" s="2" t="s">
        <v>215</v>
      </c>
      <c r="H123" s="2"/>
      <c r="I123" s="2"/>
      <c r="J123" s="2"/>
      <c r="K123" s="2"/>
      <c r="L123" s="81"/>
    </row>
    <row r="124" spans="1:12">
      <c r="A124" s="13"/>
      <c r="B124" s="180" t="s">
        <v>199</v>
      </c>
      <c r="C124" s="176"/>
      <c r="D124" s="176"/>
      <c r="E124" s="176"/>
      <c r="F124" s="176"/>
      <c r="G124" s="176"/>
      <c r="H124" s="165"/>
      <c r="I124" s="165"/>
      <c r="J124" s="165"/>
      <c r="K124" s="165"/>
      <c r="L124" s="183"/>
    </row>
    <row r="125" spans="1:12">
      <c r="A125" s="13"/>
      <c r="B125" s="180" t="s">
        <v>200</v>
      </c>
      <c r="C125" s="176"/>
      <c r="D125" s="176"/>
      <c r="E125" s="176"/>
      <c r="F125" s="176"/>
      <c r="G125" s="176"/>
      <c r="H125" s="165"/>
      <c r="I125" s="165"/>
      <c r="J125" s="166"/>
      <c r="K125" s="165"/>
      <c r="L125" s="183"/>
    </row>
    <row r="126" spans="1:12" ht="45">
      <c r="A126" s="85"/>
      <c r="B126" s="86" t="s">
        <v>203</v>
      </c>
      <c r="C126" s="87"/>
      <c r="D126" s="193"/>
      <c r="E126" s="171" t="s">
        <v>205</v>
      </c>
      <c r="F126" s="65"/>
      <c r="G126" s="1361" t="s">
        <v>204</v>
      </c>
      <c r="H126" s="1362"/>
      <c r="I126" s="170" t="s">
        <v>201</v>
      </c>
      <c r="J126" s="173" t="s">
        <v>206</v>
      </c>
      <c r="K126" s="1361" t="s">
        <v>202</v>
      </c>
      <c r="L126" s="1363"/>
    </row>
    <row r="127" spans="1:12">
      <c r="A127" s="85"/>
      <c r="B127" s="174">
        <v>1</v>
      </c>
      <c r="C127" s="87"/>
      <c r="D127" s="87"/>
      <c r="E127" s="177">
        <v>2</v>
      </c>
      <c r="F127" s="91"/>
      <c r="G127" s="177">
        <v>3</v>
      </c>
      <c r="H127" s="193"/>
      <c r="I127" s="193">
        <v>4</v>
      </c>
      <c r="J127" s="102">
        <v>5</v>
      </c>
      <c r="K127" s="93"/>
      <c r="L127" s="94">
        <v>6</v>
      </c>
    </row>
    <row r="128" spans="1:12">
      <c r="A128" s="85"/>
      <c r="B128" s="86" t="e">
        <f>'04-221Master'!#REF!</f>
        <v>#REF!</v>
      </c>
      <c r="C128" s="189"/>
      <c r="D128" s="190"/>
      <c r="E128" s="191" t="s">
        <v>365</v>
      </c>
      <c r="F128" s="190"/>
      <c r="G128" s="191" t="s">
        <v>363</v>
      </c>
      <c r="H128" s="65"/>
      <c r="I128" s="11" t="s">
        <v>366</v>
      </c>
      <c r="J128" s="290">
        <v>1</v>
      </c>
      <c r="K128" s="192" t="s">
        <v>37</v>
      </c>
      <c r="L128" s="197"/>
    </row>
    <row r="129" spans="1:12">
      <c r="A129" s="85"/>
      <c r="B129" s="86"/>
      <c r="C129" s="189"/>
      <c r="D129" s="190"/>
      <c r="E129" s="191"/>
      <c r="F129" s="190"/>
      <c r="G129" s="191"/>
      <c r="H129" s="65"/>
      <c r="I129" s="11"/>
      <c r="J129" s="11"/>
      <c r="K129" s="192"/>
      <c r="L129" s="197"/>
    </row>
    <row r="130" spans="1:12">
      <c r="A130" s="85"/>
      <c r="B130" s="86"/>
      <c r="C130" s="189"/>
      <c r="D130" s="190"/>
      <c r="E130" s="191"/>
      <c r="F130" s="190"/>
      <c r="G130" s="191"/>
      <c r="H130" s="65"/>
      <c r="I130" s="11"/>
      <c r="J130" s="11"/>
      <c r="K130" s="192"/>
      <c r="L130" s="197"/>
    </row>
    <row r="131" spans="1:12">
      <c r="A131" s="85"/>
      <c r="B131" s="72"/>
      <c r="C131" s="17"/>
      <c r="D131" s="73"/>
      <c r="E131" s="191"/>
      <c r="F131" s="190"/>
      <c r="G131" s="191"/>
      <c r="H131" s="65"/>
      <c r="I131" s="11"/>
      <c r="J131" s="11"/>
      <c r="K131" s="192"/>
      <c r="L131" s="197"/>
    </row>
    <row r="132" spans="1:12">
      <c r="A132" s="85"/>
      <c r="B132" t="s">
        <v>207</v>
      </c>
      <c r="L132" s="14"/>
    </row>
    <row r="133" spans="1:12">
      <c r="A133" s="13"/>
      <c r="B133" t="s">
        <v>208</v>
      </c>
      <c r="L133" s="14"/>
    </row>
    <row r="134" spans="1:12">
      <c r="A134" s="13"/>
      <c r="B134" t="s">
        <v>219</v>
      </c>
      <c r="J134" t="s">
        <v>218</v>
      </c>
      <c r="L134" s="14"/>
    </row>
    <row r="135" spans="1:12">
      <c r="A135" s="13"/>
      <c r="G135" s="2" t="s">
        <v>216</v>
      </c>
      <c r="H135" s="2"/>
      <c r="I135" s="2"/>
      <c r="J135" s="2"/>
      <c r="K135" s="2"/>
      <c r="L135" s="81"/>
    </row>
    <row r="136" spans="1:12">
      <c r="A136" s="13"/>
      <c r="B136" s="2"/>
      <c r="G136" t="s">
        <v>217</v>
      </c>
      <c r="H136" s="2"/>
      <c r="I136" s="2"/>
      <c r="J136" s="2"/>
      <c r="K136" s="2"/>
      <c r="L136" s="81"/>
    </row>
    <row r="137" spans="1:12">
      <c r="A137" s="13"/>
      <c r="B137" s="180" t="s">
        <v>220</v>
      </c>
      <c r="C137" s="176"/>
      <c r="D137" s="176"/>
      <c r="E137" s="176"/>
      <c r="F137" s="176"/>
      <c r="G137" s="176"/>
      <c r="H137" s="165"/>
      <c r="I137" s="165"/>
      <c r="J137" s="165"/>
      <c r="K137" s="165"/>
      <c r="L137" s="183"/>
    </row>
    <row r="138" spans="1:12">
      <c r="A138" s="13"/>
      <c r="B138" s="180" t="s">
        <v>221</v>
      </c>
      <c r="C138" s="176"/>
      <c r="D138" s="176"/>
      <c r="E138" s="176"/>
      <c r="F138" s="176"/>
      <c r="G138" s="176"/>
      <c r="H138" s="165"/>
      <c r="I138" s="165"/>
      <c r="J138" s="166"/>
      <c r="K138" s="165"/>
      <c r="L138" s="183"/>
    </row>
    <row r="139" spans="1:12">
      <c r="A139" s="13"/>
      <c r="B139" s="86" t="s">
        <v>5</v>
      </c>
      <c r="C139" s="1379" t="s">
        <v>222</v>
      </c>
      <c r="D139" s="1149"/>
      <c r="E139" s="1149"/>
      <c r="F139" s="1149"/>
      <c r="G139" s="1149"/>
      <c r="H139" s="1380"/>
      <c r="I139" s="172" t="s">
        <v>102</v>
      </c>
      <c r="J139" s="1381" t="s">
        <v>223</v>
      </c>
      <c r="K139" s="1382"/>
      <c r="L139" s="1383"/>
    </row>
    <row r="140" spans="1:12">
      <c r="A140" s="13"/>
      <c r="B140" s="174">
        <v>1</v>
      </c>
      <c r="C140" s="208"/>
      <c r="D140" s="90"/>
      <c r="E140" s="96">
        <v>2</v>
      </c>
      <c r="F140" s="64"/>
      <c r="G140" s="1378"/>
      <c r="H140" s="1362"/>
      <c r="I140" s="90">
        <v>3</v>
      </c>
      <c r="J140" s="195" t="s">
        <v>224</v>
      </c>
      <c r="K140" s="1384">
        <v>4</v>
      </c>
      <c r="L140" s="1385"/>
    </row>
    <row r="141" spans="1:12">
      <c r="A141" s="13"/>
      <c r="B141" s="86"/>
      <c r="C141" s="208"/>
      <c r="D141" s="90"/>
      <c r="E141" s="96"/>
      <c r="F141" s="64"/>
      <c r="G141" s="1378"/>
      <c r="H141" s="1362"/>
      <c r="I141" s="192"/>
      <c r="J141" s="194"/>
      <c r="K141" s="1378"/>
      <c r="L141" s="1363"/>
    </row>
    <row r="142" spans="1:12">
      <c r="A142" s="13"/>
      <c r="B142" s="86"/>
      <c r="C142" s="208"/>
      <c r="D142" s="90"/>
      <c r="E142" s="96"/>
      <c r="F142" s="64"/>
      <c r="G142" s="1378"/>
      <c r="H142" s="1362"/>
      <c r="I142" s="192"/>
      <c r="J142" s="194"/>
      <c r="K142" s="1378"/>
      <c r="L142" s="1363"/>
    </row>
    <row r="143" spans="1:12">
      <c r="A143" s="13"/>
      <c r="B143" s="86"/>
      <c r="C143" s="208"/>
      <c r="D143" s="90"/>
      <c r="E143" s="96"/>
      <c r="F143" s="64"/>
      <c r="G143" s="1378"/>
      <c r="H143" s="1362"/>
      <c r="I143" s="192"/>
      <c r="J143" s="194"/>
      <c r="K143" s="1378"/>
      <c r="L143" s="1363"/>
    </row>
    <row r="144" spans="1:12">
      <c r="A144" s="13"/>
      <c r="B144" s="72"/>
      <c r="C144" s="208"/>
      <c r="D144" s="90"/>
      <c r="E144" s="96"/>
      <c r="F144" s="64"/>
      <c r="G144" s="1378"/>
      <c r="H144" s="1362"/>
      <c r="I144" s="192"/>
      <c r="J144" s="194"/>
      <c r="K144" s="1378"/>
      <c r="L144" s="1363"/>
    </row>
    <row r="145" spans="1:12">
      <c r="A145" s="13"/>
      <c r="B145" t="s">
        <v>228</v>
      </c>
      <c r="L145" s="14"/>
    </row>
    <row r="146" spans="1:12">
      <c r="A146" s="13"/>
      <c r="B146" t="s">
        <v>229</v>
      </c>
      <c r="L146" s="14"/>
    </row>
    <row r="147" spans="1:12">
      <c r="A147" s="13"/>
      <c r="B147" t="s">
        <v>230</v>
      </c>
      <c r="L147" s="14"/>
    </row>
    <row r="148" spans="1:12">
      <c r="A148" s="13"/>
      <c r="B148" t="s">
        <v>231</v>
      </c>
      <c r="L148" s="14"/>
    </row>
    <row r="149" spans="1:12">
      <c r="A149" s="13"/>
      <c r="B149" s="191" t="s">
        <v>225</v>
      </c>
      <c r="C149" s="64"/>
      <c r="D149" s="64"/>
      <c r="E149" s="64"/>
      <c r="F149" s="65"/>
      <c r="G149" s="191" t="s">
        <v>201</v>
      </c>
      <c r="H149" s="65"/>
      <c r="I149" s="191" t="s">
        <v>226</v>
      </c>
      <c r="J149" s="64"/>
      <c r="K149" s="65"/>
      <c r="L149" s="14"/>
    </row>
    <row r="150" spans="1:12">
      <c r="A150" s="13"/>
      <c r="B150" s="1364"/>
      <c r="C150" s="1377"/>
      <c r="D150" s="1377"/>
      <c r="E150" s="1377"/>
      <c r="F150" s="1375"/>
      <c r="G150" s="1364"/>
      <c r="H150" s="1375"/>
      <c r="I150" s="1364"/>
      <c r="J150" s="1377"/>
      <c r="K150" s="1375"/>
      <c r="L150" s="14"/>
    </row>
    <row r="151" spans="1:12">
      <c r="A151" s="13"/>
      <c r="B151" s="1364"/>
      <c r="C151" s="1377"/>
      <c r="D151" s="1377"/>
      <c r="E151" s="1377"/>
      <c r="F151" s="1375"/>
      <c r="G151" s="1364"/>
      <c r="H151" s="1375"/>
      <c r="I151" s="1364"/>
      <c r="J151" s="1377"/>
      <c r="K151" s="1375"/>
      <c r="L151" s="14"/>
    </row>
    <row r="152" spans="1:12">
      <c r="A152" s="13"/>
      <c r="B152" s="1364"/>
      <c r="C152" s="1377"/>
      <c r="D152" s="1377"/>
      <c r="E152" s="1377"/>
      <c r="F152" s="1375"/>
      <c r="G152" s="1364"/>
      <c r="H152" s="1375"/>
      <c r="I152" s="1364"/>
      <c r="J152" s="1377"/>
      <c r="K152" s="1375"/>
      <c r="L152" s="14"/>
    </row>
    <row r="153" spans="1:12">
      <c r="A153" s="13"/>
      <c r="B153" s="1364"/>
      <c r="C153" s="1377"/>
      <c r="D153" s="1377"/>
      <c r="E153" s="1377"/>
      <c r="F153" s="1375"/>
      <c r="G153" s="1364"/>
      <c r="H153" s="1375"/>
      <c r="I153" s="1364"/>
      <c r="J153" s="1377"/>
      <c r="K153" s="1375"/>
      <c r="L153" s="14"/>
    </row>
    <row r="154" spans="1:12" ht="27.95" customHeight="1">
      <c r="A154" s="13"/>
      <c r="L154" s="14"/>
    </row>
    <row r="155" spans="1:12" ht="27.95" customHeight="1">
      <c r="A155" s="13"/>
      <c r="B155" t="s">
        <v>198</v>
      </c>
      <c r="C155" s="289" t="e">
        <f>'04-221Master'!#REF!</f>
        <v>#REF!</v>
      </c>
      <c r="I155" t="s">
        <v>227</v>
      </c>
      <c r="L155" s="14"/>
    </row>
    <row r="156" spans="1:12" ht="27.95" customHeight="1">
      <c r="A156" s="13"/>
      <c r="F156" s="179" t="s">
        <v>193</v>
      </c>
      <c r="L156" s="14"/>
    </row>
    <row r="157" spans="1:12" ht="27.95" customHeight="1">
      <c r="A157" s="13" t="s">
        <v>194</v>
      </c>
      <c r="L157" s="14"/>
    </row>
    <row r="158" spans="1:12" ht="27.95" customHeight="1">
      <c r="A158" s="13" t="s">
        <v>195</v>
      </c>
      <c r="L158" s="14"/>
    </row>
    <row r="159" spans="1:12" ht="27.95" customHeight="1">
      <c r="A159" s="13"/>
      <c r="L159" s="14"/>
    </row>
    <row r="160" spans="1:12" ht="27.95" customHeight="1">
      <c r="A160" s="13"/>
      <c r="F160" t="s">
        <v>196</v>
      </c>
      <c r="L160" s="14"/>
    </row>
    <row r="161" spans="1:12" ht="27.95" customHeight="1">
      <c r="A161" s="13" t="s">
        <v>197</v>
      </c>
      <c r="B161" t="s">
        <v>361</v>
      </c>
      <c r="F161" t="str">
        <f>'04-221Master'!F5</f>
        <v>Burgeon IT Services Pvt.Ltd.</v>
      </c>
      <c r="L161" s="14"/>
    </row>
    <row r="162" spans="1:12" ht="27.95" customHeight="1" thickBot="1">
      <c r="A162" s="25" t="s">
        <v>198</v>
      </c>
      <c r="B162" s="292" t="e">
        <f>'04-221Master'!#REF!</f>
        <v>#REF!</v>
      </c>
      <c r="C162" s="23"/>
      <c r="D162" s="23"/>
      <c r="E162" s="23"/>
      <c r="F162" s="23" t="str">
        <f>'04-221Master'!F6</f>
        <v>Siri Mansion LIGB 436 Dr.A S Rao Nagar,Hyderabad</v>
      </c>
      <c r="G162" s="23"/>
      <c r="H162" s="23"/>
      <c r="I162" s="23"/>
      <c r="J162" s="23"/>
      <c r="K162" s="23"/>
      <c r="L162" s="24"/>
    </row>
    <row r="163" spans="1:12" ht="27.95" customHeight="1">
      <c r="A163" s="74"/>
      <c r="B163" s="75"/>
      <c r="C163" s="75"/>
      <c r="D163" s="184"/>
      <c r="E163" s="184"/>
      <c r="F163" s="184"/>
      <c r="G163" s="184"/>
      <c r="H163" s="184"/>
      <c r="I163" s="184"/>
      <c r="J163" s="75"/>
      <c r="K163" s="186" t="s">
        <v>212</v>
      </c>
      <c r="L163" s="185"/>
    </row>
    <row r="164" spans="1:12" ht="27.95" customHeight="1">
      <c r="A164" s="13"/>
      <c r="B164" s="1386" t="s">
        <v>211</v>
      </c>
      <c r="C164" s="1386"/>
      <c r="D164" s="1386"/>
      <c r="E164" s="1386"/>
      <c r="F164" s="1386"/>
      <c r="G164" s="1386"/>
      <c r="H164" s="1386"/>
      <c r="I164" s="1386"/>
      <c r="J164" s="1386"/>
      <c r="K164" s="1386"/>
      <c r="L164" s="1387"/>
    </row>
    <row r="165" spans="1:12" ht="27.95" customHeight="1">
      <c r="A165" s="13"/>
      <c r="B165" s="1356" t="s">
        <v>213</v>
      </c>
      <c r="C165" s="1356"/>
      <c r="D165" s="1356"/>
      <c r="E165" s="1356"/>
      <c r="F165" s="1356"/>
      <c r="G165" s="1356"/>
      <c r="H165" s="1356"/>
      <c r="I165" s="1356"/>
      <c r="J165" s="1356"/>
      <c r="K165" s="1356"/>
      <c r="L165" s="1388"/>
    </row>
    <row r="166" spans="1:12" ht="27.95" customHeight="1">
      <c r="A166" s="13"/>
      <c r="B166" s="187" t="s">
        <v>214</v>
      </c>
      <c r="C166" s="187"/>
      <c r="D166" s="187"/>
      <c r="E166" s="187"/>
      <c r="F166" s="187"/>
      <c r="H166" s="188"/>
      <c r="I166" s="188"/>
      <c r="J166" s="188"/>
      <c r="K166" s="188"/>
      <c r="L166" s="196"/>
    </row>
    <row r="167" spans="1:12" ht="27.95" customHeight="1">
      <c r="A167" s="13"/>
      <c r="B167" s="187"/>
      <c r="C167" s="187"/>
      <c r="D167" s="187"/>
      <c r="E167" s="187"/>
      <c r="F167" s="187"/>
      <c r="H167" s="188"/>
      <c r="I167" s="188"/>
      <c r="J167" s="188"/>
      <c r="K167" s="188"/>
      <c r="L167" s="196"/>
    </row>
    <row r="168" spans="1:12" ht="27.95" customHeight="1">
      <c r="A168" s="13"/>
      <c r="B168" s="1369" t="s">
        <v>184</v>
      </c>
      <c r="C168" s="1369"/>
      <c r="D168" s="1369"/>
      <c r="E168" s="1369"/>
      <c r="F168" s="1369"/>
      <c r="G168" s="1369"/>
      <c r="H168" s="1372" t="e">
        <f>'04-221Master'!#REF!</f>
        <v>#REF!</v>
      </c>
      <c r="I168" s="1371"/>
      <c r="J168" s="1371"/>
      <c r="K168" s="1371"/>
      <c r="L168" s="1151"/>
    </row>
    <row r="169" spans="1:12" ht="27.95" customHeight="1">
      <c r="A169" s="13"/>
      <c r="B169" s="1373" t="s">
        <v>185</v>
      </c>
      <c r="C169" s="1373"/>
      <c r="D169" s="1373"/>
      <c r="E169" s="1373"/>
      <c r="F169" s="1373"/>
      <c r="G169" s="1373"/>
      <c r="H169" s="1372" t="e">
        <f>'04-221Master'!#REF!</f>
        <v>#REF!</v>
      </c>
      <c r="I169" s="1371"/>
      <c r="J169" s="1371"/>
      <c r="K169" s="1371"/>
      <c r="L169" s="1151"/>
    </row>
    <row r="170" spans="1:12" ht="27.95" customHeight="1">
      <c r="A170" s="13"/>
      <c r="B170" s="1369" t="s">
        <v>186</v>
      </c>
      <c r="C170" s="1369"/>
      <c r="D170" s="1369"/>
      <c r="E170" s="1369"/>
      <c r="F170" s="1369"/>
      <c r="G170" s="1369"/>
      <c r="H170" s="1372" t="e">
        <f>'04-221Master'!#REF!</f>
        <v>#REF!</v>
      </c>
      <c r="I170" s="1371"/>
      <c r="J170" s="1371"/>
      <c r="K170" s="1371"/>
      <c r="L170" s="1151"/>
    </row>
    <row r="171" spans="1:12" ht="27.95" customHeight="1">
      <c r="A171" s="13"/>
      <c r="B171" s="1369" t="s">
        <v>187</v>
      </c>
      <c r="C171" s="1369"/>
      <c r="D171" s="1369"/>
      <c r="E171" s="1369"/>
      <c r="F171" s="1369"/>
      <c r="G171" s="1369"/>
      <c r="H171" s="1374" t="e">
        <f>'04-221Master'!#REF!</f>
        <v>#REF!</v>
      </c>
      <c r="I171" s="1371"/>
      <c r="J171" s="1371"/>
      <c r="K171" s="1371"/>
      <c r="L171" s="1151"/>
    </row>
    <row r="172" spans="1:12">
      <c r="A172" s="13"/>
      <c r="B172" s="86" t="s">
        <v>188</v>
      </c>
      <c r="C172" s="87"/>
      <c r="D172" s="87"/>
      <c r="E172" s="87"/>
      <c r="F172" s="87"/>
      <c r="G172" s="87"/>
      <c r="H172" s="1366" t="s">
        <v>189</v>
      </c>
      <c r="I172" s="1367"/>
      <c r="J172" s="1367"/>
      <c r="K172" s="1367"/>
      <c r="L172" s="1368"/>
    </row>
    <row r="173" spans="1:12">
      <c r="A173" s="13"/>
      <c r="B173" s="86" t="s">
        <v>190</v>
      </c>
      <c r="C173" s="87"/>
      <c r="D173" s="87"/>
      <c r="E173" s="87"/>
      <c r="F173" s="87"/>
      <c r="G173" s="87"/>
      <c r="H173" s="88"/>
      <c r="I173" s="90"/>
      <c r="J173" s="178"/>
      <c r="K173" s="90"/>
      <c r="L173" s="95"/>
    </row>
    <row r="174" spans="1:12">
      <c r="A174" s="13"/>
      <c r="B174" s="1161" t="s">
        <v>191</v>
      </c>
      <c r="C174" s="1161"/>
      <c r="D174" s="1161"/>
      <c r="E174" s="1161"/>
      <c r="F174" s="1161"/>
      <c r="G174" s="1161"/>
      <c r="H174" s="1154" t="e">
        <f>'04-221Master'!#REF!</f>
        <v>#REF!</v>
      </c>
      <c r="I174" s="1155"/>
      <c r="J174" s="1155"/>
      <c r="K174" s="1155"/>
      <c r="L174" s="1156"/>
    </row>
    <row r="175" spans="1:12">
      <c r="A175" s="13"/>
      <c r="B175" s="1369"/>
      <c r="C175" s="1369"/>
      <c r="D175" s="1369"/>
      <c r="E175" s="1369"/>
      <c r="F175" s="1369"/>
      <c r="G175" s="1369"/>
      <c r="H175" s="1370" t="e">
        <f>'04-221Master'!#REF!</f>
        <v>#REF!</v>
      </c>
      <c r="I175" s="1371"/>
      <c r="J175" s="1371"/>
      <c r="K175" s="1371"/>
      <c r="L175" s="1151"/>
    </row>
    <row r="176" spans="1:12">
      <c r="A176" s="13"/>
      <c r="B176" s="1369"/>
      <c r="C176" s="1369"/>
      <c r="D176" s="1369"/>
      <c r="E176" s="1369"/>
      <c r="F176" s="1369"/>
      <c r="G176" s="1369"/>
      <c r="H176" s="1372" t="e">
        <f>'04-221Master'!#REF!</f>
        <v>#REF!</v>
      </c>
      <c r="I176" s="1371"/>
      <c r="J176" s="1371"/>
      <c r="K176" s="1371"/>
      <c r="L176" s="1151"/>
    </row>
    <row r="177" spans="1:12">
      <c r="A177" s="13"/>
      <c r="G177" s="2" t="s">
        <v>215</v>
      </c>
      <c r="H177" s="2"/>
      <c r="I177" s="2"/>
      <c r="J177" s="2"/>
      <c r="K177" s="2"/>
      <c r="L177" s="81"/>
    </row>
    <row r="178" spans="1:12">
      <c r="A178" s="13"/>
      <c r="B178" s="180" t="s">
        <v>199</v>
      </c>
      <c r="C178" s="176"/>
      <c r="D178" s="176"/>
      <c r="E178" s="176"/>
      <c r="F178" s="176"/>
      <c r="G178" s="176"/>
      <c r="H178" s="165"/>
      <c r="I178" s="165"/>
      <c r="J178" s="165"/>
      <c r="K178" s="165"/>
      <c r="L178" s="183"/>
    </row>
    <row r="179" spans="1:12">
      <c r="A179" s="13"/>
      <c r="B179" s="180" t="s">
        <v>200</v>
      </c>
      <c r="C179" s="176"/>
      <c r="D179" s="176"/>
      <c r="E179" s="176"/>
      <c r="F179" s="176"/>
      <c r="G179" s="176"/>
      <c r="H179" s="165"/>
      <c r="I179" s="165"/>
      <c r="J179" s="166"/>
      <c r="K179" s="165"/>
      <c r="L179" s="183"/>
    </row>
    <row r="180" spans="1:12" ht="45">
      <c r="A180" s="85"/>
      <c r="B180" s="86" t="s">
        <v>203</v>
      </c>
      <c r="C180" s="87"/>
      <c r="D180" s="193"/>
      <c r="E180" s="171" t="s">
        <v>205</v>
      </c>
      <c r="F180" s="65"/>
      <c r="G180" s="1361" t="s">
        <v>204</v>
      </c>
      <c r="H180" s="1362"/>
      <c r="I180" s="170" t="s">
        <v>201</v>
      </c>
      <c r="J180" s="173" t="s">
        <v>206</v>
      </c>
      <c r="K180" s="1361" t="s">
        <v>202</v>
      </c>
      <c r="L180" s="1363"/>
    </row>
    <row r="181" spans="1:12">
      <c r="A181" s="85"/>
      <c r="B181" s="174">
        <v>1</v>
      </c>
      <c r="C181" s="87"/>
      <c r="D181" s="87"/>
      <c r="E181" s="177">
        <v>2</v>
      </c>
      <c r="F181" s="91"/>
      <c r="G181" s="177">
        <v>3</v>
      </c>
      <c r="H181" s="193"/>
      <c r="I181" s="193">
        <v>4</v>
      </c>
      <c r="J181" s="102">
        <v>5</v>
      </c>
      <c r="K181" s="93"/>
      <c r="L181" s="94">
        <v>6</v>
      </c>
    </row>
    <row r="182" spans="1:12">
      <c r="A182" s="85"/>
      <c r="B182" s="86" t="e">
        <f>'04-221Master'!#REF!</f>
        <v>#REF!</v>
      </c>
      <c r="C182" s="189"/>
      <c r="D182" s="190"/>
      <c r="E182" s="191" t="s">
        <v>365</v>
      </c>
      <c r="F182" s="190"/>
      <c r="G182" s="191" t="s">
        <v>363</v>
      </c>
      <c r="H182" s="65"/>
      <c r="I182" s="11" t="s">
        <v>366</v>
      </c>
      <c r="J182" s="290">
        <v>1</v>
      </c>
      <c r="K182" s="192" t="s">
        <v>37</v>
      </c>
      <c r="L182" s="197"/>
    </row>
    <row r="183" spans="1:12">
      <c r="A183" s="85"/>
      <c r="B183" s="86"/>
      <c r="C183" s="189"/>
      <c r="D183" s="190"/>
      <c r="E183" s="191"/>
      <c r="F183" s="190"/>
      <c r="G183" s="191"/>
      <c r="H183" s="65"/>
      <c r="I183" s="11"/>
      <c r="J183" s="11"/>
      <c r="K183" s="192"/>
      <c r="L183" s="197"/>
    </row>
    <row r="184" spans="1:12">
      <c r="A184" s="85"/>
      <c r="B184" s="86"/>
      <c r="C184" s="189"/>
      <c r="D184" s="190"/>
      <c r="E184" s="191"/>
      <c r="F184" s="190"/>
      <c r="G184" s="191"/>
      <c r="H184" s="65"/>
      <c r="I184" s="11"/>
      <c r="J184" s="11"/>
      <c r="K184" s="192"/>
      <c r="L184" s="197"/>
    </row>
    <row r="185" spans="1:12">
      <c r="A185" s="85"/>
      <c r="B185" s="72"/>
      <c r="C185" s="17"/>
      <c r="D185" s="73"/>
      <c r="E185" s="191"/>
      <c r="F185" s="190"/>
      <c r="G185" s="191"/>
      <c r="H185" s="65"/>
      <c r="I185" s="11"/>
      <c r="J185" s="11"/>
      <c r="K185" s="192"/>
      <c r="L185" s="197"/>
    </row>
    <row r="186" spans="1:12">
      <c r="A186" s="85"/>
      <c r="B186" t="s">
        <v>207</v>
      </c>
      <c r="L186" s="14"/>
    </row>
    <row r="187" spans="1:12">
      <c r="A187" s="13"/>
      <c r="B187" t="s">
        <v>208</v>
      </c>
      <c r="L187" s="14"/>
    </row>
    <row r="188" spans="1:12">
      <c r="A188" s="13"/>
      <c r="B188" t="s">
        <v>219</v>
      </c>
      <c r="J188" t="s">
        <v>218</v>
      </c>
      <c r="L188" s="14"/>
    </row>
    <row r="189" spans="1:12">
      <c r="A189" s="13"/>
      <c r="G189" s="2" t="s">
        <v>216</v>
      </c>
      <c r="H189" s="2"/>
      <c r="I189" s="2"/>
      <c r="J189" s="2"/>
      <c r="K189" s="2"/>
      <c r="L189" s="81"/>
    </row>
    <row r="190" spans="1:12">
      <c r="A190" s="13"/>
      <c r="B190" s="2"/>
      <c r="G190" t="s">
        <v>217</v>
      </c>
      <c r="H190" s="2"/>
      <c r="I190" s="2"/>
      <c r="J190" s="2"/>
      <c r="K190" s="2"/>
      <c r="L190" s="81"/>
    </row>
    <row r="191" spans="1:12">
      <c r="A191" s="13"/>
      <c r="B191" s="180" t="s">
        <v>220</v>
      </c>
      <c r="C191" s="176"/>
      <c r="D191" s="176"/>
      <c r="E191" s="176"/>
      <c r="F191" s="176"/>
      <c r="G191" s="176"/>
      <c r="H191" s="165"/>
      <c r="I191" s="165"/>
      <c r="J191" s="165"/>
      <c r="K191" s="165"/>
      <c r="L191" s="183"/>
    </row>
    <row r="192" spans="1:12">
      <c r="A192" s="13"/>
      <c r="B192" s="180" t="s">
        <v>221</v>
      </c>
      <c r="C192" s="176"/>
      <c r="D192" s="176"/>
      <c r="E192" s="176"/>
      <c r="F192" s="176"/>
      <c r="G192" s="176"/>
      <c r="H192" s="165"/>
      <c r="I192" s="165"/>
      <c r="J192" s="166"/>
      <c r="K192" s="165"/>
      <c r="L192" s="183"/>
    </row>
    <row r="193" spans="1:12">
      <c r="A193" s="13"/>
      <c r="B193" s="86" t="s">
        <v>5</v>
      </c>
      <c r="C193" s="1379" t="s">
        <v>222</v>
      </c>
      <c r="D193" s="1149"/>
      <c r="E193" s="1149"/>
      <c r="F193" s="1149"/>
      <c r="G193" s="1149"/>
      <c r="H193" s="1380"/>
      <c r="I193" s="172" t="s">
        <v>102</v>
      </c>
      <c r="J193" s="1381" t="s">
        <v>223</v>
      </c>
      <c r="K193" s="1382"/>
      <c r="L193" s="1383"/>
    </row>
    <row r="194" spans="1:12">
      <c r="A194" s="13"/>
      <c r="B194" s="174">
        <v>1</v>
      </c>
      <c r="C194" s="208"/>
      <c r="D194" s="90"/>
      <c r="E194" s="96">
        <v>2</v>
      </c>
      <c r="F194" s="64"/>
      <c r="G194" s="1378"/>
      <c r="H194" s="1362"/>
      <c r="I194" s="90">
        <v>3</v>
      </c>
      <c r="J194" s="195" t="s">
        <v>224</v>
      </c>
      <c r="K194" s="1384">
        <v>4</v>
      </c>
      <c r="L194" s="1385"/>
    </row>
    <row r="195" spans="1:12">
      <c r="A195" s="13"/>
      <c r="B195" s="86"/>
      <c r="C195" s="208"/>
      <c r="D195" s="90"/>
      <c r="E195" s="96"/>
      <c r="F195" s="64"/>
      <c r="G195" s="1378"/>
      <c r="H195" s="1362"/>
      <c r="I195" s="192"/>
      <c r="J195" s="194"/>
      <c r="K195" s="1378"/>
      <c r="L195" s="1363"/>
    </row>
    <row r="196" spans="1:12">
      <c r="A196" s="13"/>
      <c r="B196" s="86"/>
      <c r="C196" s="208"/>
      <c r="D196" s="90"/>
      <c r="E196" s="96"/>
      <c r="F196" s="64"/>
      <c r="G196" s="1378"/>
      <c r="H196" s="1362"/>
      <c r="I196" s="192"/>
      <c r="J196" s="194"/>
      <c r="K196" s="1378"/>
      <c r="L196" s="1363"/>
    </row>
    <row r="197" spans="1:12">
      <c r="A197" s="13"/>
      <c r="B197" s="86"/>
      <c r="C197" s="208"/>
      <c r="D197" s="90"/>
      <c r="E197" s="96"/>
      <c r="F197" s="64"/>
      <c r="G197" s="1378"/>
      <c r="H197" s="1362"/>
      <c r="I197" s="192"/>
      <c r="J197" s="194"/>
      <c r="K197" s="1378"/>
      <c r="L197" s="1363"/>
    </row>
    <row r="198" spans="1:12">
      <c r="A198" s="13"/>
      <c r="B198" s="72"/>
      <c r="C198" s="208"/>
      <c r="D198" s="90"/>
      <c r="E198" s="96"/>
      <c r="F198" s="64"/>
      <c r="G198" s="1378"/>
      <c r="H198" s="1362"/>
      <c r="I198" s="192"/>
      <c r="J198" s="194"/>
      <c r="K198" s="1378"/>
      <c r="L198" s="1363"/>
    </row>
    <row r="199" spans="1:12">
      <c r="A199" s="13"/>
      <c r="B199" t="s">
        <v>228</v>
      </c>
      <c r="L199" s="14"/>
    </row>
    <row r="200" spans="1:12">
      <c r="A200" s="13"/>
      <c r="B200" t="s">
        <v>229</v>
      </c>
      <c r="L200" s="14"/>
    </row>
    <row r="201" spans="1:12">
      <c r="A201" s="13"/>
      <c r="B201" t="s">
        <v>230</v>
      </c>
      <c r="L201" s="14"/>
    </row>
    <row r="202" spans="1:12">
      <c r="A202" s="13"/>
      <c r="B202" t="s">
        <v>231</v>
      </c>
      <c r="L202" s="14"/>
    </row>
    <row r="203" spans="1:12">
      <c r="A203" s="13"/>
      <c r="B203" s="191" t="s">
        <v>225</v>
      </c>
      <c r="C203" s="64"/>
      <c r="D203" s="64"/>
      <c r="E203" s="64"/>
      <c r="F203" s="65"/>
      <c r="G203" s="191" t="s">
        <v>201</v>
      </c>
      <c r="H203" s="65"/>
      <c r="I203" s="191" t="s">
        <v>226</v>
      </c>
      <c r="J203" s="64"/>
      <c r="K203" s="65"/>
      <c r="L203" s="14"/>
    </row>
    <row r="204" spans="1:12">
      <c r="A204" s="13"/>
      <c r="B204" s="1364"/>
      <c r="C204" s="1377"/>
      <c r="D204" s="1377"/>
      <c r="E204" s="1377"/>
      <c r="F204" s="1375"/>
      <c r="G204" s="1364"/>
      <c r="H204" s="1375"/>
      <c r="I204" s="1364"/>
      <c r="J204" s="1377"/>
      <c r="K204" s="1375"/>
      <c r="L204" s="14"/>
    </row>
    <row r="205" spans="1:12">
      <c r="A205" s="13"/>
      <c r="B205" s="1364"/>
      <c r="C205" s="1377"/>
      <c r="D205" s="1377"/>
      <c r="E205" s="1377"/>
      <c r="F205" s="1375"/>
      <c r="G205" s="1364"/>
      <c r="H205" s="1375"/>
      <c r="I205" s="1364"/>
      <c r="J205" s="1377"/>
      <c r="K205" s="1375"/>
      <c r="L205" s="14"/>
    </row>
    <row r="206" spans="1:12">
      <c r="A206" s="13"/>
      <c r="B206" s="1364"/>
      <c r="C206" s="1377"/>
      <c r="D206" s="1377"/>
      <c r="E206" s="1377"/>
      <c r="F206" s="1375"/>
      <c r="G206" s="1364"/>
      <c r="H206" s="1375"/>
      <c r="I206" s="1364"/>
      <c r="J206" s="1377"/>
      <c r="K206" s="1375"/>
      <c r="L206" s="14"/>
    </row>
    <row r="207" spans="1:12" ht="27.95" customHeight="1">
      <c r="A207" s="13"/>
      <c r="B207" s="1364"/>
      <c r="C207" s="1377"/>
      <c r="D207" s="1377"/>
      <c r="E207" s="1377"/>
      <c r="F207" s="1375"/>
      <c r="G207" s="1364"/>
      <c r="H207" s="1375"/>
      <c r="I207" s="1364"/>
      <c r="J207" s="1377"/>
      <c r="K207" s="1375"/>
      <c r="L207" s="14"/>
    </row>
    <row r="208" spans="1:12" ht="27.95" customHeight="1">
      <c r="A208" s="13"/>
      <c r="L208" s="14"/>
    </row>
    <row r="209" spans="1:12" ht="27.95" customHeight="1">
      <c r="A209" s="13"/>
      <c r="B209" t="s">
        <v>198</v>
      </c>
      <c r="C209" s="289" t="e">
        <f>'04-221Master'!#REF!</f>
        <v>#REF!</v>
      </c>
      <c r="I209" t="s">
        <v>227</v>
      </c>
      <c r="L209" s="14"/>
    </row>
    <row r="210" spans="1:12" ht="27.95" customHeight="1">
      <c r="A210" s="13"/>
      <c r="F210" s="179" t="s">
        <v>193</v>
      </c>
      <c r="L210" s="14"/>
    </row>
    <row r="211" spans="1:12" ht="27.95" customHeight="1">
      <c r="A211" s="13" t="s">
        <v>194</v>
      </c>
      <c r="K211" s="229" t="e">
        <f>'04-221Master'!#REF!</f>
        <v>#REF!</v>
      </c>
      <c r="L211" s="14"/>
    </row>
    <row r="212" spans="1:12" ht="27.95" customHeight="1">
      <c r="A212" s="13" t="s">
        <v>195</v>
      </c>
      <c r="L212" s="14"/>
    </row>
    <row r="213" spans="1:12" ht="27.95" customHeight="1">
      <c r="A213" s="13"/>
      <c r="L213" s="14"/>
    </row>
    <row r="214" spans="1:12" ht="27.95" customHeight="1">
      <c r="A214" s="13"/>
      <c r="F214" t="s">
        <v>196</v>
      </c>
      <c r="L214" s="14"/>
    </row>
    <row r="215" spans="1:12" ht="27.95" customHeight="1">
      <c r="A215" s="13" t="s">
        <v>197</v>
      </c>
      <c r="B215" t="s">
        <v>361</v>
      </c>
      <c r="F215" t="str">
        <f>'04-221Master'!F5</f>
        <v>Burgeon IT Services Pvt.Ltd.</v>
      </c>
      <c r="L215" s="14"/>
    </row>
    <row r="216" spans="1:12" ht="27.95" customHeight="1" thickBot="1">
      <c r="A216" s="25" t="s">
        <v>198</v>
      </c>
      <c r="B216" s="292" t="e">
        <f>'04-221Master'!#REF!</f>
        <v>#REF!</v>
      </c>
      <c r="C216" s="23"/>
      <c r="D216" s="23"/>
      <c r="E216" s="23"/>
      <c r="F216" s="23" t="str">
        <f>'04-221Master'!F6</f>
        <v>Siri Mansion LIGB 436 Dr.A S Rao Nagar,Hyderabad</v>
      </c>
      <c r="G216" s="23"/>
      <c r="H216" s="23"/>
      <c r="I216" s="23"/>
      <c r="J216" s="23"/>
      <c r="K216" s="23"/>
      <c r="L216" s="24"/>
    </row>
    <row r="217" spans="1:12" ht="27.95" customHeight="1">
      <c r="A217" s="74"/>
      <c r="B217" s="75"/>
      <c r="C217" s="75"/>
      <c r="D217" s="184"/>
      <c r="E217" s="184"/>
      <c r="F217" s="184"/>
      <c r="G217" s="184"/>
      <c r="H217" s="184"/>
      <c r="I217" s="184"/>
      <c r="J217" s="75"/>
      <c r="K217" s="186" t="s">
        <v>212</v>
      </c>
      <c r="L217" s="185"/>
    </row>
    <row r="218" spans="1:12" ht="27.95" customHeight="1">
      <c r="A218" s="13"/>
      <c r="B218" s="1386" t="s">
        <v>211</v>
      </c>
      <c r="C218" s="1386"/>
      <c r="D218" s="1386"/>
      <c r="E218" s="1386"/>
      <c r="F218" s="1386"/>
      <c r="G218" s="1386"/>
      <c r="H218" s="1386"/>
      <c r="I218" s="1386"/>
      <c r="J218" s="1386"/>
      <c r="K218" s="1386"/>
      <c r="L218" s="1387"/>
    </row>
    <row r="219" spans="1:12" ht="27.95" customHeight="1">
      <c r="A219" s="13"/>
      <c r="B219" s="1356" t="s">
        <v>213</v>
      </c>
      <c r="C219" s="1356"/>
      <c r="D219" s="1356"/>
      <c r="E219" s="1356"/>
      <c r="F219" s="1356"/>
      <c r="G219" s="1356"/>
      <c r="H219" s="1356"/>
      <c r="I219" s="1356"/>
      <c r="J219" s="1356"/>
      <c r="K219" s="1356"/>
      <c r="L219" s="1388"/>
    </row>
    <row r="220" spans="1:12" ht="27.95" customHeight="1">
      <c r="A220" s="13"/>
      <c r="B220" s="187" t="s">
        <v>214</v>
      </c>
      <c r="C220" s="187"/>
      <c r="D220" s="187"/>
      <c r="E220" s="187"/>
      <c r="F220" s="187"/>
      <c r="H220" s="188"/>
      <c r="I220" s="188"/>
      <c r="J220" s="188"/>
      <c r="K220" s="188"/>
      <c r="L220" s="196"/>
    </row>
    <row r="221" spans="1:12" ht="27.95" customHeight="1">
      <c r="A221" s="13"/>
      <c r="B221" s="187"/>
      <c r="C221" s="187"/>
      <c r="D221" s="187"/>
      <c r="E221" s="187"/>
      <c r="F221" s="187"/>
      <c r="H221" s="188"/>
      <c r="I221" s="188"/>
      <c r="J221" s="188"/>
      <c r="K221" s="188"/>
      <c r="L221" s="196"/>
    </row>
    <row r="222" spans="1:12" ht="27.95" customHeight="1">
      <c r="A222" s="13"/>
      <c r="B222" s="1369" t="s">
        <v>184</v>
      </c>
      <c r="C222" s="1369"/>
      <c r="D222" s="1369"/>
      <c r="E222" s="1369"/>
      <c r="F222" s="1369"/>
      <c r="G222" s="1369"/>
      <c r="H222" s="1372" t="e">
        <f>'04-221Master'!#REF!</f>
        <v>#REF!</v>
      </c>
      <c r="I222" s="1371"/>
      <c r="J222" s="1371"/>
      <c r="K222" s="1371"/>
      <c r="L222" s="1151"/>
    </row>
    <row r="223" spans="1:12" ht="27.95" customHeight="1">
      <c r="A223" s="13"/>
      <c r="B223" s="1373" t="s">
        <v>185</v>
      </c>
      <c r="C223" s="1373"/>
      <c r="D223" s="1373"/>
      <c r="E223" s="1373"/>
      <c r="F223" s="1373"/>
      <c r="G223" s="1373"/>
      <c r="H223" s="1372" t="e">
        <f>'04-221Master'!#REF!</f>
        <v>#REF!</v>
      </c>
      <c r="I223" s="1371"/>
      <c r="J223" s="1371"/>
      <c r="K223" s="1371"/>
      <c r="L223" s="1151"/>
    </row>
    <row r="224" spans="1:12" ht="27.95" customHeight="1">
      <c r="A224" s="13"/>
      <c r="B224" s="1369" t="s">
        <v>186</v>
      </c>
      <c r="C224" s="1369"/>
      <c r="D224" s="1369"/>
      <c r="E224" s="1369"/>
      <c r="F224" s="1369"/>
      <c r="G224" s="1369"/>
      <c r="H224" s="1372" t="e">
        <f>'04-221Master'!#REF!</f>
        <v>#REF!</v>
      </c>
      <c r="I224" s="1371"/>
      <c r="J224" s="1371"/>
      <c r="K224" s="1371"/>
      <c r="L224" s="1151"/>
    </row>
    <row r="225" spans="1:12">
      <c r="A225" s="13"/>
      <c r="B225" s="1369" t="s">
        <v>187</v>
      </c>
      <c r="C225" s="1369"/>
      <c r="D225" s="1369"/>
      <c r="E225" s="1369"/>
      <c r="F225" s="1369"/>
      <c r="G225" s="1369"/>
      <c r="H225" s="1374" t="e">
        <f>'04-221Master'!#REF!</f>
        <v>#REF!</v>
      </c>
      <c r="I225" s="1371"/>
      <c r="J225" s="1371"/>
      <c r="K225" s="1371"/>
      <c r="L225" s="1151"/>
    </row>
    <row r="226" spans="1:12">
      <c r="A226" s="13"/>
      <c r="B226" s="86" t="s">
        <v>188</v>
      </c>
      <c r="C226" s="87"/>
      <c r="D226" s="87"/>
      <c r="E226" s="87"/>
      <c r="F226" s="87"/>
      <c r="G226" s="87"/>
      <c r="H226" s="1366" t="s">
        <v>189</v>
      </c>
      <c r="I226" s="1367"/>
      <c r="J226" s="1367"/>
      <c r="K226" s="1367"/>
      <c r="L226" s="1368"/>
    </row>
    <row r="227" spans="1:12">
      <c r="A227" s="13"/>
      <c r="B227" s="86" t="s">
        <v>190</v>
      </c>
      <c r="C227" s="87"/>
      <c r="D227" s="87"/>
      <c r="E227" s="87"/>
      <c r="F227" s="87"/>
      <c r="G227" s="87"/>
      <c r="H227" s="88"/>
      <c r="I227" s="90"/>
      <c r="J227" s="178"/>
      <c r="K227" s="90"/>
      <c r="L227" s="95"/>
    </row>
    <row r="228" spans="1:12">
      <c r="A228" s="13"/>
      <c r="B228" s="1161" t="s">
        <v>191</v>
      </c>
      <c r="C228" s="1161"/>
      <c r="D228" s="1161"/>
      <c r="E228" s="1161"/>
      <c r="F228" s="1161"/>
      <c r="G228" s="1161"/>
      <c r="H228" s="1154" t="e">
        <f>'04-221Master'!#REF!</f>
        <v>#REF!</v>
      </c>
      <c r="I228" s="1155"/>
      <c r="J228" s="1155"/>
      <c r="K228" s="1155"/>
      <c r="L228" s="1156"/>
    </row>
    <row r="229" spans="1:12">
      <c r="A229" s="13"/>
      <c r="B229" s="1369"/>
      <c r="C229" s="1369"/>
      <c r="D229" s="1369"/>
      <c r="E229" s="1369"/>
      <c r="F229" s="1369"/>
      <c r="G229" s="1369"/>
      <c r="H229" s="1370" t="e">
        <f>'04-221Master'!#REF!</f>
        <v>#REF!</v>
      </c>
      <c r="I229" s="1371"/>
      <c r="J229" s="1371"/>
      <c r="K229" s="1371"/>
      <c r="L229" s="1151"/>
    </row>
    <row r="230" spans="1:12">
      <c r="A230" s="13"/>
      <c r="B230" s="1369"/>
      <c r="C230" s="1369"/>
      <c r="D230" s="1369"/>
      <c r="E230" s="1369"/>
      <c r="F230" s="1369"/>
      <c r="G230" s="1369"/>
      <c r="H230" s="1372" t="e">
        <f>'04-221Master'!#REF!</f>
        <v>#REF!</v>
      </c>
      <c r="I230" s="1371"/>
      <c r="J230" s="1371"/>
      <c r="K230" s="1371"/>
      <c r="L230" s="1151"/>
    </row>
    <row r="231" spans="1:12">
      <c r="A231" s="13"/>
      <c r="G231" s="2" t="s">
        <v>215</v>
      </c>
      <c r="H231" s="2"/>
      <c r="I231" s="2"/>
      <c r="J231" s="2"/>
      <c r="K231" s="2"/>
      <c r="L231" s="81"/>
    </row>
    <row r="232" spans="1:12">
      <c r="A232" s="13"/>
      <c r="B232" s="180" t="s">
        <v>199</v>
      </c>
      <c r="C232" s="176"/>
      <c r="D232" s="176"/>
      <c r="E232" s="176"/>
      <c r="F232" s="176"/>
      <c r="G232" s="176"/>
      <c r="H232" s="165"/>
      <c r="I232" s="165"/>
      <c r="J232" s="165"/>
      <c r="K232" s="165"/>
      <c r="L232" s="183"/>
    </row>
    <row r="233" spans="1:12">
      <c r="A233" s="13"/>
      <c r="B233" s="180" t="s">
        <v>200</v>
      </c>
      <c r="C233" s="176"/>
      <c r="D233" s="176"/>
      <c r="E233" s="176"/>
      <c r="F233" s="176"/>
      <c r="G233" s="176"/>
      <c r="H233" s="165"/>
      <c r="I233" s="165"/>
      <c r="J233" s="166"/>
      <c r="K233" s="165"/>
      <c r="L233" s="183"/>
    </row>
    <row r="234" spans="1:12" ht="45">
      <c r="A234" s="85"/>
      <c r="B234" s="86" t="s">
        <v>203</v>
      </c>
      <c r="C234" s="87"/>
      <c r="D234" s="193"/>
      <c r="E234" s="171" t="s">
        <v>205</v>
      </c>
      <c r="F234" s="65"/>
      <c r="G234" s="1361" t="s">
        <v>204</v>
      </c>
      <c r="H234" s="1362"/>
      <c r="I234" s="170" t="s">
        <v>201</v>
      </c>
      <c r="J234" s="173" t="s">
        <v>206</v>
      </c>
      <c r="K234" s="1361" t="s">
        <v>202</v>
      </c>
      <c r="L234" s="1363"/>
    </row>
    <row r="235" spans="1:12">
      <c r="A235" s="85"/>
      <c r="B235" s="174">
        <v>1</v>
      </c>
      <c r="C235" s="87"/>
      <c r="D235" s="87"/>
      <c r="E235" s="177">
        <v>2</v>
      </c>
      <c r="F235" s="91"/>
      <c r="G235" s="177">
        <v>3</v>
      </c>
      <c r="H235" s="193"/>
      <c r="I235" s="193">
        <v>4</v>
      </c>
      <c r="J235" s="102">
        <v>5</v>
      </c>
      <c r="K235" s="93"/>
      <c r="L235" s="94">
        <v>6</v>
      </c>
    </row>
    <row r="236" spans="1:12">
      <c r="A236" s="85"/>
      <c r="B236" s="86" t="e">
        <f>'04-221Master'!#REF!</f>
        <v>#REF!</v>
      </c>
      <c r="C236" s="189"/>
      <c r="D236" s="190"/>
      <c r="E236" s="191" t="s">
        <v>365</v>
      </c>
      <c r="F236" s="190"/>
      <c r="G236" s="191" t="s">
        <v>363</v>
      </c>
      <c r="H236" s="65"/>
      <c r="I236" s="11" t="s">
        <v>366</v>
      </c>
      <c r="J236" s="290">
        <v>1</v>
      </c>
      <c r="K236" s="192" t="s">
        <v>37</v>
      </c>
      <c r="L236" s="197"/>
    </row>
    <row r="237" spans="1:12">
      <c r="A237" s="85"/>
      <c r="B237" s="86"/>
      <c r="C237" s="189"/>
      <c r="D237" s="190"/>
      <c r="E237" s="191"/>
      <c r="F237" s="190"/>
      <c r="G237" s="191"/>
      <c r="H237" s="65"/>
      <c r="I237" s="11"/>
      <c r="J237" s="11"/>
      <c r="K237" s="192"/>
      <c r="L237" s="197"/>
    </row>
    <row r="238" spans="1:12">
      <c r="A238" s="85"/>
      <c r="B238" s="86"/>
      <c r="C238" s="189"/>
      <c r="D238" s="190"/>
      <c r="E238" s="191"/>
      <c r="F238" s="190"/>
      <c r="G238" s="191"/>
      <c r="H238" s="65"/>
      <c r="I238" s="11"/>
      <c r="J238" s="11"/>
      <c r="K238" s="192"/>
      <c r="L238" s="197"/>
    </row>
    <row r="239" spans="1:12">
      <c r="A239" s="85"/>
      <c r="B239" s="72"/>
      <c r="C239" s="17"/>
      <c r="D239" s="73"/>
      <c r="E239" s="191"/>
      <c r="F239" s="190"/>
      <c r="G239" s="191"/>
      <c r="H239" s="65"/>
      <c r="I239" s="11"/>
      <c r="J239" s="11"/>
      <c r="K239" s="192"/>
      <c r="L239" s="197"/>
    </row>
    <row r="240" spans="1:12">
      <c r="A240" s="85"/>
      <c r="B240" t="s">
        <v>207</v>
      </c>
      <c r="L240" s="14"/>
    </row>
    <row r="241" spans="1:12">
      <c r="A241" s="13"/>
      <c r="B241" t="s">
        <v>208</v>
      </c>
      <c r="L241" s="14"/>
    </row>
    <row r="242" spans="1:12">
      <c r="A242" s="13"/>
      <c r="B242" t="s">
        <v>219</v>
      </c>
      <c r="J242" t="s">
        <v>218</v>
      </c>
      <c r="L242" s="14"/>
    </row>
    <row r="243" spans="1:12">
      <c r="A243" s="13"/>
      <c r="G243" s="2" t="s">
        <v>216</v>
      </c>
      <c r="H243" s="2"/>
      <c r="I243" s="2"/>
      <c r="J243" s="2"/>
      <c r="K243" s="2"/>
      <c r="L243" s="81"/>
    </row>
    <row r="244" spans="1:12">
      <c r="A244" s="13"/>
      <c r="B244" s="2"/>
      <c r="G244" t="s">
        <v>217</v>
      </c>
      <c r="H244" s="2"/>
      <c r="I244" s="2"/>
      <c r="J244" s="2"/>
      <c r="K244" s="2"/>
      <c r="L244" s="81"/>
    </row>
    <row r="245" spans="1:12">
      <c r="A245" s="13"/>
      <c r="B245" s="180" t="s">
        <v>220</v>
      </c>
      <c r="C245" s="176"/>
      <c r="D245" s="176"/>
      <c r="E245" s="176"/>
      <c r="F245" s="176"/>
      <c r="G245" s="176"/>
      <c r="H245" s="165"/>
      <c r="I245" s="165"/>
      <c r="J245" s="165"/>
      <c r="K245" s="165"/>
      <c r="L245" s="183"/>
    </row>
    <row r="246" spans="1:12">
      <c r="A246" s="13"/>
      <c r="B246" s="180" t="s">
        <v>221</v>
      </c>
      <c r="C246" s="176"/>
      <c r="D246" s="176"/>
      <c r="E246" s="176"/>
      <c r="F246" s="176"/>
      <c r="G246" s="176"/>
      <c r="H246" s="165"/>
      <c r="I246" s="165"/>
      <c r="J246" s="166"/>
      <c r="K246" s="165"/>
      <c r="L246" s="183"/>
    </row>
    <row r="247" spans="1:12">
      <c r="A247" s="13"/>
      <c r="B247" s="86" t="s">
        <v>5</v>
      </c>
      <c r="C247" s="1379" t="s">
        <v>222</v>
      </c>
      <c r="D247" s="1149"/>
      <c r="E247" s="1149"/>
      <c r="F247" s="1149"/>
      <c r="G247" s="1149"/>
      <c r="H247" s="1380"/>
      <c r="I247" s="172" t="s">
        <v>102</v>
      </c>
      <c r="J247" s="1381" t="s">
        <v>223</v>
      </c>
      <c r="K247" s="1382"/>
      <c r="L247" s="1383"/>
    </row>
    <row r="248" spans="1:12">
      <c r="A248" s="13"/>
      <c r="B248" s="174">
        <v>1</v>
      </c>
      <c r="C248" s="208"/>
      <c r="D248" s="90"/>
      <c r="E248" s="96">
        <v>2</v>
      </c>
      <c r="F248" s="64"/>
      <c r="G248" s="1378"/>
      <c r="H248" s="1362"/>
      <c r="I248" s="90">
        <v>3</v>
      </c>
      <c r="J248" s="195" t="s">
        <v>224</v>
      </c>
      <c r="K248" s="1384">
        <v>4</v>
      </c>
      <c r="L248" s="1385"/>
    </row>
    <row r="249" spans="1:12">
      <c r="A249" s="13"/>
      <c r="B249" s="86"/>
      <c r="C249" s="208"/>
      <c r="D249" s="90"/>
      <c r="E249" s="96"/>
      <c r="F249" s="64"/>
      <c r="G249" s="1378"/>
      <c r="H249" s="1362"/>
      <c r="I249" s="192"/>
      <c r="J249" s="194"/>
      <c r="K249" s="1378"/>
      <c r="L249" s="1363"/>
    </row>
    <row r="250" spans="1:12">
      <c r="A250" s="13"/>
      <c r="B250" s="86"/>
      <c r="C250" s="208"/>
      <c r="D250" s="90"/>
      <c r="E250" s="96"/>
      <c r="F250" s="64"/>
      <c r="G250" s="1378"/>
      <c r="H250" s="1362"/>
      <c r="I250" s="192"/>
      <c r="J250" s="194"/>
      <c r="K250" s="1378"/>
      <c r="L250" s="1363"/>
    </row>
    <row r="251" spans="1:12">
      <c r="A251" s="13"/>
      <c r="B251" s="86"/>
      <c r="C251" s="208"/>
      <c r="D251" s="90"/>
      <c r="E251" s="96"/>
      <c r="F251" s="64"/>
      <c r="G251" s="1378"/>
      <c r="H251" s="1362"/>
      <c r="I251" s="192"/>
      <c r="J251" s="194"/>
      <c r="K251" s="1378"/>
      <c r="L251" s="1363"/>
    </row>
    <row r="252" spans="1:12">
      <c r="A252" s="13"/>
      <c r="B252" s="72"/>
      <c r="C252" s="208"/>
      <c r="D252" s="90"/>
      <c r="E252" s="96"/>
      <c r="F252" s="64"/>
      <c r="G252" s="1378"/>
      <c r="H252" s="1362"/>
      <c r="I252" s="192"/>
      <c r="J252" s="194"/>
      <c r="K252" s="1378"/>
      <c r="L252" s="1363"/>
    </row>
    <row r="253" spans="1:12">
      <c r="A253" s="13"/>
      <c r="B253" t="s">
        <v>228</v>
      </c>
      <c r="L253" s="14"/>
    </row>
    <row r="254" spans="1:12">
      <c r="A254" s="13"/>
      <c r="B254" t="s">
        <v>229</v>
      </c>
      <c r="L254" s="14"/>
    </row>
    <row r="255" spans="1:12">
      <c r="A255" s="13"/>
      <c r="B255" t="s">
        <v>230</v>
      </c>
      <c r="L255" s="14"/>
    </row>
    <row r="256" spans="1:12">
      <c r="A256" s="13"/>
      <c r="B256" t="s">
        <v>231</v>
      </c>
      <c r="L256" s="14"/>
    </row>
    <row r="257" spans="1:12">
      <c r="A257" s="13"/>
      <c r="B257" s="191" t="s">
        <v>225</v>
      </c>
      <c r="C257" s="64"/>
      <c r="D257" s="64"/>
      <c r="E257" s="64"/>
      <c r="F257" s="65"/>
      <c r="G257" s="191" t="s">
        <v>201</v>
      </c>
      <c r="H257" s="65"/>
      <c r="I257" s="191" t="s">
        <v>226</v>
      </c>
      <c r="J257" s="64"/>
      <c r="K257" s="65"/>
      <c r="L257" s="14"/>
    </row>
    <row r="258" spans="1:12">
      <c r="A258" s="13"/>
      <c r="B258" s="1364"/>
      <c r="C258" s="1377"/>
      <c r="D258" s="1377"/>
      <c r="E258" s="1377"/>
      <c r="F258" s="1375"/>
      <c r="G258" s="1364"/>
      <c r="H258" s="1375"/>
      <c r="I258" s="1364"/>
      <c r="J258" s="1377"/>
      <c r="K258" s="1375"/>
      <c r="L258" s="14"/>
    </row>
    <row r="259" spans="1:12">
      <c r="A259" s="13"/>
      <c r="B259" s="1364"/>
      <c r="C259" s="1377"/>
      <c r="D259" s="1377"/>
      <c r="E259" s="1377"/>
      <c r="F259" s="1375"/>
      <c r="G259" s="1364"/>
      <c r="H259" s="1375"/>
      <c r="I259" s="1364"/>
      <c r="J259" s="1377"/>
      <c r="K259" s="1375"/>
      <c r="L259" s="14"/>
    </row>
    <row r="260" spans="1:12" ht="27.95" customHeight="1">
      <c r="A260" s="13"/>
      <c r="B260" s="1364"/>
      <c r="C260" s="1377"/>
      <c r="D260" s="1377"/>
      <c r="E260" s="1377"/>
      <c r="F260" s="1375"/>
      <c r="G260" s="1364"/>
      <c r="H260" s="1375"/>
      <c r="I260" s="1364"/>
      <c r="J260" s="1377"/>
      <c r="K260" s="1375"/>
      <c r="L260" s="14"/>
    </row>
    <row r="261" spans="1:12" ht="27.95" customHeight="1">
      <c r="A261" s="13"/>
      <c r="B261" s="1364"/>
      <c r="C261" s="1377"/>
      <c r="D261" s="1377"/>
      <c r="E261" s="1377"/>
      <c r="F261" s="1375"/>
      <c r="G261" s="1364"/>
      <c r="H261" s="1375"/>
      <c r="I261" s="1364"/>
      <c r="J261" s="1377"/>
      <c r="K261" s="1375"/>
      <c r="L261" s="14"/>
    </row>
    <row r="262" spans="1:12" ht="27.95" customHeight="1">
      <c r="A262" s="13"/>
      <c r="L262" s="14"/>
    </row>
    <row r="263" spans="1:12" ht="27.95" customHeight="1">
      <c r="A263" s="13"/>
      <c r="B263" t="s">
        <v>198</v>
      </c>
      <c r="C263" s="289" t="e">
        <f>'04-221Master'!#REF!</f>
        <v>#REF!</v>
      </c>
      <c r="I263" t="s">
        <v>227</v>
      </c>
      <c r="L263" s="14"/>
    </row>
    <row r="264" spans="1:12" ht="27.95" customHeight="1">
      <c r="A264" s="13"/>
      <c r="F264" s="179" t="s">
        <v>193</v>
      </c>
      <c r="L264" s="14"/>
    </row>
    <row r="265" spans="1:12" ht="27.95" customHeight="1">
      <c r="A265" s="13" t="s">
        <v>194</v>
      </c>
      <c r="K265" s="229" t="e">
        <f>'04-221Master'!#REF!</f>
        <v>#REF!</v>
      </c>
      <c r="L265" s="14"/>
    </row>
    <row r="266" spans="1:12" ht="27.95" customHeight="1">
      <c r="A266" s="13" t="s">
        <v>195</v>
      </c>
      <c r="L266" s="14"/>
    </row>
    <row r="267" spans="1:12" ht="27.95" customHeight="1">
      <c r="A267" s="13"/>
      <c r="L267" s="14"/>
    </row>
    <row r="268" spans="1:12" ht="27.95" customHeight="1">
      <c r="A268" s="13"/>
      <c r="F268" t="s">
        <v>196</v>
      </c>
      <c r="L268" s="14"/>
    </row>
    <row r="269" spans="1:12" ht="27.95" customHeight="1">
      <c r="A269" s="13" t="s">
        <v>197</v>
      </c>
      <c r="B269" t="s">
        <v>361</v>
      </c>
      <c r="F269" s="249" t="str">
        <f>'04-221Master'!F5</f>
        <v>Burgeon IT Services Pvt.Ltd.</v>
      </c>
      <c r="L269" s="14"/>
    </row>
    <row r="270" spans="1:12" ht="27.95" customHeight="1" thickBot="1">
      <c r="A270" s="25" t="s">
        <v>198</v>
      </c>
      <c r="B270" s="292" t="e">
        <f>'04-221Master'!#REF!</f>
        <v>#REF!</v>
      </c>
      <c r="C270" s="23"/>
      <c r="D270" s="23"/>
      <c r="E270" s="23"/>
      <c r="F270" s="23" t="str">
        <f>'04-221Master'!F6</f>
        <v>Siri Mansion LIGB 436 Dr.A S Rao Nagar,Hyderabad</v>
      </c>
      <c r="G270" s="23"/>
      <c r="H270" s="23"/>
      <c r="I270" s="23"/>
      <c r="J270" s="23"/>
      <c r="K270" s="23"/>
      <c r="L270" s="24"/>
    </row>
    <row r="271" spans="1:12" ht="27.95" customHeight="1">
      <c r="A271" s="74"/>
      <c r="B271" s="75"/>
      <c r="C271" s="75"/>
      <c r="D271" s="184"/>
      <c r="E271" s="184"/>
      <c r="F271" s="184"/>
      <c r="G271" s="184"/>
      <c r="H271" s="184"/>
      <c r="I271" s="184"/>
      <c r="J271" s="75"/>
      <c r="K271" s="186" t="s">
        <v>212</v>
      </c>
      <c r="L271" s="185"/>
    </row>
    <row r="272" spans="1:12" ht="27.95" customHeight="1">
      <c r="A272" s="13"/>
      <c r="B272" s="1386" t="s">
        <v>211</v>
      </c>
      <c r="C272" s="1386"/>
      <c r="D272" s="1386"/>
      <c r="E272" s="1386"/>
      <c r="F272" s="1386"/>
      <c r="G272" s="1386"/>
      <c r="H272" s="1386"/>
      <c r="I272" s="1386"/>
      <c r="J272" s="1386"/>
      <c r="K272" s="1386"/>
      <c r="L272" s="1387"/>
    </row>
    <row r="273" spans="1:12" ht="27.95" customHeight="1">
      <c r="A273" s="13"/>
      <c r="B273" s="1356" t="s">
        <v>213</v>
      </c>
      <c r="C273" s="1356"/>
      <c r="D273" s="1356"/>
      <c r="E273" s="1356"/>
      <c r="F273" s="1356"/>
      <c r="G273" s="1356"/>
      <c r="H273" s="1356"/>
      <c r="I273" s="1356"/>
      <c r="J273" s="1356"/>
      <c r="K273" s="1356"/>
      <c r="L273" s="1388"/>
    </row>
    <row r="274" spans="1:12" ht="27.95" customHeight="1">
      <c r="A274" s="13"/>
      <c r="B274" s="187" t="s">
        <v>214</v>
      </c>
      <c r="C274" s="187"/>
      <c r="D274" s="187"/>
      <c r="E274" s="187"/>
      <c r="F274" s="187"/>
      <c r="H274" s="188"/>
      <c r="I274" s="188"/>
      <c r="J274" s="188"/>
      <c r="K274" s="188"/>
      <c r="L274" s="196"/>
    </row>
    <row r="275" spans="1:12" ht="27.95" customHeight="1">
      <c r="A275" s="13"/>
      <c r="B275" s="1369" t="s">
        <v>184</v>
      </c>
      <c r="C275" s="1369"/>
      <c r="D275" s="1369"/>
      <c r="E275" s="1369"/>
      <c r="F275" s="1369"/>
      <c r="G275" s="1369"/>
      <c r="H275" s="1372" t="e">
        <f>'04-221Master'!#REF!</f>
        <v>#REF!</v>
      </c>
      <c r="I275" s="1371"/>
      <c r="J275" s="1371"/>
      <c r="K275" s="1371"/>
      <c r="L275" s="1151"/>
    </row>
    <row r="276" spans="1:12" ht="27.95" customHeight="1">
      <c r="A276" s="13"/>
      <c r="B276" s="1373" t="s">
        <v>185</v>
      </c>
      <c r="C276" s="1373"/>
      <c r="D276" s="1373"/>
      <c r="E276" s="1373"/>
      <c r="F276" s="1373"/>
      <c r="G276" s="1373"/>
      <c r="H276" s="1372" t="e">
        <f>'04-221Master'!#REF!</f>
        <v>#REF!</v>
      </c>
      <c r="I276" s="1371"/>
      <c r="J276" s="1371"/>
      <c r="K276" s="1371"/>
      <c r="L276" s="1151"/>
    </row>
    <row r="277" spans="1:12">
      <c r="A277" s="13"/>
      <c r="B277" s="1369" t="s">
        <v>186</v>
      </c>
      <c r="C277" s="1369"/>
      <c r="D277" s="1369"/>
      <c r="E277" s="1369"/>
      <c r="F277" s="1369"/>
      <c r="G277" s="1369"/>
      <c r="H277" s="1372" t="e">
        <f>'04-221Master'!#REF!</f>
        <v>#REF!</v>
      </c>
      <c r="I277" s="1371"/>
      <c r="J277" s="1371"/>
      <c r="K277" s="1371"/>
      <c r="L277" s="1151"/>
    </row>
    <row r="278" spans="1:12">
      <c r="A278" s="13"/>
      <c r="B278" s="1369" t="s">
        <v>187</v>
      </c>
      <c r="C278" s="1369"/>
      <c r="D278" s="1369"/>
      <c r="E278" s="1369"/>
      <c r="F278" s="1369"/>
      <c r="G278" s="1369"/>
      <c r="H278" s="1374" t="e">
        <f>'04-221Master'!#REF!</f>
        <v>#REF!</v>
      </c>
      <c r="I278" s="1371"/>
      <c r="J278" s="1371"/>
      <c r="K278" s="1371"/>
      <c r="L278" s="1151"/>
    </row>
    <row r="279" spans="1:12">
      <c r="A279" s="13"/>
      <c r="B279" s="86" t="s">
        <v>188</v>
      </c>
      <c r="C279" s="87"/>
      <c r="D279" s="87"/>
      <c r="E279" s="87"/>
      <c r="F279" s="87"/>
      <c r="G279" s="87"/>
      <c r="H279" s="1366" t="s">
        <v>189</v>
      </c>
      <c r="I279" s="1367"/>
      <c r="J279" s="1367"/>
      <c r="K279" s="1367"/>
      <c r="L279" s="1368"/>
    </row>
    <row r="280" spans="1:12">
      <c r="A280" s="13"/>
      <c r="B280" s="86" t="s">
        <v>190</v>
      </c>
      <c r="C280" s="87"/>
      <c r="D280" s="87"/>
      <c r="E280" s="87"/>
      <c r="F280" s="87"/>
      <c r="G280" s="87"/>
      <c r="H280" s="88"/>
      <c r="I280" s="90"/>
      <c r="J280" s="178"/>
      <c r="K280" s="90"/>
      <c r="L280" s="95"/>
    </row>
    <row r="281" spans="1:12">
      <c r="A281" s="13"/>
      <c r="B281" s="1161" t="s">
        <v>191</v>
      </c>
      <c r="C281" s="1161"/>
      <c r="D281" s="1161"/>
      <c r="E281" s="1161"/>
      <c r="F281" s="1161"/>
      <c r="G281" s="1161"/>
      <c r="H281" s="1154" t="e">
        <f>'04-221Master'!#REF!</f>
        <v>#REF!</v>
      </c>
      <c r="I281" s="1155"/>
      <c r="J281" s="1155"/>
      <c r="K281" s="1155"/>
      <c r="L281" s="1156"/>
    </row>
    <row r="282" spans="1:12">
      <c r="A282" s="13"/>
      <c r="B282" s="1369"/>
      <c r="C282" s="1369"/>
      <c r="D282" s="1369"/>
      <c r="E282" s="1369"/>
      <c r="F282" s="1369"/>
      <c r="G282" s="1369"/>
      <c r="H282" s="1370" t="e">
        <f>'04-221Master'!#REF!</f>
        <v>#REF!</v>
      </c>
      <c r="I282" s="1371"/>
      <c r="J282" s="1371"/>
      <c r="K282" s="1371"/>
      <c r="L282" s="1151"/>
    </row>
    <row r="283" spans="1:12">
      <c r="A283" s="13"/>
      <c r="B283" s="1369"/>
      <c r="C283" s="1369"/>
      <c r="D283" s="1369"/>
      <c r="E283" s="1369"/>
      <c r="F283" s="1369"/>
      <c r="G283" s="1369"/>
      <c r="H283" s="1372" t="e">
        <f>'04-221Master'!#REF!</f>
        <v>#REF!</v>
      </c>
      <c r="I283" s="1371"/>
      <c r="J283" s="1371"/>
      <c r="K283" s="1371"/>
      <c r="L283" s="1151"/>
    </row>
    <row r="284" spans="1:12">
      <c r="A284" s="13"/>
      <c r="G284" s="2" t="s">
        <v>215</v>
      </c>
      <c r="H284" s="2"/>
      <c r="I284" s="2"/>
      <c r="J284" s="2"/>
      <c r="K284" s="2"/>
      <c r="L284" s="81"/>
    </row>
    <row r="285" spans="1:12">
      <c r="A285" s="13"/>
      <c r="B285" s="180" t="s">
        <v>199</v>
      </c>
      <c r="C285" s="176"/>
      <c r="D285" s="176"/>
      <c r="E285" s="176"/>
      <c r="F285" s="176"/>
      <c r="G285" s="176"/>
      <c r="H285" s="165"/>
      <c r="I285" s="165"/>
      <c r="J285" s="165"/>
      <c r="K285" s="165"/>
      <c r="L285" s="183"/>
    </row>
    <row r="286" spans="1:12">
      <c r="A286" s="13"/>
      <c r="B286" s="180" t="s">
        <v>200</v>
      </c>
      <c r="C286" s="176"/>
      <c r="D286" s="176"/>
      <c r="E286" s="176"/>
      <c r="F286" s="176"/>
      <c r="G286" s="176"/>
      <c r="H286" s="165"/>
      <c r="I286" s="165"/>
      <c r="J286" s="166"/>
      <c r="K286" s="165"/>
      <c r="L286" s="183"/>
    </row>
    <row r="287" spans="1:12" ht="45">
      <c r="A287" s="85"/>
      <c r="B287" s="86" t="s">
        <v>203</v>
      </c>
      <c r="C287" s="87"/>
      <c r="D287" s="193"/>
      <c r="E287" s="171" t="s">
        <v>205</v>
      </c>
      <c r="F287" s="65"/>
      <c r="G287" s="1361" t="s">
        <v>204</v>
      </c>
      <c r="H287" s="1362"/>
      <c r="I287" s="170" t="s">
        <v>201</v>
      </c>
      <c r="J287" s="173" t="s">
        <v>206</v>
      </c>
      <c r="K287" s="1361" t="s">
        <v>202</v>
      </c>
      <c r="L287" s="1363"/>
    </row>
    <row r="288" spans="1:12">
      <c r="A288" s="85"/>
      <c r="B288" s="174">
        <v>1</v>
      </c>
      <c r="C288" s="87"/>
      <c r="D288" s="87"/>
      <c r="E288" s="177">
        <v>2</v>
      </c>
      <c r="F288" s="91"/>
      <c r="G288" s="177">
        <v>3</v>
      </c>
      <c r="H288" s="193"/>
      <c r="I288" s="193">
        <v>4</v>
      </c>
      <c r="J288" s="102">
        <v>5</v>
      </c>
      <c r="K288" s="93"/>
      <c r="L288" s="94">
        <v>6</v>
      </c>
    </row>
    <row r="289" spans="1:12">
      <c r="A289" s="85"/>
      <c r="B289" s="86" t="e">
        <f>'04-221Master'!#REF!</f>
        <v>#REF!</v>
      </c>
      <c r="C289" s="189"/>
      <c r="D289" s="190"/>
      <c r="E289" s="191" t="s">
        <v>365</v>
      </c>
      <c r="F289" s="190"/>
      <c r="G289" s="191" t="s">
        <v>363</v>
      </c>
      <c r="H289" s="65"/>
      <c r="I289" s="11" t="s">
        <v>366</v>
      </c>
      <c r="J289" s="290">
        <v>1</v>
      </c>
      <c r="K289" s="192" t="s">
        <v>37</v>
      </c>
      <c r="L289" s="197"/>
    </row>
    <row r="290" spans="1:12">
      <c r="A290" s="85"/>
      <c r="B290" s="86"/>
      <c r="C290" s="189"/>
      <c r="D290" s="190"/>
      <c r="E290" s="191"/>
      <c r="F290" s="190"/>
      <c r="G290" s="191"/>
      <c r="H290" s="65"/>
      <c r="I290" s="11"/>
      <c r="J290" s="11"/>
      <c r="K290" s="192"/>
      <c r="L290" s="197"/>
    </row>
    <row r="291" spans="1:12">
      <c r="A291" s="85"/>
      <c r="B291" s="86"/>
      <c r="C291" s="189"/>
      <c r="D291" s="190"/>
      <c r="E291" s="191"/>
      <c r="F291" s="190"/>
      <c r="G291" s="191"/>
      <c r="H291" s="65"/>
      <c r="I291" s="11"/>
      <c r="J291" s="11"/>
      <c r="K291" s="192"/>
      <c r="L291" s="197"/>
    </row>
    <row r="292" spans="1:12">
      <c r="A292" s="85"/>
      <c r="B292" s="72"/>
      <c r="C292" s="17"/>
      <c r="D292" s="73"/>
      <c r="E292" s="191"/>
      <c r="F292" s="190"/>
      <c r="G292" s="191"/>
      <c r="H292" s="65"/>
      <c r="I292" s="11"/>
      <c r="J292" s="11"/>
      <c r="K292" s="192"/>
      <c r="L292" s="197"/>
    </row>
    <row r="293" spans="1:12">
      <c r="A293" s="85"/>
      <c r="B293" t="s">
        <v>207</v>
      </c>
      <c r="L293" s="14"/>
    </row>
    <row r="294" spans="1:12">
      <c r="A294" s="13"/>
      <c r="B294" t="s">
        <v>208</v>
      </c>
      <c r="L294" s="14"/>
    </row>
    <row r="295" spans="1:12">
      <c r="A295" s="13"/>
      <c r="B295" t="s">
        <v>219</v>
      </c>
      <c r="J295" t="s">
        <v>218</v>
      </c>
      <c r="L295" s="14"/>
    </row>
    <row r="296" spans="1:12">
      <c r="A296" s="13"/>
      <c r="G296" s="2" t="s">
        <v>216</v>
      </c>
      <c r="H296" s="2"/>
      <c r="I296" s="2"/>
      <c r="J296" s="2"/>
      <c r="K296" s="2"/>
      <c r="L296" s="81"/>
    </row>
    <row r="297" spans="1:12">
      <c r="A297" s="13"/>
      <c r="B297" s="2"/>
      <c r="G297" t="s">
        <v>217</v>
      </c>
      <c r="H297" s="2"/>
      <c r="I297" s="2"/>
      <c r="J297" s="2"/>
      <c r="K297" s="2"/>
      <c r="L297" s="81"/>
    </row>
    <row r="298" spans="1:12">
      <c r="A298" s="13"/>
      <c r="B298" s="180" t="s">
        <v>220</v>
      </c>
      <c r="C298" s="176"/>
      <c r="D298" s="176"/>
      <c r="E298" s="176"/>
      <c r="F298" s="176"/>
      <c r="G298" s="176"/>
      <c r="H298" s="165"/>
      <c r="I298" s="165"/>
      <c r="J298" s="165"/>
      <c r="K298" s="165"/>
      <c r="L298" s="183"/>
    </row>
    <row r="299" spans="1:12">
      <c r="A299" s="13"/>
      <c r="B299" s="180" t="s">
        <v>221</v>
      </c>
      <c r="C299" s="176"/>
      <c r="D299" s="176"/>
      <c r="E299" s="176"/>
      <c r="F299" s="176"/>
      <c r="G299" s="176"/>
      <c r="H299" s="165"/>
      <c r="I299" s="165"/>
      <c r="J299" s="166"/>
      <c r="K299" s="165"/>
      <c r="L299" s="183"/>
    </row>
    <row r="300" spans="1:12">
      <c r="A300" s="13"/>
      <c r="B300" s="86" t="s">
        <v>5</v>
      </c>
      <c r="C300" s="1379" t="s">
        <v>222</v>
      </c>
      <c r="D300" s="1149"/>
      <c r="E300" s="1149"/>
      <c r="F300" s="1149"/>
      <c r="G300" s="1149"/>
      <c r="H300" s="1380"/>
      <c r="I300" s="172" t="s">
        <v>102</v>
      </c>
      <c r="J300" s="1381" t="s">
        <v>223</v>
      </c>
      <c r="K300" s="1382"/>
      <c r="L300" s="1383"/>
    </row>
    <row r="301" spans="1:12">
      <c r="A301" s="13"/>
      <c r="B301" s="174">
        <v>1</v>
      </c>
      <c r="C301" s="208"/>
      <c r="D301" s="90"/>
      <c r="E301" s="96">
        <v>2</v>
      </c>
      <c r="F301" s="64"/>
      <c r="G301" s="1378"/>
      <c r="H301" s="1362"/>
      <c r="I301" s="90">
        <v>3</v>
      </c>
      <c r="J301" s="195" t="s">
        <v>224</v>
      </c>
      <c r="K301" s="1384">
        <v>4</v>
      </c>
      <c r="L301" s="1385"/>
    </row>
    <row r="302" spans="1:12">
      <c r="A302" s="13"/>
      <c r="B302" s="86"/>
      <c r="C302" s="208"/>
      <c r="D302" s="90"/>
      <c r="E302" s="96"/>
      <c r="F302" s="64"/>
      <c r="G302" s="1378"/>
      <c r="H302" s="1362"/>
      <c r="I302" s="192"/>
      <c r="J302" s="194"/>
      <c r="K302" s="1378"/>
      <c r="L302" s="1363"/>
    </row>
    <row r="303" spans="1:12">
      <c r="A303" s="13"/>
      <c r="B303" s="86"/>
      <c r="C303" s="208"/>
      <c r="D303" s="90"/>
      <c r="E303" s="96"/>
      <c r="F303" s="64"/>
      <c r="G303" s="1378"/>
      <c r="H303" s="1362"/>
      <c r="I303" s="192"/>
      <c r="J303" s="194"/>
      <c r="K303" s="1378"/>
      <c r="L303" s="1363"/>
    </row>
    <row r="304" spans="1:12">
      <c r="A304" s="13"/>
      <c r="B304" s="86"/>
      <c r="C304" s="208"/>
      <c r="D304" s="90"/>
      <c r="E304" s="96"/>
      <c r="F304" s="64"/>
      <c r="G304" s="1378"/>
      <c r="H304" s="1362"/>
      <c r="I304" s="192"/>
      <c r="J304" s="194"/>
      <c r="K304" s="1378"/>
      <c r="L304" s="1363"/>
    </row>
    <row r="305" spans="1:12">
      <c r="A305" s="13"/>
      <c r="B305" s="72"/>
      <c r="C305" s="208"/>
      <c r="D305" s="90"/>
      <c r="E305" s="96"/>
      <c r="F305" s="64"/>
      <c r="G305" s="1378"/>
      <c r="H305" s="1362"/>
      <c r="I305" s="192"/>
      <c r="J305" s="194"/>
      <c r="K305" s="1378"/>
      <c r="L305" s="1363"/>
    </row>
    <row r="306" spans="1:12">
      <c r="A306" s="13"/>
      <c r="B306" t="s">
        <v>228</v>
      </c>
      <c r="L306" s="14"/>
    </row>
    <row r="307" spans="1:12">
      <c r="A307" s="13"/>
      <c r="B307" t="s">
        <v>229</v>
      </c>
      <c r="L307" s="14"/>
    </row>
    <row r="308" spans="1:12">
      <c r="A308" s="13"/>
      <c r="B308" t="s">
        <v>230</v>
      </c>
      <c r="L308" s="14"/>
    </row>
    <row r="309" spans="1:12">
      <c r="A309" s="13"/>
      <c r="B309" t="s">
        <v>231</v>
      </c>
      <c r="L309" s="14"/>
    </row>
    <row r="310" spans="1:12">
      <c r="A310" s="13"/>
      <c r="B310" s="191" t="s">
        <v>225</v>
      </c>
      <c r="C310" s="64"/>
      <c r="D310" s="64"/>
      <c r="E310" s="64"/>
      <c r="F310" s="65"/>
      <c r="G310" s="191" t="s">
        <v>201</v>
      </c>
      <c r="H310" s="65"/>
      <c r="I310" s="191" t="s">
        <v>226</v>
      </c>
      <c r="J310" s="64"/>
      <c r="K310" s="65"/>
      <c r="L310" s="14"/>
    </row>
    <row r="311" spans="1:12">
      <c r="A311" s="13"/>
      <c r="B311" s="1364"/>
      <c r="C311" s="1377"/>
      <c r="D311" s="1377"/>
      <c r="E311" s="1377"/>
      <c r="F311" s="1375"/>
      <c r="G311" s="1364"/>
      <c r="H311" s="1375"/>
      <c r="I311" s="1364"/>
      <c r="J311" s="1377"/>
      <c r="K311" s="1375"/>
      <c r="L311" s="14"/>
    </row>
    <row r="312" spans="1:12" ht="27.95" customHeight="1">
      <c r="A312" s="13"/>
      <c r="B312" s="1364"/>
      <c r="C312" s="1377"/>
      <c r="D312" s="1377"/>
      <c r="E312" s="1377"/>
      <c r="F312" s="1375"/>
      <c r="G312" s="1364"/>
      <c r="H312" s="1375"/>
      <c r="I312" s="1364"/>
      <c r="J312" s="1377"/>
      <c r="K312" s="1375"/>
      <c r="L312" s="14"/>
    </row>
    <row r="313" spans="1:12" ht="27.95" customHeight="1">
      <c r="A313" s="13"/>
      <c r="B313" s="1364"/>
      <c r="C313" s="1377"/>
      <c r="D313" s="1377"/>
      <c r="E313" s="1377"/>
      <c r="F313" s="1375"/>
      <c r="G313" s="1364"/>
      <c r="H313" s="1375"/>
      <c r="I313" s="1364"/>
      <c r="J313" s="1377"/>
      <c r="K313" s="1375"/>
      <c r="L313" s="14"/>
    </row>
    <row r="314" spans="1:12" ht="27.95" customHeight="1">
      <c r="A314" s="13"/>
      <c r="B314" s="1364"/>
      <c r="C314" s="1377"/>
      <c r="D314" s="1377"/>
      <c r="E314" s="1377"/>
      <c r="F314" s="1375"/>
      <c r="G314" s="1364"/>
      <c r="H314" s="1375"/>
      <c r="I314" s="1364"/>
      <c r="J314" s="1377"/>
      <c r="K314" s="1375"/>
      <c r="L314" s="14"/>
    </row>
    <row r="315" spans="1:12" ht="27.95" customHeight="1">
      <c r="A315" s="13"/>
      <c r="L315" s="14"/>
    </row>
    <row r="316" spans="1:12" ht="27.95" customHeight="1">
      <c r="A316" s="13"/>
      <c r="B316" t="s">
        <v>198</v>
      </c>
      <c r="C316" s="289" t="e">
        <f>'04-221Master'!#REF!</f>
        <v>#REF!</v>
      </c>
      <c r="I316" t="s">
        <v>227</v>
      </c>
      <c r="L316" s="14"/>
    </row>
    <row r="317" spans="1:12" ht="27.95" customHeight="1">
      <c r="A317" s="13"/>
      <c r="F317" s="179" t="s">
        <v>193</v>
      </c>
      <c r="L317" s="14"/>
    </row>
    <row r="318" spans="1:12" ht="27.95" customHeight="1">
      <c r="A318" s="13" t="s">
        <v>194</v>
      </c>
      <c r="K318" s="229" t="e">
        <f>'04-221Master'!#REF!</f>
        <v>#REF!</v>
      </c>
      <c r="L318" s="14"/>
    </row>
    <row r="319" spans="1:12" ht="27.95" customHeight="1">
      <c r="A319" s="13" t="s">
        <v>195</v>
      </c>
      <c r="L319" s="14"/>
    </row>
    <row r="320" spans="1:12" ht="27.95" customHeight="1">
      <c r="A320" s="13"/>
      <c r="L320" s="14"/>
    </row>
    <row r="321" spans="1:12" ht="27.95" customHeight="1">
      <c r="A321" s="13"/>
      <c r="F321" t="s">
        <v>196</v>
      </c>
      <c r="L321" s="14"/>
    </row>
    <row r="322" spans="1:12" ht="27.95" customHeight="1">
      <c r="A322" s="13" t="s">
        <v>197</v>
      </c>
      <c r="B322" t="s">
        <v>361</v>
      </c>
      <c r="F322" t="str">
        <f>'04-221Master'!F5</f>
        <v>Burgeon IT Services Pvt.Ltd.</v>
      </c>
      <c r="L322" s="14"/>
    </row>
    <row r="323" spans="1:12" ht="27.95" customHeight="1" thickBot="1">
      <c r="A323" s="25" t="s">
        <v>198</v>
      </c>
      <c r="B323" s="292" t="e">
        <f>'04-221Master'!#REF!</f>
        <v>#REF!</v>
      </c>
      <c r="C323" s="23"/>
      <c r="D323" s="23"/>
      <c r="E323" s="23"/>
      <c r="F323" s="23" t="str">
        <f>'04-221Master'!F6</f>
        <v>Siri Mansion LIGB 436 Dr.A S Rao Nagar,Hyderabad</v>
      </c>
      <c r="G323" s="23"/>
      <c r="H323" s="23"/>
      <c r="I323" s="23"/>
      <c r="J323" s="23"/>
      <c r="K323" s="23"/>
      <c r="L323" s="24"/>
    </row>
    <row r="324" spans="1:12" ht="27.95" customHeight="1" thickBot="1">
      <c r="A324" s="13"/>
      <c r="B324" s="289"/>
      <c r="L324" s="14"/>
    </row>
    <row r="325" spans="1:12" ht="27.95" customHeight="1">
      <c r="A325" s="74"/>
      <c r="B325" s="75"/>
      <c r="C325" s="75"/>
      <c r="D325" s="184"/>
      <c r="E325" s="184"/>
      <c r="F325" s="184"/>
      <c r="G325" s="184"/>
      <c r="H325" s="184"/>
      <c r="I325" s="184"/>
      <c r="J325" s="75"/>
      <c r="K325" s="186" t="s">
        <v>212</v>
      </c>
      <c r="L325" s="185"/>
    </row>
    <row r="326" spans="1:12" ht="27.95" customHeight="1">
      <c r="A326" s="13"/>
      <c r="B326" s="1386" t="s">
        <v>211</v>
      </c>
      <c r="C326" s="1386"/>
      <c r="D326" s="1386"/>
      <c r="E326" s="1386"/>
      <c r="F326" s="1386"/>
      <c r="G326" s="1386"/>
      <c r="H326" s="1386"/>
      <c r="I326" s="1386"/>
      <c r="J326" s="1386"/>
      <c r="K326" s="1386"/>
      <c r="L326" s="1387"/>
    </row>
    <row r="327" spans="1:12" ht="27.95" customHeight="1">
      <c r="A327" s="13"/>
      <c r="B327" s="1356" t="s">
        <v>213</v>
      </c>
      <c r="C327" s="1356"/>
      <c r="D327" s="1356"/>
      <c r="E327" s="1356"/>
      <c r="F327" s="1356"/>
      <c r="G327" s="1356"/>
      <c r="H327" s="1356"/>
      <c r="I327" s="1356"/>
      <c r="J327" s="1356"/>
      <c r="K327" s="1356"/>
      <c r="L327" s="1388"/>
    </row>
    <row r="328" spans="1:12" ht="27.95" customHeight="1">
      <c r="A328" s="13"/>
      <c r="B328" s="187" t="s">
        <v>214</v>
      </c>
      <c r="C328" s="187"/>
      <c r="D328" s="187"/>
      <c r="E328" s="187"/>
      <c r="F328" s="187"/>
      <c r="H328" s="188"/>
      <c r="I328" s="188"/>
      <c r="J328" s="188"/>
      <c r="K328" s="188"/>
      <c r="L328" s="196"/>
    </row>
    <row r="329" spans="1:12" ht="27.95" customHeight="1">
      <c r="A329" s="13"/>
      <c r="B329" s="187"/>
      <c r="C329" s="187"/>
      <c r="D329" s="187"/>
      <c r="E329" s="187"/>
      <c r="F329" s="187"/>
      <c r="H329" s="188"/>
      <c r="I329" s="188"/>
      <c r="J329" s="188"/>
      <c r="K329" s="188"/>
      <c r="L329" s="196"/>
    </row>
    <row r="330" spans="1:12" ht="27.95" customHeight="1">
      <c r="A330" s="13"/>
      <c r="B330" s="1369" t="s">
        <v>184</v>
      </c>
      <c r="C330" s="1369"/>
      <c r="D330" s="1369"/>
      <c r="E330" s="1369"/>
      <c r="F330" s="1369"/>
      <c r="G330" s="1369"/>
      <c r="H330" s="1372" t="e">
        <f>'04-221Master'!#REF!</f>
        <v>#REF!</v>
      </c>
      <c r="I330" s="1371"/>
      <c r="J330" s="1371"/>
      <c r="K330" s="1371"/>
      <c r="L330" s="1151"/>
    </row>
    <row r="331" spans="1:12">
      <c r="A331" s="13"/>
      <c r="B331" s="1373" t="s">
        <v>185</v>
      </c>
      <c r="C331" s="1373"/>
      <c r="D331" s="1373"/>
      <c r="E331" s="1373"/>
      <c r="F331" s="1373"/>
      <c r="G331" s="1373"/>
      <c r="H331" s="1372" t="e">
        <f>'04-221Master'!#REF!</f>
        <v>#REF!</v>
      </c>
      <c r="I331" s="1371"/>
      <c r="J331" s="1371"/>
      <c r="K331" s="1371"/>
      <c r="L331" s="1151"/>
    </row>
    <row r="332" spans="1:12">
      <c r="A332" s="13"/>
      <c r="B332" s="1369" t="s">
        <v>186</v>
      </c>
      <c r="C332" s="1369"/>
      <c r="D332" s="1369"/>
      <c r="E332" s="1369"/>
      <c r="F332" s="1369"/>
      <c r="G332" s="1369"/>
      <c r="H332" s="1372" t="e">
        <f>'04-221Master'!#REF!</f>
        <v>#REF!</v>
      </c>
      <c r="I332" s="1371"/>
      <c r="J332" s="1371"/>
      <c r="K332" s="1371"/>
      <c r="L332" s="1151"/>
    </row>
    <row r="333" spans="1:12">
      <c r="A333" s="13"/>
      <c r="B333" s="1369" t="s">
        <v>187</v>
      </c>
      <c r="C333" s="1369"/>
      <c r="D333" s="1369"/>
      <c r="E333" s="1369"/>
      <c r="F333" s="1369"/>
      <c r="G333" s="1369"/>
      <c r="H333" s="1374" t="e">
        <f>'04-221Master'!#REF!</f>
        <v>#REF!</v>
      </c>
      <c r="I333" s="1371"/>
      <c r="J333" s="1371"/>
      <c r="K333" s="1371"/>
      <c r="L333" s="1151"/>
    </row>
    <row r="334" spans="1:12">
      <c r="A334" s="13"/>
      <c r="B334" s="86" t="s">
        <v>188</v>
      </c>
      <c r="C334" s="87"/>
      <c r="D334" s="87"/>
      <c r="E334" s="87"/>
      <c r="F334" s="87"/>
      <c r="G334" s="87"/>
      <c r="H334" s="1366" t="s">
        <v>189</v>
      </c>
      <c r="I334" s="1367"/>
      <c r="J334" s="1367"/>
      <c r="K334" s="1367"/>
      <c r="L334" s="1368"/>
    </row>
    <row r="335" spans="1:12">
      <c r="A335" s="13"/>
      <c r="B335" s="86" t="s">
        <v>190</v>
      </c>
      <c r="C335" s="87"/>
      <c r="D335" s="87"/>
      <c r="E335" s="87"/>
      <c r="F335" s="87"/>
      <c r="G335" s="87"/>
      <c r="H335" s="88"/>
      <c r="I335" s="90"/>
      <c r="J335" s="178"/>
      <c r="K335" s="90"/>
      <c r="L335" s="95"/>
    </row>
    <row r="336" spans="1:12">
      <c r="A336" s="13"/>
      <c r="B336" s="1161" t="s">
        <v>191</v>
      </c>
      <c r="C336" s="1161"/>
      <c r="D336" s="1161"/>
      <c r="E336" s="1161"/>
      <c r="F336" s="1161"/>
      <c r="G336" s="1161"/>
      <c r="H336" s="1154" t="e">
        <f>'04-221Master'!#REF!</f>
        <v>#REF!</v>
      </c>
      <c r="I336" s="1155"/>
      <c r="J336" s="1155"/>
      <c r="K336" s="1155"/>
      <c r="L336" s="1156"/>
    </row>
    <row r="337" spans="1:12">
      <c r="A337" s="13"/>
      <c r="B337" s="1369"/>
      <c r="C337" s="1369"/>
      <c r="D337" s="1369"/>
      <c r="E337" s="1369"/>
      <c r="F337" s="1369"/>
      <c r="G337" s="1369"/>
      <c r="H337" s="1370" t="e">
        <f>'04-221Master'!#REF!</f>
        <v>#REF!</v>
      </c>
      <c r="I337" s="1371"/>
      <c r="J337" s="1371"/>
      <c r="K337" s="1371"/>
      <c r="L337" s="1151"/>
    </row>
    <row r="338" spans="1:12">
      <c r="A338" s="13"/>
      <c r="B338" s="1369"/>
      <c r="C338" s="1369"/>
      <c r="D338" s="1369"/>
      <c r="E338" s="1369"/>
      <c r="F338" s="1369"/>
      <c r="G338" s="1369"/>
      <c r="H338" s="1372" t="e">
        <f>'04-221Master'!#REF!</f>
        <v>#REF!</v>
      </c>
      <c r="I338" s="1371"/>
      <c r="J338" s="1371"/>
      <c r="K338" s="1371"/>
      <c r="L338" s="1151"/>
    </row>
    <row r="339" spans="1:12">
      <c r="A339" s="13"/>
      <c r="G339" s="2" t="s">
        <v>215</v>
      </c>
      <c r="H339" s="2"/>
      <c r="I339" s="2"/>
      <c r="J339" s="2"/>
      <c r="K339" s="2"/>
      <c r="L339" s="81"/>
    </row>
    <row r="340" spans="1:12">
      <c r="A340" s="13"/>
      <c r="B340" s="180" t="s">
        <v>199</v>
      </c>
      <c r="C340" s="176"/>
      <c r="D340" s="176"/>
      <c r="E340" s="176"/>
      <c r="F340" s="176"/>
      <c r="G340" s="176"/>
      <c r="H340" s="165"/>
      <c r="I340" s="165"/>
      <c r="J340" s="165"/>
      <c r="K340" s="165"/>
      <c r="L340" s="183"/>
    </row>
    <row r="341" spans="1:12">
      <c r="A341" s="13"/>
      <c r="B341" s="180" t="s">
        <v>200</v>
      </c>
      <c r="C341" s="176"/>
      <c r="D341" s="176"/>
      <c r="E341" s="176"/>
      <c r="F341" s="176"/>
      <c r="G341" s="176"/>
      <c r="H341" s="165"/>
      <c r="I341" s="165"/>
      <c r="J341" s="166"/>
      <c r="K341" s="165"/>
      <c r="L341" s="183"/>
    </row>
    <row r="342" spans="1:12" ht="45">
      <c r="A342" s="85"/>
      <c r="B342" s="86" t="s">
        <v>203</v>
      </c>
      <c r="C342" s="87"/>
      <c r="D342" s="193"/>
      <c r="E342" s="171" t="s">
        <v>205</v>
      </c>
      <c r="F342" s="65"/>
      <c r="G342" s="1361" t="s">
        <v>204</v>
      </c>
      <c r="H342" s="1362"/>
      <c r="I342" s="170" t="s">
        <v>201</v>
      </c>
      <c r="J342" s="173" t="s">
        <v>206</v>
      </c>
      <c r="K342" s="1361" t="s">
        <v>202</v>
      </c>
      <c r="L342" s="1363"/>
    </row>
    <row r="343" spans="1:12">
      <c r="A343" s="85"/>
      <c r="B343" s="174">
        <v>1</v>
      </c>
      <c r="C343" s="87"/>
      <c r="D343" s="87"/>
      <c r="E343" s="177">
        <v>2</v>
      </c>
      <c r="F343" s="91"/>
      <c r="G343" s="177">
        <v>3</v>
      </c>
      <c r="H343" s="193"/>
      <c r="I343" s="193">
        <v>4</v>
      </c>
      <c r="J343" s="102">
        <v>5</v>
      </c>
      <c r="K343" s="93"/>
      <c r="L343" s="94">
        <v>6</v>
      </c>
    </row>
    <row r="344" spans="1:12">
      <c r="A344" s="85"/>
      <c r="B344" s="86" t="e">
        <f>'04-221Master'!#REF!</f>
        <v>#REF!</v>
      </c>
      <c r="C344" s="189"/>
      <c r="D344" s="190"/>
      <c r="E344" s="191" t="s">
        <v>365</v>
      </c>
      <c r="F344" s="190"/>
      <c r="G344" s="191" t="s">
        <v>363</v>
      </c>
      <c r="H344" s="65"/>
      <c r="I344" s="11" t="s">
        <v>366</v>
      </c>
      <c r="J344" s="290">
        <v>1</v>
      </c>
      <c r="K344" s="192" t="s">
        <v>37</v>
      </c>
      <c r="L344" s="197"/>
    </row>
    <row r="345" spans="1:12">
      <c r="A345" s="85"/>
      <c r="B345" s="86"/>
      <c r="C345" s="189"/>
      <c r="D345" s="190"/>
      <c r="E345" s="191"/>
      <c r="F345" s="190"/>
      <c r="G345" s="191"/>
      <c r="H345" s="65"/>
      <c r="I345" s="11"/>
      <c r="J345" s="11"/>
      <c r="K345" s="192"/>
      <c r="L345" s="197"/>
    </row>
    <row r="346" spans="1:12">
      <c r="A346" s="85"/>
      <c r="B346" s="86"/>
      <c r="C346" s="189"/>
      <c r="D346" s="190"/>
      <c r="E346" s="191"/>
      <c r="F346" s="190"/>
      <c r="G346" s="191"/>
      <c r="H346" s="65"/>
      <c r="I346" s="11"/>
      <c r="J346" s="11"/>
      <c r="K346" s="192"/>
      <c r="L346" s="197"/>
    </row>
    <row r="347" spans="1:12">
      <c r="A347" s="85"/>
      <c r="B347" s="72"/>
      <c r="C347" s="17"/>
      <c r="D347" s="73"/>
      <c r="E347" s="191"/>
      <c r="F347" s="190"/>
      <c r="G347" s="191"/>
      <c r="H347" s="65"/>
      <c r="I347" s="11"/>
      <c r="J347" s="11"/>
      <c r="K347" s="192"/>
      <c r="L347" s="197"/>
    </row>
    <row r="348" spans="1:12">
      <c r="A348" s="85"/>
      <c r="B348" t="s">
        <v>207</v>
      </c>
      <c r="L348" s="14"/>
    </row>
    <row r="349" spans="1:12">
      <c r="A349" s="13"/>
      <c r="B349" t="s">
        <v>208</v>
      </c>
      <c r="L349" s="14"/>
    </row>
    <row r="350" spans="1:12">
      <c r="A350" s="13"/>
      <c r="B350" t="s">
        <v>219</v>
      </c>
      <c r="J350" t="s">
        <v>218</v>
      </c>
      <c r="L350" s="14"/>
    </row>
    <row r="351" spans="1:12">
      <c r="A351" s="13"/>
      <c r="G351" s="2" t="s">
        <v>216</v>
      </c>
      <c r="H351" s="2"/>
      <c r="I351" s="2"/>
      <c r="J351" s="2"/>
      <c r="K351" s="2"/>
      <c r="L351" s="81"/>
    </row>
    <row r="352" spans="1:12">
      <c r="A352" s="13"/>
      <c r="B352" s="2"/>
      <c r="G352" t="s">
        <v>217</v>
      </c>
      <c r="H352" s="2"/>
      <c r="I352" s="2"/>
      <c r="J352" s="2"/>
      <c r="K352" s="2"/>
      <c r="L352" s="81"/>
    </row>
    <row r="353" spans="1:12">
      <c r="A353" s="13"/>
      <c r="B353" s="180" t="s">
        <v>220</v>
      </c>
      <c r="C353" s="176"/>
      <c r="D353" s="176"/>
      <c r="E353" s="176"/>
      <c r="F353" s="176"/>
      <c r="G353" s="176"/>
      <c r="H353" s="165"/>
      <c r="I353" s="165"/>
      <c r="J353" s="165"/>
      <c r="K353" s="165"/>
      <c r="L353" s="183"/>
    </row>
    <row r="354" spans="1:12">
      <c r="A354" s="13"/>
      <c r="B354" s="180" t="s">
        <v>221</v>
      </c>
      <c r="C354" s="176"/>
      <c r="D354" s="176"/>
      <c r="E354" s="176"/>
      <c r="F354" s="176"/>
      <c r="G354" s="176"/>
      <c r="H354" s="165"/>
      <c r="I354" s="165"/>
      <c r="J354" s="166"/>
      <c r="K354" s="165"/>
      <c r="L354" s="183"/>
    </row>
    <row r="355" spans="1:12">
      <c r="A355" s="13"/>
      <c r="B355" s="86" t="s">
        <v>5</v>
      </c>
      <c r="C355" s="1379" t="s">
        <v>222</v>
      </c>
      <c r="D355" s="1149"/>
      <c r="E355" s="1149"/>
      <c r="F355" s="1149"/>
      <c r="G355" s="1149"/>
      <c r="H355" s="1380"/>
      <c r="I355" s="172" t="s">
        <v>102</v>
      </c>
      <c r="J355" s="1381" t="s">
        <v>223</v>
      </c>
      <c r="K355" s="1382"/>
      <c r="L355" s="1383"/>
    </row>
    <row r="356" spans="1:12">
      <c r="A356" s="13"/>
      <c r="B356" s="174">
        <v>1</v>
      </c>
      <c r="C356" s="208"/>
      <c r="D356" s="90"/>
      <c r="E356" s="96">
        <v>2</v>
      </c>
      <c r="F356" s="64"/>
      <c r="G356" s="1378"/>
      <c r="H356" s="1362"/>
      <c r="I356" s="90">
        <v>3</v>
      </c>
      <c r="J356" s="195" t="s">
        <v>224</v>
      </c>
      <c r="K356" s="1384">
        <v>4</v>
      </c>
      <c r="L356" s="1385"/>
    </row>
    <row r="357" spans="1:12">
      <c r="A357" s="13"/>
      <c r="B357" s="86"/>
      <c r="C357" s="208"/>
      <c r="D357" s="90"/>
      <c r="E357" s="96"/>
      <c r="F357" s="64"/>
      <c r="G357" s="1378"/>
      <c r="H357" s="1362"/>
      <c r="I357" s="192"/>
      <c r="J357" s="194"/>
      <c r="K357" s="1378"/>
      <c r="L357" s="1363"/>
    </row>
    <row r="358" spans="1:12">
      <c r="A358" s="13"/>
      <c r="B358" s="86"/>
      <c r="C358" s="208"/>
      <c r="D358" s="90"/>
      <c r="E358" s="96"/>
      <c r="F358" s="64"/>
      <c r="G358" s="1378"/>
      <c r="H358" s="1362"/>
      <c r="I358" s="192"/>
      <c r="J358" s="194"/>
      <c r="K358" s="1378"/>
      <c r="L358" s="1363"/>
    </row>
    <row r="359" spans="1:12">
      <c r="A359" s="13"/>
      <c r="B359" s="86"/>
      <c r="C359" s="208"/>
      <c r="D359" s="90"/>
      <c r="E359" s="96"/>
      <c r="F359" s="64"/>
      <c r="G359" s="1378"/>
      <c r="H359" s="1362"/>
      <c r="I359" s="192"/>
      <c r="J359" s="194"/>
      <c r="K359" s="1378"/>
      <c r="L359" s="1363"/>
    </row>
    <row r="360" spans="1:12">
      <c r="A360" s="13"/>
      <c r="B360" s="72"/>
      <c r="C360" s="208"/>
      <c r="D360" s="90"/>
      <c r="E360" s="96"/>
      <c r="F360" s="64"/>
      <c r="G360" s="1378"/>
      <c r="H360" s="1362"/>
      <c r="I360" s="192"/>
      <c r="J360" s="194"/>
      <c r="K360" s="1378"/>
      <c r="L360" s="1363"/>
    </row>
    <row r="361" spans="1:12">
      <c r="A361" s="13"/>
      <c r="B361" t="s">
        <v>228</v>
      </c>
      <c r="L361" s="14"/>
    </row>
    <row r="362" spans="1:12">
      <c r="A362" s="13"/>
      <c r="B362" t="s">
        <v>229</v>
      </c>
      <c r="L362" s="14"/>
    </row>
    <row r="363" spans="1:12">
      <c r="A363" s="13"/>
      <c r="B363" t="s">
        <v>230</v>
      </c>
      <c r="L363" s="14"/>
    </row>
    <row r="364" spans="1:12">
      <c r="A364" s="13"/>
      <c r="B364" t="s">
        <v>231</v>
      </c>
      <c r="L364" s="14"/>
    </row>
    <row r="365" spans="1:12">
      <c r="A365" s="13"/>
      <c r="B365" s="191" t="s">
        <v>225</v>
      </c>
      <c r="C365" s="64"/>
      <c r="D365" s="64"/>
      <c r="E365" s="64"/>
      <c r="F365" s="65"/>
      <c r="G365" s="191" t="s">
        <v>201</v>
      </c>
      <c r="H365" s="65"/>
      <c r="I365" s="191" t="s">
        <v>226</v>
      </c>
      <c r="J365" s="64"/>
      <c r="K365" s="65"/>
      <c r="L365" s="14"/>
    </row>
    <row r="366" spans="1:12" ht="27.95" customHeight="1">
      <c r="A366" s="13"/>
      <c r="B366" s="1364"/>
      <c r="C366" s="1377"/>
      <c r="D366" s="1377"/>
      <c r="E366" s="1377"/>
      <c r="F366" s="1375"/>
      <c r="G366" s="1364"/>
      <c r="H366" s="1375"/>
      <c r="I366" s="1364"/>
      <c r="J366" s="1377"/>
      <c r="K366" s="1375"/>
      <c r="L366" s="14"/>
    </row>
    <row r="367" spans="1:12" ht="27.95" customHeight="1">
      <c r="A367" s="13"/>
      <c r="B367" s="1364"/>
      <c r="C367" s="1377"/>
      <c r="D367" s="1377"/>
      <c r="E367" s="1377"/>
      <c r="F367" s="1375"/>
      <c r="G367" s="1364"/>
      <c r="H367" s="1375"/>
      <c r="I367" s="1364"/>
      <c r="J367" s="1377"/>
      <c r="K367" s="1375"/>
      <c r="L367" s="14"/>
    </row>
    <row r="368" spans="1:12" ht="27.95" customHeight="1">
      <c r="A368" s="13"/>
      <c r="B368" s="1364"/>
      <c r="C368" s="1377"/>
      <c r="D368" s="1377"/>
      <c r="E368" s="1377"/>
      <c r="F368" s="1375"/>
      <c r="G368" s="1364"/>
      <c r="H368" s="1375"/>
      <c r="I368" s="1364"/>
      <c r="J368" s="1377"/>
      <c r="K368" s="1375"/>
      <c r="L368" s="14"/>
    </row>
    <row r="369" spans="1:12" ht="27.95" customHeight="1">
      <c r="A369" s="13"/>
      <c r="B369" s="1364"/>
      <c r="C369" s="1377"/>
      <c r="D369" s="1377"/>
      <c r="E369" s="1377"/>
      <c r="F369" s="1375"/>
      <c r="G369" s="1364"/>
      <c r="H369" s="1375"/>
      <c r="I369" s="1364"/>
      <c r="J369" s="1377"/>
      <c r="K369" s="1375"/>
      <c r="L369" s="14"/>
    </row>
    <row r="370" spans="1:12" ht="27.95" customHeight="1">
      <c r="A370" s="13"/>
      <c r="L370" s="14"/>
    </row>
    <row r="371" spans="1:12" ht="27.95" customHeight="1">
      <c r="A371" s="13"/>
      <c r="B371" t="s">
        <v>198</v>
      </c>
      <c r="C371" s="289" t="e">
        <f>'04-221Master'!#REF!</f>
        <v>#REF!</v>
      </c>
      <c r="I371" t="s">
        <v>227</v>
      </c>
      <c r="L371" s="14"/>
    </row>
    <row r="372" spans="1:12" ht="27.95" customHeight="1">
      <c r="A372" s="13"/>
      <c r="F372" s="179" t="s">
        <v>193</v>
      </c>
      <c r="L372" s="14"/>
    </row>
    <row r="373" spans="1:12" ht="27.95" customHeight="1">
      <c r="A373" s="13" t="s">
        <v>194</v>
      </c>
      <c r="K373" s="229" t="e">
        <f>'04-221Master'!#REF!</f>
        <v>#REF!</v>
      </c>
      <c r="L373" s="14"/>
    </row>
    <row r="374" spans="1:12" ht="27.95" customHeight="1">
      <c r="A374" s="13" t="s">
        <v>195</v>
      </c>
      <c r="L374" s="14"/>
    </row>
    <row r="375" spans="1:12" ht="27.95" customHeight="1">
      <c r="A375" s="13"/>
      <c r="L375" s="14"/>
    </row>
    <row r="376" spans="1:12" ht="27.95" customHeight="1">
      <c r="A376" s="13"/>
      <c r="F376" t="s">
        <v>196</v>
      </c>
      <c r="L376" s="14"/>
    </row>
    <row r="377" spans="1:12" ht="27.95" customHeight="1">
      <c r="A377" s="13" t="s">
        <v>197</v>
      </c>
      <c r="B377" t="s">
        <v>361</v>
      </c>
      <c r="F377" t="str">
        <f>'04-221Master'!F5</f>
        <v>Burgeon IT Services Pvt.Ltd.</v>
      </c>
      <c r="L377" s="14"/>
    </row>
    <row r="378" spans="1:12" ht="27.95" customHeight="1" thickBot="1">
      <c r="A378" s="25" t="s">
        <v>198</v>
      </c>
      <c r="B378" s="292" t="e">
        <f>'04-221Master'!#REF!</f>
        <v>#REF!</v>
      </c>
      <c r="C378" s="23"/>
      <c r="D378" s="23"/>
      <c r="E378" s="23"/>
      <c r="F378" s="23" t="str">
        <f>'04-221Master'!F6</f>
        <v>Siri Mansion LIGB 436 Dr.A S Rao Nagar,Hyderabad</v>
      </c>
      <c r="G378" s="23"/>
      <c r="H378" s="23"/>
      <c r="I378" s="23"/>
      <c r="J378" s="23"/>
      <c r="K378" s="23"/>
      <c r="L378" s="24"/>
    </row>
    <row r="379" spans="1:12" ht="27.95" customHeight="1">
      <c r="A379" s="74"/>
      <c r="B379" s="75"/>
      <c r="C379" s="75"/>
      <c r="D379" s="184"/>
      <c r="E379" s="184"/>
      <c r="F379" s="184"/>
      <c r="G379" s="184"/>
      <c r="H379" s="184"/>
      <c r="I379" s="184"/>
      <c r="J379" s="75"/>
      <c r="K379" s="186" t="s">
        <v>212</v>
      </c>
      <c r="L379" s="185"/>
    </row>
    <row r="380" spans="1:12" ht="27.95" customHeight="1">
      <c r="A380" s="13"/>
      <c r="B380" s="1386" t="s">
        <v>211</v>
      </c>
      <c r="C380" s="1386"/>
      <c r="D380" s="1386"/>
      <c r="E380" s="1386"/>
      <c r="F380" s="1386"/>
      <c r="G380" s="1386"/>
      <c r="H380" s="1386"/>
      <c r="I380" s="1386"/>
      <c r="J380" s="1386"/>
      <c r="K380" s="1386"/>
      <c r="L380" s="1387"/>
    </row>
    <row r="381" spans="1:12" ht="27.95" customHeight="1">
      <c r="A381" s="13"/>
      <c r="B381" s="1356" t="s">
        <v>213</v>
      </c>
      <c r="C381" s="1356"/>
      <c r="D381" s="1356"/>
      <c r="E381" s="1356"/>
      <c r="F381" s="1356"/>
      <c r="G381" s="1356"/>
      <c r="H381" s="1356"/>
      <c r="I381" s="1356"/>
      <c r="J381" s="1356"/>
      <c r="K381" s="1356"/>
      <c r="L381" s="1388"/>
    </row>
    <row r="382" spans="1:12" ht="27.95" customHeight="1">
      <c r="A382" s="13"/>
      <c r="B382" s="187" t="s">
        <v>214</v>
      </c>
      <c r="C382" s="187"/>
      <c r="D382" s="187"/>
      <c r="E382" s="187"/>
      <c r="F382" s="187"/>
      <c r="H382" s="188"/>
      <c r="I382" s="188"/>
      <c r="J382" s="188"/>
      <c r="K382" s="188"/>
      <c r="L382" s="196"/>
    </row>
    <row r="383" spans="1:12" ht="27.95" customHeight="1">
      <c r="A383" s="13"/>
      <c r="B383" s="187"/>
      <c r="C383" s="187"/>
      <c r="D383" s="187"/>
      <c r="E383" s="187"/>
      <c r="F383" s="187"/>
      <c r="H383" s="188"/>
      <c r="I383" s="188"/>
      <c r="J383" s="188"/>
      <c r="K383" s="188"/>
      <c r="L383" s="196"/>
    </row>
    <row r="384" spans="1:12">
      <c r="A384" s="13"/>
      <c r="B384" s="1369" t="s">
        <v>184</v>
      </c>
      <c r="C384" s="1369"/>
      <c r="D384" s="1369"/>
      <c r="E384" s="1369"/>
      <c r="F384" s="1369"/>
      <c r="G384" s="1369"/>
      <c r="H384" s="1372" t="e">
        <f>'04-221Master'!#REF!</f>
        <v>#REF!</v>
      </c>
      <c r="I384" s="1371"/>
      <c r="J384" s="1371"/>
      <c r="K384" s="1371"/>
      <c r="L384" s="1151"/>
    </row>
    <row r="385" spans="1:12">
      <c r="A385" s="13"/>
      <c r="B385" s="1373" t="s">
        <v>185</v>
      </c>
      <c r="C385" s="1373"/>
      <c r="D385" s="1373"/>
      <c r="E385" s="1373"/>
      <c r="F385" s="1373"/>
      <c r="G385" s="1373"/>
      <c r="H385" s="1372" t="e">
        <f>'04-221Master'!#REF!</f>
        <v>#REF!</v>
      </c>
      <c r="I385" s="1371"/>
      <c r="J385" s="1371"/>
      <c r="K385" s="1371"/>
      <c r="L385" s="1151"/>
    </row>
    <row r="386" spans="1:12">
      <c r="A386" s="13"/>
      <c r="B386" s="1369" t="s">
        <v>186</v>
      </c>
      <c r="C386" s="1369"/>
      <c r="D386" s="1369"/>
      <c r="E386" s="1369"/>
      <c r="F386" s="1369"/>
      <c r="G386" s="1369"/>
      <c r="H386" s="1372" t="e">
        <f>'04-221Master'!#REF!</f>
        <v>#REF!</v>
      </c>
      <c r="I386" s="1371"/>
      <c r="J386" s="1371"/>
      <c r="K386" s="1371"/>
      <c r="L386" s="1151"/>
    </row>
    <row r="387" spans="1:12">
      <c r="A387" s="13"/>
      <c r="B387" s="1369" t="s">
        <v>187</v>
      </c>
      <c r="C387" s="1369"/>
      <c r="D387" s="1369"/>
      <c r="E387" s="1369"/>
      <c r="F387" s="1369"/>
      <c r="G387" s="1369"/>
      <c r="H387" s="1374" t="e">
        <f>'04-221Master'!#REF!</f>
        <v>#REF!</v>
      </c>
      <c r="I387" s="1371"/>
      <c r="J387" s="1371"/>
      <c r="K387" s="1371"/>
      <c r="L387" s="1151"/>
    </row>
    <row r="388" spans="1:12">
      <c r="A388" s="13"/>
      <c r="B388" s="86" t="s">
        <v>188</v>
      </c>
      <c r="C388" s="87"/>
      <c r="D388" s="87"/>
      <c r="E388" s="87"/>
      <c r="F388" s="87"/>
      <c r="G388" s="87"/>
      <c r="H388" s="1366" t="s">
        <v>189</v>
      </c>
      <c r="I388" s="1367"/>
      <c r="J388" s="1367"/>
      <c r="K388" s="1367"/>
      <c r="L388" s="1368"/>
    </row>
    <row r="389" spans="1:12">
      <c r="A389" s="13"/>
      <c r="B389" s="86" t="s">
        <v>190</v>
      </c>
      <c r="C389" s="87"/>
      <c r="D389" s="87"/>
      <c r="E389" s="87"/>
      <c r="F389" s="87"/>
      <c r="G389" s="87"/>
      <c r="H389" s="88"/>
      <c r="I389" s="90"/>
      <c r="J389" s="178"/>
      <c r="K389" s="90"/>
      <c r="L389" s="95"/>
    </row>
    <row r="390" spans="1:12" ht="15" customHeight="1">
      <c r="A390" s="13"/>
      <c r="B390" s="1161" t="s">
        <v>191</v>
      </c>
      <c r="C390" s="1161"/>
      <c r="D390" s="1161"/>
      <c r="E390" s="1161"/>
      <c r="F390" s="1161"/>
      <c r="G390" s="1161"/>
      <c r="H390" s="1154" t="e">
        <f>'04-221Master'!#REF!</f>
        <v>#REF!</v>
      </c>
      <c r="I390" s="1155"/>
      <c r="J390" s="1155"/>
      <c r="K390" s="1155"/>
      <c r="L390" s="1156"/>
    </row>
    <row r="391" spans="1:12">
      <c r="A391" s="13"/>
      <c r="B391" s="1369"/>
      <c r="C391" s="1369"/>
      <c r="D391" s="1369"/>
      <c r="E391" s="1369"/>
      <c r="F391" s="1369"/>
      <c r="G391" s="1369"/>
      <c r="H391" s="1370" t="e">
        <f>'04-221Master'!#REF!</f>
        <v>#REF!</v>
      </c>
      <c r="I391" s="1371"/>
      <c r="J391" s="1371"/>
      <c r="K391" s="1371"/>
      <c r="L391" s="1151"/>
    </row>
    <row r="392" spans="1:12">
      <c r="A392" s="13"/>
      <c r="B392" s="1369"/>
      <c r="C392" s="1369"/>
      <c r="D392" s="1369"/>
      <c r="E392" s="1369"/>
      <c r="F392" s="1369"/>
      <c r="G392" s="1369"/>
      <c r="H392" s="1372" t="e">
        <f>'04-221Master'!#REF!</f>
        <v>#REF!</v>
      </c>
      <c r="I392" s="1371"/>
      <c r="J392" s="1371"/>
      <c r="K392" s="1371"/>
      <c r="L392" s="1151"/>
    </row>
    <row r="393" spans="1:12">
      <c r="A393" s="13"/>
      <c r="G393" s="2" t="s">
        <v>215</v>
      </c>
      <c r="H393" s="2"/>
      <c r="I393" s="2"/>
      <c r="J393" s="2"/>
      <c r="K393" s="2"/>
      <c r="L393" s="81"/>
    </row>
    <row r="394" spans="1:12">
      <c r="A394" s="13"/>
      <c r="B394" s="180" t="s">
        <v>199</v>
      </c>
      <c r="C394" s="176"/>
      <c r="D394" s="176"/>
      <c r="E394" s="176"/>
      <c r="F394" s="176"/>
      <c r="G394" s="176"/>
      <c r="H394" s="165"/>
      <c r="I394" s="165"/>
      <c r="J394" s="165"/>
      <c r="K394" s="165"/>
      <c r="L394" s="183"/>
    </row>
    <row r="395" spans="1:12">
      <c r="A395" s="13"/>
      <c r="B395" s="180" t="s">
        <v>200</v>
      </c>
      <c r="C395" s="176"/>
      <c r="D395" s="176"/>
      <c r="E395" s="176"/>
      <c r="F395" s="176"/>
      <c r="G395" s="176"/>
      <c r="H395" s="165"/>
      <c r="I395" s="165"/>
      <c r="J395" s="166"/>
      <c r="K395" s="165"/>
      <c r="L395" s="183"/>
    </row>
    <row r="396" spans="1:12" ht="45">
      <c r="A396" s="85"/>
      <c r="B396" s="86" t="s">
        <v>203</v>
      </c>
      <c r="C396" s="87"/>
      <c r="D396" s="193"/>
      <c r="E396" s="171" t="s">
        <v>205</v>
      </c>
      <c r="F396" s="65"/>
      <c r="G396" s="1361" t="s">
        <v>204</v>
      </c>
      <c r="H396" s="1362"/>
      <c r="I396" s="170" t="s">
        <v>201</v>
      </c>
      <c r="J396" s="173" t="s">
        <v>206</v>
      </c>
      <c r="K396" s="1361" t="s">
        <v>202</v>
      </c>
      <c r="L396" s="1363"/>
    </row>
    <row r="397" spans="1:12">
      <c r="A397" s="85"/>
      <c r="B397" s="174">
        <v>1</v>
      </c>
      <c r="C397" s="87"/>
      <c r="D397" s="87"/>
      <c r="E397" s="177">
        <v>2</v>
      </c>
      <c r="F397" s="91"/>
      <c r="G397" s="177">
        <v>3</v>
      </c>
      <c r="H397" s="193"/>
      <c r="I397" s="193">
        <v>4</v>
      </c>
      <c r="J397" s="102">
        <v>5</v>
      </c>
      <c r="K397" s="93"/>
      <c r="L397" s="94">
        <v>6</v>
      </c>
    </row>
    <row r="398" spans="1:12">
      <c r="A398" s="85"/>
      <c r="B398" s="86" t="e">
        <f>'04-221Master'!#REF!</f>
        <v>#REF!</v>
      </c>
      <c r="C398" s="189"/>
      <c r="D398" s="190"/>
      <c r="E398" s="191" t="s">
        <v>365</v>
      </c>
      <c r="F398" s="190"/>
      <c r="G398" s="191" t="s">
        <v>363</v>
      </c>
      <c r="H398" s="65"/>
      <c r="I398" s="11" t="s">
        <v>366</v>
      </c>
      <c r="J398" s="290">
        <v>1</v>
      </c>
      <c r="K398" s="192" t="s">
        <v>37</v>
      </c>
      <c r="L398" s="197"/>
    </row>
    <row r="399" spans="1:12">
      <c r="A399" s="85"/>
      <c r="B399" s="86"/>
      <c r="C399" s="189"/>
      <c r="D399" s="190"/>
      <c r="E399" s="191"/>
      <c r="F399" s="190"/>
      <c r="G399" s="191"/>
      <c r="H399" s="65"/>
      <c r="I399" s="11"/>
      <c r="J399" s="11"/>
      <c r="K399" s="192"/>
      <c r="L399" s="197"/>
    </row>
    <row r="400" spans="1:12">
      <c r="A400" s="85"/>
      <c r="B400" s="86"/>
      <c r="C400" s="189"/>
      <c r="D400" s="190"/>
      <c r="E400" s="191"/>
      <c r="F400" s="190"/>
      <c r="G400" s="191"/>
      <c r="H400" s="65"/>
      <c r="I400" s="11"/>
      <c r="J400" s="11"/>
      <c r="K400" s="192"/>
      <c r="L400" s="197"/>
    </row>
    <row r="401" spans="1:12">
      <c r="A401" s="85"/>
      <c r="B401" s="72"/>
      <c r="C401" s="17"/>
      <c r="D401" s="73"/>
      <c r="E401" s="191"/>
      <c r="F401" s="190"/>
      <c r="G401" s="191"/>
      <c r="H401" s="65"/>
      <c r="I401" s="11"/>
      <c r="J401" s="11"/>
      <c r="K401" s="192"/>
      <c r="L401" s="197"/>
    </row>
    <row r="402" spans="1:12">
      <c r="A402" s="85"/>
      <c r="B402" t="s">
        <v>207</v>
      </c>
      <c r="L402" s="14"/>
    </row>
    <row r="403" spans="1:12">
      <c r="A403" s="13"/>
      <c r="B403" t="s">
        <v>208</v>
      </c>
      <c r="L403" s="14"/>
    </row>
    <row r="404" spans="1:12">
      <c r="A404" s="13"/>
      <c r="B404" t="s">
        <v>219</v>
      </c>
      <c r="J404" t="s">
        <v>218</v>
      </c>
      <c r="L404" s="14"/>
    </row>
    <row r="405" spans="1:12" ht="21" customHeight="1">
      <c r="A405" s="13"/>
      <c r="G405" s="2" t="s">
        <v>216</v>
      </c>
      <c r="H405" s="2"/>
      <c r="I405" s="2"/>
      <c r="J405" s="2"/>
      <c r="K405" s="2"/>
      <c r="L405" s="81"/>
    </row>
    <row r="406" spans="1:12" ht="15" customHeight="1">
      <c r="A406" s="13"/>
      <c r="B406" s="2"/>
      <c r="G406" t="s">
        <v>217</v>
      </c>
      <c r="H406" s="2"/>
      <c r="I406" s="2"/>
      <c r="J406" s="2"/>
      <c r="K406" s="2"/>
      <c r="L406" s="81"/>
    </row>
    <row r="407" spans="1:12" ht="20.25" customHeight="1">
      <c r="A407" s="13"/>
      <c r="B407" s="180" t="s">
        <v>220</v>
      </c>
      <c r="C407" s="176"/>
      <c r="D407" s="176"/>
      <c r="E407" s="176"/>
      <c r="F407" s="176"/>
      <c r="G407" s="176"/>
      <c r="H407" s="165"/>
      <c r="I407" s="165"/>
      <c r="J407" s="165"/>
      <c r="K407" s="165"/>
      <c r="L407" s="183"/>
    </row>
    <row r="408" spans="1:12" ht="18.75" customHeight="1">
      <c r="A408" s="13"/>
      <c r="B408" s="180" t="s">
        <v>221</v>
      </c>
      <c r="C408" s="176"/>
      <c r="D408" s="176"/>
      <c r="E408" s="176"/>
      <c r="F408" s="176"/>
      <c r="G408" s="176"/>
      <c r="H408" s="165"/>
      <c r="I408" s="165"/>
      <c r="J408" s="166"/>
      <c r="K408" s="165"/>
      <c r="L408" s="183"/>
    </row>
    <row r="409" spans="1:12" ht="27.95" customHeight="1">
      <c r="A409" s="13"/>
      <c r="B409" s="86" t="s">
        <v>5</v>
      </c>
      <c r="C409" s="1379" t="s">
        <v>222</v>
      </c>
      <c r="D409" s="1149"/>
      <c r="E409" s="1149"/>
      <c r="F409" s="1149"/>
      <c r="G409" s="1149"/>
      <c r="H409" s="1380"/>
      <c r="I409" s="172" t="s">
        <v>102</v>
      </c>
      <c r="J409" s="1381" t="s">
        <v>223</v>
      </c>
      <c r="K409" s="1382"/>
      <c r="L409" s="1383"/>
    </row>
    <row r="410" spans="1:12" ht="27.95" customHeight="1">
      <c r="A410" s="13"/>
      <c r="B410" s="174">
        <v>1</v>
      </c>
      <c r="C410" s="208"/>
      <c r="D410" s="90"/>
      <c r="E410" s="96">
        <v>2</v>
      </c>
      <c r="F410" s="64"/>
      <c r="G410" s="1378"/>
      <c r="H410" s="1362"/>
      <c r="I410" s="90">
        <v>3</v>
      </c>
      <c r="J410" s="195" t="s">
        <v>224</v>
      </c>
      <c r="K410" s="1384">
        <v>4</v>
      </c>
      <c r="L410" s="1385"/>
    </row>
    <row r="411" spans="1:12" ht="27.95" customHeight="1">
      <c r="A411" s="13"/>
      <c r="B411" s="86"/>
      <c r="C411" s="208"/>
      <c r="D411" s="90"/>
      <c r="E411" s="96"/>
      <c r="F411" s="64"/>
      <c r="G411" s="1378"/>
      <c r="H411" s="1362"/>
      <c r="I411" s="192"/>
      <c r="J411" s="194"/>
      <c r="K411" s="1378"/>
      <c r="L411" s="1363"/>
    </row>
    <row r="412" spans="1:12" ht="27.95" customHeight="1">
      <c r="A412" s="13"/>
      <c r="B412" s="86"/>
      <c r="C412" s="208"/>
      <c r="D412" s="90"/>
      <c r="E412" s="96"/>
      <c r="F412" s="64"/>
      <c r="G412" s="1378"/>
      <c r="H412" s="1362"/>
      <c r="I412" s="192"/>
      <c r="J412" s="194"/>
      <c r="K412" s="1378"/>
      <c r="L412" s="1363"/>
    </row>
    <row r="413" spans="1:12" ht="27.95" customHeight="1">
      <c r="A413" s="13"/>
      <c r="B413" s="86"/>
      <c r="C413" s="208"/>
      <c r="D413" s="90"/>
      <c r="E413" s="96"/>
      <c r="F413" s="64"/>
      <c r="G413" s="1378"/>
      <c r="H413" s="1362"/>
      <c r="I413" s="192"/>
      <c r="J413" s="194"/>
      <c r="K413" s="1378"/>
      <c r="L413" s="1363"/>
    </row>
    <row r="414" spans="1:12" ht="27.95" customHeight="1">
      <c r="A414" s="13"/>
      <c r="B414" s="72"/>
      <c r="C414" s="208"/>
      <c r="D414" s="90"/>
      <c r="E414" s="96"/>
      <c r="F414" s="64"/>
      <c r="G414" s="1378"/>
      <c r="H414" s="1362"/>
      <c r="I414" s="192"/>
      <c r="J414" s="194"/>
      <c r="K414" s="1378"/>
      <c r="L414" s="1363"/>
    </row>
    <row r="415" spans="1:12" ht="27.95" customHeight="1">
      <c r="A415" s="13"/>
      <c r="B415" t="s">
        <v>228</v>
      </c>
      <c r="L415" s="14"/>
    </row>
    <row r="416" spans="1:12" ht="21" customHeight="1">
      <c r="A416" s="13"/>
      <c r="B416" t="s">
        <v>229</v>
      </c>
      <c r="L416" s="14"/>
    </row>
    <row r="417" spans="1:12" ht="18" customHeight="1">
      <c r="A417" s="13"/>
      <c r="B417" t="s">
        <v>230</v>
      </c>
      <c r="L417" s="14"/>
    </row>
    <row r="418" spans="1:12" ht="23.25" customHeight="1">
      <c r="A418" s="13"/>
      <c r="B418" t="s">
        <v>231</v>
      </c>
      <c r="L418" s="14"/>
    </row>
    <row r="419" spans="1:12" ht="27.95" customHeight="1">
      <c r="A419" s="13"/>
      <c r="B419" s="191" t="s">
        <v>225</v>
      </c>
      <c r="C419" s="64"/>
      <c r="D419" s="64"/>
      <c r="E419" s="64"/>
      <c r="F419" s="65"/>
      <c r="G419" s="191" t="s">
        <v>201</v>
      </c>
      <c r="H419" s="65"/>
      <c r="I419" s="191" t="s">
        <v>226</v>
      </c>
      <c r="J419" s="64"/>
      <c r="K419" s="65"/>
      <c r="L419" s="14"/>
    </row>
    <row r="420" spans="1:12" ht="27.95" customHeight="1">
      <c r="A420" s="13"/>
      <c r="B420" s="1364"/>
      <c r="C420" s="1377"/>
      <c r="D420" s="1377"/>
      <c r="E420" s="1377"/>
      <c r="F420" s="1375"/>
      <c r="G420" s="1364"/>
      <c r="H420" s="1375"/>
      <c r="I420" s="1364"/>
      <c r="J420" s="1377"/>
      <c r="K420" s="1375"/>
      <c r="L420" s="14"/>
    </row>
    <row r="421" spans="1:12" ht="27.95" customHeight="1">
      <c r="A421" s="13"/>
      <c r="B421" s="1364"/>
      <c r="C421" s="1377"/>
      <c r="D421" s="1377"/>
      <c r="E421" s="1377"/>
      <c r="F421" s="1375"/>
      <c r="G421" s="1364"/>
      <c r="H421" s="1375"/>
      <c r="I421" s="1364"/>
      <c r="J421" s="1377"/>
      <c r="K421" s="1375"/>
      <c r="L421" s="14"/>
    </row>
    <row r="422" spans="1:12" ht="27.95" customHeight="1">
      <c r="A422" s="13"/>
      <c r="B422" s="1364"/>
      <c r="C422" s="1377"/>
      <c r="D422" s="1377"/>
      <c r="E422" s="1377"/>
      <c r="F422" s="1375"/>
      <c r="G422" s="1364"/>
      <c r="H422" s="1375"/>
      <c r="I422" s="1364"/>
      <c r="J422" s="1377"/>
      <c r="K422" s="1375"/>
      <c r="L422" s="14"/>
    </row>
    <row r="423" spans="1:12">
      <c r="A423" s="13"/>
      <c r="B423" s="1364"/>
      <c r="C423" s="1377"/>
      <c r="D423" s="1377"/>
      <c r="E423" s="1377"/>
      <c r="F423" s="1375"/>
      <c r="G423" s="1364"/>
      <c r="H423" s="1375"/>
      <c r="I423" s="1364"/>
      <c r="J423" s="1377"/>
      <c r="K423" s="1375"/>
      <c r="L423" s="14"/>
    </row>
    <row r="424" spans="1:12">
      <c r="A424" s="13"/>
      <c r="L424" s="14"/>
    </row>
    <row r="425" spans="1:12">
      <c r="A425" s="13"/>
      <c r="B425" t="s">
        <v>198</v>
      </c>
      <c r="C425" s="289" t="e">
        <f>'04-221Master'!#REF!</f>
        <v>#REF!</v>
      </c>
      <c r="I425" t="s">
        <v>227</v>
      </c>
      <c r="L425" s="14"/>
    </row>
    <row r="426" spans="1:12" ht="18.75">
      <c r="A426" s="13"/>
      <c r="F426" s="179" t="s">
        <v>193</v>
      </c>
      <c r="L426" s="14"/>
    </row>
    <row r="427" spans="1:12">
      <c r="A427" s="13" t="s">
        <v>194</v>
      </c>
      <c r="K427" s="229" t="e">
        <f>'04-221Master'!#REF!</f>
        <v>#REF!</v>
      </c>
      <c r="L427" s="14"/>
    </row>
    <row r="428" spans="1:12">
      <c r="A428" s="13" t="s">
        <v>195</v>
      </c>
      <c r="L428" s="14"/>
    </row>
    <row r="429" spans="1:12" ht="15" customHeight="1">
      <c r="A429" s="13"/>
      <c r="L429" s="14"/>
    </row>
    <row r="430" spans="1:12">
      <c r="A430" s="13"/>
      <c r="F430" t="s">
        <v>196</v>
      </c>
      <c r="L430" s="14"/>
    </row>
    <row r="431" spans="1:12">
      <c r="A431" s="13" t="s">
        <v>197</v>
      </c>
      <c r="B431" t="s">
        <v>361</v>
      </c>
      <c r="F431" t="str">
        <f>'04-221Master'!F5</f>
        <v>Burgeon IT Services Pvt.Ltd.</v>
      </c>
      <c r="L431" s="14"/>
    </row>
    <row r="432" spans="1:12" ht="15.75" thickBot="1">
      <c r="A432" s="25" t="s">
        <v>198</v>
      </c>
      <c r="B432" s="292" t="e">
        <f>'04-221Master'!#REF!</f>
        <v>#REF!</v>
      </c>
      <c r="C432" s="23"/>
      <c r="D432" s="23"/>
      <c r="E432" s="23"/>
      <c r="F432" s="23" t="str">
        <f>'04-221Master'!F6</f>
        <v>Siri Mansion LIGB 436 Dr.A S Rao Nagar,Hyderabad</v>
      </c>
      <c r="G432" s="23"/>
      <c r="H432" s="23"/>
      <c r="I432" s="23"/>
      <c r="J432" s="23"/>
      <c r="K432" s="23"/>
      <c r="L432" s="24"/>
    </row>
    <row r="433" spans="1:12" ht="32.25">
      <c r="A433" s="74"/>
      <c r="B433" s="75"/>
      <c r="C433" s="75"/>
      <c r="D433" s="184"/>
      <c r="E433" s="184"/>
      <c r="F433" s="184"/>
      <c r="G433" s="184"/>
      <c r="H433" s="184"/>
      <c r="I433" s="184"/>
      <c r="J433" s="75"/>
      <c r="K433" s="186" t="s">
        <v>212</v>
      </c>
      <c r="L433" s="185"/>
    </row>
    <row r="434" spans="1:12" ht="21">
      <c r="A434" s="13"/>
      <c r="B434" s="1386" t="s">
        <v>211</v>
      </c>
      <c r="C434" s="1386"/>
      <c r="D434" s="1386"/>
      <c r="E434" s="1386"/>
      <c r="F434" s="1386"/>
      <c r="G434" s="1386"/>
      <c r="H434" s="1386"/>
      <c r="I434" s="1386"/>
      <c r="J434" s="1386"/>
      <c r="K434" s="1386"/>
      <c r="L434" s="1387"/>
    </row>
    <row r="435" spans="1:12" ht="15.75">
      <c r="A435" s="13"/>
      <c r="B435" s="1356" t="s">
        <v>213</v>
      </c>
      <c r="C435" s="1356"/>
      <c r="D435" s="1356"/>
      <c r="E435" s="1356"/>
      <c r="F435" s="1356"/>
      <c r="G435" s="1356"/>
      <c r="H435" s="1356"/>
      <c r="I435" s="1356"/>
      <c r="J435" s="1356"/>
      <c r="K435" s="1356"/>
      <c r="L435" s="1388"/>
    </row>
    <row r="436" spans="1:12">
      <c r="A436" s="13"/>
      <c r="B436" s="187" t="s">
        <v>214</v>
      </c>
      <c r="C436" s="187"/>
      <c r="D436" s="187"/>
      <c r="E436" s="187"/>
      <c r="F436" s="187"/>
      <c r="H436" s="188"/>
      <c r="I436" s="188"/>
      <c r="J436" s="188"/>
      <c r="K436" s="188"/>
      <c r="L436" s="196"/>
    </row>
    <row r="437" spans="1:12">
      <c r="A437" s="13"/>
      <c r="B437" s="187"/>
      <c r="C437" s="187"/>
      <c r="D437" s="187"/>
      <c r="E437" s="187"/>
      <c r="F437" s="187"/>
      <c r="H437" s="188"/>
      <c r="I437" s="188"/>
      <c r="J437" s="188"/>
      <c r="K437" s="188"/>
      <c r="L437" s="196"/>
    </row>
    <row r="438" spans="1:12">
      <c r="A438" s="13"/>
      <c r="B438" s="1369" t="s">
        <v>184</v>
      </c>
      <c r="C438" s="1369"/>
      <c r="D438" s="1369"/>
      <c r="E438" s="1369"/>
      <c r="F438" s="1369"/>
      <c r="G438" s="1369"/>
      <c r="H438" s="1372" t="e">
        <f>'04-221Master'!#REF!</f>
        <v>#REF!</v>
      </c>
      <c r="I438" s="1371"/>
      <c r="J438" s="1371"/>
      <c r="K438" s="1371"/>
      <c r="L438" s="1151"/>
    </row>
    <row r="439" spans="1:12">
      <c r="A439" s="13"/>
      <c r="B439" s="1373" t="s">
        <v>185</v>
      </c>
      <c r="C439" s="1373"/>
      <c r="D439" s="1373"/>
      <c r="E439" s="1373"/>
      <c r="F439" s="1373"/>
      <c r="G439" s="1373"/>
      <c r="H439" s="1372" t="e">
        <f>'04-221Master'!#REF!</f>
        <v>#REF!</v>
      </c>
      <c r="I439" s="1371"/>
      <c r="J439" s="1371"/>
      <c r="K439" s="1371"/>
      <c r="L439" s="1151"/>
    </row>
    <row r="440" spans="1:12">
      <c r="A440" s="13"/>
      <c r="B440" s="1369" t="s">
        <v>186</v>
      </c>
      <c r="C440" s="1369"/>
      <c r="D440" s="1369"/>
      <c r="E440" s="1369"/>
      <c r="F440" s="1369"/>
      <c r="G440" s="1369"/>
      <c r="H440" s="1372" t="e">
        <f>'04-221Master'!#REF!</f>
        <v>#REF!</v>
      </c>
      <c r="I440" s="1371"/>
      <c r="J440" s="1371"/>
      <c r="K440" s="1371"/>
      <c r="L440" s="1151"/>
    </row>
    <row r="441" spans="1:12">
      <c r="A441" s="13"/>
      <c r="B441" s="1369" t="s">
        <v>187</v>
      </c>
      <c r="C441" s="1369"/>
      <c r="D441" s="1369"/>
      <c r="E441" s="1369"/>
      <c r="F441" s="1369"/>
      <c r="G441" s="1369"/>
      <c r="H441" s="1374" t="e">
        <f>'04-221Master'!#REF!</f>
        <v>#REF!</v>
      </c>
      <c r="I441" s="1371"/>
      <c r="J441" s="1371"/>
      <c r="K441" s="1371"/>
      <c r="L441" s="1151"/>
    </row>
    <row r="442" spans="1:12">
      <c r="A442" s="13"/>
      <c r="B442" s="86" t="s">
        <v>188</v>
      </c>
      <c r="C442" s="87"/>
      <c r="D442" s="87"/>
      <c r="E442" s="87"/>
      <c r="F442" s="87"/>
      <c r="G442" s="87"/>
      <c r="H442" s="1366" t="s">
        <v>189</v>
      </c>
      <c r="I442" s="1367"/>
      <c r="J442" s="1367"/>
      <c r="K442" s="1367"/>
      <c r="L442" s="1368"/>
    </row>
    <row r="443" spans="1:12">
      <c r="A443" s="13"/>
      <c r="B443" s="86" t="s">
        <v>190</v>
      </c>
      <c r="C443" s="87"/>
      <c r="D443" s="87"/>
      <c r="E443" s="87"/>
      <c r="F443" s="87"/>
      <c r="G443" s="87"/>
      <c r="H443" s="88"/>
      <c r="I443" s="90"/>
      <c r="J443" s="178"/>
      <c r="K443" s="90"/>
      <c r="L443" s="95"/>
    </row>
    <row r="444" spans="1:12" ht="27.95" customHeight="1">
      <c r="A444" s="13"/>
      <c r="B444" s="1161" t="s">
        <v>191</v>
      </c>
      <c r="C444" s="1161"/>
      <c r="D444" s="1161"/>
      <c r="E444" s="1161"/>
      <c r="F444" s="1161"/>
      <c r="G444" s="1161"/>
      <c r="H444" s="1154" t="e">
        <f>'04-221Master'!#REF!</f>
        <v>#REF!</v>
      </c>
      <c r="I444" s="1155"/>
      <c r="J444" s="1155"/>
      <c r="K444" s="1155"/>
      <c r="L444" s="1156"/>
    </row>
    <row r="445" spans="1:12" ht="27.95" customHeight="1">
      <c r="A445" s="13"/>
      <c r="B445" s="1369"/>
      <c r="C445" s="1369"/>
      <c r="D445" s="1369"/>
      <c r="E445" s="1369"/>
      <c r="F445" s="1369"/>
      <c r="G445" s="1369"/>
      <c r="H445" s="1370" t="e">
        <f>'04-221Master'!#REF!</f>
        <v>#REF!</v>
      </c>
      <c r="I445" s="1371"/>
      <c r="J445" s="1371"/>
      <c r="K445" s="1371"/>
      <c r="L445" s="1151"/>
    </row>
    <row r="446" spans="1:12" ht="27.95" customHeight="1">
      <c r="A446" s="13"/>
      <c r="B446" s="1369"/>
      <c r="C446" s="1369"/>
      <c r="D446" s="1369"/>
      <c r="E446" s="1369"/>
      <c r="F446" s="1369"/>
      <c r="G446" s="1369"/>
      <c r="H446" s="1372" t="e">
        <f>'04-221Master'!#REF!</f>
        <v>#REF!</v>
      </c>
      <c r="I446" s="1371"/>
      <c r="J446" s="1371"/>
      <c r="K446" s="1371"/>
      <c r="L446" s="1151"/>
    </row>
    <row r="447" spans="1:12" ht="27.95" customHeight="1">
      <c r="A447" s="13"/>
      <c r="G447" s="2" t="s">
        <v>215</v>
      </c>
      <c r="H447" s="2"/>
      <c r="I447" s="2"/>
      <c r="J447" s="2"/>
      <c r="K447" s="2"/>
      <c r="L447" s="81"/>
    </row>
    <row r="448" spans="1:12" ht="27.95" customHeight="1">
      <c r="A448" s="13"/>
      <c r="B448" s="180" t="s">
        <v>199</v>
      </c>
      <c r="C448" s="176"/>
      <c r="D448" s="176"/>
      <c r="E448" s="176"/>
      <c r="F448" s="176"/>
      <c r="G448" s="176"/>
      <c r="H448" s="165"/>
      <c r="I448" s="165"/>
      <c r="J448" s="165"/>
      <c r="K448" s="165"/>
      <c r="L448" s="183"/>
    </row>
    <row r="449" spans="1:12" ht="27.95" customHeight="1">
      <c r="A449" s="13"/>
      <c r="B449" s="180" t="s">
        <v>200</v>
      </c>
      <c r="C449" s="176"/>
      <c r="D449" s="176"/>
      <c r="E449" s="176"/>
      <c r="F449" s="176"/>
      <c r="G449" s="176"/>
      <c r="H449" s="165"/>
      <c r="I449" s="165"/>
      <c r="J449" s="166"/>
      <c r="K449" s="165"/>
      <c r="L449" s="183"/>
    </row>
    <row r="450" spans="1:12" ht="27.95" customHeight="1">
      <c r="A450" s="85"/>
      <c r="B450" s="86" t="s">
        <v>203</v>
      </c>
      <c r="C450" s="87"/>
      <c r="D450" s="193"/>
      <c r="E450" s="171" t="s">
        <v>205</v>
      </c>
      <c r="F450" s="65"/>
      <c r="G450" s="1361" t="s">
        <v>204</v>
      </c>
      <c r="H450" s="1362"/>
      <c r="I450" s="170" t="s">
        <v>201</v>
      </c>
      <c r="J450" s="173" t="s">
        <v>206</v>
      </c>
      <c r="K450" s="1361" t="s">
        <v>202</v>
      </c>
      <c r="L450" s="1363"/>
    </row>
    <row r="451" spans="1:12" ht="27.95" customHeight="1">
      <c r="A451" s="85"/>
      <c r="B451" s="174">
        <v>1</v>
      </c>
      <c r="C451" s="87"/>
      <c r="D451" s="87"/>
      <c r="E451" s="177">
        <v>2</v>
      </c>
      <c r="F451" s="91"/>
      <c r="G451" s="177">
        <v>3</v>
      </c>
      <c r="H451" s="193"/>
      <c r="I451" s="193">
        <v>4</v>
      </c>
      <c r="J451" s="102">
        <v>5</v>
      </c>
      <c r="K451" s="93"/>
      <c r="L451" s="94">
        <v>6</v>
      </c>
    </row>
    <row r="452" spans="1:12" ht="27.95" customHeight="1">
      <c r="A452" s="85"/>
      <c r="B452" s="86" t="e">
        <f>'04-221Master'!#REF!</f>
        <v>#REF!</v>
      </c>
      <c r="C452" s="189"/>
      <c r="D452" s="190"/>
      <c r="E452" s="191" t="s">
        <v>365</v>
      </c>
      <c r="F452" s="190"/>
      <c r="G452" s="191" t="s">
        <v>363</v>
      </c>
      <c r="H452" s="65"/>
      <c r="I452" s="11" t="s">
        <v>366</v>
      </c>
      <c r="J452" s="290">
        <v>1</v>
      </c>
      <c r="K452" s="192" t="s">
        <v>37</v>
      </c>
      <c r="L452" s="197"/>
    </row>
    <row r="453" spans="1:12" ht="27.95" customHeight="1">
      <c r="A453" s="85"/>
      <c r="B453" s="86"/>
      <c r="C453" s="189"/>
      <c r="D453" s="190"/>
      <c r="E453" s="191"/>
      <c r="F453" s="190"/>
      <c r="G453" s="191"/>
      <c r="H453" s="65"/>
      <c r="I453" s="11"/>
      <c r="J453" s="11"/>
      <c r="K453" s="192"/>
      <c r="L453" s="197"/>
    </row>
    <row r="454" spans="1:12" ht="27.95" customHeight="1">
      <c r="A454" s="85"/>
      <c r="B454" s="86"/>
      <c r="C454" s="189"/>
      <c r="D454" s="190"/>
      <c r="E454" s="191"/>
      <c r="F454" s="190"/>
      <c r="G454" s="191"/>
      <c r="H454" s="65"/>
      <c r="I454" s="11"/>
      <c r="J454" s="11"/>
      <c r="K454" s="192"/>
      <c r="L454" s="197"/>
    </row>
    <row r="455" spans="1:12" ht="27.95" customHeight="1">
      <c r="A455" s="85"/>
      <c r="B455" s="72"/>
      <c r="C455" s="17"/>
      <c r="D455" s="73"/>
      <c r="E455" s="191"/>
      <c r="F455" s="190"/>
      <c r="G455" s="191"/>
      <c r="H455" s="65"/>
      <c r="I455" s="11"/>
      <c r="J455" s="11"/>
      <c r="K455" s="192"/>
      <c r="L455" s="197"/>
    </row>
    <row r="456" spans="1:12" ht="27.95" customHeight="1">
      <c r="A456" s="85"/>
      <c r="B456" t="s">
        <v>207</v>
      </c>
      <c r="L456" s="14"/>
    </row>
    <row r="457" spans="1:12" ht="27.95" customHeight="1">
      <c r="A457" s="13"/>
      <c r="B457" t="s">
        <v>208</v>
      </c>
      <c r="L457" s="14"/>
    </row>
    <row r="458" spans="1:12" ht="27.95" customHeight="1">
      <c r="A458" s="13"/>
      <c r="B458" t="s">
        <v>219</v>
      </c>
      <c r="J458" t="s">
        <v>218</v>
      </c>
      <c r="L458" s="14"/>
    </row>
    <row r="459" spans="1:12" ht="24" customHeight="1">
      <c r="A459" s="13"/>
      <c r="G459" s="2" t="s">
        <v>216</v>
      </c>
      <c r="H459" s="2"/>
      <c r="I459" s="2"/>
      <c r="J459" s="2"/>
      <c r="K459" s="2"/>
      <c r="L459" s="81"/>
    </row>
    <row r="460" spans="1:12" ht="18" customHeight="1">
      <c r="A460" s="13"/>
      <c r="B460" s="2"/>
      <c r="G460" t="s">
        <v>217</v>
      </c>
      <c r="H460" s="2"/>
      <c r="I460" s="2"/>
      <c r="J460" s="2"/>
      <c r="K460" s="2"/>
      <c r="L460" s="81"/>
    </row>
    <row r="461" spans="1:12" ht="18.75" customHeight="1">
      <c r="A461" s="13"/>
      <c r="B461" s="180" t="s">
        <v>220</v>
      </c>
      <c r="C461" s="176"/>
      <c r="D461" s="176"/>
      <c r="E461" s="176"/>
      <c r="F461" s="176"/>
      <c r="G461" s="176"/>
      <c r="H461" s="165"/>
      <c r="I461" s="165"/>
      <c r="J461" s="165"/>
      <c r="K461" s="165"/>
      <c r="L461" s="183"/>
    </row>
    <row r="462" spans="1:12">
      <c r="A462" s="13"/>
      <c r="B462" s="180" t="s">
        <v>221</v>
      </c>
      <c r="C462" s="176"/>
      <c r="D462" s="176"/>
      <c r="E462" s="176"/>
      <c r="F462" s="176"/>
      <c r="G462" s="176"/>
      <c r="H462" s="165"/>
      <c r="I462" s="165"/>
      <c r="J462" s="166"/>
      <c r="K462" s="165"/>
      <c r="L462" s="183"/>
    </row>
    <row r="463" spans="1:12">
      <c r="A463" s="13"/>
      <c r="B463" s="86" t="s">
        <v>5</v>
      </c>
      <c r="C463" s="1379" t="s">
        <v>222</v>
      </c>
      <c r="D463" s="1149"/>
      <c r="E463" s="1149"/>
      <c r="F463" s="1149"/>
      <c r="G463" s="1149"/>
      <c r="H463" s="1380"/>
      <c r="I463" s="172" t="s">
        <v>102</v>
      </c>
      <c r="J463" s="1381" t="s">
        <v>223</v>
      </c>
      <c r="K463" s="1382"/>
      <c r="L463" s="1383"/>
    </row>
    <row r="464" spans="1:12">
      <c r="A464" s="13"/>
      <c r="B464" s="174">
        <v>1</v>
      </c>
      <c r="C464" s="208"/>
      <c r="D464" s="90"/>
      <c r="E464" s="96">
        <v>2</v>
      </c>
      <c r="F464" s="64"/>
      <c r="G464" s="1378"/>
      <c r="H464" s="1362"/>
      <c r="I464" s="90">
        <v>3</v>
      </c>
      <c r="J464" s="195" t="s">
        <v>224</v>
      </c>
      <c r="K464" s="1384">
        <v>4</v>
      </c>
      <c r="L464" s="1385"/>
    </row>
    <row r="465" spans="1:12">
      <c r="A465" s="13"/>
      <c r="B465" s="86"/>
      <c r="C465" s="208"/>
      <c r="D465" s="90"/>
      <c r="E465" s="96"/>
      <c r="F465" s="64"/>
      <c r="G465" s="1378"/>
      <c r="H465" s="1362"/>
      <c r="I465" s="192"/>
      <c r="J465" s="194"/>
      <c r="K465" s="1378"/>
      <c r="L465" s="1363"/>
    </row>
    <row r="466" spans="1:12">
      <c r="A466" s="13"/>
      <c r="B466" s="86"/>
      <c r="C466" s="208"/>
      <c r="D466" s="90"/>
      <c r="E466" s="96"/>
      <c r="F466" s="64"/>
      <c r="G466" s="1378"/>
      <c r="H466" s="1362"/>
      <c r="I466" s="192"/>
      <c r="J466" s="194"/>
      <c r="K466" s="1378"/>
      <c r="L466" s="1363"/>
    </row>
    <row r="467" spans="1:12" ht="15" customHeight="1">
      <c r="A467" s="13"/>
      <c r="B467" s="86"/>
      <c r="C467" s="208"/>
      <c r="D467" s="90"/>
      <c r="E467" s="96"/>
      <c r="F467" s="64"/>
      <c r="G467" s="1378"/>
      <c r="H467" s="1362"/>
      <c r="I467" s="192"/>
      <c r="J467" s="194"/>
      <c r="K467" s="1378"/>
      <c r="L467" s="1363"/>
    </row>
    <row r="468" spans="1:12">
      <c r="A468" s="13"/>
      <c r="B468" s="72"/>
      <c r="C468" s="208"/>
      <c r="D468" s="90"/>
      <c r="E468" s="96"/>
      <c r="F468" s="64"/>
      <c r="G468" s="1378"/>
      <c r="H468" s="1362"/>
      <c r="I468" s="192"/>
      <c r="J468" s="194"/>
      <c r="K468" s="1378"/>
      <c r="L468" s="1363"/>
    </row>
    <row r="469" spans="1:12">
      <c r="A469" s="13"/>
      <c r="B469" t="s">
        <v>228</v>
      </c>
      <c r="L469" s="14"/>
    </row>
    <row r="470" spans="1:12">
      <c r="A470" s="13"/>
      <c r="B470" t="s">
        <v>229</v>
      </c>
      <c r="L470" s="14"/>
    </row>
    <row r="471" spans="1:12">
      <c r="A471" s="13"/>
      <c r="B471" t="s">
        <v>230</v>
      </c>
      <c r="L471" s="14"/>
    </row>
    <row r="472" spans="1:12">
      <c r="A472" s="13"/>
      <c r="B472" t="s">
        <v>231</v>
      </c>
      <c r="L472" s="14"/>
    </row>
    <row r="473" spans="1:12">
      <c r="A473" s="13"/>
      <c r="B473" s="191" t="s">
        <v>225</v>
      </c>
      <c r="C473" s="64"/>
      <c r="D473" s="64"/>
      <c r="E473" s="64"/>
      <c r="F473" s="65"/>
      <c r="G473" s="191" t="s">
        <v>201</v>
      </c>
      <c r="H473" s="65"/>
      <c r="I473" s="191" t="s">
        <v>226</v>
      </c>
      <c r="J473" s="64"/>
      <c r="K473" s="65"/>
      <c r="L473" s="14"/>
    </row>
    <row r="474" spans="1:12">
      <c r="A474" s="13"/>
      <c r="B474" s="1364"/>
      <c r="C474" s="1377"/>
      <c r="D474" s="1377"/>
      <c r="E474" s="1377"/>
      <c r="F474" s="1375"/>
      <c r="G474" s="1364"/>
      <c r="H474" s="1375"/>
      <c r="I474" s="1364"/>
      <c r="J474" s="1377"/>
      <c r="K474" s="1375"/>
      <c r="L474" s="14"/>
    </row>
    <row r="475" spans="1:12">
      <c r="A475" s="13"/>
      <c r="B475" s="1364"/>
      <c r="C475" s="1377"/>
      <c r="D475" s="1377"/>
      <c r="E475" s="1377"/>
      <c r="F475" s="1375"/>
      <c r="G475" s="1364"/>
      <c r="H475" s="1375"/>
      <c r="I475" s="1364"/>
      <c r="J475" s="1377"/>
      <c r="K475" s="1375"/>
      <c r="L475" s="14"/>
    </row>
    <row r="476" spans="1:12">
      <c r="A476" s="13"/>
      <c r="B476" s="1364"/>
      <c r="C476" s="1377"/>
      <c r="D476" s="1377"/>
      <c r="E476" s="1377"/>
      <c r="F476" s="1375"/>
      <c r="G476" s="1364"/>
      <c r="H476" s="1375"/>
      <c r="I476" s="1364"/>
      <c r="J476" s="1377"/>
      <c r="K476" s="1375"/>
      <c r="L476" s="14"/>
    </row>
    <row r="477" spans="1:12">
      <c r="A477" s="13"/>
      <c r="B477" s="1364"/>
      <c r="C477" s="1377"/>
      <c r="D477" s="1377"/>
      <c r="E477" s="1377"/>
      <c r="F477" s="1375"/>
      <c r="G477" s="1364"/>
      <c r="H477" s="1375"/>
      <c r="I477" s="1364"/>
      <c r="J477" s="1377"/>
      <c r="K477" s="1375"/>
      <c r="L477" s="14"/>
    </row>
    <row r="478" spans="1:12">
      <c r="A478" s="13"/>
      <c r="L478" s="14"/>
    </row>
    <row r="479" spans="1:12">
      <c r="A479" s="13"/>
      <c r="B479" t="s">
        <v>198</v>
      </c>
      <c r="C479" s="289" t="e">
        <f>'04-221Master'!#REF!</f>
        <v>#REF!</v>
      </c>
      <c r="I479" t="s">
        <v>227</v>
      </c>
      <c r="L479" s="14"/>
    </row>
    <row r="480" spans="1:12" ht="18.75">
      <c r="A480" s="13"/>
      <c r="F480" s="179" t="s">
        <v>193</v>
      </c>
      <c r="L480" s="14"/>
    </row>
    <row r="481" spans="1:12">
      <c r="A481" s="13" t="s">
        <v>194</v>
      </c>
      <c r="K481" s="229" t="e">
        <f>'04-221Master'!#REF!</f>
        <v>#REF!</v>
      </c>
      <c r="L481" s="14"/>
    </row>
    <row r="482" spans="1:12" ht="27.95" customHeight="1">
      <c r="A482" s="13" t="s">
        <v>195</v>
      </c>
      <c r="L482" s="14"/>
    </row>
    <row r="483" spans="1:12" ht="27.95" customHeight="1">
      <c r="A483" s="13"/>
      <c r="F483" t="s">
        <v>196</v>
      </c>
      <c r="L483" s="14"/>
    </row>
    <row r="484" spans="1:12" ht="27.95" customHeight="1">
      <c r="A484" s="13" t="s">
        <v>197</v>
      </c>
      <c r="B484" t="s">
        <v>361</v>
      </c>
      <c r="F484" t="str">
        <f>'04-221Master'!F5</f>
        <v>Burgeon IT Services Pvt.Ltd.</v>
      </c>
      <c r="L484" s="14"/>
    </row>
    <row r="485" spans="1:12" ht="27.95" customHeight="1" thickBot="1">
      <c r="A485" s="25" t="s">
        <v>198</v>
      </c>
      <c r="B485" s="292" t="e">
        <f>'04-221Master'!#REF!</f>
        <v>#REF!</v>
      </c>
      <c r="C485" s="23"/>
      <c r="D485" s="23"/>
      <c r="E485" s="23"/>
      <c r="F485" s="23" t="str">
        <f>'04-221Master'!F6</f>
        <v>Siri Mansion LIGB 436 Dr.A S Rao Nagar,Hyderabad</v>
      </c>
      <c r="G485" s="23"/>
      <c r="H485" s="23"/>
      <c r="I485" s="23"/>
      <c r="J485" s="23"/>
      <c r="K485" s="23"/>
      <c r="L485" s="24"/>
    </row>
    <row r="486" spans="1:12" ht="27.95" customHeight="1">
      <c r="A486" s="74"/>
      <c r="B486" s="75"/>
      <c r="C486" s="75"/>
      <c r="D486" s="184"/>
      <c r="E486" s="184"/>
      <c r="F486" s="184"/>
      <c r="G486" s="184"/>
      <c r="H486" s="184"/>
      <c r="I486" s="184"/>
      <c r="J486" s="75"/>
      <c r="K486" s="186" t="s">
        <v>212</v>
      </c>
      <c r="L486" s="185"/>
    </row>
    <row r="487" spans="1:12" ht="27.95" customHeight="1">
      <c r="A487" s="13"/>
      <c r="B487" s="1386" t="s">
        <v>211</v>
      </c>
      <c r="C487" s="1386"/>
      <c r="D487" s="1386"/>
      <c r="E487" s="1386"/>
      <c r="F487" s="1386"/>
      <c r="G487" s="1386"/>
      <c r="H487" s="1386"/>
      <c r="I487" s="1386"/>
      <c r="J487" s="1386"/>
      <c r="K487" s="1386"/>
      <c r="L487" s="1387"/>
    </row>
    <row r="488" spans="1:12" ht="21.75" customHeight="1">
      <c r="A488" s="13"/>
      <c r="B488" s="1356" t="s">
        <v>213</v>
      </c>
      <c r="C488" s="1356"/>
      <c r="D488" s="1356"/>
      <c r="E488" s="1356"/>
      <c r="F488" s="1356"/>
      <c r="G488" s="1356"/>
      <c r="H488" s="1356"/>
      <c r="I488" s="1356"/>
      <c r="J488" s="1356"/>
      <c r="K488" s="1356"/>
      <c r="L488" s="1388"/>
    </row>
    <row r="489" spans="1:12" ht="27.95" customHeight="1">
      <c r="A489" s="13"/>
      <c r="B489" s="187" t="s">
        <v>214</v>
      </c>
      <c r="C489" s="187"/>
      <c r="D489" s="187"/>
      <c r="E489" s="187"/>
      <c r="F489" s="187"/>
      <c r="H489" s="188"/>
      <c r="I489" s="188"/>
      <c r="J489" s="188"/>
      <c r="K489" s="188"/>
      <c r="L489" s="196"/>
    </row>
    <row r="490" spans="1:12" ht="27.95" customHeight="1">
      <c r="A490" s="13"/>
      <c r="B490" s="1369" t="s">
        <v>184</v>
      </c>
      <c r="C490" s="1369"/>
      <c r="D490" s="1369"/>
      <c r="E490" s="1369"/>
      <c r="F490" s="1369"/>
      <c r="G490" s="1369"/>
      <c r="H490" s="1372">
        <f>'04-221Master'!B399</f>
        <v>0</v>
      </c>
      <c r="I490" s="1371"/>
      <c r="J490" s="1371"/>
      <c r="K490" s="1371"/>
      <c r="L490" s="1151"/>
    </row>
    <row r="491" spans="1:12" ht="24" customHeight="1">
      <c r="A491" s="13"/>
      <c r="B491" s="1373" t="s">
        <v>185</v>
      </c>
      <c r="C491" s="1373"/>
      <c r="D491" s="1373"/>
      <c r="E491" s="1373"/>
      <c r="F491" s="1373"/>
      <c r="G491" s="1373"/>
      <c r="H491" s="1372">
        <f>'04-221Master'!E399</f>
        <v>0</v>
      </c>
      <c r="I491" s="1371"/>
      <c r="J491" s="1371"/>
      <c r="K491" s="1371"/>
      <c r="L491" s="1151"/>
    </row>
    <row r="492" spans="1:12" ht="24.75" customHeight="1">
      <c r="A492" s="13"/>
      <c r="B492" s="1369" t="s">
        <v>186</v>
      </c>
      <c r="C492" s="1369"/>
      <c r="D492" s="1369"/>
      <c r="E492" s="1369"/>
      <c r="F492" s="1369"/>
      <c r="G492" s="1369"/>
      <c r="H492" s="1372">
        <f>'04-221Master'!C399</f>
        <v>0</v>
      </c>
      <c r="I492" s="1371"/>
      <c r="J492" s="1371"/>
      <c r="K492" s="1371"/>
      <c r="L492" s="1151"/>
    </row>
    <row r="493" spans="1:12" ht="26.25" customHeight="1">
      <c r="A493" s="13"/>
      <c r="B493" s="1369" t="s">
        <v>187</v>
      </c>
      <c r="C493" s="1369"/>
      <c r="D493" s="1369"/>
      <c r="E493" s="1369"/>
      <c r="F493" s="1369"/>
      <c r="G493" s="1369"/>
      <c r="H493" s="1374">
        <f>'04-221Master'!D399</f>
        <v>0</v>
      </c>
      <c r="I493" s="1371"/>
      <c r="J493" s="1371"/>
      <c r="K493" s="1371"/>
      <c r="L493" s="1151"/>
    </row>
    <row r="494" spans="1:12" ht="25.5" customHeight="1">
      <c r="A494" s="13"/>
      <c r="B494" s="86" t="s">
        <v>188</v>
      </c>
      <c r="C494" s="87"/>
      <c r="D494" s="87"/>
      <c r="E494" s="87"/>
      <c r="F494" s="87"/>
      <c r="G494" s="87"/>
      <c r="H494" s="1366" t="s">
        <v>189</v>
      </c>
      <c r="I494" s="1367"/>
      <c r="J494" s="1367"/>
      <c r="K494" s="1367"/>
      <c r="L494" s="1368"/>
    </row>
    <row r="495" spans="1:12" ht="27.95" customHeight="1">
      <c r="A495" s="13"/>
      <c r="B495" s="86" t="s">
        <v>190</v>
      </c>
      <c r="C495" s="87"/>
      <c r="D495" s="87"/>
      <c r="E495" s="87"/>
      <c r="F495" s="87"/>
      <c r="G495" s="87"/>
      <c r="H495" s="88"/>
      <c r="I495" s="90"/>
      <c r="J495" s="178"/>
      <c r="K495" s="90"/>
      <c r="L495" s="95"/>
    </row>
    <row r="496" spans="1:12" ht="24" customHeight="1">
      <c r="A496" s="13"/>
      <c r="B496" s="1161" t="s">
        <v>191</v>
      </c>
      <c r="C496" s="1161"/>
      <c r="D496" s="1161"/>
      <c r="E496" s="1161"/>
      <c r="F496" s="1161"/>
      <c r="G496" s="1161"/>
      <c r="H496" s="1154">
        <f>'04-221Master'!G399</f>
        <v>0</v>
      </c>
      <c r="I496" s="1155"/>
      <c r="J496" s="1155"/>
      <c r="K496" s="1155"/>
      <c r="L496" s="1156"/>
    </row>
    <row r="497" spans="1:12" ht="22.5" customHeight="1">
      <c r="A497" s="13"/>
      <c r="B497" s="1369"/>
      <c r="C497" s="1369"/>
      <c r="D497" s="1369"/>
      <c r="E497" s="1369"/>
      <c r="F497" s="1369"/>
      <c r="G497" s="1369"/>
      <c r="H497" s="1370">
        <f>'04-221Master'!H399</f>
        <v>0</v>
      </c>
      <c r="I497" s="1371"/>
      <c r="J497" s="1371"/>
      <c r="K497" s="1371"/>
      <c r="L497" s="1151"/>
    </row>
    <row r="498" spans="1:12" ht="18.75" customHeight="1">
      <c r="A498" s="13"/>
      <c r="B498" s="1369"/>
      <c r="C498" s="1369"/>
      <c r="D498" s="1369"/>
      <c r="E498" s="1369"/>
      <c r="F498" s="1369"/>
      <c r="G498" s="1369"/>
      <c r="H498" s="1372">
        <f>'04-221Master'!I399</f>
        <v>0</v>
      </c>
      <c r="I498" s="1371"/>
      <c r="J498" s="1371"/>
      <c r="K498" s="1371"/>
      <c r="L498" s="1151"/>
    </row>
    <row r="499" spans="1:12">
      <c r="A499" s="13"/>
      <c r="G499" s="2" t="s">
        <v>215</v>
      </c>
      <c r="H499" s="2"/>
      <c r="I499" s="2"/>
      <c r="J499" s="2"/>
      <c r="K499" s="2"/>
      <c r="L499" s="81"/>
    </row>
    <row r="500" spans="1:12">
      <c r="A500" s="13"/>
      <c r="B500" s="180" t="s">
        <v>199</v>
      </c>
      <c r="C500" s="176"/>
      <c r="D500" s="176"/>
      <c r="E500" s="176"/>
      <c r="F500" s="176"/>
      <c r="G500" s="176"/>
      <c r="H500" s="165"/>
      <c r="I500" s="165"/>
      <c r="J500" s="165"/>
      <c r="K500" s="165"/>
      <c r="L500" s="183"/>
    </row>
    <row r="501" spans="1:12">
      <c r="A501" s="13"/>
      <c r="B501" s="180" t="s">
        <v>200</v>
      </c>
      <c r="C501" s="176"/>
      <c r="D501" s="176"/>
      <c r="E501" s="176"/>
      <c r="F501" s="176"/>
      <c r="G501" s="176"/>
      <c r="H501" s="165"/>
      <c r="I501" s="165"/>
      <c r="J501" s="166"/>
      <c r="K501" s="165"/>
      <c r="L501" s="183"/>
    </row>
    <row r="502" spans="1:12" ht="45">
      <c r="A502" s="85"/>
      <c r="B502" s="86" t="s">
        <v>203</v>
      </c>
      <c r="C502" s="87"/>
      <c r="D502" s="193"/>
      <c r="E502" s="171" t="s">
        <v>205</v>
      </c>
      <c r="F502" s="65"/>
      <c r="G502" s="1361" t="s">
        <v>204</v>
      </c>
      <c r="H502" s="1362"/>
      <c r="I502" s="170" t="s">
        <v>201</v>
      </c>
      <c r="J502" s="173" t="s">
        <v>206</v>
      </c>
      <c r="K502" s="1361" t="s">
        <v>202</v>
      </c>
      <c r="L502" s="1363"/>
    </row>
    <row r="503" spans="1:12" ht="15" customHeight="1">
      <c r="A503" s="85"/>
      <c r="B503" s="174">
        <v>1</v>
      </c>
      <c r="C503" s="87"/>
      <c r="D503" s="87"/>
      <c r="E503" s="177">
        <v>2</v>
      </c>
      <c r="F503" s="91"/>
      <c r="G503" s="177">
        <v>3</v>
      </c>
      <c r="H503" s="193"/>
      <c r="I503" s="193">
        <v>4</v>
      </c>
      <c r="J503" s="102">
        <v>5</v>
      </c>
      <c r="K503" s="93"/>
      <c r="L503" s="94">
        <v>6</v>
      </c>
    </row>
    <row r="504" spans="1:12">
      <c r="A504" s="85"/>
      <c r="B504" s="86"/>
      <c r="C504" s="189"/>
      <c r="D504" s="190"/>
      <c r="E504" s="191" t="s">
        <v>365</v>
      </c>
      <c r="F504" s="190"/>
      <c r="G504" s="191" t="s">
        <v>363</v>
      </c>
      <c r="H504" s="65"/>
      <c r="I504" s="11" t="s">
        <v>366</v>
      </c>
      <c r="J504" s="290">
        <v>1</v>
      </c>
      <c r="K504" s="192" t="s">
        <v>37</v>
      </c>
      <c r="L504" s="197"/>
    </row>
    <row r="505" spans="1:12">
      <c r="A505" s="85"/>
      <c r="B505" s="86"/>
      <c r="C505" s="189"/>
      <c r="D505" s="190"/>
      <c r="E505" s="191"/>
      <c r="F505" s="190"/>
      <c r="G505" s="191"/>
      <c r="H505" s="65"/>
      <c r="I505" s="11"/>
      <c r="J505" s="11"/>
      <c r="K505" s="192"/>
      <c r="L505" s="197"/>
    </row>
    <row r="506" spans="1:12">
      <c r="A506" s="85"/>
      <c r="B506" s="86"/>
      <c r="C506" s="189"/>
      <c r="D506" s="190"/>
      <c r="E506" s="191"/>
      <c r="F506" s="190"/>
      <c r="G506" s="191"/>
      <c r="H506" s="65"/>
      <c r="I506" s="11"/>
      <c r="J506" s="11"/>
      <c r="K506" s="192"/>
      <c r="L506" s="197"/>
    </row>
    <row r="507" spans="1:12">
      <c r="A507" s="85"/>
      <c r="B507" s="72"/>
      <c r="C507" s="17"/>
      <c r="D507" s="73"/>
      <c r="E507" s="191"/>
      <c r="F507" s="190"/>
      <c r="G507" s="191"/>
      <c r="H507" s="65"/>
      <c r="I507" s="11"/>
      <c r="J507" s="11"/>
      <c r="K507" s="192"/>
      <c r="L507" s="197"/>
    </row>
    <row r="508" spans="1:12">
      <c r="A508" s="85"/>
      <c r="B508" t="s">
        <v>207</v>
      </c>
      <c r="L508" s="14"/>
    </row>
    <row r="509" spans="1:12">
      <c r="A509" s="13"/>
      <c r="B509" t="s">
        <v>208</v>
      </c>
      <c r="L509" s="14"/>
    </row>
    <row r="510" spans="1:12">
      <c r="A510" s="13"/>
      <c r="B510" t="s">
        <v>219</v>
      </c>
      <c r="J510" t="s">
        <v>218</v>
      </c>
      <c r="L510" s="14"/>
    </row>
    <row r="511" spans="1:12">
      <c r="A511" s="13"/>
      <c r="G511" s="2" t="s">
        <v>216</v>
      </c>
      <c r="H511" s="2"/>
      <c r="I511" s="2"/>
      <c r="J511" s="2"/>
      <c r="K511" s="2"/>
      <c r="L511" s="81"/>
    </row>
    <row r="512" spans="1:12">
      <c r="A512" s="13"/>
      <c r="B512" s="2"/>
      <c r="G512" t="s">
        <v>217</v>
      </c>
      <c r="H512" s="2"/>
      <c r="I512" s="2"/>
      <c r="J512" s="2"/>
      <c r="K512" s="2"/>
      <c r="L512" s="81"/>
    </row>
    <row r="513" spans="1:12">
      <c r="A513" s="13"/>
      <c r="B513" s="180" t="s">
        <v>220</v>
      </c>
      <c r="C513" s="176"/>
      <c r="D513" s="176"/>
      <c r="E513" s="176"/>
      <c r="F513" s="176"/>
      <c r="G513" s="176"/>
      <c r="H513" s="165"/>
      <c r="I513" s="165"/>
      <c r="J513" s="165"/>
      <c r="K513" s="165"/>
      <c r="L513" s="183"/>
    </row>
    <row r="514" spans="1:12">
      <c r="A514" s="13"/>
      <c r="B514" s="180" t="s">
        <v>221</v>
      </c>
      <c r="C514" s="176"/>
      <c r="D514" s="176"/>
      <c r="E514" s="176"/>
      <c r="F514" s="176"/>
      <c r="G514" s="176"/>
      <c r="H514" s="165"/>
      <c r="I514" s="165"/>
      <c r="J514" s="166"/>
      <c r="K514" s="165"/>
      <c r="L514" s="183"/>
    </row>
    <row r="515" spans="1:12">
      <c r="A515" s="13"/>
      <c r="B515" s="86" t="s">
        <v>5</v>
      </c>
      <c r="C515" s="1379" t="s">
        <v>222</v>
      </c>
      <c r="D515" s="1149"/>
      <c r="E515" s="1149"/>
      <c r="F515" s="1149"/>
      <c r="G515" s="1149"/>
      <c r="H515" s="1380"/>
      <c r="I515" s="172" t="s">
        <v>102</v>
      </c>
      <c r="J515" s="1381" t="s">
        <v>223</v>
      </c>
      <c r="K515" s="1382"/>
      <c r="L515" s="1383"/>
    </row>
    <row r="516" spans="1:12">
      <c r="A516" s="13"/>
      <c r="B516" s="174">
        <v>1</v>
      </c>
      <c r="C516" s="208"/>
      <c r="D516" s="90"/>
      <c r="E516" s="96">
        <v>2</v>
      </c>
      <c r="F516" s="64"/>
      <c r="G516" s="1378"/>
      <c r="H516" s="1362"/>
      <c r="I516" s="90">
        <v>3</v>
      </c>
      <c r="J516" s="195" t="s">
        <v>224</v>
      </c>
      <c r="K516" s="1384">
        <v>4</v>
      </c>
      <c r="L516" s="1385"/>
    </row>
    <row r="517" spans="1:12">
      <c r="A517" s="13"/>
      <c r="B517" s="86"/>
      <c r="C517" s="208"/>
      <c r="D517" s="90"/>
      <c r="E517" s="96"/>
      <c r="F517" s="64"/>
      <c r="G517" s="1378"/>
      <c r="H517" s="1362"/>
      <c r="I517" s="192"/>
      <c r="J517" s="194"/>
      <c r="K517" s="1378"/>
      <c r="L517" s="1363"/>
    </row>
    <row r="518" spans="1:12" ht="27.95" customHeight="1">
      <c r="A518" s="13"/>
      <c r="B518" s="86"/>
      <c r="C518" s="208"/>
      <c r="D518" s="90"/>
      <c r="E518" s="96"/>
      <c r="F518" s="64"/>
      <c r="G518" s="1378"/>
      <c r="H518" s="1362"/>
      <c r="I518" s="192"/>
      <c r="J518" s="194"/>
      <c r="K518" s="1378"/>
      <c r="L518" s="1363"/>
    </row>
    <row r="519" spans="1:12" ht="27.95" customHeight="1">
      <c r="A519" s="13"/>
      <c r="B519" s="86"/>
      <c r="C519" s="208"/>
      <c r="D519" s="90"/>
      <c r="E519" s="96"/>
      <c r="F519" s="64"/>
      <c r="G519" s="1378"/>
      <c r="H519" s="1362"/>
      <c r="I519" s="192"/>
      <c r="J519" s="194"/>
      <c r="K519" s="1378"/>
      <c r="L519" s="1363"/>
    </row>
    <row r="520" spans="1:12" ht="27.95" customHeight="1">
      <c r="A520" s="13"/>
      <c r="B520" s="72"/>
      <c r="C520" s="208"/>
      <c r="D520" s="90"/>
      <c r="E520" s="96"/>
      <c r="F520" s="64"/>
      <c r="G520" s="1378"/>
      <c r="H520" s="1362"/>
      <c r="I520" s="192"/>
      <c r="J520" s="194"/>
      <c r="K520" s="1378"/>
      <c r="L520" s="1363"/>
    </row>
    <row r="521" spans="1:12" ht="25.5" customHeight="1">
      <c r="A521" s="13"/>
      <c r="B521" t="s">
        <v>228</v>
      </c>
      <c r="L521" s="14"/>
    </row>
    <row r="522" spans="1:12" ht="18" customHeight="1">
      <c r="A522" s="13"/>
      <c r="B522" t="s">
        <v>229</v>
      </c>
      <c r="L522" s="14"/>
    </row>
    <row r="523" spans="1:12" ht="16.5" customHeight="1">
      <c r="A523" s="13"/>
      <c r="B523" t="s">
        <v>230</v>
      </c>
      <c r="L523" s="14"/>
    </row>
    <row r="524" spans="1:12" ht="16.5" customHeight="1">
      <c r="A524" s="13"/>
      <c r="B524" t="s">
        <v>231</v>
      </c>
      <c r="L524" s="14"/>
    </row>
    <row r="525" spans="1:12" ht="27.95" customHeight="1">
      <c r="A525" s="13"/>
      <c r="B525" s="191" t="s">
        <v>225</v>
      </c>
      <c r="C525" s="64"/>
      <c r="D525" s="64"/>
      <c r="E525" s="64"/>
      <c r="F525" s="65"/>
      <c r="G525" s="191" t="s">
        <v>201</v>
      </c>
      <c r="H525" s="65"/>
      <c r="I525" s="191" t="s">
        <v>226</v>
      </c>
      <c r="J525" s="64"/>
      <c r="K525" s="65"/>
      <c r="L525" s="14"/>
    </row>
    <row r="526" spans="1:12" ht="24.75" customHeight="1">
      <c r="A526" s="13"/>
      <c r="B526" s="1364"/>
      <c r="C526" s="1377"/>
      <c r="D526" s="1377"/>
      <c r="E526" s="1377"/>
      <c r="F526" s="1375"/>
      <c r="G526" s="1364"/>
      <c r="H526" s="1375"/>
      <c r="I526" s="1364"/>
      <c r="J526" s="1377"/>
      <c r="K526" s="1375"/>
      <c r="L526" s="14"/>
    </row>
    <row r="527" spans="1:12" ht="23.25" customHeight="1">
      <c r="A527" s="13"/>
      <c r="B527" s="1364"/>
      <c r="C527" s="1377"/>
      <c r="D527" s="1377"/>
      <c r="E527" s="1377"/>
      <c r="F527" s="1375"/>
      <c r="G527" s="1364"/>
      <c r="H527" s="1375"/>
      <c r="I527" s="1364"/>
      <c r="J527" s="1377"/>
      <c r="K527" s="1375"/>
      <c r="L527" s="14"/>
    </row>
    <row r="528" spans="1:12" ht="21.75" customHeight="1">
      <c r="A528" s="13"/>
      <c r="B528" s="1364"/>
      <c r="C528" s="1377"/>
      <c r="D528" s="1377"/>
      <c r="E528" s="1377"/>
      <c r="F528" s="1375"/>
      <c r="G528" s="1364"/>
      <c r="H528" s="1375"/>
      <c r="I528" s="1364"/>
      <c r="J528" s="1377"/>
      <c r="K528" s="1375"/>
      <c r="L528" s="14"/>
    </row>
    <row r="529" spans="1:12" ht="19.5" customHeight="1">
      <c r="A529" s="13"/>
      <c r="B529" s="1364"/>
      <c r="C529" s="1377"/>
      <c r="D529" s="1377"/>
      <c r="E529" s="1377"/>
      <c r="F529" s="1375"/>
      <c r="G529" s="1364"/>
      <c r="H529" s="1375"/>
      <c r="I529" s="1364"/>
      <c r="J529" s="1377"/>
      <c r="K529" s="1375"/>
      <c r="L529" s="14"/>
    </row>
    <row r="530" spans="1:12" ht="27.95" customHeight="1">
      <c r="A530" s="13"/>
      <c r="B530" t="s">
        <v>198</v>
      </c>
      <c r="I530" t="s">
        <v>227</v>
      </c>
      <c r="L530" s="14"/>
    </row>
    <row r="531" spans="1:12" ht="24" customHeight="1">
      <c r="A531" s="13"/>
      <c r="F531" s="179" t="s">
        <v>193</v>
      </c>
      <c r="L531" s="14"/>
    </row>
    <row r="532" spans="1:12" ht="27.95" customHeight="1">
      <c r="A532" s="13" t="s">
        <v>194</v>
      </c>
      <c r="L532" s="14"/>
    </row>
    <row r="533" spans="1:12" ht="27.95" customHeight="1">
      <c r="A533" s="13" t="s">
        <v>195</v>
      </c>
      <c r="L533" s="14"/>
    </row>
    <row r="534" spans="1:12" ht="27.95" customHeight="1">
      <c r="A534" s="13"/>
      <c r="F534" t="s">
        <v>196</v>
      </c>
      <c r="L534" s="14"/>
    </row>
    <row r="535" spans="1:12">
      <c r="A535" s="13" t="s">
        <v>197</v>
      </c>
      <c r="F535">
        <f>'04-221Master'!F389</f>
        <v>0</v>
      </c>
      <c r="L535" s="14"/>
    </row>
    <row r="536" spans="1:12" ht="15.75" thickBot="1">
      <c r="A536" s="25" t="s">
        <v>198</v>
      </c>
      <c r="B536" s="23"/>
      <c r="C536" s="23"/>
      <c r="D536" s="23"/>
      <c r="E536" s="23"/>
      <c r="F536" s="23">
        <f>'04-221Master'!F390</f>
        <v>0</v>
      </c>
      <c r="G536" s="23"/>
      <c r="H536" s="23"/>
      <c r="I536" s="23"/>
      <c r="J536" s="23"/>
      <c r="K536" s="23"/>
      <c r="L536" s="24"/>
    </row>
    <row r="537" spans="1:12" ht="32.25">
      <c r="A537" s="74"/>
      <c r="B537" s="75"/>
      <c r="C537" s="75"/>
      <c r="D537" s="184"/>
      <c r="E537" s="184"/>
      <c r="F537" s="184"/>
      <c r="G537" s="184"/>
      <c r="H537" s="184"/>
      <c r="I537" s="184"/>
      <c r="J537" s="75"/>
      <c r="K537" s="186" t="s">
        <v>212</v>
      </c>
      <c r="L537" s="185"/>
    </row>
    <row r="538" spans="1:12" ht="21">
      <c r="A538" s="13"/>
      <c r="B538" s="1386" t="s">
        <v>211</v>
      </c>
      <c r="C538" s="1386"/>
      <c r="D538" s="1386"/>
      <c r="E538" s="1386"/>
      <c r="F538" s="1386"/>
      <c r="G538" s="1386"/>
      <c r="H538" s="1386"/>
      <c r="I538" s="1386"/>
      <c r="J538" s="1386"/>
      <c r="K538" s="1386"/>
      <c r="L538" s="1387"/>
    </row>
    <row r="539" spans="1:12" ht="15.75">
      <c r="A539" s="13"/>
      <c r="B539" s="1356" t="s">
        <v>213</v>
      </c>
      <c r="C539" s="1356"/>
      <c r="D539" s="1356"/>
      <c r="E539" s="1356"/>
      <c r="F539" s="1356"/>
      <c r="G539" s="1356"/>
      <c r="H539" s="1356"/>
      <c r="I539" s="1356"/>
      <c r="J539" s="1356"/>
      <c r="K539" s="1356"/>
      <c r="L539" s="1388"/>
    </row>
    <row r="540" spans="1:12" ht="15" customHeight="1">
      <c r="A540" s="13"/>
      <c r="B540" s="187" t="s">
        <v>214</v>
      </c>
      <c r="C540" s="187"/>
      <c r="D540" s="187"/>
      <c r="E540" s="187"/>
      <c r="F540" s="187"/>
      <c r="H540" s="188"/>
      <c r="I540" s="188"/>
      <c r="J540" s="188"/>
      <c r="K540" s="188"/>
      <c r="L540" s="196"/>
    </row>
    <row r="541" spans="1:12">
      <c r="A541" s="13"/>
      <c r="B541" s="1369" t="s">
        <v>184</v>
      </c>
      <c r="C541" s="1369"/>
      <c r="D541" s="1369"/>
      <c r="E541" s="1369"/>
      <c r="F541" s="1369"/>
      <c r="G541" s="1369"/>
      <c r="H541" s="1372">
        <f>'04-221Master'!B450</f>
        <v>0</v>
      </c>
      <c r="I541" s="1371"/>
      <c r="J541" s="1371"/>
      <c r="K541" s="1371"/>
      <c r="L541" s="1151"/>
    </row>
    <row r="542" spans="1:12">
      <c r="A542" s="13"/>
      <c r="B542" s="1373" t="s">
        <v>185</v>
      </c>
      <c r="C542" s="1373"/>
      <c r="D542" s="1373"/>
      <c r="E542" s="1373"/>
      <c r="F542" s="1373"/>
      <c r="G542" s="1373"/>
      <c r="H542" s="1372">
        <f>'04-221Master'!E450</f>
        <v>0</v>
      </c>
      <c r="I542" s="1371"/>
      <c r="J542" s="1371"/>
      <c r="K542" s="1371"/>
      <c r="L542" s="1151"/>
    </row>
    <row r="543" spans="1:12">
      <c r="A543" s="13"/>
      <c r="B543" s="1369" t="s">
        <v>186</v>
      </c>
      <c r="C543" s="1369"/>
      <c r="D543" s="1369"/>
      <c r="E543" s="1369"/>
      <c r="F543" s="1369"/>
      <c r="G543" s="1369"/>
      <c r="H543" s="1372">
        <f>'04-221Master'!C450</f>
        <v>0</v>
      </c>
      <c r="I543" s="1371"/>
      <c r="J543" s="1371"/>
      <c r="K543" s="1371"/>
      <c r="L543" s="1151"/>
    </row>
    <row r="544" spans="1:12">
      <c r="A544" s="13"/>
      <c r="B544" s="1369" t="s">
        <v>187</v>
      </c>
      <c r="C544" s="1369"/>
      <c r="D544" s="1369"/>
      <c r="E544" s="1369"/>
      <c r="F544" s="1369"/>
      <c r="G544" s="1369"/>
      <c r="H544" s="1374">
        <f>'04-221Master'!D450</f>
        <v>0</v>
      </c>
      <c r="I544" s="1371"/>
      <c r="J544" s="1371"/>
      <c r="K544" s="1371"/>
      <c r="L544" s="1151"/>
    </row>
    <row r="545" spans="1:12">
      <c r="A545" s="13"/>
      <c r="B545" s="86" t="s">
        <v>188</v>
      </c>
      <c r="C545" s="87"/>
      <c r="D545" s="87"/>
      <c r="E545" s="87"/>
      <c r="F545" s="87"/>
      <c r="G545" s="87"/>
      <c r="H545" s="1366" t="s">
        <v>189</v>
      </c>
      <c r="I545" s="1367"/>
      <c r="J545" s="1367"/>
      <c r="K545" s="1367"/>
      <c r="L545" s="1368"/>
    </row>
    <row r="546" spans="1:12">
      <c r="A546" s="13"/>
      <c r="B546" s="86" t="s">
        <v>190</v>
      </c>
      <c r="C546" s="87"/>
      <c r="D546" s="87"/>
      <c r="E546" s="87"/>
      <c r="F546" s="87"/>
      <c r="G546" s="87"/>
      <c r="H546" s="88"/>
      <c r="I546" s="90"/>
      <c r="J546" s="178"/>
      <c r="K546" s="90"/>
      <c r="L546" s="95"/>
    </row>
    <row r="547" spans="1:12">
      <c r="A547" s="13"/>
      <c r="B547" s="1161" t="s">
        <v>191</v>
      </c>
      <c r="C547" s="1161"/>
      <c r="D547" s="1161"/>
      <c r="E547" s="1161"/>
      <c r="F547" s="1161"/>
      <c r="G547" s="1161"/>
      <c r="H547" s="1154">
        <f>'04-221Master'!G450</f>
        <v>0</v>
      </c>
      <c r="I547" s="1155"/>
      <c r="J547" s="1155"/>
      <c r="K547" s="1155"/>
      <c r="L547" s="1156"/>
    </row>
    <row r="548" spans="1:12">
      <c r="A548" s="13"/>
      <c r="B548" s="1369"/>
      <c r="C548" s="1369"/>
      <c r="D548" s="1369"/>
      <c r="E548" s="1369"/>
      <c r="F548" s="1369"/>
      <c r="G548" s="1369"/>
      <c r="H548" s="1370">
        <f>'04-221Master'!H450</f>
        <v>0</v>
      </c>
      <c r="I548" s="1371"/>
      <c r="J548" s="1371"/>
      <c r="K548" s="1371"/>
      <c r="L548" s="1151"/>
    </row>
    <row r="549" spans="1:12">
      <c r="A549" s="13"/>
      <c r="B549" s="1369"/>
      <c r="C549" s="1369"/>
      <c r="D549" s="1369"/>
      <c r="E549" s="1369"/>
      <c r="F549" s="1369"/>
      <c r="G549" s="1369"/>
      <c r="H549" s="1372">
        <f>'04-221Master'!I450</f>
        <v>0</v>
      </c>
      <c r="I549" s="1371"/>
      <c r="J549" s="1371"/>
      <c r="K549" s="1371"/>
      <c r="L549" s="1151"/>
    </row>
    <row r="550" spans="1:12">
      <c r="A550" s="13"/>
      <c r="G550" s="2" t="s">
        <v>215</v>
      </c>
      <c r="H550" s="2"/>
      <c r="I550" s="2"/>
      <c r="J550" s="2"/>
      <c r="K550" s="2"/>
      <c r="L550" s="81"/>
    </row>
    <row r="551" spans="1:12">
      <c r="A551" s="13"/>
      <c r="B551" s="180" t="s">
        <v>199</v>
      </c>
      <c r="C551" s="176"/>
      <c r="D551" s="176"/>
      <c r="E551" s="176"/>
      <c r="F551" s="176"/>
      <c r="G551" s="176"/>
      <c r="H551" s="165"/>
      <c r="I551" s="165"/>
      <c r="J551" s="165"/>
      <c r="K551" s="165"/>
      <c r="L551" s="183"/>
    </row>
    <row r="552" spans="1:12">
      <c r="A552" s="13"/>
      <c r="B552" s="180" t="s">
        <v>200</v>
      </c>
      <c r="C552" s="176"/>
      <c r="D552" s="176"/>
      <c r="E552" s="176"/>
      <c r="F552" s="176"/>
      <c r="G552" s="176"/>
      <c r="H552" s="165"/>
      <c r="I552" s="165"/>
      <c r="J552" s="166"/>
      <c r="K552" s="165"/>
      <c r="L552" s="183"/>
    </row>
    <row r="553" spans="1:12" ht="45">
      <c r="A553" s="85"/>
      <c r="B553" s="86" t="s">
        <v>203</v>
      </c>
      <c r="C553" s="87"/>
      <c r="D553" s="193"/>
      <c r="E553" s="171" t="s">
        <v>205</v>
      </c>
      <c r="F553" s="65"/>
      <c r="G553" s="1361" t="s">
        <v>204</v>
      </c>
      <c r="H553" s="1362"/>
      <c r="I553" s="170" t="s">
        <v>201</v>
      </c>
      <c r="J553" s="173" t="s">
        <v>206</v>
      </c>
      <c r="K553" s="1361" t="s">
        <v>202</v>
      </c>
      <c r="L553" s="1363"/>
    </row>
    <row r="554" spans="1:12">
      <c r="A554" s="85"/>
      <c r="B554" s="174">
        <v>1</v>
      </c>
      <c r="C554" s="87"/>
      <c r="D554" s="87"/>
      <c r="E554" s="177">
        <v>2</v>
      </c>
      <c r="F554" s="91"/>
      <c r="G554" s="177">
        <v>3</v>
      </c>
      <c r="H554" s="193"/>
      <c r="I554" s="193">
        <v>4</v>
      </c>
      <c r="J554" s="102">
        <v>5</v>
      </c>
      <c r="K554" s="93"/>
      <c r="L554" s="94">
        <v>6</v>
      </c>
    </row>
    <row r="555" spans="1:12" ht="27.95" customHeight="1">
      <c r="A555" s="85"/>
      <c r="B555" s="86"/>
      <c r="C555" s="189"/>
      <c r="D555" s="190"/>
      <c r="E555" s="191" t="s">
        <v>365</v>
      </c>
      <c r="F555" s="190"/>
      <c r="G555" s="191" t="s">
        <v>363</v>
      </c>
      <c r="H555" s="65"/>
      <c r="I555" s="11" t="s">
        <v>366</v>
      </c>
      <c r="J555" s="290">
        <v>1</v>
      </c>
      <c r="K555" s="192" t="s">
        <v>37</v>
      </c>
      <c r="L555" s="197"/>
    </row>
    <row r="556" spans="1:12" ht="27.95" customHeight="1">
      <c r="A556" s="85"/>
      <c r="B556" s="86"/>
      <c r="C556" s="189"/>
      <c r="D556" s="190"/>
      <c r="E556" s="191"/>
      <c r="F556" s="190"/>
      <c r="G556" s="191"/>
      <c r="H556" s="65"/>
      <c r="I556" s="11"/>
      <c r="J556" s="11"/>
      <c r="K556" s="192"/>
      <c r="L556" s="197"/>
    </row>
    <row r="557" spans="1:12" ht="27.95" customHeight="1">
      <c r="A557" s="85"/>
      <c r="B557" s="86"/>
      <c r="C557" s="189"/>
      <c r="D557" s="190"/>
      <c r="E557" s="191"/>
      <c r="F557" s="190"/>
      <c r="G557" s="191"/>
      <c r="H557" s="65"/>
      <c r="I557" s="11"/>
      <c r="J557" s="11"/>
      <c r="K557" s="192"/>
      <c r="L557" s="197"/>
    </row>
    <row r="558" spans="1:12" ht="27.95" customHeight="1">
      <c r="A558" s="85"/>
      <c r="B558" s="72"/>
      <c r="C558" s="17"/>
      <c r="D558" s="73"/>
      <c r="E558" s="191"/>
      <c r="F558" s="190"/>
      <c r="G558" s="191"/>
      <c r="H558" s="65"/>
      <c r="I558" s="11"/>
      <c r="J558" s="11"/>
      <c r="K558" s="192"/>
      <c r="L558" s="197"/>
    </row>
    <row r="559" spans="1:12" ht="27.95" customHeight="1">
      <c r="A559" s="85"/>
      <c r="B559" t="s">
        <v>207</v>
      </c>
      <c r="L559" s="14"/>
    </row>
    <row r="560" spans="1:12" ht="27.95" customHeight="1">
      <c r="A560" s="13"/>
      <c r="B560" t="s">
        <v>208</v>
      </c>
      <c r="L560" s="14"/>
    </row>
    <row r="561" spans="1:12" ht="27.95" customHeight="1">
      <c r="A561" s="13"/>
      <c r="B561" t="s">
        <v>219</v>
      </c>
      <c r="J561" t="s">
        <v>218</v>
      </c>
      <c r="L561" s="14"/>
    </row>
    <row r="562" spans="1:12" ht="27.95" customHeight="1">
      <c r="A562" s="13"/>
      <c r="G562" s="2" t="s">
        <v>216</v>
      </c>
      <c r="H562" s="2"/>
      <c r="I562" s="2"/>
      <c r="J562" s="2"/>
      <c r="K562" s="2"/>
      <c r="L562" s="81"/>
    </row>
    <row r="563" spans="1:12" ht="27.95" customHeight="1">
      <c r="A563" s="13"/>
      <c r="B563" s="2"/>
      <c r="G563" t="s">
        <v>217</v>
      </c>
      <c r="H563" s="2"/>
      <c r="I563" s="2"/>
      <c r="J563" s="2"/>
      <c r="K563" s="2"/>
      <c r="L563" s="81"/>
    </row>
    <row r="564" spans="1:12" ht="27.95" customHeight="1">
      <c r="A564" s="13"/>
      <c r="B564" s="180" t="s">
        <v>220</v>
      </c>
      <c r="C564" s="176"/>
      <c r="D564" s="176"/>
      <c r="E564" s="176"/>
      <c r="F564" s="176"/>
      <c r="G564" s="176"/>
      <c r="H564" s="165"/>
      <c r="I564" s="165"/>
      <c r="J564" s="165"/>
      <c r="K564" s="165"/>
      <c r="L564" s="183"/>
    </row>
    <row r="565" spans="1:12" ht="27.95" customHeight="1">
      <c r="A565" s="13"/>
      <c r="B565" s="180" t="s">
        <v>221</v>
      </c>
      <c r="C565" s="176"/>
      <c r="D565" s="176"/>
      <c r="E565" s="176"/>
      <c r="F565" s="176"/>
      <c r="G565" s="176"/>
      <c r="H565" s="165"/>
      <c r="I565" s="165"/>
      <c r="J565" s="166"/>
      <c r="K565" s="165"/>
      <c r="L565" s="183"/>
    </row>
    <row r="566" spans="1:12" ht="27.95" customHeight="1">
      <c r="A566" s="13"/>
      <c r="B566" s="86" t="s">
        <v>5</v>
      </c>
      <c r="C566" s="1379" t="s">
        <v>222</v>
      </c>
      <c r="D566" s="1149"/>
      <c r="E566" s="1149"/>
      <c r="F566" s="1149"/>
      <c r="G566" s="1149"/>
      <c r="H566" s="1380"/>
      <c r="I566" s="172" t="s">
        <v>102</v>
      </c>
      <c r="J566" s="1381" t="s">
        <v>223</v>
      </c>
      <c r="K566" s="1382"/>
      <c r="L566" s="1383"/>
    </row>
    <row r="567" spans="1:12" ht="27.95" customHeight="1">
      <c r="A567" s="13"/>
      <c r="B567" s="174">
        <v>1</v>
      </c>
      <c r="C567" s="208"/>
      <c r="D567" s="90"/>
      <c r="E567" s="96">
        <v>2</v>
      </c>
      <c r="F567" s="64"/>
      <c r="G567" s="1378"/>
      <c r="H567" s="1362"/>
      <c r="I567" s="90">
        <v>3</v>
      </c>
      <c r="J567" s="195" t="s">
        <v>224</v>
      </c>
      <c r="K567" s="1384">
        <v>4</v>
      </c>
      <c r="L567" s="1385"/>
    </row>
    <row r="568" spans="1:12" ht="27.95" customHeight="1">
      <c r="A568" s="13"/>
      <c r="B568" s="86"/>
      <c r="C568" s="208"/>
      <c r="D568" s="90"/>
      <c r="E568" s="96"/>
      <c r="F568" s="64"/>
      <c r="G568" s="1378"/>
      <c r="H568" s="1362"/>
      <c r="I568" s="192"/>
      <c r="J568" s="194"/>
      <c r="K568" s="1378"/>
      <c r="L568" s="1363"/>
    </row>
    <row r="569" spans="1:12" ht="27.95" customHeight="1">
      <c r="A569" s="13"/>
      <c r="B569" s="86"/>
      <c r="C569" s="208"/>
      <c r="D569" s="90"/>
      <c r="E569" s="96"/>
      <c r="F569" s="64"/>
      <c r="G569" s="1378"/>
      <c r="H569" s="1362"/>
      <c r="I569" s="192"/>
      <c r="J569" s="194"/>
      <c r="K569" s="1378"/>
      <c r="L569" s="1363"/>
    </row>
    <row r="570" spans="1:12" ht="27.95" customHeight="1">
      <c r="A570" s="13"/>
      <c r="B570" s="86"/>
      <c r="C570" s="208"/>
      <c r="D570" s="90"/>
      <c r="E570" s="96"/>
      <c r="F570" s="64"/>
      <c r="G570" s="1378"/>
      <c r="H570" s="1362"/>
      <c r="I570" s="192"/>
      <c r="J570" s="194"/>
      <c r="K570" s="1378"/>
      <c r="L570" s="1363"/>
    </row>
    <row r="571" spans="1:12" ht="27.95" customHeight="1">
      <c r="A571" s="13"/>
      <c r="B571" s="72"/>
      <c r="C571" s="208"/>
      <c r="D571" s="90"/>
      <c r="E571" s="96"/>
      <c r="F571" s="64"/>
      <c r="G571" s="1378"/>
      <c r="H571" s="1362"/>
      <c r="I571" s="192"/>
      <c r="J571" s="194"/>
      <c r="K571" s="1378"/>
      <c r="L571" s="1363"/>
    </row>
    <row r="572" spans="1:12" ht="27.95" customHeight="1">
      <c r="A572" s="13"/>
      <c r="B572" t="s">
        <v>228</v>
      </c>
      <c r="L572" s="14"/>
    </row>
    <row r="573" spans="1:12">
      <c r="A573" s="13"/>
      <c r="B573" t="s">
        <v>229</v>
      </c>
      <c r="L573" s="14"/>
    </row>
    <row r="574" spans="1:12">
      <c r="A574" s="13"/>
      <c r="B574" t="s">
        <v>230</v>
      </c>
      <c r="L574" s="14"/>
    </row>
    <row r="575" spans="1:12">
      <c r="A575" s="13"/>
      <c r="B575" t="s">
        <v>231</v>
      </c>
      <c r="L575" s="14"/>
    </row>
    <row r="576" spans="1:12">
      <c r="A576" s="13"/>
      <c r="B576" s="191" t="s">
        <v>225</v>
      </c>
      <c r="C576" s="64"/>
      <c r="D576" s="64"/>
      <c r="E576" s="64"/>
      <c r="F576" s="65"/>
      <c r="G576" s="191" t="s">
        <v>201</v>
      </c>
      <c r="H576" s="65"/>
      <c r="I576" s="191" t="s">
        <v>226</v>
      </c>
      <c r="J576" s="64"/>
      <c r="K576" s="65"/>
      <c r="L576" s="14"/>
    </row>
    <row r="577" spans="1:12">
      <c r="A577" s="13"/>
      <c r="B577" s="1364"/>
      <c r="C577" s="1377"/>
      <c r="D577" s="1377"/>
      <c r="E577" s="1377"/>
      <c r="F577" s="1375"/>
      <c r="G577" s="1364"/>
      <c r="H577" s="1375"/>
      <c r="I577" s="1364"/>
      <c r="J577" s="1377"/>
      <c r="K577" s="1375"/>
      <c r="L577" s="14"/>
    </row>
    <row r="578" spans="1:12">
      <c r="A578" s="13"/>
      <c r="B578" s="1364"/>
      <c r="C578" s="1377"/>
      <c r="D578" s="1377"/>
      <c r="E578" s="1377"/>
      <c r="F578" s="1375"/>
      <c r="G578" s="1364"/>
      <c r="H578" s="1375"/>
      <c r="I578" s="1364"/>
      <c r="J578" s="1377"/>
      <c r="K578" s="1375"/>
      <c r="L578" s="14"/>
    </row>
    <row r="579" spans="1:12" ht="15" customHeight="1">
      <c r="A579" s="13"/>
      <c r="B579" s="1364"/>
      <c r="C579" s="1377"/>
      <c r="D579" s="1377"/>
      <c r="E579" s="1377"/>
      <c r="F579" s="1375"/>
      <c r="G579" s="1364"/>
      <c r="H579" s="1375"/>
      <c r="I579" s="1364"/>
      <c r="J579" s="1377"/>
      <c r="K579" s="1375"/>
      <c r="L579" s="14"/>
    </row>
    <row r="580" spans="1:12">
      <c r="A580" s="13"/>
      <c r="B580" s="1364"/>
      <c r="C580" s="1377"/>
      <c r="D580" s="1377"/>
      <c r="E580" s="1377"/>
      <c r="F580" s="1375"/>
      <c r="G580" s="1364"/>
      <c r="H580" s="1375"/>
      <c r="I580" s="1364"/>
      <c r="J580" s="1377"/>
      <c r="K580" s="1375"/>
      <c r="L580" s="14"/>
    </row>
    <row r="581" spans="1:12">
      <c r="A581" s="13"/>
      <c r="B581" t="s">
        <v>198</v>
      </c>
      <c r="I581" t="s">
        <v>227</v>
      </c>
      <c r="L581" s="14"/>
    </row>
    <row r="582" spans="1:12" ht="18.75">
      <c r="A582" s="13"/>
      <c r="F582" s="179" t="s">
        <v>193</v>
      </c>
      <c r="L582" s="14"/>
    </row>
    <row r="583" spans="1:12">
      <c r="A583" s="13" t="s">
        <v>194</v>
      </c>
      <c r="L583" s="14"/>
    </row>
    <row r="584" spans="1:12">
      <c r="A584" s="13" t="s">
        <v>195</v>
      </c>
      <c r="L584" s="14"/>
    </row>
    <row r="585" spans="1:12">
      <c r="A585" s="13"/>
      <c r="F585" t="s">
        <v>196</v>
      </c>
      <c r="L585" s="14"/>
    </row>
    <row r="586" spans="1:12">
      <c r="A586" s="13" t="s">
        <v>197</v>
      </c>
      <c r="F586">
        <f>'04-221Master'!F440</f>
        <v>0</v>
      </c>
      <c r="L586" s="14"/>
    </row>
    <row r="587" spans="1:12" ht="15.75" thickBot="1">
      <c r="A587" s="25" t="s">
        <v>198</v>
      </c>
      <c r="B587" s="23"/>
      <c r="C587" s="23"/>
      <c r="D587" s="23"/>
      <c r="E587" s="23"/>
      <c r="F587" s="23">
        <f>'04-221Master'!F441</f>
        <v>0</v>
      </c>
      <c r="G587" s="23"/>
      <c r="H587" s="23"/>
      <c r="I587" s="23"/>
      <c r="J587" s="23"/>
      <c r="K587" s="23"/>
      <c r="L587" s="24"/>
    </row>
    <row r="589" spans="1:12">
      <c r="H589" s="2"/>
      <c r="I589" s="2"/>
      <c r="J589" s="2"/>
      <c r="K589" s="2"/>
      <c r="L589" s="2"/>
    </row>
    <row r="590" spans="1:12">
      <c r="H590" s="2"/>
      <c r="I590" s="2"/>
      <c r="J590" s="2"/>
      <c r="K590" s="2"/>
      <c r="L590" s="2"/>
    </row>
    <row r="591" spans="1:12">
      <c r="B591" s="2"/>
      <c r="H591" s="2"/>
      <c r="I591" s="2"/>
      <c r="J591" s="2"/>
      <c r="K591" s="2"/>
      <c r="L591" s="2"/>
    </row>
    <row r="592" spans="1:12">
      <c r="H592" s="2"/>
      <c r="I592" s="2"/>
      <c r="J592" s="2"/>
      <c r="K592" s="2"/>
      <c r="L592" s="2"/>
    </row>
    <row r="593" spans="1:12">
      <c r="H593" s="2"/>
      <c r="I593" s="2"/>
      <c r="J593" s="2"/>
      <c r="K593" s="2"/>
      <c r="L593" s="2"/>
    </row>
    <row r="594" spans="1:12" ht="27.95" customHeight="1">
      <c r="A594" s="10"/>
      <c r="B594" s="1353"/>
      <c r="C594" s="1353"/>
      <c r="D594" s="1353"/>
      <c r="E594" s="1353"/>
      <c r="F594" s="1353"/>
      <c r="G594" s="1353"/>
      <c r="H594" s="1351"/>
      <c r="I594" s="1352"/>
      <c r="J594" s="1352"/>
      <c r="K594" s="1352"/>
      <c r="L594" s="1352"/>
    </row>
    <row r="595" spans="1:12" ht="27.95" customHeight="1">
      <c r="A595" s="10"/>
      <c r="B595" s="1174"/>
      <c r="C595" s="1174"/>
      <c r="D595" s="1174"/>
      <c r="E595" s="1174"/>
      <c r="F595" s="1174"/>
      <c r="G595" s="1174"/>
      <c r="H595" s="1351"/>
      <c r="I595" s="1352"/>
      <c r="J595" s="1352"/>
      <c r="K595" s="1352"/>
      <c r="L595" s="1352"/>
    </row>
    <row r="596" spans="1:12" ht="27.95" customHeight="1">
      <c r="A596" s="10"/>
      <c r="B596" s="1353"/>
      <c r="C596" s="1353"/>
      <c r="D596" s="1353"/>
      <c r="E596" s="1353"/>
      <c r="F596" s="1353"/>
      <c r="G596" s="1353"/>
      <c r="H596" s="1351"/>
      <c r="I596" s="1352"/>
      <c r="J596" s="1352"/>
      <c r="K596" s="1352"/>
      <c r="L596" s="1352"/>
    </row>
    <row r="597" spans="1:12" ht="27.95" customHeight="1">
      <c r="A597" s="10"/>
      <c r="B597" s="1353"/>
      <c r="C597" s="1353"/>
      <c r="D597" s="1353"/>
      <c r="E597" s="1353"/>
      <c r="F597" s="1353"/>
      <c r="G597" s="1353"/>
      <c r="H597" s="1355"/>
      <c r="I597" s="1352"/>
      <c r="J597" s="1352"/>
      <c r="K597" s="1352"/>
      <c r="L597" s="1352"/>
    </row>
    <row r="598" spans="1:12" ht="27.95" customHeight="1">
      <c r="A598" s="10"/>
      <c r="B598" s="180"/>
      <c r="C598" s="176"/>
      <c r="D598" s="176"/>
      <c r="E598" s="176"/>
      <c r="F598" s="176"/>
      <c r="G598" s="176"/>
      <c r="H598" s="165"/>
      <c r="I598" s="10"/>
      <c r="J598" s="249"/>
      <c r="K598" s="165"/>
      <c r="L598" s="165"/>
    </row>
    <row r="599" spans="1:12" ht="27.95" customHeight="1">
      <c r="A599" s="10"/>
      <c r="B599" s="180"/>
      <c r="C599" s="176"/>
      <c r="D599" s="176"/>
      <c r="E599" s="176"/>
      <c r="F599" s="176"/>
      <c r="G599" s="176"/>
      <c r="H599" s="165"/>
      <c r="I599" s="165"/>
      <c r="J599" s="249"/>
      <c r="K599" s="165"/>
      <c r="L599" s="165"/>
    </row>
    <row r="600" spans="1:12" ht="27.95" customHeight="1">
      <c r="A600" s="10"/>
      <c r="B600" s="1174"/>
      <c r="C600" s="1174"/>
      <c r="D600" s="1174"/>
      <c r="E600" s="1174"/>
      <c r="F600" s="1174"/>
      <c r="G600" s="1174"/>
      <c r="H600" s="1351"/>
      <c r="I600" s="1352"/>
      <c r="J600" s="1352"/>
      <c r="K600" s="1352"/>
      <c r="L600" s="1352"/>
    </row>
    <row r="601" spans="1:12" ht="27.95" customHeight="1">
      <c r="A601" s="10"/>
      <c r="B601" s="1353"/>
      <c r="C601" s="1353"/>
      <c r="D601" s="1353"/>
      <c r="E601" s="1353"/>
      <c r="F601" s="1353"/>
      <c r="G601" s="1353"/>
      <c r="H601" s="1354"/>
      <c r="I601" s="1352"/>
      <c r="J601" s="1352"/>
      <c r="K601" s="1352"/>
      <c r="L601" s="1352"/>
    </row>
    <row r="602" spans="1:12" ht="27.95" customHeight="1">
      <c r="B602" s="1353"/>
      <c r="C602" s="1353"/>
      <c r="D602" s="1353"/>
      <c r="E602" s="1353"/>
      <c r="F602" s="1353"/>
      <c r="G602" s="1353"/>
      <c r="H602" s="1352"/>
      <c r="I602" s="1352"/>
      <c r="J602" s="1352"/>
      <c r="K602" s="1352"/>
      <c r="L602" s="1352"/>
    </row>
    <row r="603" spans="1:12" ht="27.95" customHeight="1">
      <c r="B603" s="180"/>
      <c r="C603" s="176"/>
      <c r="D603" s="176"/>
      <c r="E603" s="176"/>
      <c r="F603" s="176"/>
      <c r="G603" s="176"/>
      <c r="H603" s="165"/>
      <c r="I603" s="165"/>
      <c r="J603" s="165"/>
      <c r="K603" s="165"/>
      <c r="L603" s="165"/>
    </row>
    <row r="604" spans="1:12" ht="27.95" customHeight="1">
      <c r="B604" s="180"/>
      <c r="C604" s="176"/>
      <c r="D604" s="176"/>
      <c r="E604" s="176"/>
      <c r="F604" s="176"/>
      <c r="G604" s="176"/>
      <c r="H604" s="165"/>
      <c r="I604" s="165"/>
      <c r="J604" s="165"/>
      <c r="K604" s="165"/>
      <c r="L604" s="165"/>
    </row>
    <row r="605" spans="1:12" ht="27.95" customHeight="1">
      <c r="B605" s="180"/>
      <c r="C605" s="176"/>
      <c r="D605" s="176"/>
      <c r="E605" s="176"/>
      <c r="F605" s="176"/>
      <c r="G605" s="176"/>
      <c r="H605" s="165"/>
      <c r="I605" s="165"/>
      <c r="J605" s="166"/>
      <c r="K605" s="165"/>
      <c r="L605" s="165"/>
    </row>
    <row r="606" spans="1:12" ht="27.95" customHeight="1">
      <c r="B606" s="180"/>
      <c r="C606" s="176"/>
      <c r="D606" s="176"/>
      <c r="E606" s="176"/>
      <c r="F606" s="176"/>
      <c r="G606" s="176"/>
      <c r="H606" s="165"/>
      <c r="I606" s="165"/>
      <c r="J606" s="165"/>
      <c r="K606" s="165"/>
      <c r="L606" s="165"/>
    </row>
    <row r="607" spans="1:12" ht="27.95" customHeight="1">
      <c r="B607" s="180"/>
      <c r="C607" s="176"/>
      <c r="D607" s="176"/>
      <c r="E607" s="176"/>
      <c r="F607" s="176"/>
      <c r="G607" s="176"/>
      <c r="H607" s="165"/>
      <c r="I607" s="165"/>
      <c r="J607" s="166"/>
      <c r="K607" s="165"/>
      <c r="L607" s="165"/>
    </row>
    <row r="608" spans="1:12" ht="27.95" customHeight="1">
      <c r="B608" s="180"/>
      <c r="C608" s="176"/>
      <c r="D608" s="165"/>
      <c r="E608" s="166"/>
      <c r="F608" s="165"/>
      <c r="G608" s="166"/>
      <c r="H608" s="165"/>
      <c r="I608" s="166"/>
      <c r="J608" s="165"/>
      <c r="K608" s="166"/>
      <c r="L608" s="166"/>
    </row>
    <row r="609" spans="2:12" ht="27.95" customHeight="1">
      <c r="B609" s="180"/>
      <c r="C609" s="176"/>
      <c r="D609" s="176"/>
      <c r="E609" s="176"/>
      <c r="F609" s="176"/>
      <c r="G609" s="176"/>
      <c r="H609" s="165"/>
      <c r="I609" s="165"/>
      <c r="J609" s="250"/>
      <c r="K609" s="165"/>
      <c r="L609" s="165"/>
    </row>
    <row r="610" spans="2:12" ht="27.95" customHeight="1">
      <c r="B610" s="180"/>
      <c r="C610" s="2"/>
      <c r="D610" s="2"/>
      <c r="E610" s="2"/>
      <c r="F610" s="2"/>
      <c r="G610" s="2"/>
    </row>
    <row r="611" spans="2:12" ht="27.95" customHeight="1">
      <c r="B611" s="180"/>
      <c r="C611" s="2"/>
      <c r="D611" s="2"/>
      <c r="E611" s="2"/>
      <c r="F611" s="2"/>
      <c r="G611" s="2"/>
    </row>
    <row r="614" spans="2:12" ht="32.25">
      <c r="B614" s="1357"/>
      <c r="C614" s="1358"/>
      <c r="D614" s="1358"/>
      <c r="E614" s="1358"/>
      <c r="F614" s="1358"/>
      <c r="G614" s="1358"/>
      <c r="H614" s="1358"/>
      <c r="I614" s="1358"/>
      <c r="J614" s="1358"/>
      <c r="K614" s="1358"/>
      <c r="L614" s="1358"/>
    </row>
    <row r="615" spans="2:12" ht="23.25">
      <c r="B615" s="1167"/>
      <c r="C615" s="1167"/>
      <c r="D615" s="1167"/>
      <c r="E615" s="1167"/>
      <c r="F615" s="1167"/>
      <c r="G615" s="1167"/>
      <c r="H615" s="1167"/>
      <c r="I615" s="1167"/>
      <c r="J615" s="1167"/>
      <c r="K615" s="1167"/>
      <c r="L615" s="1167"/>
    </row>
    <row r="616" spans="2:12" ht="15.75">
      <c r="B616" s="1356"/>
      <c r="C616" s="1356"/>
      <c r="D616" s="1356"/>
      <c r="E616" s="1356"/>
      <c r="F616" s="1356"/>
      <c r="G616" s="1356"/>
      <c r="H616" s="1356"/>
      <c r="I616" s="1356"/>
      <c r="J616" s="1356"/>
      <c r="K616" s="1356"/>
      <c r="L616" s="1356"/>
    </row>
    <row r="617" spans="2:12" ht="15" customHeight="1">
      <c r="B617" s="1173"/>
      <c r="C617" s="1173"/>
      <c r="D617" s="1173"/>
      <c r="E617" s="1173"/>
      <c r="F617" s="1173"/>
      <c r="H617" s="1174"/>
      <c r="I617" s="1174"/>
      <c r="J617" s="1174"/>
      <c r="K617" s="1174"/>
      <c r="L617" s="1174"/>
    </row>
    <row r="618" spans="2:12">
      <c r="B618" s="1173"/>
      <c r="C618" s="1173"/>
      <c r="D618" s="1173"/>
      <c r="E618" s="1173"/>
      <c r="F618" s="1173"/>
      <c r="H618" s="1174"/>
      <c r="I618" s="1174"/>
      <c r="J618" s="1174"/>
      <c r="K618" s="1174"/>
      <c r="L618" s="1174"/>
    </row>
    <row r="620" spans="2:12">
      <c r="B620" s="2"/>
      <c r="H620" s="2"/>
    </row>
    <row r="622" spans="2:12">
      <c r="B622" s="2"/>
      <c r="H622" s="2"/>
    </row>
    <row r="625" spans="1:12">
      <c r="B625" s="1177"/>
      <c r="C625" s="1177"/>
      <c r="D625" s="1177"/>
      <c r="E625" s="1177"/>
      <c r="F625" s="1177"/>
      <c r="H625" s="1177"/>
      <c r="I625" s="1177"/>
      <c r="J625" s="1177"/>
      <c r="K625" s="1177"/>
      <c r="L625" s="1177"/>
    </row>
    <row r="627" spans="1:12">
      <c r="H627" s="2"/>
      <c r="I627" s="2"/>
      <c r="J627" s="2"/>
      <c r="K627" s="2"/>
      <c r="L627" s="2"/>
    </row>
    <row r="628" spans="1:12">
      <c r="H628" s="2"/>
      <c r="I628" s="2"/>
      <c r="J628" s="2"/>
      <c r="K628" s="2"/>
      <c r="L628" s="2"/>
    </row>
    <row r="629" spans="1:12">
      <c r="B629" s="2"/>
      <c r="H629" s="2"/>
      <c r="I629" s="2"/>
      <c r="J629" s="2"/>
      <c r="K629" s="2"/>
      <c r="L629" s="2"/>
    </row>
    <row r="630" spans="1:12">
      <c r="H630" s="2"/>
      <c r="I630" s="2"/>
      <c r="J630" s="2"/>
      <c r="K630" s="2"/>
      <c r="L630" s="2"/>
    </row>
    <row r="631" spans="1:12">
      <c r="H631" s="2"/>
      <c r="I631" s="2"/>
      <c r="J631" s="2"/>
      <c r="K631" s="2"/>
      <c r="L631" s="2"/>
    </row>
    <row r="632" spans="1:12" ht="27.95" customHeight="1">
      <c r="A632" s="10"/>
      <c r="B632" s="1353"/>
      <c r="C632" s="1353"/>
      <c r="D632" s="1353"/>
      <c r="E632" s="1353"/>
      <c r="F632" s="1353"/>
      <c r="G632" s="1353"/>
      <c r="H632" s="1351"/>
      <c r="I632" s="1352"/>
      <c r="J632" s="1352"/>
      <c r="K632" s="1352"/>
      <c r="L632" s="1352"/>
    </row>
    <row r="633" spans="1:12" ht="27.95" customHeight="1">
      <c r="A633" s="10"/>
      <c r="B633" s="1174"/>
      <c r="C633" s="1174"/>
      <c r="D633" s="1174"/>
      <c r="E633" s="1174"/>
      <c r="F633" s="1174"/>
      <c r="G633" s="1174"/>
      <c r="H633" s="1351"/>
      <c r="I633" s="1352"/>
      <c r="J633" s="1352"/>
      <c r="K633" s="1352"/>
      <c r="L633" s="1352"/>
    </row>
    <row r="634" spans="1:12" ht="27.95" customHeight="1">
      <c r="A634" s="10"/>
      <c r="B634" s="1353"/>
      <c r="C634" s="1353"/>
      <c r="D634" s="1353"/>
      <c r="E634" s="1353"/>
      <c r="F634" s="1353"/>
      <c r="G634" s="1353"/>
      <c r="H634" s="1351"/>
      <c r="I634" s="1352"/>
      <c r="J634" s="1352"/>
      <c r="K634" s="1352"/>
      <c r="L634" s="1352"/>
    </row>
    <row r="635" spans="1:12" ht="27.95" customHeight="1">
      <c r="A635" s="10"/>
      <c r="B635" s="1353"/>
      <c r="C635" s="1353"/>
      <c r="D635" s="1353"/>
      <c r="E635" s="1353"/>
      <c r="F635" s="1353"/>
      <c r="G635" s="1353"/>
      <c r="H635" s="1355"/>
      <c r="I635" s="1352"/>
      <c r="J635" s="1352"/>
      <c r="K635" s="1352"/>
      <c r="L635" s="1352"/>
    </row>
    <row r="636" spans="1:12" ht="27.95" customHeight="1">
      <c r="A636" s="10"/>
      <c r="B636" s="180"/>
      <c r="C636" s="176"/>
      <c r="D636" s="176"/>
      <c r="E636" s="176"/>
      <c r="F636" s="176"/>
      <c r="G636" s="176"/>
      <c r="H636" s="165"/>
      <c r="I636" s="10"/>
      <c r="J636" s="249"/>
      <c r="K636" s="165"/>
      <c r="L636" s="165"/>
    </row>
    <row r="637" spans="1:12" ht="27.95" customHeight="1">
      <c r="A637" s="10"/>
      <c r="B637" s="180"/>
      <c r="C637" s="176"/>
      <c r="D637" s="176"/>
      <c r="E637" s="176"/>
      <c r="F637" s="176"/>
      <c r="G637" s="176"/>
      <c r="H637" s="165"/>
      <c r="I637" s="165"/>
      <c r="J637" s="249"/>
      <c r="K637" s="165"/>
      <c r="L637" s="165"/>
    </row>
    <row r="638" spans="1:12" ht="27.95" customHeight="1">
      <c r="A638" s="10"/>
      <c r="B638" s="1174"/>
      <c r="C638" s="1174"/>
      <c r="D638" s="1174"/>
      <c r="E638" s="1174"/>
      <c r="F638" s="1174"/>
      <c r="G638" s="1174"/>
      <c r="H638" s="1351"/>
      <c r="I638" s="1352"/>
      <c r="J638" s="1352"/>
      <c r="K638" s="1352"/>
      <c r="L638" s="1352"/>
    </row>
    <row r="639" spans="1:12" ht="27.95" customHeight="1">
      <c r="A639" s="10"/>
      <c r="B639" s="1353"/>
      <c r="C639" s="1353"/>
      <c r="D639" s="1353"/>
      <c r="E639" s="1353"/>
      <c r="F639" s="1353"/>
      <c r="G639" s="1353"/>
      <c r="H639" s="1354"/>
      <c r="I639" s="1352"/>
      <c r="J639" s="1352"/>
      <c r="K639" s="1352"/>
      <c r="L639" s="1352"/>
    </row>
    <row r="640" spans="1:12" ht="27.95" customHeight="1">
      <c r="B640" s="1353"/>
      <c r="C640" s="1353"/>
      <c r="D640" s="1353"/>
      <c r="E640" s="1353"/>
      <c r="F640" s="1353"/>
      <c r="G640" s="1353"/>
      <c r="H640" s="1352"/>
      <c r="I640" s="1352"/>
      <c r="J640" s="1352"/>
      <c r="K640" s="1352"/>
      <c r="L640" s="1352"/>
    </row>
    <row r="641" spans="2:12" ht="27.95" customHeight="1">
      <c r="B641" s="180"/>
      <c r="C641" s="176"/>
      <c r="D641" s="176"/>
      <c r="E641" s="176"/>
      <c r="F641" s="176"/>
      <c r="G641" s="176"/>
      <c r="H641" s="165"/>
      <c r="I641" s="165"/>
      <c r="J641" s="165"/>
      <c r="K641" s="165"/>
      <c r="L641" s="165"/>
    </row>
    <row r="642" spans="2:12" ht="27.95" customHeight="1">
      <c r="B642" s="180"/>
      <c r="C642" s="176"/>
      <c r="D642" s="176"/>
      <c r="E642" s="176"/>
      <c r="F642" s="176"/>
      <c r="G642" s="176"/>
      <c r="H642" s="165"/>
      <c r="I642" s="165"/>
      <c r="J642" s="165"/>
      <c r="K642" s="165"/>
      <c r="L642" s="165"/>
    </row>
    <row r="643" spans="2:12" ht="27.95" customHeight="1">
      <c r="B643" s="180"/>
      <c r="C643" s="176"/>
      <c r="D643" s="176"/>
      <c r="E643" s="176"/>
      <c r="F643" s="176"/>
      <c r="G643" s="176"/>
      <c r="H643" s="165"/>
      <c r="I643" s="165"/>
      <c r="J643" s="166"/>
      <c r="K643" s="165"/>
      <c r="L643" s="165"/>
    </row>
    <row r="644" spans="2:12" ht="27.95" customHeight="1">
      <c r="B644" s="180"/>
      <c r="C644" s="176"/>
      <c r="D644" s="176"/>
      <c r="E644" s="176"/>
      <c r="F644" s="176"/>
      <c r="G644" s="176"/>
      <c r="H644" s="165"/>
      <c r="I644" s="165"/>
      <c r="J644" s="165"/>
      <c r="K644" s="165"/>
      <c r="L644" s="165"/>
    </row>
    <row r="645" spans="2:12" ht="27.95" customHeight="1">
      <c r="B645" s="180"/>
      <c r="C645" s="176"/>
      <c r="D645" s="176"/>
      <c r="E645" s="176"/>
      <c r="F645" s="176"/>
      <c r="G645" s="176"/>
      <c r="H645" s="165"/>
      <c r="I645" s="165"/>
      <c r="J645" s="166"/>
      <c r="K645" s="165"/>
      <c r="L645" s="165"/>
    </row>
    <row r="646" spans="2:12" ht="27.95" customHeight="1">
      <c r="B646" s="180"/>
      <c r="C646" s="176"/>
      <c r="D646" s="165"/>
      <c r="E646" s="166"/>
      <c r="F646" s="165"/>
      <c r="G646" s="166"/>
      <c r="H646" s="165"/>
      <c r="I646" s="166"/>
      <c r="J646" s="165"/>
      <c r="K646" s="166"/>
      <c r="L646" s="166"/>
    </row>
    <row r="647" spans="2:12" ht="27.95" customHeight="1">
      <c r="B647" s="180"/>
      <c r="C647" s="176"/>
      <c r="D647" s="176"/>
      <c r="E647" s="176"/>
      <c r="F647" s="176"/>
      <c r="G647" s="176"/>
      <c r="H647" s="165"/>
      <c r="I647" s="165"/>
      <c r="J647" s="250"/>
      <c r="K647" s="165"/>
      <c r="L647" s="165"/>
    </row>
    <row r="648" spans="2:12" ht="27.95" customHeight="1">
      <c r="B648" s="180"/>
      <c r="C648" s="2"/>
      <c r="D648" s="2"/>
      <c r="E648" s="2"/>
      <c r="F648" s="2"/>
      <c r="G648" s="2"/>
    </row>
    <row r="649" spans="2:12" ht="27.95" customHeight="1">
      <c r="B649" s="180"/>
      <c r="C649" s="2"/>
      <c r="D649" s="2"/>
      <c r="E649" s="2"/>
      <c r="F649" s="2"/>
      <c r="G649" s="2"/>
    </row>
    <row r="653" spans="2:12" ht="32.25">
      <c r="B653" s="1357"/>
      <c r="C653" s="1358"/>
      <c r="D653" s="1358"/>
      <c r="E653" s="1358"/>
      <c r="F653" s="1358"/>
      <c r="G653" s="1358"/>
      <c r="H653" s="1358"/>
      <c r="I653" s="1358"/>
      <c r="J653" s="1358"/>
      <c r="K653" s="1358"/>
      <c r="L653" s="1358"/>
    </row>
    <row r="654" spans="2:12" ht="23.25">
      <c r="B654" s="1167"/>
      <c r="C654" s="1167"/>
      <c r="D654" s="1167"/>
      <c r="E654" s="1167"/>
      <c r="F654" s="1167"/>
      <c r="G654" s="1167"/>
      <c r="H654" s="1167"/>
      <c r="I654" s="1167"/>
      <c r="J654" s="1167"/>
      <c r="K654" s="1167"/>
      <c r="L654" s="1167"/>
    </row>
    <row r="655" spans="2:12" ht="15.75">
      <c r="B655" s="1356"/>
      <c r="C655" s="1356"/>
      <c r="D655" s="1356"/>
      <c r="E655" s="1356"/>
      <c r="F655" s="1356"/>
      <c r="G655" s="1356"/>
      <c r="H655" s="1356"/>
      <c r="I655" s="1356"/>
      <c r="J655" s="1356"/>
      <c r="K655" s="1356"/>
      <c r="L655" s="1356"/>
    </row>
    <row r="656" spans="2:12" ht="15" customHeight="1">
      <c r="B656" s="1173"/>
      <c r="C656" s="1173"/>
      <c r="D656" s="1173"/>
      <c r="E656" s="1173"/>
      <c r="F656" s="1173"/>
      <c r="H656" s="1174"/>
      <c r="I656" s="1174"/>
      <c r="J656" s="1174"/>
      <c r="K656" s="1174"/>
      <c r="L656" s="1174"/>
    </row>
    <row r="657" spans="1:12">
      <c r="B657" s="1173"/>
      <c r="C657" s="1173"/>
      <c r="D657" s="1173"/>
      <c r="E657" s="1173"/>
      <c r="F657" s="1173"/>
      <c r="H657" s="1174"/>
      <c r="I657" s="1174"/>
      <c r="J657" s="1174"/>
      <c r="K657" s="1174"/>
      <c r="L657" s="1174"/>
    </row>
    <row r="659" spans="1:12">
      <c r="B659" s="2"/>
      <c r="H659" s="2"/>
    </row>
    <row r="661" spans="1:12">
      <c r="B661" s="2"/>
      <c r="H661" s="2"/>
    </row>
    <row r="664" spans="1:12">
      <c r="B664" s="1177"/>
      <c r="C664" s="1177"/>
      <c r="D664" s="1177"/>
      <c r="E664" s="1177"/>
      <c r="F664" s="1177"/>
      <c r="H664" s="1177"/>
      <c r="I664" s="1177"/>
      <c r="J664" s="1177"/>
      <c r="K664" s="1177"/>
      <c r="L664" s="1177"/>
    </row>
    <row r="666" spans="1:12">
      <c r="H666" s="2"/>
      <c r="I666" s="2"/>
      <c r="J666" s="2"/>
      <c r="K666" s="2"/>
      <c r="L666" s="2"/>
    </row>
    <row r="667" spans="1:12">
      <c r="H667" s="2"/>
      <c r="I667" s="2"/>
      <c r="J667" s="2"/>
      <c r="K667" s="2"/>
      <c r="L667" s="2"/>
    </row>
    <row r="668" spans="1:12">
      <c r="B668" s="2"/>
      <c r="H668" s="2"/>
      <c r="I668" s="2"/>
      <c r="J668" s="2"/>
      <c r="K668" s="2"/>
      <c r="L668" s="2"/>
    </row>
    <row r="669" spans="1:12">
      <c r="H669" s="2"/>
      <c r="I669" s="2"/>
      <c r="J669" s="2"/>
      <c r="K669" s="2"/>
      <c r="L669" s="2"/>
    </row>
    <row r="670" spans="1:12">
      <c r="H670" s="2"/>
      <c r="I670" s="2"/>
      <c r="J670" s="2"/>
      <c r="K670" s="2"/>
      <c r="L670" s="2"/>
    </row>
    <row r="671" spans="1:12" ht="27.95" customHeight="1">
      <c r="A671" s="10"/>
      <c r="B671" s="1353"/>
      <c r="C671" s="1353"/>
      <c r="D671" s="1353"/>
      <c r="E671" s="1353"/>
      <c r="F671" s="1353"/>
      <c r="G671" s="1353"/>
      <c r="H671" s="1351"/>
      <c r="I671" s="1352"/>
      <c r="J671" s="1352"/>
      <c r="K671" s="1352"/>
      <c r="L671" s="1352"/>
    </row>
    <row r="672" spans="1:12" ht="27.95" customHeight="1">
      <c r="A672" s="10"/>
      <c r="B672" s="1174"/>
      <c r="C672" s="1174"/>
      <c r="D672" s="1174"/>
      <c r="E672" s="1174"/>
      <c r="F672" s="1174"/>
      <c r="G672" s="1174"/>
      <c r="H672" s="1351"/>
      <c r="I672" s="1352"/>
      <c r="J672" s="1352"/>
      <c r="K672" s="1352"/>
      <c r="L672" s="1352"/>
    </row>
    <row r="673" spans="1:12" ht="27.95" customHeight="1">
      <c r="A673" s="10"/>
      <c r="B673" s="1353"/>
      <c r="C673" s="1353"/>
      <c r="D673" s="1353"/>
      <c r="E673" s="1353"/>
      <c r="F673" s="1353"/>
      <c r="G673" s="1353"/>
      <c r="H673" s="1351"/>
      <c r="I673" s="1352"/>
      <c r="J673" s="1352"/>
      <c r="K673" s="1352"/>
      <c r="L673" s="1352"/>
    </row>
    <row r="674" spans="1:12" ht="27.95" customHeight="1">
      <c r="A674" s="10"/>
      <c r="B674" s="1353"/>
      <c r="C674" s="1353"/>
      <c r="D674" s="1353"/>
      <c r="E674" s="1353"/>
      <c r="F674" s="1353"/>
      <c r="G674" s="1353"/>
      <c r="H674" s="1355"/>
      <c r="I674" s="1352"/>
      <c r="J674" s="1352"/>
      <c r="K674" s="1352"/>
      <c r="L674" s="1352"/>
    </row>
    <row r="675" spans="1:12" ht="27.95" customHeight="1">
      <c r="A675" s="10"/>
      <c r="B675" s="180"/>
      <c r="C675" s="176"/>
      <c r="D675" s="176"/>
      <c r="E675" s="176"/>
      <c r="F675" s="176"/>
      <c r="G675" s="176"/>
      <c r="H675" s="165"/>
      <c r="I675" s="10"/>
      <c r="J675" s="249"/>
      <c r="K675" s="165"/>
      <c r="L675" s="165"/>
    </row>
    <row r="676" spans="1:12" ht="27.95" customHeight="1">
      <c r="A676" s="10"/>
      <c r="B676" s="180"/>
      <c r="C676" s="176"/>
      <c r="D676" s="176"/>
      <c r="E676" s="176"/>
      <c r="F676" s="176"/>
      <c r="G676" s="176"/>
      <c r="H676" s="165"/>
      <c r="I676" s="165"/>
      <c r="J676" s="249"/>
      <c r="K676" s="165"/>
      <c r="L676" s="165"/>
    </row>
    <row r="677" spans="1:12" ht="27.95" customHeight="1">
      <c r="A677" s="10"/>
      <c r="B677" s="1174"/>
      <c r="C677" s="1174"/>
      <c r="D677" s="1174"/>
      <c r="E677" s="1174"/>
      <c r="F677" s="1174"/>
      <c r="G677" s="1174"/>
      <c r="H677" s="1351"/>
      <c r="I677" s="1352"/>
      <c r="J677" s="1352"/>
      <c r="K677" s="1352"/>
      <c r="L677" s="1352"/>
    </row>
    <row r="678" spans="1:12" ht="27.95" customHeight="1">
      <c r="A678" s="10"/>
      <c r="B678" s="1353"/>
      <c r="C678" s="1353"/>
      <c r="D678" s="1353"/>
      <c r="E678" s="1353"/>
      <c r="F678" s="1353"/>
      <c r="G678" s="1353"/>
      <c r="H678" s="1354"/>
      <c r="I678" s="1352"/>
      <c r="J678" s="1352"/>
      <c r="K678" s="1352"/>
      <c r="L678" s="1352"/>
    </row>
    <row r="679" spans="1:12" ht="27.95" customHeight="1">
      <c r="B679" s="1353"/>
      <c r="C679" s="1353"/>
      <c r="D679" s="1353"/>
      <c r="E679" s="1353"/>
      <c r="F679" s="1353"/>
      <c r="G679" s="1353"/>
      <c r="H679" s="1352"/>
      <c r="I679" s="1352"/>
      <c r="J679" s="1352"/>
      <c r="K679" s="1352"/>
      <c r="L679" s="1352"/>
    </row>
    <row r="680" spans="1:12" ht="27.95" customHeight="1">
      <c r="B680" s="180"/>
      <c r="C680" s="176"/>
      <c r="D680" s="176"/>
      <c r="E680" s="176"/>
      <c r="F680" s="176"/>
      <c r="G680" s="176"/>
      <c r="H680" s="165"/>
      <c r="I680" s="165"/>
      <c r="J680" s="165"/>
      <c r="K680" s="165"/>
      <c r="L680" s="165"/>
    </row>
    <row r="681" spans="1:12" ht="27.95" customHeight="1">
      <c r="B681" s="180"/>
      <c r="C681" s="176"/>
      <c r="D681" s="176"/>
      <c r="E681" s="176"/>
      <c r="F681" s="176"/>
      <c r="G681" s="176"/>
      <c r="H681" s="165"/>
      <c r="I681" s="165"/>
      <c r="J681" s="165"/>
      <c r="K681" s="165"/>
      <c r="L681" s="165"/>
    </row>
    <row r="682" spans="1:12" ht="27.95" customHeight="1">
      <c r="B682" s="180"/>
      <c r="C682" s="176"/>
      <c r="D682" s="176"/>
      <c r="E682" s="176"/>
      <c r="F682" s="176"/>
      <c r="G682" s="176"/>
      <c r="H682" s="165"/>
      <c r="I682" s="165"/>
      <c r="J682" s="166"/>
      <c r="K682" s="165"/>
      <c r="L682" s="165"/>
    </row>
    <row r="683" spans="1:12" ht="27.95" customHeight="1">
      <c r="B683" s="180"/>
      <c r="C683" s="176"/>
      <c r="D683" s="176"/>
      <c r="E683" s="176"/>
      <c r="F683" s="176"/>
      <c r="G683" s="176"/>
      <c r="H683" s="165"/>
      <c r="I683" s="165"/>
      <c r="J683" s="165"/>
      <c r="K683" s="165"/>
      <c r="L683" s="165"/>
    </row>
    <row r="684" spans="1:12" ht="27.95" customHeight="1">
      <c r="B684" s="180"/>
      <c r="C684" s="176"/>
      <c r="D684" s="176"/>
      <c r="E684" s="176"/>
      <c r="F684" s="176"/>
      <c r="G684" s="176"/>
      <c r="H684" s="165"/>
      <c r="I684" s="165"/>
      <c r="J684" s="166"/>
      <c r="K684" s="165"/>
      <c r="L684" s="165"/>
    </row>
    <row r="685" spans="1:12" ht="27.95" customHeight="1">
      <c r="B685" s="180"/>
      <c r="C685" s="176"/>
      <c r="D685" s="165"/>
      <c r="E685" s="166"/>
      <c r="F685" s="165"/>
      <c r="G685" s="166"/>
      <c r="H685" s="165"/>
      <c r="I685" s="166"/>
      <c r="J685" s="165"/>
      <c r="K685" s="166"/>
      <c r="L685" s="166"/>
    </row>
    <row r="686" spans="1:12" ht="27.95" customHeight="1">
      <c r="B686" s="180"/>
      <c r="C686" s="176"/>
      <c r="D686" s="176"/>
      <c r="E686" s="176"/>
      <c r="F686" s="176"/>
      <c r="G686" s="176"/>
      <c r="H686" s="165"/>
      <c r="I686" s="165"/>
      <c r="J686" s="250"/>
      <c r="K686" s="165"/>
      <c r="L686" s="165"/>
    </row>
    <row r="687" spans="1:12" ht="27.95" customHeight="1">
      <c r="B687" s="180"/>
      <c r="C687" s="2"/>
      <c r="D687" s="2"/>
      <c r="E687" s="2"/>
      <c r="F687" s="2"/>
      <c r="G687" s="2"/>
    </row>
    <row r="688" spans="1:12" ht="27.95" customHeight="1">
      <c r="B688" s="180"/>
      <c r="C688" s="2"/>
      <c r="D688" s="2"/>
      <c r="E688" s="2"/>
      <c r="F688" s="2"/>
      <c r="G688" s="2"/>
    </row>
    <row r="692" spans="2:12" ht="32.25">
      <c r="B692" s="1357"/>
      <c r="C692" s="1358"/>
      <c r="D692" s="1358"/>
      <c r="E692" s="1358"/>
      <c r="F692" s="1358"/>
      <c r="G692" s="1358"/>
      <c r="H692" s="1358"/>
      <c r="I692" s="1358"/>
      <c r="J692" s="1358"/>
      <c r="K692" s="1358"/>
      <c r="L692" s="1358"/>
    </row>
    <row r="693" spans="2:12" ht="23.25">
      <c r="B693" s="1167"/>
      <c r="C693" s="1167"/>
      <c r="D693" s="1167"/>
      <c r="E693" s="1167"/>
      <c r="F693" s="1167"/>
      <c r="G693" s="1167"/>
      <c r="H693" s="1167"/>
      <c r="I693" s="1167"/>
      <c r="J693" s="1167"/>
      <c r="K693" s="1167"/>
      <c r="L693" s="1167"/>
    </row>
    <row r="694" spans="2:12" ht="15.75">
      <c r="B694" s="1356"/>
      <c r="C694" s="1356"/>
      <c r="D694" s="1356"/>
      <c r="E694" s="1356"/>
      <c r="F694" s="1356"/>
      <c r="G694" s="1356"/>
      <c r="H694" s="1356"/>
      <c r="I694" s="1356"/>
      <c r="J694" s="1356"/>
      <c r="K694" s="1356"/>
      <c r="L694" s="1356"/>
    </row>
    <row r="695" spans="2:12" ht="15" customHeight="1">
      <c r="B695" s="1173"/>
      <c r="C695" s="1173"/>
      <c r="D695" s="1173"/>
      <c r="E695" s="1173"/>
      <c r="F695" s="1173"/>
      <c r="H695" s="1174"/>
      <c r="I695" s="1174"/>
      <c r="J695" s="1174"/>
      <c r="K695" s="1174"/>
      <c r="L695" s="1174"/>
    </row>
    <row r="696" spans="2:12">
      <c r="B696" s="1173"/>
      <c r="C696" s="1173"/>
      <c r="D696" s="1173"/>
      <c r="E696" s="1173"/>
      <c r="F696" s="1173"/>
      <c r="H696" s="1174"/>
      <c r="I696" s="1174"/>
      <c r="J696" s="1174"/>
      <c r="K696" s="1174"/>
      <c r="L696" s="1174"/>
    </row>
    <row r="698" spans="2:12">
      <c r="B698" s="2"/>
      <c r="H698" s="2"/>
    </row>
    <row r="700" spans="2:12">
      <c r="B700" s="2"/>
      <c r="H700" s="2"/>
    </row>
    <row r="703" spans="2:12">
      <c r="B703" s="1177"/>
      <c r="C703" s="1177"/>
      <c r="D703" s="1177"/>
      <c r="E703" s="1177"/>
      <c r="F703" s="1177"/>
      <c r="H703" s="1177"/>
      <c r="I703" s="1177"/>
      <c r="J703" s="1177"/>
      <c r="K703" s="1177"/>
      <c r="L703" s="1177"/>
    </row>
    <row r="705" spans="1:12">
      <c r="H705" s="2"/>
      <c r="I705" s="2"/>
      <c r="J705" s="2"/>
      <c r="K705" s="2"/>
      <c r="L705" s="2"/>
    </row>
    <row r="706" spans="1:12">
      <c r="H706" s="2"/>
      <c r="I706" s="2"/>
      <c r="J706" s="2"/>
      <c r="K706" s="2"/>
      <c r="L706" s="2"/>
    </row>
    <row r="707" spans="1:12">
      <c r="B707" s="2"/>
      <c r="H707" s="2"/>
      <c r="I707" s="2"/>
      <c r="J707" s="2"/>
      <c r="K707" s="2"/>
      <c r="L707" s="2"/>
    </row>
    <row r="708" spans="1:12">
      <c r="H708" s="2"/>
      <c r="I708" s="2"/>
      <c r="J708" s="2"/>
      <c r="K708" s="2"/>
      <c r="L708" s="2"/>
    </row>
    <row r="709" spans="1:12">
      <c r="H709" s="2"/>
      <c r="I709" s="2"/>
      <c r="J709" s="2"/>
      <c r="K709" s="2"/>
      <c r="L709" s="2"/>
    </row>
    <row r="710" spans="1:12" ht="27.95" customHeight="1">
      <c r="A710" s="10"/>
      <c r="B710" s="1353"/>
      <c r="C710" s="1353"/>
      <c r="D710" s="1353"/>
      <c r="E710" s="1353"/>
      <c r="F710" s="1353"/>
      <c r="G710" s="1353"/>
      <c r="H710" s="1351"/>
      <c r="I710" s="1352"/>
      <c r="J710" s="1352"/>
      <c r="K710" s="1352"/>
      <c r="L710" s="1352"/>
    </row>
    <row r="711" spans="1:12" ht="27.95" customHeight="1">
      <c r="A711" s="10"/>
      <c r="B711" s="1174"/>
      <c r="C711" s="1174"/>
      <c r="D711" s="1174"/>
      <c r="E711" s="1174"/>
      <c r="F711" s="1174"/>
      <c r="G711" s="1174"/>
      <c r="H711" s="1351"/>
      <c r="I711" s="1352"/>
      <c r="J711" s="1352"/>
      <c r="K711" s="1352"/>
      <c r="L711" s="1352"/>
    </row>
    <row r="712" spans="1:12" ht="27.95" customHeight="1">
      <c r="A712" s="10"/>
      <c r="B712" s="1353"/>
      <c r="C712" s="1353"/>
      <c r="D712" s="1353"/>
      <c r="E712" s="1353"/>
      <c r="F712" s="1353"/>
      <c r="G712" s="1353"/>
      <c r="H712" s="1351"/>
      <c r="I712" s="1352"/>
      <c r="J712" s="1352"/>
      <c r="K712" s="1352"/>
      <c r="L712" s="1352"/>
    </row>
    <row r="713" spans="1:12" ht="27.95" customHeight="1">
      <c r="A713" s="10"/>
      <c r="B713" s="1353"/>
      <c r="C713" s="1353"/>
      <c r="D713" s="1353"/>
      <c r="E713" s="1353"/>
      <c r="F713" s="1353"/>
      <c r="G713" s="1353"/>
      <c r="H713" s="1355"/>
      <c r="I713" s="1352"/>
      <c r="J713" s="1352"/>
      <c r="K713" s="1352"/>
      <c r="L713" s="1352"/>
    </row>
    <row r="714" spans="1:12" ht="27.95" customHeight="1">
      <c r="A714" s="10"/>
      <c r="B714" s="180"/>
      <c r="C714" s="176"/>
      <c r="D714" s="176"/>
      <c r="E714" s="176"/>
      <c r="F714" s="176"/>
      <c r="G714" s="176"/>
      <c r="H714" s="165"/>
      <c r="I714" s="10"/>
      <c r="J714" s="249"/>
      <c r="K714" s="165"/>
      <c r="L714" s="165"/>
    </row>
    <row r="715" spans="1:12" ht="27.95" customHeight="1">
      <c r="A715" s="10"/>
      <c r="B715" s="180"/>
      <c r="C715" s="176"/>
      <c r="D715" s="176"/>
      <c r="E715" s="176"/>
      <c r="F715" s="176"/>
      <c r="G715" s="176"/>
      <c r="H715" s="165"/>
      <c r="I715" s="165"/>
      <c r="J715" s="249"/>
      <c r="K715" s="165"/>
      <c r="L715" s="165"/>
    </row>
    <row r="716" spans="1:12" ht="27.95" customHeight="1">
      <c r="A716" s="10"/>
      <c r="B716" s="1174"/>
      <c r="C716" s="1174"/>
      <c r="D716" s="1174"/>
      <c r="E716" s="1174"/>
      <c r="F716" s="1174"/>
      <c r="G716" s="1174"/>
      <c r="H716" s="1351"/>
      <c r="I716" s="1352"/>
      <c r="J716" s="1352"/>
      <c r="K716" s="1352"/>
      <c r="L716" s="1352"/>
    </row>
    <row r="717" spans="1:12" ht="27.95" customHeight="1">
      <c r="A717" s="10"/>
      <c r="B717" s="1353"/>
      <c r="C717" s="1353"/>
      <c r="D717" s="1353"/>
      <c r="E717" s="1353"/>
      <c r="F717" s="1353"/>
      <c r="G717" s="1353"/>
      <c r="H717" s="1354"/>
      <c r="I717" s="1352"/>
      <c r="J717" s="1352"/>
      <c r="K717" s="1352"/>
      <c r="L717" s="1352"/>
    </row>
    <row r="718" spans="1:12" ht="27.95" customHeight="1">
      <c r="B718" s="1353"/>
      <c r="C718" s="1353"/>
      <c r="D718" s="1353"/>
      <c r="E718" s="1353"/>
      <c r="F718" s="1353"/>
      <c r="G718" s="1353"/>
      <c r="H718" s="1352"/>
      <c r="I718" s="1352"/>
      <c r="J718" s="1352"/>
      <c r="K718" s="1352"/>
      <c r="L718" s="1352"/>
    </row>
    <row r="719" spans="1:12" ht="27.95" customHeight="1">
      <c r="B719" s="180"/>
      <c r="C719" s="176"/>
      <c r="D719" s="176"/>
      <c r="E719" s="176"/>
      <c r="F719" s="176"/>
      <c r="G719" s="176"/>
      <c r="H719" s="165"/>
      <c r="I719" s="165"/>
      <c r="J719" s="165"/>
      <c r="K719" s="165"/>
      <c r="L719" s="165"/>
    </row>
    <row r="720" spans="1:12" ht="27.95" customHeight="1">
      <c r="B720" s="180"/>
      <c r="C720" s="176"/>
      <c r="D720" s="176"/>
      <c r="E720" s="176"/>
      <c r="F720" s="176"/>
      <c r="G720" s="176"/>
      <c r="H720" s="165"/>
      <c r="I720" s="165"/>
      <c r="J720" s="165"/>
      <c r="K720" s="165"/>
      <c r="L720" s="165"/>
    </row>
    <row r="721" spans="2:12" ht="27.95" customHeight="1">
      <c r="B721" s="180"/>
      <c r="C721" s="176"/>
      <c r="D721" s="176"/>
      <c r="E721" s="176"/>
      <c r="F721" s="176"/>
      <c r="G721" s="176"/>
      <c r="H721" s="165"/>
      <c r="I721" s="165"/>
      <c r="J721" s="166"/>
      <c r="K721" s="165"/>
      <c r="L721" s="165"/>
    </row>
    <row r="722" spans="2:12" ht="27.95" customHeight="1">
      <c r="B722" s="180"/>
      <c r="C722" s="176"/>
      <c r="D722" s="176"/>
      <c r="E722" s="176"/>
      <c r="F722" s="176"/>
      <c r="G722" s="176"/>
      <c r="H722" s="165"/>
      <c r="I722" s="165"/>
      <c r="J722" s="165"/>
      <c r="K722" s="165"/>
      <c r="L722" s="165"/>
    </row>
    <row r="723" spans="2:12" ht="27.95" customHeight="1">
      <c r="B723" s="180"/>
      <c r="C723" s="176"/>
      <c r="D723" s="176"/>
      <c r="E723" s="176"/>
      <c r="F723" s="176"/>
      <c r="G723" s="176"/>
      <c r="H723" s="165"/>
      <c r="I723" s="165"/>
      <c r="J723" s="166"/>
      <c r="K723" s="165"/>
      <c r="L723" s="165"/>
    </row>
    <row r="724" spans="2:12" ht="27.95" customHeight="1">
      <c r="B724" s="180"/>
      <c r="C724" s="176"/>
      <c r="D724" s="165"/>
      <c r="E724" s="166"/>
      <c r="F724" s="165"/>
      <c r="G724" s="166"/>
      <c r="H724" s="165"/>
      <c r="I724" s="166"/>
      <c r="J724" s="165"/>
      <c r="K724" s="166"/>
      <c r="L724" s="166"/>
    </row>
    <row r="725" spans="2:12" ht="27.95" customHeight="1">
      <c r="B725" s="180"/>
      <c r="C725" s="176"/>
      <c r="D725" s="176"/>
      <c r="E725" s="176"/>
      <c r="F725" s="176"/>
      <c r="G725" s="176"/>
      <c r="H725" s="165"/>
      <c r="I725" s="165"/>
      <c r="J725" s="250"/>
      <c r="K725" s="165"/>
      <c r="L725" s="165"/>
    </row>
    <row r="726" spans="2:12" ht="27.95" customHeight="1">
      <c r="B726" s="180"/>
      <c r="C726" s="2"/>
      <c r="D726" s="2"/>
      <c r="E726" s="2"/>
      <c r="F726" s="2"/>
      <c r="G726" s="2"/>
    </row>
    <row r="727" spans="2:12" ht="27.95" customHeight="1">
      <c r="B727" s="180"/>
      <c r="C727" s="2"/>
      <c r="D727" s="2"/>
      <c r="E727" s="2"/>
      <c r="F727" s="2"/>
      <c r="G727" s="2"/>
    </row>
    <row r="731" spans="2:12" ht="32.25">
      <c r="B731" s="1357"/>
      <c r="C731" s="1358"/>
      <c r="D731" s="1358"/>
      <c r="E731" s="1358"/>
      <c r="F731" s="1358"/>
      <c r="G731" s="1358"/>
      <c r="H731" s="1358"/>
      <c r="I731" s="1358"/>
      <c r="J731" s="1358"/>
      <c r="K731" s="1358"/>
      <c r="L731" s="1358"/>
    </row>
    <row r="732" spans="2:12" ht="23.25">
      <c r="B732" s="1167"/>
      <c r="C732" s="1167"/>
      <c r="D732" s="1167"/>
      <c r="E732" s="1167"/>
      <c r="F732" s="1167"/>
      <c r="G732" s="1167"/>
      <c r="H732" s="1167"/>
      <c r="I732" s="1167"/>
      <c r="J732" s="1167"/>
      <c r="K732" s="1167"/>
      <c r="L732" s="1167"/>
    </row>
    <row r="733" spans="2:12" ht="15.75">
      <c r="B733" s="1356"/>
      <c r="C733" s="1356"/>
      <c r="D733" s="1356"/>
      <c r="E733" s="1356"/>
      <c r="F733" s="1356"/>
      <c r="G733" s="1356"/>
      <c r="H733" s="1356"/>
      <c r="I733" s="1356"/>
      <c r="J733" s="1356"/>
      <c r="K733" s="1356"/>
      <c r="L733" s="1356"/>
    </row>
    <row r="734" spans="2:12" ht="15" customHeight="1">
      <c r="B734" s="1173"/>
      <c r="C734" s="1173"/>
      <c r="D734" s="1173"/>
      <c r="E734" s="1173"/>
      <c r="F734" s="1173"/>
      <c r="H734" s="1174"/>
      <c r="I734" s="1174"/>
      <c r="J734" s="1174"/>
      <c r="K734" s="1174"/>
      <c r="L734" s="1174"/>
    </row>
    <row r="735" spans="2:12">
      <c r="B735" s="1173"/>
      <c r="C735" s="1173"/>
      <c r="D735" s="1173"/>
      <c r="E735" s="1173"/>
      <c r="F735" s="1173"/>
      <c r="H735" s="1174"/>
      <c r="I735" s="1174"/>
      <c r="J735" s="1174"/>
      <c r="K735" s="1174"/>
      <c r="L735" s="1174"/>
    </row>
    <row r="737" spans="1:12">
      <c r="B737" s="2"/>
      <c r="H737" s="2"/>
    </row>
    <row r="739" spans="1:12">
      <c r="B739" s="2"/>
      <c r="H739" s="2"/>
    </row>
    <row r="740" spans="1:12" ht="15" customHeight="1"/>
    <row r="742" spans="1:12">
      <c r="B742" s="1177"/>
      <c r="C742" s="1177"/>
      <c r="D742" s="1177"/>
      <c r="E742" s="1177"/>
      <c r="F742" s="1177"/>
      <c r="H742" s="1177"/>
      <c r="I742" s="1177"/>
      <c r="J742" s="1177"/>
      <c r="K742" s="1177"/>
      <c r="L742" s="1177"/>
    </row>
    <row r="744" spans="1:12">
      <c r="H744" s="2"/>
      <c r="I744" s="2"/>
      <c r="J744" s="2"/>
      <c r="K744" s="2"/>
      <c r="L744" s="2"/>
    </row>
    <row r="745" spans="1:12">
      <c r="H745" s="2"/>
      <c r="I745" s="2"/>
      <c r="J745" s="2"/>
      <c r="K745" s="2"/>
      <c r="L745" s="2"/>
    </row>
    <row r="746" spans="1:12">
      <c r="B746" s="2"/>
      <c r="H746" s="2"/>
      <c r="I746" s="2"/>
      <c r="J746" s="2"/>
      <c r="K746" s="2"/>
      <c r="L746" s="2"/>
    </row>
    <row r="747" spans="1:12">
      <c r="H747" s="2"/>
      <c r="I747" s="2"/>
      <c r="J747" s="2"/>
      <c r="K747" s="2"/>
      <c r="L747" s="2"/>
    </row>
    <row r="748" spans="1:12">
      <c r="H748" s="2"/>
      <c r="I748" s="2"/>
      <c r="J748" s="2"/>
      <c r="K748" s="2"/>
      <c r="L748" s="2"/>
    </row>
    <row r="749" spans="1:12" ht="27.95" customHeight="1">
      <c r="A749" s="10"/>
      <c r="B749" s="1353"/>
      <c r="C749" s="1353"/>
      <c r="D749" s="1353"/>
      <c r="E749" s="1353"/>
      <c r="F749" s="1353"/>
      <c r="G749" s="1353"/>
      <c r="H749" s="1351"/>
      <c r="I749" s="1352"/>
      <c r="J749" s="1352"/>
      <c r="K749" s="1352"/>
      <c r="L749" s="1352"/>
    </row>
    <row r="750" spans="1:12" ht="27.95" customHeight="1">
      <c r="A750" s="10"/>
      <c r="B750" s="1174"/>
      <c r="C750" s="1174"/>
      <c r="D750" s="1174"/>
      <c r="E750" s="1174"/>
      <c r="F750" s="1174"/>
      <c r="G750" s="1174"/>
      <c r="H750" s="1351"/>
      <c r="I750" s="1352"/>
      <c r="J750" s="1352"/>
      <c r="K750" s="1352"/>
      <c r="L750" s="1352"/>
    </row>
    <row r="751" spans="1:12" ht="27.95" customHeight="1">
      <c r="A751" s="10"/>
      <c r="B751" s="1353"/>
      <c r="C751" s="1353"/>
      <c r="D751" s="1353"/>
      <c r="E751" s="1353"/>
      <c r="F751" s="1353"/>
      <c r="G751" s="1353"/>
      <c r="H751" s="1351"/>
      <c r="I751" s="1352"/>
      <c r="J751" s="1352"/>
      <c r="K751" s="1352"/>
      <c r="L751" s="1352"/>
    </row>
    <row r="752" spans="1:12" ht="27.95" customHeight="1">
      <c r="A752" s="10"/>
      <c r="B752" s="1353"/>
      <c r="C752" s="1353"/>
      <c r="D752" s="1353"/>
      <c r="E752" s="1353"/>
      <c r="F752" s="1353"/>
      <c r="G752" s="1353"/>
      <c r="H752" s="1355"/>
      <c r="I752" s="1352"/>
      <c r="J752" s="1352"/>
      <c r="K752" s="1352"/>
      <c r="L752" s="1352"/>
    </row>
    <row r="753" spans="1:12" ht="27.95" customHeight="1">
      <c r="A753" s="10"/>
      <c r="B753" s="180"/>
      <c r="C753" s="176"/>
      <c r="D753" s="176"/>
      <c r="E753" s="176"/>
      <c r="F753" s="176"/>
      <c r="G753" s="176"/>
      <c r="H753" s="165"/>
      <c r="I753" s="10"/>
      <c r="J753" s="249"/>
      <c r="K753" s="165"/>
      <c r="L753" s="165"/>
    </row>
    <row r="754" spans="1:12" ht="27.95" customHeight="1">
      <c r="A754" s="10"/>
      <c r="B754" s="180"/>
      <c r="C754" s="176"/>
      <c r="D754" s="176"/>
      <c r="E754" s="176"/>
      <c r="F754" s="176"/>
      <c r="G754" s="176"/>
      <c r="H754" s="165"/>
      <c r="I754" s="165"/>
      <c r="J754" s="249"/>
      <c r="K754" s="165"/>
      <c r="L754" s="165"/>
    </row>
    <row r="755" spans="1:12" ht="27.95" customHeight="1">
      <c r="A755" s="10"/>
      <c r="B755" s="1174"/>
      <c r="C755" s="1174"/>
      <c r="D755" s="1174"/>
      <c r="E755" s="1174"/>
      <c r="F755" s="1174"/>
      <c r="G755" s="1174"/>
      <c r="H755" s="1351"/>
      <c r="I755" s="1352"/>
      <c r="J755" s="1352"/>
      <c r="K755" s="1352"/>
      <c r="L755" s="1352"/>
    </row>
    <row r="756" spans="1:12" ht="27.95" customHeight="1">
      <c r="A756" s="10"/>
      <c r="B756" s="1353"/>
      <c r="C756" s="1353"/>
      <c r="D756" s="1353"/>
      <c r="E756" s="1353"/>
      <c r="F756" s="1353"/>
      <c r="G756" s="1353"/>
      <c r="H756" s="1354"/>
      <c r="I756" s="1352"/>
      <c r="J756" s="1352"/>
      <c r="K756" s="1352"/>
      <c r="L756" s="1352"/>
    </row>
    <row r="757" spans="1:12" ht="27.95" customHeight="1">
      <c r="B757" s="1353"/>
      <c r="C757" s="1353"/>
      <c r="D757" s="1353"/>
      <c r="E757" s="1353"/>
      <c r="F757" s="1353"/>
      <c r="G757" s="1353"/>
      <c r="H757" s="1352"/>
      <c r="I757" s="1352"/>
      <c r="J757" s="1352"/>
      <c r="K757" s="1352"/>
      <c r="L757" s="1352"/>
    </row>
    <row r="758" spans="1:12" ht="27.95" customHeight="1">
      <c r="B758" s="180"/>
      <c r="C758" s="176"/>
      <c r="D758" s="176"/>
      <c r="E758" s="176"/>
      <c r="F758" s="176"/>
      <c r="G758" s="176"/>
      <c r="H758" s="165"/>
      <c r="I758" s="165"/>
      <c r="J758" s="165"/>
      <c r="K758" s="165"/>
      <c r="L758" s="165"/>
    </row>
    <row r="759" spans="1:12" ht="27.95" customHeight="1">
      <c r="B759" s="180"/>
      <c r="C759" s="176"/>
      <c r="D759" s="176"/>
      <c r="E759" s="176"/>
      <c r="F759" s="176"/>
      <c r="G759" s="176"/>
      <c r="H759" s="165"/>
      <c r="I759" s="165"/>
      <c r="J759" s="165"/>
      <c r="K759" s="165"/>
      <c r="L759" s="165"/>
    </row>
    <row r="760" spans="1:12" ht="27.95" customHeight="1">
      <c r="B760" s="180"/>
      <c r="C760" s="176"/>
      <c r="D760" s="176"/>
      <c r="E760" s="176"/>
      <c r="F760" s="176"/>
      <c r="G760" s="176"/>
      <c r="H760" s="165"/>
      <c r="I760" s="165"/>
      <c r="J760" s="166"/>
      <c r="K760" s="165"/>
      <c r="L760" s="165"/>
    </row>
    <row r="761" spans="1:12" ht="27.95" customHeight="1">
      <c r="B761" s="180"/>
      <c r="C761" s="176"/>
      <c r="D761" s="176"/>
      <c r="E761" s="176"/>
      <c r="F761" s="176"/>
      <c r="G761" s="176"/>
      <c r="H761" s="165"/>
      <c r="I761" s="165"/>
      <c r="J761" s="165"/>
      <c r="K761" s="165"/>
      <c r="L761" s="165"/>
    </row>
    <row r="762" spans="1:12" ht="27.95" customHeight="1">
      <c r="B762" s="180"/>
      <c r="C762" s="176"/>
      <c r="D762" s="176"/>
      <c r="E762" s="176"/>
      <c r="F762" s="176"/>
      <c r="G762" s="176"/>
      <c r="H762" s="165"/>
      <c r="I762" s="165"/>
      <c r="J762" s="166"/>
      <c r="K762" s="165"/>
      <c r="L762" s="165"/>
    </row>
    <row r="763" spans="1:12" ht="27.95" customHeight="1">
      <c r="B763" s="180"/>
      <c r="C763" s="176"/>
      <c r="D763" s="165"/>
      <c r="E763" s="166"/>
      <c r="F763" s="165"/>
      <c r="G763" s="166"/>
      <c r="H763" s="165"/>
      <c r="I763" s="166"/>
      <c r="J763" s="165"/>
      <c r="K763" s="166"/>
      <c r="L763" s="166"/>
    </row>
    <row r="764" spans="1:12" ht="27.95" customHeight="1">
      <c r="B764" s="180"/>
      <c r="C764" s="176"/>
      <c r="D764" s="176"/>
      <c r="E764" s="176"/>
      <c r="F764" s="176"/>
      <c r="G764" s="176"/>
      <c r="H764" s="165"/>
      <c r="I764" s="165"/>
      <c r="J764" s="250"/>
      <c r="K764" s="165"/>
      <c r="L764" s="165"/>
    </row>
    <row r="765" spans="1:12" ht="27.95" customHeight="1">
      <c r="B765" s="180"/>
      <c r="C765" s="2"/>
      <c r="D765" s="2"/>
      <c r="E765" s="2"/>
      <c r="F765" s="2"/>
      <c r="G765" s="2"/>
    </row>
    <row r="766" spans="1:12" ht="27.95" customHeight="1">
      <c r="B766" s="180"/>
      <c r="C766" s="2"/>
      <c r="D766" s="2"/>
      <c r="E766" s="2"/>
      <c r="F766" s="2"/>
      <c r="G766" s="2"/>
    </row>
  </sheetData>
  <mergeCells count="571">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K412:L412"/>
    <mergeCell ref="G414:H414"/>
    <mergeCell ref="K414:L414"/>
    <mergeCell ref="B420:F420"/>
    <mergeCell ref="G420:H420"/>
    <mergeCell ref="I420:K420"/>
    <mergeCell ref="B421:F421"/>
    <mergeCell ref="G421:H421"/>
    <mergeCell ref="I421:K421"/>
    <mergeCell ref="B369:F369"/>
    <mergeCell ref="G369:H369"/>
    <mergeCell ref="I369:K369"/>
    <mergeCell ref="B380:L380"/>
    <mergeCell ref="B381:L381"/>
    <mergeCell ref="B384:G384"/>
    <mergeCell ref="H384:L384"/>
    <mergeCell ref="B385:G385"/>
    <mergeCell ref="H385:L385"/>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276:G276"/>
    <mergeCell ref="H276:L276"/>
    <mergeCell ref="B277:G277"/>
    <mergeCell ref="H277:L277"/>
    <mergeCell ref="B278:G278"/>
    <mergeCell ref="H278:L278"/>
    <mergeCell ref="H279:L279"/>
    <mergeCell ref="B281:G281"/>
    <mergeCell ref="H281:L281"/>
    <mergeCell ref="B259:F259"/>
    <mergeCell ref="G259:H259"/>
    <mergeCell ref="I259:K259"/>
    <mergeCell ref="B260:F260"/>
    <mergeCell ref="G260:H260"/>
    <mergeCell ref="I260:K260"/>
    <mergeCell ref="B272:L272"/>
    <mergeCell ref="B273:L273"/>
    <mergeCell ref="B275:G275"/>
    <mergeCell ref="H275:L275"/>
    <mergeCell ref="G250:H250"/>
    <mergeCell ref="K250:L250"/>
    <mergeCell ref="G251:H251"/>
    <mergeCell ref="K251:L251"/>
    <mergeCell ref="G252:H252"/>
    <mergeCell ref="K252:L252"/>
    <mergeCell ref="B258:F258"/>
    <mergeCell ref="G258:H258"/>
    <mergeCell ref="I258:K258"/>
    <mergeCell ref="G196:H196"/>
    <mergeCell ref="K196:L196"/>
    <mergeCell ref="G197:H197"/>
    <mergeCell ref="K197:L197"/>
    <mergeCell ref="G198:H198"/>
    <mergeCell ref="K198:L198"/>
    <mergeCell ref="B204:F204"/>
    <mergeCell ref="G204:H204"/>
    <mergeCell ref="I204:K204"/>
    <mergeCell ref="B176:G176"/>
    <mergeCell ref="H176:L176"/>
    <mergeCell ref="G180:H180"/>
    <mergeCell ref="K180:L180"/>
    <mergeCell ref="C193:H193"/>
    <mergeCell ref="J193:L193"/>
    <mergeCell ref="G194:H194"/>
    <mergeCell ref="K194:L194"/>
    <mergeCell ref="G195:H195"/>
    <mergeCell ref="K195:L195"/>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K34:L34"/>
    <mergeCell ref="G35:H35"/>
    <mergeCell ref="K35:L35"/>
    <mergeCell ref="G36:H36"/>
    <mergeCell ref="K36:L36"/>
    <mergeCell ref="C31:H31"/>
    <mergeCell ref="J31:L31"/>
    <mergeCell ref="G32:H32"/>
    <mergeCell ref="K32:L32"/>
    <mergeCell ref="G33:H33"/>
    <mergeCell ref="K33:L33"/>
    <mergeCell ref="B44:F44"/>
    <mergeCell ref="G44:H44"/>
    <mergeCell ref="I44:K44"/>
    <mergeCell ref="B45:F45"/>
    <mergeCell ref="G45:H45"/>
    <mergeCell ref="I45:K45"/>
    <mergeCell ref="B42:F42"/>
    <mergeCell ref="G42:H42"/>
    <mergeCell ref="I42:K42"/>
    <mergeCell ref="B43:F43"/>
    <mergeCell ref="G43:H43"/>
    <mergeCell ref="I43:K43"/>
    <mergeCell ref="B61:G61"/>
    <mergeCell ref="H61:L61"/>
    <mergeCell ref="B62:G62"/>
    <mergeCell ref="H62:L62"/>
    <mergeCell ref="B63:G63"/>
    <mergeCell ref="H63:L63"/>
    <mergeCell ref="H64:L64"/>
    <mergeCell ref="B66:G66"/>
    <mergeCell ref="H66:L66"/>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70:G170"/>
    <mergeCell ref="H170:L170"/>
    <mergeCell ref="B171:G171"/>
    <mergeCell ref="H171:L171"/>
    <mergeCell ref="H172:L172"/>
    <mergeCell ref="B174:G174"/>
    <mergeCell ref="H174:L174"/>
    <mergeCell ref="B175:G175"/>
    <mergeCell ref="H175:L175"/>
    <mergeCell ref="B205:F205"/>
    <mergeCell ref="G205:H205"/>
    <mergeCell ref="I205:K205"/>
    <mergeCell ref="B206:F206"/>
    <mergeCell ref="G206:H206"/>
    <mergeCell ref="I206:K206"/>
    <mergeCell ref="B207:F207"/>
    <mergeCell ref="G207:H207"/>
    <mergeCell ref="I207:K207"/>
    <mergeCell ref="B218:L218"/>
    <mergeCell ref="B219:L219"/>
    <mergeCell ref="B222:G222"/>
    <mergeCell ref="H222:L222"/>
    <mergeCell ref="B223:G223"/>
    <mergeCell ref="H223:L223"/>
    <mergeCell ref="B224:G224"/>
    <mergeCell ref="H224:L224"/>
    <mergeCell ref="B225:G225"/>
    <mergeCell ref="H225:L225"/>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G360:H360"/>
    <mergeCell ref="K360:L360"/>
    <mergeCell ref="B366:F366"/>
    <mergeCell ref="G366:H366"/>
    <mergeCell ref="I366:K366"/>
    <mergeCell ref="B367:F367"/>
    <mergeCell ref="G367:H367"/>
    <mergeCell ref="I367:K367"/>
    <mergeCell ref="B368:F368"/>
    <mergeCell ref="G368:H368"/>
    <mergeCell ref="I368:K368"/>
    <mergeCell ref="B386:G386"/>
    <mergeCell ref="H386:L386"/>
    <mergeCell ref="B387:G387"/>
    <mergeCell ref="H387:L387"/>
    <mergeCell ref="H388:L388"/>
    <mergeCell ref="B390:G390"/>
    <mergeCell ref="H390:L390"/>
    <mergeCell ref="B391:G391"/>
    <mergeCell ref="H391:L3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477:F477"/>
    <mergeCell ref="G477:H477"/>
    <mergeCell ref="I477:K477"/>
    <mergeCell ref="B487:L487"/>
    <mergeCell ref="B488:L488"/>
    <mergeCell ref="B490:G490"/>
    <mergeCell ref="H490:L490"/>
    <mergeCell ref="B491:G491"/>
    <mergeCell ref="H491:L491"/>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712:G712"/>
    <mergeCell ref="H712:L712"/>
    <mergeCell ref="B713:G713"/>
    <mergeCell ref="H713:L713"/>
    <mergeCell ref="B716:G716"/>
    <mergeCell ref="H716:L716"/>
    <mergeCell ref="B703:F703"/>
    <mergeCell ref="H703:L703"/>
    <mergeCell ref="B710:G710"/>
    <mergeCell ref="H710:L710"/>
    <mergeCell ref="B711:G711"/>
    <mergeCell ref="H711:L711"/>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55:G755"/>
    <mergeCell ref="H755:L755"/>
    <mergeCell ref="B756:G756"/>
    <mergeCell ref="H756:L756"/>
    <mergeCell ref="B757:G757"/>
    <mergeCell ref="H757:L757"/>
    <mergeCell ref="B750:G750"/>
    <mergeCell ref="H750:L750"/>
    <mergeCell ref="B751:G751"/>
    <mergeCell ref="H751:L751"/>
    <mergeCell ref="B752:G752"/>
    <mergeCell ref="H752:L752"/>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8"/>
  <dimension ref="A1:AF775"/>
  <sheetViews>
    <sheetView topLeftCell="A37" zoomScale="110" zoomScaleNormal="110" workbookViewId="0">
      <selection activeCell="H11" sqref="H11:L11"/>
    </sheetView>
  </sheetViews>
  <sheetFormatPr defaultRowHeight="15"/>
  <cols>
    <col min="6" max="6" width="16.85546875" customWidth="1"/>
    <col min="10" max="10" width="14.5703125" customWidth="1"/>
    <col min="12" max="12" width="22.7109375" customWidth="1"/>
  </cols>
  <sheetData>
    <row r="1" spans="1:14" ht="15" customHeight="1">
      <c r="A1" s="74"/>
      <c r="B1" s="75"/>
      <c r="C1" s="75"/>
      <c r="D1" s="75"/>
      <c r="E1" s="75"/>
      <c r="F1" s="75"/>
      <c r="G1" s="75"/>
      <c r="H1" s="75"/>
      <c r="I1" s="79" t="s">
        <v>232</v>
      </c>
      <c r="J1" s="75"/>
      <c r="K1" s="75"/>
      <c r="L1" s="76"/>
    </row>
    <row r="2" spans="1:14" ht="16.5" customHeight="1">
      <c r="A2" s="13"/>
      <c r="B2" s="1400" t="s">
        <v>287</v>
      </c>
      <c r="C2" s="1400"/>
      <c r="D2" s="1400"/>
      <c r="E2" s="1400"/>
      <c r="F2" s="1400"/>
      <c r="G2" s="1400"/>
      <c r="H2" s="1400"/>
      <c r="I2" s="1400"/>
      <c r="J2" s="1400"/>
      <c r="K2" s="1400"/>
      <c r="L2" s="1401"/>
    </row>
    <row r="3" spans="1:14" ht="23.25">
      <c r="A3" s="13"/>
      <c r="B3" s="209"/>
      <c r="C3" s="209"/>
      <c r="D3" s="217" t="s">
        <v>234</v>
      </c>
      <c r="E3" s="209"/>
      <c r="F3" s="209"/>
      <c r="G3" s="209"/>
      <c r="H3" s="209"/>
      <c r="I3" s="211" t="s">
        <v>288</v>
      </c>
      <c r="J3" s="212"/>
      <c r="K3" s="293" t="e">
        <f>'04-221Master'!#REF!</f>
        <v>#REF!</v>
      </c>
      <c r="L3" s="242"/>
    </row>
    <row r="4" spans="1:14" ht="15.75">
      <c r="A4" s="13"/>
      <c r="B4" s="1"/>
      <c r="C4" s="1" t="s">
        <v>235</v>
      </c>
      <c r="E4" s="1"/>
      <c r="F4" s="1"/>
      <c r="G4" s="1"/>
      <c r="H4" s="1"/>
      <c r="I4" s="210" t="s">
        <v>289</v>
      </c>
      <c r="J4" s="231" t="str">
        <f>'04-221Master'!F5</f>
        <v>Burgeon IT Services Pvt.Ltd.</v>
      </c>
      <c r="K4" s="213"/>
      <c r="L4" s="243"/>
    </row>
    <row r="5" spans="1:14" ht="15" customHeight="1">
      <c r="A5" s="13"/>
      <c r="B5" s="218"/>
      <c r="C5" s="187" t="s">
        <v>236</v>
      </c>
      <c r="E5" s="218"/>
      <c r="F5" s="218"/>
      <c r="H5" s="188"/>
      <c r="I5" s="234" t="str">
        <f>'04-221Master'!F6</f>
        <v>Siri Mansion LIGB 436 Dr.A S Rao Nagar,Hyderabad</v>
      </c>
      <c r="J5" s="232"/>
      <c r="K5" s="233"/>
      <c r="L5" s="197"/>
    </row>
    <row r="6" spans="1:14" ht="15" customHeight="1">
      <c r="A6" s="13"/>
      <c r="B6" s="218"/>
      <c r="C6" s="187"/>
      <c r="E6" s="218"/>
      <c r="F6" s="218"/>
      <c r="H6" s="188"/>
      <c r="I6" s="235"/>
      <c r="J6" s="241"/>
      <c r="K6" s="241"/>
      <c r="L6" s="14"/>
    </row>
    <row r="7" spans="1:14">
      <c r="A7" s="13"/>
      <c r="L7" s="14"/>
    </row>
    <row r="8" spans="1:14" ht="26.25" customHeight="1">
      <c r="A8" s="13">
        <v>1</v>
      </c>
      <c r="B8" s="214" t="s">
        <v>237</v>
      </c>
      <c r="C8" s="64"/>
      <c r="D8" s="64"/>
      <c r="E8" s="64"/>
      <c r="F8" s="64"/>
      <c r="G8" s="65"/>
      <c r="H8" s="1366" t="e">
        <f>'04-221Master'!#REF!</f>
        <v>#REF!</v>
      </c>
      <c r="I8" s="1382"/>
      <c r="J8" s="1382"/>
      <c r="K8" s="1382"/>
      <c r="L8" s="1383"/>
    </row>
    <row r="9" spans="1:14">
      <c r="A9" s="13">
        <v>2</v>
      </c>
      <c r="B9" s="1402" t="s">
        <v>238</v>
      </c>
      <c r="C9" s="1403"/>
      <c r="D9" s="1403"/>
      <c r="E9" s="1403"/>
      <c r="F9" s="215" t="s">
        <v>239</v>
      </c>
      <c r="G9" s="199"/>
      <c r="H9" s="1404" t="e">
        <f>'04-221Master'!#REF!</f>
        <v>#REF!</v>
      </c>
      <c r="I9" s="1405"/>
      <c r="J9" s="1405"/>
      <c r="K9" s="1405"/>
      <c r="L9" s="1406"/>
      <c r="M9" s="204" t="s">
        <v>233</v>
      </c>
      <c r="N9" s="204" t="s">
        <v>233</v>
      </c>
    </row>
    <row r="10" spans="1:14" ht="10.5" customHeight="1">
      <c r="A10" s="13"/>
      <c r="B10" s="200" t="s">
        <v>240</v>
      </c>
      <c r="C10" s="201"/>
      <c r="D10" s="201"/>
      <c r="E10" s="201"/>
      <c r="F10" s="201" t="s">
        <v>233</v>
      </c>
      <c r="G10" s="202"/>
      <c r="H10" s="1407"/>
      <c r="I10" s="1408"/>
      <c r="J10" s="1408"/>
      <c r="K10" s="1408"/>
      <c r="L10" s="1409"/>
      <c r="M10" s="203"/>
      <c r="N10" s="203"/>
    </row>
    <row r="11" spans="1:14">
      <c r="A11" s="13">
        <v>3</v>
      </c>
      <c r="B11" s="216" t="s">
        <v>241</v>
      </c>
      <c r="C11" s="206"/>
      <c r="D11" s="206"/>
      <c r="E11" s="206"/>
      <c r="F11" s="206"/>
      <c r="G11" s="207"/>
      <c r="H11" s="1389" t="e">
        <f>'04-221Master'!#REF!</f>
        <v>#REF!</v>
      </c>
      <c r="I11" s="1390"/>
      <c r="J11" s="1390"/>
      <c r="K11" s="1390"/>
      <c r="L11" s="1391"/>
      <c r="M11" s="203"/>
      <c r="N11" s="203"/>
    </row>
    <row r="12" spans="1:14">
      <c r="A12" s="13">
        <v>4</v>
      </c>
      <c r="B12" s="192" t="s">
        <v>242</v>
      </c>
      <c r="C12" s="64"/>
      <c r="D12" s="64"/>
      <c r="E12" s="64"/>
      <c r="F12" s="64"/>
      <c r="G12" s="65"/>
      <c r="H12" s="1364" t="e">
        <f>'04-221Master'!#REF!</f>
        <v>#REF!</v>
      </c>
      <c r="I12" s="1377"/>
      <c r="J12" s="1377"/>
      <c r="K12" s="1377"/>
      <c r="L12" s="1365"/>
    </row>
    <row r="13" spans="1:14">
      <c r="A13" s="13">
        <v>5</v>
      </c>
      <c r="B13" s="1392" t="s">
        <v>290</v>
      </c>
      <c r="C13" s="1393"/>
      <c r="D13" s="1393"/>
      <c r="E13" s="1393"/>
      <c r="F13" s="1393"/>
      <c r="G13" s="65"/>
      <c r="H13" s="1381" t="s">
        <v>367</v>
      </c>
      <c r="I13" s="1382"/>
      <c r="J13" s="1382"/>
      <c r="K13" s="1382"/>
      <c r="L13" s="1383"/>
    </row>
    <row r="14" spans="1:14" ht="15" customHeight="1">
      <c r="A14" s="13">
        <v>6</v>
      </c>
      <c r="B14" s="205" t="s">
        <v>243</v>
      </c>
      <c r="C14" s="206" t="s">
        <v>244</v>
      </c>
      <c r="D14" s="206"/>
      <c r="E14" s="206"/>
      <c r="F14" s="206"/>
      <c r="G14" s="207"/>
      <c r="H14" s="216"/>
      <c r="I14" s="206"/>
      <c r="J14" s="206"/>
      <c r="K14" s="206"/>
      <c r="L14" s="244"/>
      <c r="M14" s="203"/>
      <c r="N14" s="203"/>
    </row>
    <row r="15" spans="1:14">
      <c r="A15" s="13"/>
      <c r="B15" s="205" t="s">
        <v>245</v>
      </c>
      <c r="C15" s="206" t="s">
        <v>246</v>
      </c>
      <c r="D15" s="206"/>
      <c r="E15" s="206"/>
      <c r="F15" s="206"/>
      <c r="G15" s="207"/>
      <c r="H15" s="216"/>
      <c r="I15" s="198"/>
      <c r="J15" s="198"/>
      <c r="K15" s="206"/>
      <c r="L15" s="244"/>
      <c r="M15" s="203"/>
      <c r="N15" s="203"/>
    </row>
    <row r="16" spans="1:14" ht="15" customHeight="1">
      <c r="A16" s="13">
        <v>7</v>
      </c>
      <c r="B16" s="1389" t="s">
        <v>247</v>
      </c>
      <c r="C16" s="1390"/>
      <c r="D16" s="1390"/>
      <c r="E16" s="1390"/>
      <c r="F16" s="1390"/>
      <c r="G16" s="1394"/>
      <c r="H16" s="220" t="s">
        <v>248</v>
      </c>
      <c r="I16" s="221"/>
      <c r="J16" s="222"/>
      <c r="K16" s="220" t="s">
        <v>249</v>
      </c>
      <c r="L16" s="245"/>
      <c r="M16" s="219"/>
      <c r="N16" s="219"/>
    </row>
    <row r="17" spans="1:14">
      <c r="A17" s="13">
        <v>8</v>
      </c>
      <c r="B17" s="1389" t="s">
        <v>291</v>
      </c>
      <c r="C17" s="1390"/>
      <c r="D17" s="1390"/>
      <c r="E17" s="1390"/>
      <c r="F17" s="1390"/>
      <c r="G17" s="1394"/>
      <c r="H17" s="220" t="s">
        <v>248</v>
      </c>
      <c r="I17" s="221"/>
      <c r="J17" s="222"/>
      <c r="K17" s="220" t="s">
        <v>249</v>
      </c>
      <c r="L17" s="245"/>
      <c r="M17" s="219"/>
      <c r="N17" s="219"/>
    </row>
    <row r="18" spans="1:14">
      <c r="A18" s="13"/>
      <c r="B18" s="192"/>
      <c r="C18" s="224"/>
      <c r="D18" s="224"/>
      <c r="E18" s="224"/>
      <c r="F18" s="224" t="s">
        <v>250</v>
      </c>
      <c r="G18" s="224"/>
      <c r="H18" s="224"/>
      <c r="I18" s="224"/>
      <c r="J18" s="224"/>
      <c r="K18" s="224"/>
      <c r="L18" s="246"/>
      <c r="M18" s="223"/>
      <c r="N18" s="223"/>
    </row>
    <row r="19" spans="1:14">
      <c r="A19" s="13">
        <v>9</v>
      </c>
      <c r="B19" s="205" t="s">
        <v>251</v>
      </c>
      <c r="C19" s="206" t="s">
        <v>252</v>
      </c>
      <c r="D19" s="206"/>
      <c r="E19" s="206"/>
      <c r="F19" s="206"/>
      <c r="G19" s="207"/>
      <c r="H19" s="216"/>
      <c r="I19" s="206"/>
      <c r="J19" s="206"/>
      <c r="K19" s="206"/>
      <c r="L19" s="244"/>
      <c r="M19" s="203"/>
      <c r="N19" s="203"/>
    </row>
    <row r="20" spans="1:14" ht="21.75" customHeight="1">
      <c r="A20" s="85"/>
      <c r="B20" s="205" t="s">
        <v>253</v>
      </c>
      <c r="C20" s="206" t="s">
        <v>254</v>
      </c>
      <c r="D20" s="206"/>
      <c r="E20" s="206"/>
      <c r="F20" s="206"/>
      <c r="G20" s="207"/>
      <c r="H20" s="216"/>
      <c r="I20" s="206"/>
      <c r="J20" s="206"/>
      <c r="K20" s="206"/>
      <c r="L20" s="244"/>
      <c r="M20" s="203"/>
      <c r="N20" s="203"/>
    </row>
    <row r="21" spans="1:14" ht="27.95" customHeight="1">
      <c r="A21" s="85"/>
      <c r="B21" s="205" t="s">
        <v>292</v>
      </c>
      <c r="C21" s="206" t="s">
        <v>293</v>
      </c>
      <c r="D21" s="206"/>
      <c r="E21" s="206"/>
      <c r="F21" s="206"/>
      <c r="G21" s="207"/>
      <c r="H21" s="216"/>
      <c r="I21" s="206"/>
      <c r="J21" s="206"/>
      <c r="K21" s="206"/>
      <c r="L21" s="244"/>
    </row>
    <row r="22" spans="1:14" ht="27.95" customHeight="1">
      <c r="A22" s="85"/>
      <c r="B22" s="205" t="s">
        <v>256</v>
      </c>
      <c r="C22" s="206" t="s">
        <v>257</v>
      </c>
      <c r="D22" s="206"/>
      <c r="E22" s="206"/>
      <c r="F22" s="206"/>
      <c r="G22" s="207"/>
      <c r="H22" s="216"/>
      <c r="I22" s="206"/>
      <c r="J22" s="206"/>
      <c r="K22" s="206"/>
      <c r="L22" s="244"/>
    </row>
    <row r="23" spans="1:14" ht="27.95" customHeight="1">
      <c r="A23" s="85"/>
      <c r="B23" s="205" t="s">
        <v>258</v>
      </c>
      <c r="C23" s="206" t="s">
        <v>259</v>
      </c>
      <c r="D23" s="206"/>
      <c r="E23" s="206"/>
      <c r="F23" s="206"/>
      <c r="G23" s="207"/>
      <c r="H23" s="216"/>
      <c r="I23" s="206"/>
      <c r="J23" s="206"/>
      <c r="K23" s="206"/>
      <c r="L23" s="244"/>
    </row>
    <row r="24" spans="1:14" ht="27.95" customHeight="1">
      <c r="A24" s="85">
        <v>10</v>
      </c>
      <c r="B24" s="205" t="s">
        <v>251</v>
      </c>
      <c r="C24" s="206" t="s">
        <v>294</v>
      </c>
      <c r="D24" s="206"/>
      <c r="E24" s="206"/>
      <c r="F24" s="206"/>
      <c r="G24" s="207"/>
      <c r="H24" s="220" t="s">
        <v>248</v>
      </c>
      <c r="I24" s="221"/>
      <c r="J24" s="222"/>
      <c r="K24" s="220" t="s">
        <v>249</v>
      </c>
      <c r="L24" s="245"/>
    </row>
    <row r="25" spans="1:14" ht="27.95" customHeight="1">
      <c r="A25" s="85"/>
      <c r="B25" s="205" t="s">
        <v>253</v>
      </c>
      <c r="C25" s="206" t="s">
        <v>295</v>
      </c>
      <c r="D25" s="206"/>
      <c r="E25" s="206"/>
      <c r="F25" s="206"/>
      <c r="G25" s="207"/>
      <c r="H25" s="216"/>
      <c r="I25" s="206"/>
      <c r="J25" s="206"/>
      <c r="K25" s="206"/>
      <c r="L25" s="244"/>
    </row>
    <row r="26" spans="1:14" ht="27.95" customHeight="1">
      <c r="A26" s="85"/>
      <c r="B26" s="205" t="s">
        <v>292</v>
      </c>
      <c r="C26" s="206" t="s">
        <v>260</v>
      </c>
      <c r="D26" s="206"/>
      <c r="E26" s="206"/>
      <c r="F26" s="206"/>
      <c r="G26" s="207"/>
      <c r="H26" s="216"/>
      <c r="I26" s="206"/>
      <c r="J26" s="206"/>
      <c r="K26" s="206"/>
      <c r="L26" s="244"/>
    </row>
    <row r="27" spans="1:14" ht="27.95" customHeight="1">
      <c r="A27" s="85"/>
      <c r="B27" s="205" t="s">
        <v>256</v>
      </c>
      <c r="C27" s="206" t="s">
        <v>296</v>
      </c>
      <c r="D27" s="206"/>
      <c r="E27" s="206"/>
      <c r="F27" s="206"/>
      <c r="G27" s="207"/>
      <c r="H27" s="216"/>
      <c r="I27" s="206"/>
      <c r="J27" s="206"/>
      <c r="K27" s="206"/>
      <c r="L27" s="244"/>
    </row>
    <row r="28" spans="1:14" ht="27.95" customHeight="1">
      <c r="A28" s="13"/>
      <c r="B28" s="192"/>
      <c r="C28" s="224"/>
      <c r="D28" s="224"/>
      <c r="E28" s="224" t="s">
        <v>297</v>
      </c>
      <c r="F28" s="224"/>
      <c r="G28" s="224"/>
      <c r="H28" s="224"/>
      <c r="I28" s="224"/>
      <c r="J28" s="224"/>
      <c r="K28" s="224"/>
      <c r="L28" s="246"/>
    </row>
    <row r="29" spans="1:14" ht="27.95" customHeight="1">
      <c r="A29" s="13">
        <v>11</v>
      </c>
      <c r="B29" s="205" t="s">
        <v>251</v>
      </c>
      <c r="C29" s="206" t="s">
        <v>261</v>
      </c>
      <c r="D29" s="206"/>
      <c r="E29" s="206"/>
      <c r="F29" s="206"/>
      <c r="G29" s="207"/>
      <c r="H29" s="216"/>
      <c r="I29" s="206"/>
      <c r="J29" s="206"/>
      <c r="K29" s="206"/>
      <c r="L29" s="244"/>
    </row>
    <row r="30" spans="1:14" ht="27.95" customHeight="1">
      <c r="A30" s="13"/>
      <c r="B30" s="205" t="s">
        <v>253</v>
      </c>
      <c r="C30" s="206" t="s">
        <v>262</v>
      </c>
      <c r="D30" s="206"/>
      <c r="E30" s="206"/>
      <c r="F30" s="206"/>
      <c r="G30" s="207"/>
      <c r="H30" s="216"/>
      <c r="I30" s="206"/>
      <c r="J30" s="206"/>
      <c r="K30" s="206"/>
      <c r="L30" s="244"/>
    </row>
    <row r="31" spans="1:14" ht="27.95" customHeight="1">
      <c r="A31" s="13"/>
      <c r="B31" s="205" t="s">
        <v>255</v>
      </c>
      <c r="C31" s="206" t="s">
        <v>263</v>
      </c>
      <c r="D31" s="206"/>
      <c r="E31" s="206"/>
      <c r="F31" s="206"/>
      <c r="G31" s="207"/>
      <c r="H31" s="216"/>
      <c r="I31" s="206"/>
      <c r="J31" s="206"/>
      <c r="K31" s="206"/>
      <c r="L31" s="244"/>
    </row>
    <row r="32" spans="1:14" ht="20.25" customHeight="1">
      <c r="A32" s="13"/>
      <c r="B32" s="180"/>
      <c r="C32" s="176"/>
      <c r="D32" s="176"/>
      <c r="E32" s="176"/>
      <c r="F32" s="225" t="s">
        <v>264</v>
      </c>
      <c r="G32" s="176"/>
      <c r="H32" s="165"/>
      <c r="I32" s="165"/>
      <c r="J32" s="165"/>
      <c r="K32" s="165"/>
      <c r="L32" s="183"/>
    </row>
    <row r="33" spans="1:32" ht="27.95" customHeight="1">
      <c r="A33" s="13"/>
      <c r="B33" s="237" t="s">
        <v>265</v>
      </c>
      <c r="C33" s="236" t="s">
        <v>266</v>
      </c>
      <c r="D33" s="176"/>
      <c r="E33" s="176"/>
      <c r="F33" s="176"/>
      <c r="G33" s="176"/>
      <c r="H33" s="165"/>
      <c r="I33" s="165"/>
      <c r="J33" s="166"/>
      <c r="K33" s="165"/>
      <c r="L33" s="183"/>
    </row>
    <row r="34" spans="1:32" ht="19.5" customHeight="1">
      <c r="A34" s="13"/>
      <c r="B34" s="237" t="s">
        <v>267</v>
      </c>
      <c r="C34" s="235" t="s">
        <v>268</v>
      </c>
      <c r="D34" s="165"/>
      <c r="E34" s="166"/>
      <c r="G34" s="1395"/>
      <c r="H34" s="1395"/>
      <c r="I34" s="181"/>
      <c r="J34" s="182"/>
      <c r="K34" s="1395"/>
      <c r="L34" s="1396"/>
    </row>
    <row r="35" spans="1:32" ht="26.25" customHeight="1">
      <c r="A35" s="13"/>
      <c r="B35" s="238" t="s">
        <v>269</v>
      </c>
      <c r="C35" s="1397" t="s">
        <v>298</v>
      </c>
      <c r="D35" s="1397"/>
      <c r="E35" s="1397"/>
      <c r="F35" s="1397"/>
      <c r="G35" s="1397"/>
      <c r="H35" s="1397"/>
      <c r="I35" s="1397"/>
      <c r="J35" s="1397"/>
      <c r="K35" s="1397"/>
      <c r="L35" s="1398"/>
    </row>
    <row r="36" spans="1:32" ht="19.5" customHeight="1">
      <c r="A36" s="13"/>
      <c r="B36" s="237" t="s">
        <v>270</v>
      </c>
      <c r="C36" s="236" t="s">
        <v>271</v>
      </c>
      <c r="D36" s="228"/>
      <c r="E36" s="228"/>
      <c r="F36" s="228"/>
      <c r="G36" s="228"/>
      <c r="H36" s="228"/>
      <c r="I36" s="228"/>
      <c r="J36" s="228"/>
      <c r="K36" s="228"/>
      <c r="L36" s="247"/>
    </row>
    <row r="37" spans="1:32" ht="27.95" customHeight="1">
      <c r="A37" s="13"/>
      <c r="B37" s="180"/>
      <c r="C37" t="s">
        <v>299</v>
      </c>
      <c r="D37" s="289" t="e">
        <f>'04-221Master'!#REF!</f>
        <v>#REF!</v>
      </c>
      <c r="E37" s="2"/>
      <c r="F37" s="2"/>
      <c r="G37" s="2"/>
      <c r="L37" s="14"/>
    </row>
    <row r="38" spans="1:32" ht="15" customHeight="1">
      <c r="A38" s="13"/>
      <c r="C38" t="s">
        <v>272</v>
      </c>
      <c r="D38" t="s">
        <v>361</v>
      </c>
      <c r="J38" t="s">
        <v>300</v>
      </c>
      <c r="L38" s="14"/>
    </row>
    <row r="39" spans="1:32" ht="15.75" customHeight="1">
      <c r="A39" s="13"/>
      <c r="L39" s="14"/>
    </row>
    <row r="40" spans="1:32">
      <c r="A40" s="13"/>
      <c r="F40" s="226" t="s">
        <v>273</v>
      </c>
      <c r="L40" s="14"/>
    </row>
    <row r="41" spans="1:32" ht="12.75" customHeight="1">
      <c r="A41" s="13" t="s">
        <v>301</v>
      </c>
      <c r="B41" t="s">
        <v>274</v>
      </c>
      <c r="E41" s="229" t="e">
        <f>'04-221Master'!#REF!</f>
        <v>#REF!</v>
      </c>
      <c r="H41" s="1399" t="s">
        <v>275</v>
      </c>
      <c r="I41" s="1399"/>
      <c r="J41" s="230" t="e">
        <f>'04-221Master'!#REF!</f>
        <v>#REF!</v>
      </c>
      <c r="K41" t="s">
        <v>276</v>
      </c>
      <c r="L41" s="14"/>
    </row>
    <row r="42" spans="1:32" ht="12.75" customHeight="1">
      <c r="A42" s="13"/>
      <c r="B42" s="1410" t="e">
        <f>'04-221Master'!#REF!</f>
        <v>#REF!</v>
      </c>
      <c r="C42" s="1411"/>
      <c r="D42" s="227"/>
      <c r="E42" s="227"/>
      <c r="F42" s="227"/>
      <c r="G42" s="227"/>
      <c r="H42" s="227"/>
      <c r="I42" s="227"/>
      <c r="J42" s="227"/>
      <c r="K42" s="227"/>
      <c r="L42" s="248"/>
      <c r="M42" s="227"/>
      <c r="N42" s="227"/>
      <c r="O42" s="227"/>
      <c r="P42" s="227"/>
      <c r="Q42" s="227"/>
      <c r="R42" s="227"/>
      <c r="S42" s="227"/>
      <c r="T42" s="227"/>
      <c r="U42" s="227"/>
      <c r="V42" s="227"/>
      <c r="W42" s="227"/>
      <c r="X42" s="227"/>
      <c r="Y42" s="227"/>
      <c r="Z42" s="227"/>
      <c r="AA42" s="227"/>
      <c r="AB42" s="227"/>
      <c r="AC42" s="227"/>
      <c r="AD42" s="227"/>
      <c r="AE42" s="227"/>
      <c r="AF42" s="227"/>
    </row>
    <row r="43" spans="1:32" ht="12.75" customHeight="1">
      <c r="A43" s="13" t="s">
        <v>303</v>
      </c>
      <c r="B43" s="227" t="s">
        <v>277</v>
      </c>
      <c r="C43" s="227"/>
      <c r="D43" s="227"/>
      <c r="E43" s="227"/>
      <c r="F43" s="227"/>
      <c r="G43" s="227"/>
      <c r="H43" s="227"/>
      <c r="I43" s="227"/>
      <c r="J43" s="227"/>
      <c r="K43" s="227"/>
      <c r="L43" s="248"/>
      <c r="M43" s="227"/>
      <c r="N43" s="227"/>
      <c r="O43" s="227"/>
      <c r="P43" s="227"/>
      <c r="Q43" s="227"/>
      <c r="R43" s="227"/>
      <c r="S43" s="227"/>
      <c r="T43" s="227"/>
      <c r="U43" s="227"/>
      <c r="V43" s="227"/>
      <c r="W43" s="227"/>
      <c r="X43" s="227"/>
      <c r="Y43" s="227"/>
      <c r="Z43" s="227"/>
      <c r="AA43" s="227"/>
      <c r="AB43" s="227"/>
      <c r="AC43" s="227"/>
      <c r="AD43" s="227"/>
      <c r="AE43" s="227"/>
      <c r="AF43" s="227"/>
    </row>
    <row r="44" spans="1:32" ht="12.75" customHeight="1">
      <c r="A44" s="13"/>
      <c r="B44" s="227" t="s">
        <v>302</v>
      </c>
      <c r="C44" s="227"/>
      <c r="D44" s="227"/>
      <c r="E44" s="227"/>
      <c r="F44" s="227"/>
      <c r="G44" s="227"/>
      <c r="H44" s="227"/>
      <c r="I44" s="227"/>
      <c r="J44" s="227"/>
      <c r="K44" s="227"/>
      <c r="L44" s="248"/>
      <c r="M44" s="227"/>
      <c r="N44" s="227"/>
      <c r="O44" s="227"/>
      <c r="P44" s="227"/>
      <c r="Q44" s="227"/>
      <c r="R44" s="227"/>
      <c r="S44" s="227"/>
      <c r="T44" s="227"/>
      <c r="U44" s="227"/>
      <c r="V44" s="227"/>
      <c r="W44" s="227"/>
      <c r="X44" s="227"/>
      <c r="Y44" s="227"/>
      <c r="Z44" s="227"/>
      <c r="AA44" s="227"/>
      <c r="AB44" s="227"/>
      <c r="AC44" s="227"/>
      <c r="AD44" s="227"/>
      <c r="AE44" s="227"/>
      <c r="AF44" s="227"/>
    </row>
    <row r="45" spans="1:32" ht="12.75" customHeight="1">
      <c r="A45" s="13"/>
      <c r="B45" t="s">
        <v>278</v>
      </c>
      <c r="L45" s="14"/>
    </row>
    <row r="46" spans="1:32" ht="12.75" customHeight="1">
      <c r="A46" s="13"/>
      <c r="B46" s="2" t="s">
        <v>279</v>
      </c>
      <c r="F46" s="179"/>
      <c r="L46" s="14"/>
    </row>
    <row r="47" spans="1:32" ht="12.75" customHeight="1">
      <c r="A47" s="13"/>
      <c r="B47" s="2" t="s">
        <v>280</v>
      </c>
      <c r="L47" s="14"/>
    </row>
    <row r="48" spans="1:32" ht="12.75" customHeight="1">
      <c r="A48" s="13"/>
      <c r="B48" t="s">
        <v>281</v>
      </c>
      <c r="L48" s="14"/>
    </row>
    <row r="49" spans="1:12" ht="12.75" customHeight="1">
      <c r="A49" s="13"/>
      <c r="B49" t="s">
        <v>282</v>
      </c>
      <c r="L49" s="14"/>
    </row>
    <row r="50" spans="1:12" ht="12.75" customHeight="1">
      <c r="A50" s="13" t="s">
        <v>292</v>
      </c>
      <c r="B50" t="s">
        <v>283</v>
      </c>
      <c r="L50" s="14"/>
    </row>
    <row r="51" spans="1:12" ht="12.75" customHeight="1">
      <c r="A51" s="13"/>
      <c r="B51" s="239" t="s">
        <v>304</v>
      </c>
      <c r="L51" s="14"/>
    </row>
    <row r="52" spans="1:12" ht="12.75" customHeight="1">
      <c r="A52" s="13"/>
      <c r="B52" t="s">
        <v>278</v>
      </c>
      <c r="L52" s="14"/>
    </row>
    <row r="53" spans="1:12" ht="12.75" customHeight="1">
      <c r="A53" s="13"/>
      <c r="B53" t="s">
        <v>284</v>
      </c>
      <c r="L53" s="14"/>
    </row>
    <row r="54" spans="1:12" ht="12.75" customHeight="1">
      <c r="A54" s="13"/>
      <c r="B54" t="s">
        <v>285</v>
      </c>
      <c r="L54" s="14"/>
    </row>
    <row r="55" spans="1:12" ht="15.75" customHeight="1">
      <c r="A55" s="13"/>
      <c r="B55" s="1412" t="s">
        <v>286</v>
      </c>
      <c r="C55" s="1412"/>
      <c r="D55" s="1412"/>
      <c r="E55" s="1412"/>
      <c r="F55" s="1412"/>
      <c r="G55" s="1412"/>
      <c r="H55" s="1412"/>
      <c r="I55" s="1412"/>
      <c r="J55" s="1412"/>
      <c r="K55" s="1412"/>
      <c r="L55" s="1413"/>
    </row>
    <row r="56" spans="1:12" ht="23.25">
      <c r="A56" s="13"/>
      <c r="B56" t="s">
        <v>198</v>
      </c>
      <c r="C56" s="289" t="e">
        <f>D37</f>
        <v>#REF!</v>
      </c>
      <c r="D56" s="209"/>
      <c r="E56" s="209"/>
      <c r="F56" s="209"/>
      <c r="G56" s="209"/>
      <c r="H56" s="209"/>
      <c r="I56" t="s">
        <v>305</v>
      </c>
      <c r="J56" s="209"/>
      <c r="K56" s="209"/>
      <c r="L56" s="240"/>
    </row>
    <row r="57" spans="1:12" ht="16.5" thickBot="1">
      <c r="A57" s="25"/>
      <c r="B57" s="1170"/>
      <c r="C57" s="1170"/>
      <c r="D57" s="1170"/>
      <c r="E57" s="1170"/>
      <c r="F57" s="1170"/>
      <c r="G57" s="1170"/>
      <c r="H57" s="1170"/>
      <c r="I57" s="1170"/>
      <c r="J57" s="1170"/>
      <c r="K57" s="1170"/>
      <c r="L57" s="1171"/>
    </row>
    <row r="58" spans="1:12" ht="27.95" customHeight="1" thickBot="1">
      <c r="A58" s="10"/>
      <c r="B58" s="1353"/>
      <c r="C58" s="1353"/>
      <c r="D58" s="1353"/>
      <c r="E58" s="1353"/>
      <c r="F58" s="1353"/>
      <c r="G58" s="1353"/>
      <c r="H58" s="1351"/>
      <c r="I58" s="1351"/>
      <c r="J58" s="1351"/>
      <c r="K58" s="1351"/>
      <c r="L58" s="1351"/>
    </row>
    <row r="59" spans="1:12" ht="27.95" customHeight="1">
      <c r="A59" s="74"/>
      <c r="B59" s="75"/>
      <c r="C59" s="75"/>
      <c r="D59" s="75"/>
      <c r="E59" s="75"/>
      <c r="F59" s="75"/>
      <c r="G59" s="75"/>
      <c r="H59" s="75"/>
      <c r="I59" s="79" t="s">
        <v>232</v>
      </c>
      <c r="J59" s="75"/>
      <c r="K59" s="75"/>
      <c r="L59" s="76"/>
    </row>
    <row r="60" spans="1:12" ht="27.95" customHeight="1">
      <c r="A60" s="13"/>
      <c r="B60" s="1400" t="s">
        <v>287</v>
      </c>
      <c r="C60" s="1400"/>
      <c r="D60" s="1400"/>
      <c r="E60" s="1400"/>
      <c r="F60" s="1400"/>
      <c r="G60" s="1400"/>
      <c r="H60" s="1400"/>
      <c r="I60" s="1400"/>
      <c r="J60" s="1400"/>
      <c r="K60" s="1400"/>
      <c r="L60" s="1401"/>
    </row>
    <row r="61" spans="1:12" ht="27.95" customHeight="1">
      <c r="A61" s="13"/>
      <c r="B61" s="209"/>
      <c r="C61" s="209"/>
      <c r="D61" s="217" t="s">
        <v>234</v>
      </c>
      <c r="E61" s="209"/>
      <c r="F61" s="209"/>
      <c r="G61" s="209"/>
      <c r="H61" s="209"/>
      <c r="I61" s="211" t="s">
        <v>288</v>
      </c>
      <c r="J61" s="212"/>
      <c r="K61" s="293" t="e">
        <f>'04-221Master'!#REF!</f>
        <v>#REF!</v>
      </c>
      <c r="L61" s="242"/>
    </row>
    <row r="62" spans="1:12" ht="21.75" customHeight="1">
      <c r="A62" s="13"/>
      <c r="B62" s="1"/>
      <c r="C62" s="1" t="s">
        <v>235</v>
      </c>
      <c r="E62" s="1"/>
      <c r="F62" s="1"/>
      <c r="G62" s="1"/>
      <c r="H62" s="1"/>
      <c r="I62" s="210" t="s">
        <v>289</v>
      </c>
      <c r="J62" s="231" t="str">
        <f>'04-221Master'!F5</f>
        <v>Burgeon IT Services Pvt.Ltd.</v>
      </c>
      <c r="K62" s="213"/>
      <c r="L62" s="243"/>
    </row>
    <row r="63" spans="1:12" ht="20.25" customHeight="1">
      <c r="A63" s="13"/>
      <c r="B63" s="218"/>
      <c r="C63" s="187" t="s">
        <v>236</v>
      </c>
      <c r="E63" s="218"/>
      <c r="F63" s="218"/>
      <c r="H63" s="188"/>
      <c r="I63" s="234" t="str">
        <f>'04-221Master'!F6</f>
        <v>Siri Mansion LIGB 436 Dr.A S Rao Nagar,Hyderabad</v>
      </c>
      <c r="J63" s="232"/>
      <c r="K63" s="233"/>
      <c r="L63" s="197"/>
    </row>
    <row r="64" spans="1:12" ht="18.75" customHeight="1">
      <c r="A64" s="13"/>
      <c r="L64" s="14"/>
    </row>
    <row r="65" spans="1:12" ht="27.95" customHeight="1">
      <c r="A65" s="13">
        <v>1</v>
      </c>
      <c r="B65" s="214" t="s">
        <v>237</v>
      </c>
      <c r="C65" s="64"/>
      <c r="D65" s="64"/>
      <c r="E65" s="64"/>
      <c r="F65" s="64"/>
      <c r="G65" s="65"/>
      <c r="H65" s="1366" t="e">
        <f>'04-221Master'!#REF!</f>
        <v>#REF!</v>
      </c>
      <c r="I65" s="1382"/>
      <c r="J65" s="1382"/>
      <c r="K65" s="1382"/>
      <c r="L65" s="1383"/>
    </row>
    <row r="66" spans="1:12" ht="21.75" customHeight="1">
      <c r="A66" s="13">
        <v>2</v>
      </c>
      <c r="B66" s="1402" t="s">
        <v>238</v>
      </c>
      <c r="C66" s="1403"/>
      <c r="D66" s="1403"/>
      <c r="E66" s="1403"/>
      <c r="F66" s="215" t="s">
        <v>239</v>
      </c>
      <c r="G66" s="199"/>
      <c r="H66" s="1404" t="e">
        <f>'04-221Master'!#REF!</f>
        <v>#REF!</v>
      </c>
      <c r="I66" s="1405"/>
      <c r="J66" s="1405"/>
      <c r="K66" s="1405"/>
      <c r="L66" s="1406"/>
    </row>
    <row r="67" spans="1:12" ht="12.75" customHeight="1">
      <c r="A67" s="13"/>
      <c r="B67" s="200" t="s">
        <v>240</v>
      </c>
      <c r="C67" s="201"/>
      <c r="D67" s="201"/>
      <c r="E67" s="201"/>
      <c r="F67" s="201" t="s">
        <v>233</v>
      </c>
      <c r="G67" s="202"/>
      <c r="H67" s="1407"/>
      <c r="I67" s="1408"/>
      <c r="J67" s="1408"/>
      <c r="K67" s="1408"/>
      <c r="L67" s="1409"/>
    </row>
    <row r="68" spans="1:12" ht="27.95" customHeight="1">
      <c r="A68" s="13">
        <v>3</v>
      </c>
      <c r="B68" s="216" t="s">
        <v>241</v>
      </c>
      <c r="C68" s="206"/>
      <c r="D68" s="206"/>
      <c r="E68" s="206"/>
      <c r="F68" s="206"/>
      <c r="G68" s="207"/>
      <c r="H68" s="1389" t="e">
        <f>'04-221Master'!#REF!</f>
        <v>#REF!</v>
      </c>
      <c r="I68" s="1390"/>
      <c r="J68" s="1390"/>
      <c r="K68" s="1390"/>
      <c r="L68" s="1394"/>
    </row>
    <row r="69" spans="1:12" ht="27.95" customHeight="1">
      <c r="A69" s="13">
        <v>4</v>
      </c>
      <c r="B69" s="192" t="s">
        <v>242</v>
      </c>
      <c r="C69" s="64"/>
      <c r="D69" s="64"/>
      <c r="E69" s="64"/>
      <c r="F69" s="64"/>
      <c r="G69" s="65"/>
      <c r="H69" s="1364" t="e">
        <f>'04-221Master'!#REF!</f>
        <v>#REF!</v>
      </c>
      <c r="I69" s="1377"/>
      <c r="J69" s="1377"/>
      <c r="K69" s="1377"/>
      <c r="L69" s="1375"/>
    </row>
    <row r="70" spans="1:12" ht="27.95" customHeight="1">
      <c r="A70" s="13">
        <v>5</v>
      </c>
      <c r="B70" s="1392" t="s">
        <v>290</v>
      </c>
      <c r="C70" s="1393"/>
      <c r="D70" s="1393"/>
      <c r="E70" s="1393"/>
      <c r="F70" s="1393"/>
      <c r="G70" s="65"/>
      <c r="H70" s="1381" t="s">
        <v>368</v>
      </c>
      <c r="I70" s="1382"/>
      <c r="J70" s="1382"/>
      <c r="K70" s="1382"/>
      <c r="L70" s="1383"/>
    </row>
    <row r="71" spans="1:12" ht="21.75" customHeight="1">
      <c r="A71" s="13">
        <v>6</v>
      </c>
      <c r="B71" s="205" t="s">
        <v>243</v>
      </c>
      <c r="C71" s="206" t="s">
        <v>244</v>
      </c>
      <c r="D71" s="206"/>
      <c r="E71" s="206"/>
      <c r="F71" s="206"/>
      <c r="G71" s="207"/>
      <c r="H71" s="216"/>
      <c r="I71" s="206"/>
      <c r="J71" s="206"/>
      <c r="K71" s="206"/>
      <c r="L71" s="244"/>
    </row>
    <row r="72" spans="1:12" ht="22.5" customHeight="1">
      <c r="A72" s="13"/>
      <c r="B72" s="205" t="s">
        <v>245</v>
      </c>
      <c r="C72" s="206" t="s">
        <v>246</v>
      </c>
      <c r="D72" s="206"/>
      <c r="E72" s="206"/>
      <c r="F72" s="206"/>
      <c r="G72" s="207"/>
      <c r="H72" s="216"/>
      <c r="I72" s="198"/>
      <c r="J72" s="198"/>
      <c r="K72" s="206"/>
      <c r="L72" s="244"/>
    </row>
    <row r="73" spans="1:12">
      <c r="A73" s="13">
        <v>7</v>
      </c>
      <c r="B73" s="1389" t="s">
        <v>247</v>
      </c>
      <c r="C73" s="1390"/>
      <c r="D73" s="1390"/>
      <c r="E73" s="1390"/>
      <c r="F73" s="1390"/>
      <c r="G73" s="1394"/>
      <c r="H73" s="220" t="s">
        <v>248</v>
      </c>
      <c r="I73" s="221"/>
      <c r="J73" s="222"/>
      <c r="K73" s="220" t="s">
        <v>249</v>
      </c>
      <c r="L73" s="245"/>
    </row>
    <row r="74" spans="1:12">
      <c r="A74" s="13">
        <v>8</v>
      </c>
      <c r="B74" s="1389" t="s">
        <v>291</v>
      </c>
      <c r="C74" s="1390"/>
      <c r="D74" s="1390"/>
      <c r="E74" s="1390"/>
      <c r="F74" s="1390"/>
      <c r="G74" s="1394"/>
      <c r="H74" s="220" t="s">
        <v>248</v>
      </c>
      <c r="I74" s="221"/>
      <c r="J74" s="222"/>
      <c r="K74" s="220" t="s">
        <v>249</v>
      </c>
      <c r="L74" s="245"/>
    </row>
    <row r="75" spans="1:12">
      <c r="A75" s="13"/>
      <c r="B75" s="192"/>
      <c r="C75" s="224"/>
      <c r="D75" s="224"/>
      <c r="E75" s="224"/>
      <c r="F75" s="224" t="s">
        <v>250</v>
      </c>
      <c r="G75" s="224"/>
      <c r="H75" s="224"/>
      <c r="I75" s="224"/>
      <c r="J75" s="224"/>
      <c r="K75" s="224"/>
      <c r="L75" s="246"/>
    </row>
    <row r="76" spans="1:12">
      <c r="A76" s="13">
        <v>9</v>
      </c>
      <c r="B76" s="205" t="s">
        <v>251</v>
      </c>
      <c r="C76" s="206" t="s">
        <v>252</v>
      </c>
      <c r="D76" s="206"/>
      <c r="E76" s="206"/>
      <c r="F76" s="206"/>
      <c r="G76" s="207"/>
      <c r="H76" s="216"/>
      <c r="I76" s="206"/>
      <c r="J76" s="206"/>
      <c r="K76" s="206"/>
      <c r="L76" s="244"/>
    </row>
    <row r="77" spans="1:12">
      <c r="A77" s="85"/>
      <c r="B77" s="205" t="s">
        <v>253</v>
      </c>
      <c r="C77" s="206" t="s">
        <v>254</v>
      </c>
      <c r="D77" s="206"/>
      <c r="E77" s="206"/>
      <c r="F77" s="206"/>
      <c r="G77" s="207"/>
      <c r="H77" s="216"/>
      <c r="I77" s="206"/>
      <c r="J77" s="206"/>
      <c r="K77" s="206"/>
      <c r="L77" s="244"/>
    </row>
    <row r="78" spans="1:12">
      <c r="A78" s="85"/>
      <c r="B78" s="205" t="s">
        <v>292</v>
      </c>
      <c r="C78" s="206" t="s">
        <v>293</v>
      </c>
      <c r="D78" s="206"/>
      <c r="E78" s="206"/>
      <c r="F78" s="206"/>
      <c r="G78" s="207"/>
      <c r="H78" s="216"/>
      <c r="I78" s="206"/>
      <c r="J78" s="206"/>
      <c r="K78" s="206"/>
      <c r="L78" s="244"/>
    </row>
    <row r="79" spans="1:12">
      <c r="A79" s="85"/>
      <c r="B79" s="205" t="s">
        <v>256</v>
      </c>
      <c r="C79" s="206" t="s">
        <v>257</v>
      </c>
      <c r="D79" s="206"/>
      <c r="E79" s="206"/>
      <c r="F79" s="206"/>
      <c r="G79" s="207"/>
      <c r="H79" s="216"/>
      <c r="I79" s="206"/>
      <c r="J79" s="206"/>
      <c r="K79" s="206"/>
      <c r="L79" s="244"/>
    </row>
    <row r="80" spans="1:12">
      <c r="A80" s="85"/>
      <c r="B80" s="205" t="s">
        <v>258</v>
      </c>
      <c r="C80" s="206" t="s">
        <v>259</v>
      </c>
      <c r="D80" s="206"/>
      <c r="E80" s="206"/>
      <c r="F80" s="206"/>
      <c r="G80" s="207"/>
      <c r="H80" s="216"/>
      <c r="I80" s="206"/>
      <c r="J80" s="206"/>
      <c r="K80" s="206"/>
      <c r="L80" s="244"/>
    </row>
    <row r="81" spans="1:12">
      <c r="A81" s="85">
        <v>10</v>
      </c>
      <c r="B81" s="205" t="s">
        <v>251</v>
      </c>
      <c r="C81" s="206" t="s">
        <v>294</v>
      </c>
      <c r="D81" s="206"/>
      <c r="E81" s="206"/>
      <c r="F81" s="206"/>
      <c r="G81" s="207"/>
      <c r="H81" s="220" t="s">
        <v>248</v>
      </c>
      <c r="I81" s="221"/>
      <c r="J81" s="222"/>
      <c r="K81" s="220" t="s">
        <v>249</v>
      </c>
      <c r="L81" s="245"/>
    </row>
    <row r="82" spans="1:12">
      <c r="A82" s="85"/>
      <c r="B82" s="205" t="s">
        <v>253</v>
      </c>
      <c r="C82" s="206" t="s">
        <v>295</v>
      </c>
      <c r="D82" s="206"/>
      <c r="E82" s="206"/>
      <c r="F82" s="206"/>
      <c r="G82" s="207"/>
      <c r="H82" s="216"/>
      <c r="I82" s="206"/>
      <c r="J82" s="206"/>
      <c r="K82" s="206"/>
      <c r="L82" s="244"/>
    </row>
    <row r="83" spans="1:12">
      <c r="A83" s="85"/>
      <c r="B83" s="205" t="s">
        <v>292</v>
      </c>
      <c r="C83" s="206" t="s">
        <v>260</v>
      </c>
      <c r="D83" s="206"/>
      <c r="E83" s="206"/>
      <c r="F83" s="206"/>
      <c r="G83" s="207"/>
      <c r="H83" s="216"/>
      <c r="I83" s="206"/>
      <c r="J83" s="206"/>
      <c r="K83" s="206"/>
      <c r="L83" s="244"/>
    </row>
    <row r="84" spans="1:12">
      <c r="A84" s="85"/>
      <c r="B84" s="205" t="s">
        <v>256</v>
      </c>
      <c r="C84" s="206" t="s">
        <v>296</v>
      </c>
      <c r="D84" s="206"/>
      <c r="E84" s="206"/>
      <c r="F84" s="206"/>
      <c r="G84" s="207"/>
      <c r="H84" s="216"/>
      <c r="I84" s="206"/>
      <c r="J84" s="206"/>
      <c r="K84" s="206"/>
      <c r="L84" s="244"/>
    </row>
    <row r="85" spans="1:12">
      <c r="A85" s="13"/>
      <c r="B85" s="192"/>
      <c r="C85" s="224"/>
      <c r="D85" s="224"/>
      <c r="E85" s="224" t="s">
        <v>297</v>
      </c>
      <c r="F85" s="224"/>
      <c r="G85" s="224"/>
      <c r="H85" s="224"/>
      <c r="I85" s="224"/>
      <c r="J85" s="224"/>
      <c r="K85" s="224"/>
      <c r="L85" s="246"/>
    </row>
    <row r="86" spans="1:12">
      <c r="A86" s="13">
        <v>11</v>
      </c>
      <c r="B86" s="205" t="s">
        <v>251</v>
      </c>
      <c r="C86" s="206" t="s">
        <v>261</v>
      </c>
      <c r="D86" s="206"/>
      <c r="E86" s="206"/>
      <c r="F86" s="206"/>
      <c r="G86" s="207"/>
      <c r="H86" s="216"/>
      <c r="I86" s="206"/>
      <c r="J86" s="206"/>
      <c r="K86" s="206"/>
      <c r="L86" s="244"/>
    </row>
    <row r="87" spans="1:12">
      <c r="A87" s="13"/>
      <c r="B87" s="205" t="s">
        <v>253</v>
      </c>
      <c r="C87" s="206" t="s">
        <v>262</v>
      </c>
      <c r="D87" s="206"/>
      <c r="E87" s="206"/>
      <c r="F87" s="206"/>
      <c r="G87" s="207"/>
      <c r="H87" s="216"/>
      <c r="I87" s="206"/>
      <c r="J87" s="206"/>
      <c r="K87" s="206"/>
      <c r="L87" s="244"/>
    </row>
    <row r="88" spans="1:12">
      <c r="A88" s="13"/>
      <c r="B88" s="205" t="s">
        <v>255</v>
      </c>
      <c r="C88" s="206" t="s">
        <v>263</v>
      </c>
      <c r="D88" s="206"/>
      <c r="E88" s="206"/>
      <c r="F88" s="206"/>
      <c r="G88" s="207"/>
      <c r="H88" s="216"/>
      <c r="I88" s="206"/>
      <c r="J88" s="206"/>
      <c r="K88" s="206"/>
      <c r="L88" s="244"/>
    </row>
    <row r="89" spans="1:12">
      <c r="A89" s="13"/>
      <c r="B89" s="180"/>
      <c r="C89" s="176"/>
      <c r="D89" s="176"/>
      <c r="E89" s="176"/>
      <c r="F89" s="225" t="s">
        <v>264</v>
      </c>
      <c r="G89" s="176"/>
      <c r="H89" s="165"/>
      <c r="I89" s="165"/>
      <c r="J89" s="165"/>
      <c r="K89" s="165"/>
      <c r="L89" s="183"/>
    </row>
    <row r="90" spans="1:12">
      <c r="A90" s="13"/>
      <c r="B90" s="237" t="s">
        <v>265</v>
      </c>
      <c r="C90" s="236" t="s">
        <v>266</v>
      </c>
      <c r="D90" s="176"/>
      <c r="E90" s="176"/>
      <c r="F90" s="176"/>
      <c r="G90" s="176"/>
      <c r="H90" s="165"/>
      <c r="I90" s="165"/>
      <c r="J90" s="166"/>
      <c r="K90" s="165"/>
      <c r="L90" s="183"/>
    </row>
    <row r="91" spans="1:12">
      <c r="A91" s="13"/>
      <c r="B91" s="237" t="s">
        <v>267</v>
      </c>
      <c r="C91" s="235" t="s">
        <v>268</v>
      </c>
      <c r="D91" s="165"/>
      <c r="E91" s="166"/>
      <c r="G91" s="1395"/>
      <c r="H91" s="1395"/>
      <c r="I91" s="181"/>
      <c r="J91" s="182"/>
      <c r="K91" s="1395"/>
      <c r="L91" s="1396"/>
    </row>
    <row r="92" spans="1:12">
      <c r="A92" s="13"/>
      <c r="B92" s="238" t="s">
        <v>269</v>
      </c>
      <c r="C92" s="1397" t="s">
        <v>298</v>
      </c>
      <c r="D92" s="1397"/>
      <c r="E92" s="1397"/>
      <c r="F92" s="1397"/>
      <c r="G92" s="1397"/>
      <c r="H92" s="1397"/>
      <c r="I92" s="1397"/>
      <c r="J92" s="1397"/>
      <c r="K92" s="1397"/>
      <c r="L92" s="1398"/>
    </row>
    <row r="93" spans="1:12">
      <c r="A93" s="13"/>
      <c r="B93" s="237" t="s">
        <v>270</v>
      </c>
      <c r="C93" s="236" t="s">
        <v>271</v>
      </c>
      <c r="D93" s="228"/>
      <c r="E93" s="228"/>
      <c r="F93" s="228"/>
      <c r="G93" s="228"/>
      <c r="H93" s="228"/>
      <c r="I93" s="228"/>
      <c r="J93" s="228"/>
      <c r="K93" s="228"/>
      <c r="L93" s="247"/>
    </row>
    <row r="94" spans="1:12" ht="15" customHeight="1">
      <c r="A94" s="13"/>
      <c r="B94" s="180"/>
      <c r="C94" t="s">
        <v>299</v>
      </c>
      <c r="D94" s="289" t="e">
        <f>'04-221Master'!#REF!</f>
        <v>#REF!</v>
      </c>
      <c r="E94" s="2"/>
      <c r="F94" s="2"/>
      <c r="G94" s="2"/>
      <c r="L94" s="14"/>
    </row>
    <row r="95" spans="1:12">
      <c r="A95" s="13"/>
      <c r="C95" t="s">
        <v>272</v>
      </c>
      <c r="D95" t="s">
        <v>361</v>
      </c>
      <c r="J95" t="s">
        <v>300</v>
      </c>
      <c r="L95" s="14"/>
    </row>
    <row r="96" spans="1:12">
      <c r="A96" s="13"/>
      <c r="L96" s="14"/>
    </row>
    <row r="97" spans="1:12">
      <c r="A97" s="13"/>
      <c r="F97" s="226" t="s">
        <v>273</v>
      </c>
      <c r="L97" s="14"/>
    </row>
    <row r="98" spans="1:12">
      <c r="A98" s="13" t="s">
        <v>301</v>
      </c>
      <c r="B98" t="s">
        <v>274</v>
      </c>
      <c r="E98" s="229" t="e">
        <f>'04-221Master'!#REF!</f>
        <v>#REF!</v>
      </c>
      <c r="H98" s="1399" t="s">
        <v>275</v>
      </c>
      <c r="I98" s="1399"/>
      <c r="J98" s="230" t="e">
        <f>'04-221Master'!#REF!</f>
        <v>#REF!</v>
      </c>
      <c r="K98" t="s">
        <v>276</v>
      </c>
      <c r="L98" s="14"/>
    </row>
    <row r="99" spans="1:12">
      <c r="A99" s="13"/>
      <c r="B99" s="1410" t="e">
        <f>'04-221Master'!#REF!</f>
        <v>#REF!</v>
      </c>
      <c r="C99" s="1411"/>
      <c r="D99" s="227"/>
      <c r="E99" s="227"/>
      <c r="F99" s="227"/>
      <c r="G99" s="227"/>
      <c r="H99" s="227"/>
      <c r="I99" s="227"/>
      <c r="J99" s="227"/>
      <c r="K99" s="227"/>
      <c r="L99" s="248"/>
    </row>
    <row r="100" spans="1:12">
      <c r="A100" s="13" t="s">
        <v>303</v>
      </c>
      <c r="B100" s="227" t="s">
        <v>277</v>
      </c>
      <c r="C100" s="227"/>
      <c r="D100" s="227"/>
      <c r="E100" s="227"/>
      <c r="F100" s="227"/>
      <c r="G100" s="227"/>
      <c r="H100" s="227"/>
      <c r="I100" s="227"/>
      <c r="J100" s="227"/>
      <c r="K100" s="227"/>
      <c r="L100" s="248"/>
    </row>
    <row r="101" spans="1:12">
      <c r="A101" s="13"/>
      <c r="B101" s="227" t="s">
        <v>302</v>
      </c>
      <c r="C101" s="227"/>
      <c r="D101" s="227"/>
      <c r="E101" s="227"/>
      <c r="F101" s="227"/>
      <c r="G101" s="227"/>
      <c r="H101" s="227"/>
      <c r="I101" s="227"/>
      <c r="J101" s="227"/>
      <c r="K101" s="227"/>
      <c r="L101" s="248"/>
    </row>
    <row r="102" spans="1:12">
      <c r="A102" s="13"/>
      <c r="B102" t="s">
        <v>278</v>
      </c>
      <c r="L102" s="14"/>
    </row>
    <row r="103" spans="1:12" ht="18.75">
      <c r="A103" s="13"/>
      <c r="B103" s="2" t="s">
        <v>279</v>
      </c>
      <c r="F103" s="179"/>
      <c r="L103" s="14"/>
    </row>
    <row r="104" spans="1:12">
      <c r="A104" s="13"/>
      <c r="B104" s="2" t="s">
        <v>280</v>
      </c>
      <c r="L104" s="14"/>
    </row>
    <row r="105" spans="1:12">
      <c r="A105" s="13"/>
      <c r="B105" t="s">
        <v>281</v>
      </c>
      <c r="L105" s="14"/>
    </row>
    <row r="106" spans="1:12">
      <c r="A106" s="13"/>
      <c r="B106" t="s">
        <v>282</v>
      </c>
      <c r="L106" s="14"/>
    </row>
    <row r="107" spans="1:12">
      <c r="A107" s="13" t="s">
        <v>292</v>
      </c>
      <c r="B107" t="s">
        <v>283</v>
      </c>
      <c r="L107" s="14"/>
    </row>
    <row r="108" spans="1:12">
      <c r="A108" s="13"/>
      <c r="B108" s="239" t="s">
        <v>304</v>
      </c>
      <c r="L108" s="14"/>
    </row>
    <row r="109" spans="1:12" ht="27.95" customHeight="1">
      <c r="A109" s="13"/>
      <c r="B109" t="s">
        <v>278</v>
      </c>
      <c r="L109" s="14"/>
    </row>
    <row r="110" spans="1:12" ht="27.95" customHeight="1">
      <c r="A110" s="13"/>
      <c r="B110" t="s">
        <v>284</v>
      </c>
      <c r="L110" s="14"/>
    </row>
    <row r="111" spans="1:12" ht="27.95" customHeight="1">
      <c r="A111" s="13"/>
      <c r="B111" t="s">
        <v>285</v>
      </c>
      <c r="L111" s="14"/>
    </row>
    <row r="112" spans="1:12" ht="27.95" customHeight="1">
      <c r="A112" s="13"/>
      <c r="B112" s="1412" t="s">
        <v>286</v>
      </c>
      <c r="C112" s="1412"/>
      <c r="D112" s="1412"/>
      <c r="E112" s="1412"/>
      <c r="F112" s="1412"/>
      <c r="G112" s="1412"/>
      <c r="H112" s="1412"/>
      <c r="I112" s="1412"/>
      <c r="J112" s="1412"/>
      <c r="K112" s="1412"/>
      <c r="L112" s="1413"/>
    </row>
    <row r="113" spans="1:12" ht="27.95" customHeight="1">
      <c r="A113" s="13"/>
      <c r="B113" t="s">
        <v>198</v>
      </c>
      <c r="C113" s="289" t="e">
        <f>D94</f>
        <v>#REF!</v>
      </c>
      <c r="D113" s="209"/>
      <c r="E113" s="209"/>
      <c r="F113" s="209"/>
      <c r="G113" s="209"/>
      <c r="H113" s="209"/>
      <c r="I113" t="s">
        <v>305</v>
      </c>
      <c r="J113" s="209"/>
      <c r="K113" s="209"/>
      <c r="L113" s="240"/>
    </row>
    <row r="114" spans="1:12" ht="27.95" customHeight="1" thickBot="1">
      <c r="A114" s="25"/>
      <c r="B114" s="1170"/>
      <c r="C114" s="1170"/>
      <c r="D114" s="1170"/>
      <c r="E114" s="1170"/>
      <c r="F114" s="1170"/>
      <c r="G114" s="1170"/>
      <c r="H114" s="1170"/>
      <c r="I114" s="1170"/>
      <c r="J114" s="1170"/>
      <c r="K114" s="1170"/>
      <c r="L114" s="1171"/>
    </row>
    <row r="115" spans="1:12" ht="27.95" customHeight="1" thickBot="1">
      <c r="A115" s="10"/>
      <c r="B115" s="1353"/>
      <c r="C115" s="1353"/>
      <c r="D115" s="1353"/>
      <c r="E115" s="1353"/>
      <c r="F115" s="1353"/>
      <c r="G115" s="1353"/>
      <c r="H115" s="1351"/>
      <c r="I115" s="1351"/>
      <c r="J115" s="1351"/>
      <c r="K115" s="1351"/>
      <c r="L115" s="1351"/>
    </row>
    <row r="116" spans="1:12" ht="27.95" customHeight="1">
      <c r="A116" s="74"/>
      <c r="B116" s="75"/>
      <c r="C116" s="75"/>
      <c r="D116" s="75"/>
      <c r="E116" s="75"/>
      <c r="F116" s="75"/>
      <c r="G116" s="75"/>
      <c r="H116" s="75"/>
      <c r="I116" s="79" t="s">
        <v>232</v>
      </c>
      <c r="J116" s="75"/>
      <c r="K116" s="75"/>
      <c r="L116" s="76"/>
    </row>
    <row r="117" spans="1:12" ht="27.95" customHeight="1">
      <c r="A117" s="13"/>
      <c r="B117" s="1400" t="s">
        <v>287</v>
      </c>
      <c r="C117" s="1400"/>
      <c r="D117" s="1400"/>
      <c r="E117" s="1400"/>
      <c r="F117" s="1400"/>
      <c r="G117" s="1400"/>
      <c r="H117" s="1400"/>
      <c r="I117" s="1400"/>
      <c r="J117" s="1400"/>
      <c r="K117" s="1400"/>
      <c r="L117" s="1401"/>
    </row>
    <row r="118" spans="1:12" ht="27.95" customHeight="1">
      <c r="A118" s="13"/>
      <c r="B118" s="209"/>
      <c r="C118" s="209"/>
      <c r="D118" s="217" t="s">
        <v>234</v>
      </c>
      <c r="E118" s="209"/>
      <c r="F118" s="209"/>
      <c r="G118" s="209"/>
      <c r="H118" s="209"/>
      <c r="I118" s="211" t="s">
        <v>288</v>
      </c>
      <c r="J118" s="212"/>
      <c r="K118" s="293" t="e">
        <f>'04-221Master'!#REF!</f>
        <v>#REF!</v>
      </c>
      <c r="L118" s="242"/>
    </row>
    <row r="119" spans="1:12" ht="27.95" customHeight="1">
      <c r="A119" s="13"/>
      <c r="B119" s="1"/>
      <c r="C119" s="1" t="s">
        <v>235</v>
      </c>
      <c r="E119" s="1"/>
      <c r="F119" s="1"/>
      <c r="G119" s="1"/>
      <c r="H119" s="1"/>
      <c r="I119" s="210" t="s">
        <v>289</v>
      </c>
      <c r="J119" s="231" t="str">
        <f>'04-221Master'!F5</f>
        <v>Burgeon IT Services Pvt.Ltd.</v>
      </c>
      <c r="K119" s="213"/>
      <c r="L119" s="243"/>
    </row>
    <row r="120" spans="1:12" ht="27.95" customHeight="1">
      <c r="A120" s="13"/>
      <c r="B120" s="218"/>
      <c r="C120" s="187" t="s">
        <v>236</v>
      </c>
      <c r="E120" s="218"/>
      <c r="F120" s="218"/>
      <c r="H120" s="188"/>
      <c r="I120" s="234" t="str">
        <f>'04-221Master'!F6</f>
        <v>Siri Mansion LIGB 436 Dr.A S Rao Nagar,Hyderabad</v>
      </c>
      <c r="J120" s="232"/>
      <c r="K120" s="233"/>
      <c r="L120" s="197"/>
    </row>
    <row r="121" spans="1:12" ht="27.95" customHeight="1">
      <c r="A121" s="13"/>
      <c r="L121" s="14"/>
    </row>
    <row r="122" spans="1:12" ht="27.95" customHeight="1">
      <c r="A122" s="13">
        <v>1</v>
      </c>
      <c r="B122" s="214" t="s">
        <v>237</v>
      </c>
      <c r="C122" s="64"/>
      <c r="D122" s="64"/>
      <c r="E122" s="64"/>
      <c r="F122" s="64"/>
      <c r="G122" s="65"/>
      <c r="H122" s="1366" t="e">
        <f>'04-221Master'!#REF!</f>
        <v>#REF!</v>
      </c>
      <c r="I122" s="1382"/>
      <c r="J122" s="1382"/>
      <c r="K122" s="1382"/>
      <c r="L122" s="1383"/>
    </row>
    <row r="123" spans="1:12" ht="22.5" customHeight="1">
      <c r="A123" s="13">
        <v>2</v>
      </c>
      <c r="B123" s="1402" t="s">
        <v>238</v>
      </c>
      <c r="C123" s="1403"/>
      <c r="D123" s="1403"/>
      <c r="E123" s="1403"/>
      <c r="F123" s="215" t="s">
        <v>239</v>
      </c>
      <c r="G123" s="199"/>
      <c r="H123" s="1404" t="e">
        <f>'04-221Master'!#REF!</f>
        <v>#REF!</v>
      </c>
      <c r="I123" s="1405"/>
      <c r="J123" s="1405"/>
      <c r="K123" s="1405"/>
      <c r="L123" s="1406"/>
    </row>
    <row r="124" spans="1:12" ht="9.75" customHeight="1">
      <c r="A124" s="13"/>
      <c r="B124" s="200" t="s">
        <v>240</v>
      </c>
      <c r="C124" s="201"/>
      <c r="D124" s="201"/>
      <c r="E124" s="201"/>
      <c r="F124" s="201" t="s">
        <v>233</v>
      </c>
      <c r="G124" s="202"/>
      <c r="H124" s="1407"/>
      <c r="I124" s="1408"/>
      <c r="J124" s="1408"/>
      <c r="K124" s="1408"/>
      <c r="L124" s="1409"/>
    </row>
    <row r="125" spans="1:12" ht="22.5" customHeight="1">
      <c r="A125" s="13">
        <v>3</v>
      </c>
      <c r="B125" s="216" t="s">
        <v>241</v>
      </c>
      <c r="C125" s="206"/>
      <c r="D125" s="206"/>
      <c r="E125" s="206"/>
      <c r="F125" s="206"/>
      <c r="G125" s="207"/>
      <c r="H125" s="1389" t="e">
        <f>'04-221Master'!#REF!</f>
        <v>#REF!</v>
      </c>
      <c r="I125" s="1390"/>
      <c r="J125" s="1390"/>
      <c r="K125" s="1390"/>
      <c r="L125" s="1391"/>
    </row>
    <row r="126" spans="1:12" ht="20.25" customHeight="1">
      <c r="A126" s="13">
        <v>4</v>
      </c>
      <c r="B126" s="192" t="s">
        <v>242</v>
      </c>
      <c r="C126" s="64"/>
      <c r="D126" s="64"/>
      <c r="E126" s="64"/>
      <c r="F126" s="64"/>
      <c r="G126" s="65"/>
      <c r="H126" s="1364" t="e">
        <f>'04-221Master'!#REF!</f>
        <v>#REF!</v>
      </c>
      <c r="I126" s="1377"/>
      <c r="J126" s="1377"/>
      <c r="K126" s="1377"/>
      <c r="L126" s="1365"/>
    </row>
    <row r="127" spans="1:12">
      <c r="A127" s="13">
        <v>5</v>
      </c>
      <c r="B127" s="1392" t="s">
        <v>290</v>
      </c>
      <c r="C127" s="1393"/>
      <c r="D127" s="1393"/>
      <c r="E127" s="1393"/>
      <c r="F127" s="1393"/>
      <c r="G127" s="65"/>
      <c r="H127" s="1381" t="s">
        <v>369</v>
      </c>
      <c r="I127" s="1382"/>
      <c r="J127" s="1382"/>
      <c r="K127" s="1382"/>
      <c r="L127" s="1383"/>
    </row>
    <row r="128" spans="1:12">
      <c r="A128" s="13">
        <v>6</v>
      </c>
      <c r="B128" s="205" t="s">
        <v>243</v>
      </c>
      <c r="C128" s="206" t="s">
        <v>244</v>
      </c>
      <c r="D128" s="206"/>
      <c r="E128" s="206"/>
      <c r="F128" s="206"/>
      <c r="G128" s="207"/>
      <c r="H128" s="216"/>
      <c r="I128" s="206"/>
      <c r="J128" s="206"/>
      <c r="K128" s="206"/>
      <c r="L128" s="244"/>
    </row>
    <row r="129" spans="1:12">
      <c r="A129" s="13"/>
      <c r="B129" s="205" t="s">
        <v>245</v>
      </c>
      <c r="C129" s="206" t="s">
        <v>246</v>
      </c>
      <c r="D129" s="206"/>
      <c r="E129" s="206"/>
      <c r="F129" s="206"/>
      <c r="G129" s="207"/>
      <c r="H129" s="216"/>
      <c r="I129" s="198"/>
      <c r="J129" s="198"/>
      <c r="K129" s="206"/>
      <c r="L129" s="244"/>
    </row>
    <row r="130" spans="1:12">
      <c r="A130" s="13">
        <v>7</v>
      </c>
      <c r="B130" s="1389" t="s">
        <v>247</v>
      </c>
      <c r="C130" s="1390"/>
      <c r="D130" s="1390"/>
      <c r="E130" s="1390"/>
      <c r="F130" s="1390"/>
      <c r="G130" s="1394"/>
      <c r="H130" s="220" t="s">
        <v>248</v>
      </c>
      <c r="I130" s="221"/>
      <c r="J130" s="222"/>
      <c r="K130" s="220" t="s">
        <v>249</v>
      </c>
      <c r="L130" s="245"/>
    </row>
    <row r="131" spans="1:12">
      <c r="A131" s="13">
        <v>8</v>
      </c>
      <c r="B131" s="1389" t="s">
        <v>291</v>
      </c>
      <c r="C131" s="1390"/>
      <c r="D131" s="1390"/>
      <c r="E131" s="1390"/>
      <c r="F131" s="1390"/>
      <c r="G131" s="1394"/>
      <c r="H131" s="220" t="s">
        <v>248</v>
      </c>
      <c r="I131" s="221"/>
      <c r="J131" s="222"/>
      <c r="K131" s="220" t="s">
        <v>249</v>
      </c>
      <c r="L131" s="245"/>
    </row>
    <row r="132" spans="1:12">
      <c r="A132" s="13"/>
      <c r="B132" s="192"/>
      <c r="C132" s="224"/>
      <c r="D132" s="224"/>
      <c r="E132" s="224"/>
      <c r="F132" s="224" t="s">
        <v>250</v>
      </c>
      <c r="G132" s="224"/>
      <c r="H132" s="224"/>
      <c r="I132" s="224"/>
      <c r="J132" s="224"/>
      <c r="K132" s="224"/>
      <c r="L132" s="246"/>
    </row>
    <row r="133" spans="1:12">
      <c r="A133" s="13">
        <v>9</v>
      </c>
      <c r="B133" s="205" t="s">
        <v>251</v>
      </c>
      <c r="C133" s="206" t="s">
        <v>252</v>
      </c>
      <c r="D133" s="206"/>
      <c r="E133" s="206"/>
      <c r="F133" s="206"/>
      <c r="G133" s="207"/>
      <c r="H133" s="216"/>
      <c r="I133" s="206"/>
      <c r="J133" s="206"/>
      <c r="K133" s="206"/>
      <c r="L133" s="244"/>
    </row>
    <row r="134" spans="1:12">
      <c r="A134" s="85"/>
      <c r="B134" s="205" t="s">
        <v>253</v>
      </c>
      <c r="C134" s="206" t="s">
        <v>254</v>
      </c>
      <c r="D134" s="206"/>
      <c r="E134" s="206"/>
      <c r="F134" s="206"/>
      <c r="G134" s="207"/>
      <c r="H134" s="216"/>
      <c r="I134" s="206"/>
      <c r="J134" s="206"/>
      <c r="K134" s="206"/>
      <c r="L134" s="244"/>
    </row>
    <row r="135" spans="1:12">
      <c r="A135" s="85"/>
      <c r="B135" s="205" t="s">
        <v>292</v>
      </c>
      <c r="C135" s="206" t="s">
        <v>293</v>
      </c>
      <c r="D135" s="206"/>
      <c r="E135" s="206"/>
      <c r="F135" s="206"/>
      <c r="G135" s="207"/>
      <c r="H135" s="216"/>
      <c r="I135" s="206"/>
      <c r="J135" s="206"/>
      <c r="K135" s="206"/>
      <c r="L135" s="244"/>
    </row>
    <row r="136" spans="1:12">
      <c r="A136" s="85"/>
      <c r="B136" s="205" t="s">
        <v>256</v>
      </c>
      <c r="C136" s="206" t="s">
        <v>257</v>
      </c>
      <c r="D136" s="206"/>
      <c r="E136" s="206"/>
      <c r="F136" s="206"/>
      <c r="G136" s="207"/>
      <c r="H136" s="216"/>
      <c r="I136" s="206"/>
      <c r="J136" s="206"/>
      <c r="K136" s="206"/>
      <c r="L136" s="244"/>
    </row>
    <row r="137" spans="1:12">
      <c r="A137" s="85"/>
      <c r="B137" s="205" t="s">
        <v>258</v>
      </c>
      <c r="C137" s="206" t="s">
        <v>259</v>
      </c>
      <c r="D137" s="206"/>
      <c r="E137" s="206"/>
      <c r="F137" s="206"/>
      <c r="G137" s="207"/>
      <c r="H137" s="216"/>
      <c r="I137" s="206"/>
      <c r="J137" s="206"/>
      <c r="K137" s="206"/>
      <c r="L137" s="244"/>
    </row>
    <row r="138" spans="1:12">
      <c r="A138" s="85">
        <v>10</v>
      </c>
      <c r="B138" s="205" t="s">
        <v>251</v>
      </c>
      <c r="C138" s="206" t="s">
        <v>294</v>
      </c>
      <c r="D138" s="206"/>
      <c r="E138" s="206"/>
      <c r="F138" s="206"/>
      <c r="G138" s="207"/>
      <c r="H138" s="220" t="s">
        <v>248</v>
      </c>
      <c r="I138" s="221"/>
      <c r="J138" s="222"/>
      <c r="K138" s="220" t="s">
        <v>249</v>
      </c>
      <c r="L138" s="245"/>
    </row>
    <row r="139" spans="1:12">
      <c r="A139" s="85"/>
      <c r="B139" s="205" t="s">
        <v>253</v>
      </c>
      <c r="C139" s="206" t="s">
        <v>295</v>
      </c>
      <c r="D139" s="206"/>
      <c r="E139" s="206"/>
      <c r="F139" s="206"/>
      <c r="G139" s="207"/>
      <c r="H139" s="216"/>
      <c r="I139" s="206"/>
      <c r="J139" s="206"/>
      <c r="K139" s="206"/>
      <c r="L139" s="244"/>
    </row>
    <row r="140" spans="1:12">
      <c r="A140" s="85"/>
      <c r="B140" s="205" t="s">
        <v>292</v>
      </c>
      <c r="C140" s="206" t="s">
        <v>260</v>
      </c>
      <c r="D140" s="206"/>
      <c r="E140" s="206"/>
      <c r="F140" s="206"/>
      <c r="G140" s="207"/>
      <c r="H140" s="216"/>
      <c r="I140" s="206"/>
      <c r="J140" s="206"/>
      <c r="K140" s="206"/>
      <c r="L140" s="244"/>
    </row>
    <row r="141" spans="1:12">
      <c r="A141" s="85"/>
      <c r="B141" s="205" t="s">
        <v>256</v>
      </c>
      <c r="C141" s="206" t="s">
        <v>296</v>
      </c>
      <c r="D141" s="206"/>
      <c r="E141" s="206"/>
      <c r="F141" s="206"/>
      <c r="G141" s="207"/>
      <c r="H141" s="216"/>
      <c r="I141" s="206"/>
      <c r="J141" s="206"/>
      <c r="K141" s="206"/>
      <c r="L141" s="244"/>
    </row>
    <row r="142" spans="1:12">
      <c r="A142" s="13"/>
      <c r="B142" s="192"/>
      <c r="C142" s="224"/>
      <c r="D142" s="224"/>
      <c r="E142" s="224" t="s">
        <v>297</v>
      </c>
      <c r="F142" s="224"/>
      <c r="G142" s="224"/>
      <c r="H142" s="224"/>
      <c r="I142" s="224"/>
      <c r="J142" s="224"/>
      <c r="K142" s="224"/>
      <c r="L142" s="246"/>
    </row>
    <row r="143" spans="1:12">
      <c r="A143" s="13">
        <v>11</v>
      </c>
      <c r="B143" s="205" t="s">
        <v>251</v>
      </c>
      <c r="C143" s="206" t="s">
        <v>261</v>
      </c>
      <c r="D143" s="206"/>
      <c r="E143" s="206"/>
      <c r="F143" s="206"/>
      <c r="G143" s="207"/>
      <c r="H143" s="216"/>
      <c r="I143" s="206"/>
      <c r="J143" s="206"/>
      <c r="K143" s="206"/>
      <c r="L143" s="244"/>
    </row>
    <row r="144" spans="1:12">
      <c r="A144" s="13"/>
      <c r="B144" s="205" t="s">
        <v>253</v>
      </c>
      <c r="C144" s="206" t="s">
        <v>262</v>
      </c>
      <c r="D144" s="206"/>
      <c r="E144" s="206"/>
      <c r="F144" s="206"/>
      <c r="G144" s="207"/>
      <c r="H144" s="216"/>
      <c r="I144" s="206"/>
      <c r="J144" s="206"/>
      <c r="K144" s="206"/>
      <c r="L144" s="244"/>
    </row>
    <row r="145" spans="1:12">
      <c r="A145" s="13"/>
      <c r="B145" s="205" t="s">
        <v>255</v>
      </c>
      <c r="C145" s="206" t="s">
        <v>263</v>
      </c>
      <c r="D145" s="206"/>
      <c r="E145" s="206"/>
      <c r="F145" s="206"/>
      <c r="G145" s="207"/>
      <c r="H145" s="216"/>
      <c r="I145" s="206"/>
      <c r="J145" s="206"/>
      <c r="K145" s="206"/>
      <c r="L145" s="244"/>
    </row>
    <row r="146" spans="1:12">
      <c r="A146" s="13"/>
      <c r="B146" s="180"/>
      <c r="C146" s="176"/>
      <c r="D146" s="176"/>
      <c r="E146" s="176"/>
      <c r="F146" s="225" t="s">
        <v>264</v>
      </c>
      <c r="G146" s="176"/>
      <c r="H146" s="165"/>
      <c r="I146" s="165"/>
      <c r="J146" s="165"/>
      <c r="K146" s="165"/>
      <c r="L146" s="183"/>
    </row>
    <row r="147" spans="1:12">
      <c r="A147" s="13"/>
      <c r="B147" s="237" t="s">
        <v>265</v>
      </c>
      <c r="C147" s="236" t="s">
        <v>266</v>
      </c>
      <c r="D147" s="176"/>
      <c r="E147" s="176"/>
      <c r="F147" s="176"/>
      <c r="G147" s="176"/>
      <c r="H147" s="165"/>
      <c r="I147" s="165"/>
      <c r="J147" s="166"/>
      <c r="K147" s="165"/>
      <c r="L147" s="183"/>
    </row>
    <row r="148" spans="1:12">
      <c r="A148" s="13"/>
      <c r="B148" s="237" t="s">
        <v>267</v>
      </c>
      <c r="C148" s="235" t="s">
        <v>268</v>
      </c>
      <c r="D148" s="165"/>
      <c r="E148" s="166"/>
      <c r="G148" s="1395"/>
      <c r="H148" s="1395"/>
      <c r="I148" s="181"/>
      <c r="J148" s="182"/>
      <c r="K148" s="1395"/>
      <c r="L148" s="1396"/>
    </row>
    <row r="149" spans="1:12">
      <c r="A149" s="13"/>
      <c r="B149" s="238" t="s">
        <v>269</v>
      </c>
      <c r="C149" s="1397" t="s">
        <v>298</v>
      </c>
      <c r="D149" s="1397"/>
      <c r="E149" s="1397"/>
      <c r="F149" s="1397"/>
      <c r="G149" s="1397"/>
      <c r="H149" s="1397"/>
      <c r="I149" s="1397"/>
      <c r="J149" s="1397"/>
      <c r="K149" s="1397"/>
      <c r="L149" s="1398"/>
    </row>
    <row r="150" spans="1:12">
      <c r="A150" s="13"/>
      <c r="B150" s="237" t="s">
        <v>270</v>
      </c>
      <c r="C150" s="236" t="s">
        <v>271</v>
      </c>
      <c r="D150" s="228"/>
      <c r="E150" s="228"/>
      <c r="F150" s="228"/>
      <c r="G150" s="228"/>
      <c r="H150" s="228"/>
      <c r="I150" s="228"/>
      <c r="J150" s="228"/>
      <c r="K150" s="228"/>
      <c r="L150" s="247"/>
    </row>
    <row r="151" spans="1:12">
      <c r="A151" s="13"/>
      <c r="B151" s="180"/>
      <c r="C151" t="s">
        <v>299</v>
      </c>
      <c r="D151" s="294" t="e">
        <f>'04-221Master'!#REF!</f>
        <v>#REF!</v>
      </c>
      <c r="E151" s="2"/>
      <c r="F151" s="2"/>
      <c r="G151" s="2"/>
      <c r="L151" s="14"/>
    </row>
    <row r="152" spans="1:12">
      <c r="A152" s="13"/>
      <c r="C152" t="s">
        <v>272</v>
      </c>
      <c r="D152" t="s">
        <v>361</v>
      </c>
      <c r="J152" t="s">
        <v>300</v>
      </c>
      <c r="L152" s="14"/>
    </row>
    <row r="153" spans="1:12">
      <c r="A153" s="13"/>
      <c r="L153" s="14"/>
    </row>
    <row r="154" spans="1:12">
      <c r="A154" s="13"/>
      <c r="F154" s="226" t="s">
        <v>273</v>
      </c>
      <c r="L154" s="14"/>
    </row>
    <row r="155" spans="1:12">
      <c r="A155" s="13" t="s">
        <v>301</v>
      </c>
      <c r="B155" t="s">
        <v>274</v>
      </c>
      <c r="E155" s="229" t="e">
        <f>'04-221Master'!#REF!</f>
        <v>#REF!</v>
      </c>
      <c r="H155" s="1399" t="s">
        <v>275</v>
      </c>
      <c r="I155" s="1399"/>
      <c r="J155" s="230" t="e">
        <f>'04-221Master'!#REF!</f>
        <v>#REF!</v>
      </c>
      <c r="K155" t="s">
        <v>276</v>
      </c>
      <c r="L155" s="14"/>
    </row>
    <row r="156" spans="1:12">
      <c r="A156" s="13"/>
      <c r="B156" s="1410" t="e">
        <f>'04-221Master'!#REF!</f>
        <v>#REF!</v>
      </c>
      <c r="C156" s="1411"/>
      <c r="D156" s="227"/>
      <c r="E156" s="227"/>
      <c r="F156" s="227"/>
      <c r="G156" s="227"/>
      <c r="H156" s="227"/>
      <c r="I156" s="227"/>
      <c r="J156" s="227"/>
      <c r="K156" s="227"/>
      <c r="L156" s="248"/>
    </row>
    <row r="157" spans="1:12">
      <c r="A157" s="13" t="s">
        <v>303</v>
      </c>
      <c r="B157" s="227" t="s">
        <v>277</v>
      </c>
      <c r="C157" s="227"/>
      <c r="D157" s="227"/>
      <c r="E157" s="227"/>
      <c r="F157" s="227"/>
      <c r="G157" s="227"/>
      <c r="H157" s="227"/>
      <c r="I157" s="227"/>
      <c r="J157" s="227"/>
      <c r="K157" s="227"/>
      <c r="L157" s="248"/>
    </row>
    <row r="158" spans="1:12">
      <c r="A158" s="13"/>
      <c r="B158" s="227" t="s">
        <v>302</v>
      </c>
      <c r="C158" s="227"/>
      <c r="D158" s="227"/>
      <c r="E158" s="227"/>
      <c r="F158" s="227"/>
      <c r="G158" s="227"/>
      <c r="H158" s="227"/>
      <c r="I158" s="227"/>
      <c r="J158" s="227"/>
      <c r="K158" s="227"/>
      <c r="L158" s="248"/>
    </row>
    <row r="159" spans="1:12">
      <c r="A159" s="13"/>
      <c r="B159" t="s">
        <v>278</v>
      </c>
      <c r="L159" s="14"/>
    </row>
    <row r="160" spans="1:12" ht="18.75">
      <c r="A160" s="13"/>
      <c r="B160" s="2" t="s">
        <v>279</v>
      </c>
      <c r="F160" s="179"/>
      <c r="L160" s="14"/>
    </row>
    <row r="161" spans="1:12">
      <c r="A161" s="13"/>
      <c r="B161" s="2" t="s">
        <v>280</v>
      </c>
      <c r="L161" s="14"/>
    </row>
    <row r="162" spans="1:12" ht="27.95" customHeight="1">
      <c r="A162" s="13"/>
      <c r="B162" t="s">
        <v>281</v>
      </c>
      <c r="L162" s="14"/>
    </row>
    <row r="163" spans="1:12" ht="27.95" customHeight="1">
      <c r="A163" s="13"/>
      <c r="B163" t="s">
        <v>282</v>
      </c>
      <c r="L163" s="14"/>
    </row>
    <row r="164" spans="1:12" ht="27.95" customHeight="1">
      <c r="A164" s="13" t="s">
        <v>292</v>
      </c>
      <c r="B164" t="s">
        <v>283</v>
      </c>
      <c r="L164" s="14"/>
    </row>
    <row r="165" spans="1:12" ht="27.95" customHeight="1">
      <c r="A165" s="13"/>
      <c r="B165" s="239" t="s">
        <v>304</v>
      </c>
      <c r="L165" s="14"/>
    </row>
    <row r="166" spans="1:12" ht="27.95" customHeight="1">
      <c r="A166" s="13"/>
      <c r="B166" t="s">
        <v>278</v>
      </c>
      <c r="L166" s="14"/>
    </row>
    <row r="167" spans="1:12" ht="27.95" customHeight="1">
      <c r="A167" s="13"/>
      <c r="B167" t="s">
        <v>284</v>
      </c>
      <c r="L167" s="14"/>
    </row>
    <row r="168" spans="1:12" ht="27.95" customHeight="1">
      <c r="A168" s="13"/>
      <c r="B168" t="s">
        <v>285</v>
      </c>
      <c r="L168" s="14"/>
    </row>
    <row r="169" spans="1:12" ht="27.95" customHeight="1">
      <c r="A169" s="13"/>
      <c r="B169" s="1412" t="s">
        <v>286</v>
      </c>
      <c r="C169" s="1412"/>
      <c r="D169" s="1412"/>
      <c r="E169" s="1412"/>
      <c r="F169" s="1412"/>
      <c r="G169" s="1412"/>
      <c r="H169" s="1412"/>
      <c r="I169" s="1412"/>
      <c r="J169" s="1412"/>
      <c r="K169" s="1412"/>
      <c r="L169" s="1413"/>
    </row>
    <row r="170" spans="1:12" ht="27.95" customHeight="1">
      <c r="A170" s="13"/>
      <c r="B170" t="s">
        <v>198</v>
      </c>
      <c r="C170" s="289" t="e">
        <f>D151</f>
        <v>#REF!</v>
      </c>
      <c r="D170" s="209"/>
      <c r="E170" s="209"/>
      <c r="F170" s="209"/>
      <c r="G170" s="209"/>
      <c r="H170" s="209"/>
      <c r="I170" t="s">
        <v>305</v>
      </c>
      <c r="J170" s="209"/>
      <c r="K170" s="209"/>
      <c r="L170" s="240"/>
    </row>
    <row r="171" spans="1:12" ht="27.95" customHeight="1" thickBot="1">
      <c r="A171" s="25"/>
      <c r="B171" s="1170"/>
      <c r="C171" s="1170"/>
      <c r="D171" s="1170"/>
      <c r="E171" s="1170"/>
      <c r="F171" s="1170"/>
      <c r="G171" s="1170"/>
      <c r="H171" s="1170"/>
      <c r="I171" s="1170"/>
      <c r="J171" s="1170"/>
      <c r="K171" s="1170"/>
      <c r="L171" s="1171"/>
    </row>
    <row r="172" spans="1:12" ht="27.95" customHeight="1">
      <c r="A172" s="74"/>
      <c r="B172" s="75"/>
      <c r="C172" s="75"/>
      <c r="D172" s="75"/>
      <c r="E172" s="75"/>
      <c r="F172" s="75"/>
      <c r="G172" s="75"/>
      <c r="H172" s="75"/>
      <c r="I172" s="79" t="s">
        <v>232</v>
      </c>
      <c r="J172" s="75"/>
      <c r="K172" s="75"/>
      <c r="L172" s="76"/>
    </row>
    <row r="173" spans="1:12" ht="27.95" customHeight="1">
      <c r="A173" s="13"/>
      <c r="B173" s="1400" t="s">
        <v>287</v>
      </c>
      <c r="C173" s="1400"/>
      <c r="D173" s="1400"/>
      <c r="E173" s="1400"/>
      <c r="F173" s="1400"/>
      <c r="G173" s="1400"/>
      <c r="H173" s="1400"/>
      <c r="I173" s="1400"/>
      <c r="J173" s="1400"/>
      <c r="K173" s="1400"/>
      <c r="L173" s="1401"/>
    </row>
    <row r="174" spans="1:12" ht="27.95" customHeight="1">
      <c r="A174" s="13"/>
      <c r="B174" s="209"/>
      <c r="C174" s="209"/>
      <c r="D174" s="217" t="s">
        <v>234</v>
      </c>
      <c r="E174" s="209"/>
      <c r="F174" s="209"/>
      <c r="G174" s="209"/>
      <c r="H174" s="209"/>
      <c r="I174" s="211" t="s">
        <v>288</v>
      </c>
      <c r="J174" s="212"/>
      <c r="K174" s="293" t="e">
        <f>'04-221Master'!#REF!</f>
        <v>#REF!</v>
      </c>
      <c r="L174" s="242"/>
    </row>
    <row r="175" spans="1:12" ht="27.95" customHeight="1">
      <c r="A175" s="13"/>
      <c r="B175" s="1"/>
      <c r="C175" s="1" t="s">
        <v>235</v>
      </c>
      <c r="E175" s="1"/>
      <c r="F175" s="1"/>
      <c r="G175" s="1"/>
      <c r="H175" s="1"/>
      <c r="I175" s="210" t="s">
        <v>289</v>
      </c>
      <c r="J175" s="295" t="str">
        <f>'04-221Master'!F5</f>
        <v>Burgeon IT Services Pvt.Ltd.</v>
      </c>
      <c r="K175" s="213"/>
      <c r="L175" s="243"/>
    </row>
    <row r="176" spans="1:12" ht="27.95" customHeight="1">
      <c r="A176" s="13"/>
      <c r="B176" s="218"/>
      <c r="C176" s="187" t="s">
        <v>236</v>
      </c>
      <c r="E176" s="218"/>
      <c r="F176" s="218"/>
      <c r="H176" s="188"/>
      <c r="I176" s="234" t="str">
        <f>'04-221Master'!F6</f>
        <v>Siri Mansion LIGB 436 Dr.A S Rao Nagar,Hyderabad</v>
      </c>
      <c r="J176" s="232"/>
      <c r="K176" s="233"/>
      <c r="L176" s="197"/>
    </row>
    <row r="177" spans="1:12" ht="15.75" customHeight="1">
      <c r="A177" s="13"/>
      <c r="L177" s="14"/>
    </row>
    <row r="178" spans="1:12" ht="27" customHeight="1">
      <c r="A178" s="13">
        <v>1</v>
      </c>
      <c r="B178" s="214" t="s">
        <v>237</v>
      </c>
      <c r="C178" s="64"/>
      <c r="D178" s="64"/>
      <c r="E178" s="64"/>
      <c r="F178" s="64"/>
      <c r="G178" s="65"/>
      <c r="H178" s="1366" t="e">
        <f>'04-221Master'!#REF!</f>
        <v>#REF!</v>
      </c>
      <c r="I178" s="1382"/>
      <c r="J178" s="1382"/>
      <c r="K178" s="1382"/>
      <c r="L178" s="1383"/>
    </row>
    <row r="179" spans="1:12" ht="17.25" customHeight="1">
      <c r="A179" s="13">
        <v>2</v>
      </c>
      <c r="B179" s="1402" t="s">
        <v>238</v>
      </c>
      <c r="C179" s="1403"/>
      <c r="D179" s="1403"/>
      <c r="E179" s="1403"/>
      <c r="F179" s="215" t="s">
        <v>239</v>
      </c>
      <c r="G179" s="199"/>
      <c r="H179" s="1404" t="e">
        <f>'04-221Master'!#REF!</f>
        <v>#REF!</v>
      </c>
      <c r="I179" s="1405"/>
      <c r="J179" s="1405"/>
      <c r="K179" s="1405"/>
      <c r="L179" s="1406"/>
    </row>
    <row r="180" spans="1:12" ht="11.25" customHeight="1">
      <c r="A180" s="13"/>
      <c r="B180" s="200" t="s">
        <v>240</v>
      </c>
      <c r="C180" s="201"/>
      <c r="D180" s="201"/>
      <c r="E180" s="201"/>
      <c r="F180" s="201" t="s">
        <v>233</v>
      </c>
      <c r="G180" s="202"/>
      <c r="H180" s="1407"/>
      <c r="I180" s="1408"/>
      <c r="J180" s="1408"/>
      <c r="K180" s="1408"/>
      <c r="L180" s="1409"/>
    </row>
    <row r="181" spans="1:12">
      <c r="A181" s="13">
        <v>3</v>
      </c>
      <c r="B181" s="216" t="s">
        <v>241</v>
      </c>
      <c r="C181" s="206"/>
      <c r="D181" s="206"/>
      <c r="E181" s="206"/>
      <c r="F181" s="206"/>
      <c r="G181" s="207"/>
      <c r="H181" s="1389" t="e">
        <f>'04-221Master'!#REF!</f>
        <v>#REF!</v>
      </c>
      <c r="I181" s="1390"/>
      <c r="J181" s="1390"/>
      <c r="K181" s="1390"/>
      <c r="L181" s="1391"/>
    </row>
    <row r="182" spans="1:12">
      <c r="A182" s="13">
        <v>4</v>
      </c>
      <c r="B182" s="192" t="s">
        <v>242</v>
      </c>
      <c r="C182" s="64"/>
      <c r="D182" s="64"/>
      <c r="E182" s="64"/>
      <c r="F182" s="64"/>
      <c r="G182" s="65"/>
      <c r="H182" s="1364" t="e">
        <f>'04-221Master'!#REF!</f>
        <v>#REF!</v>
      </c>
      <c r="I182" s="1377"/>
      <c r="J182" s="1377"/>
      <c r="K182" s="1377"/>
      <c r="L182" s="1365"/>
    </row>
    <row r="183" spans="1:12">
      <c r="A183" s="13">
        <v>5</v>
      </c>
      <c r="B183" s="1392" t="s">
        <v>290</v>
      </c>
      <c r="C183" s="1393"/>
      <c r="D183" s="1393"/>
      <c r="E183" s="1393"/>
      <c r="F183" s="1393"/>
      <c r="G183" s="65"/>
      <c r="H183" s="1381" t="s">
        <v>369</v>
      </c>
      <c r="I183" s="1382"/>
      <c r="J183" s="1382"/>
      <c r="K183" s="1382"/>
      <c r="L183" s="1383"/>
    </row>
    <row r="184" spans="1:12">
      <c r="A184" s="13">
        <v>6</v>
      </c>
      <c r="B184" s="205" t="s">
        <v>243</v>
      </c>
      <c r="C184" s="206" t="s">
        <v>244</v>
      </c>
      <c r="D184" s="206"/>
      <c r="E184" s="206"/>
      <c r="F184" s="206"/>
      <c r="G184" s="207"/>
      <c r="H184" s="216"/>
      <c r="I184" s="206"/>
      <c r="J184" s="206"/>
      <c r="K184" s="206"/>
      <c r="L184" s="244"/>
    </row>
    <row r="185" spans="1:12">
      <c r="A185" s="13"/>
      <c r="B185" s="205" t="s">
        <v>245</v>
      </c>
      <c r="C185" s="206" t="s">
        <v>246</v>
      </c>
      <c r="D185" s="206"/>
      <c r="E185" s="206"/>
      <c r="F185" s="206"/>
      <c r="G185" s="207"/>
      <c r="H185" s="216"/>
      <c r="I185" s="198"/>
      <c r="J185" s="198"/>
      <c r="K185" s="206"/>
      <c r="L185" s="244"/>
    </row>
    <row r="186" spans="1:12">
      <c r="A186" s="13">
        <v>7</v>
      </c>
      <c r="B186" s="1389" t="s">
        <v>247</v>
      </c>
      <c r="C186" s="1390"/>
      <c r="D186" s="1390"/>
      <c r="E186" s="1390"/>
      <c r="F186" s="1390"/>
      <c r="G186" s="1394"/>
      <c r="H186" s="220" t="s">
        <v>248</v>
      </c>
      <c r="I186" s="221"/>
      <c r="J186" s="222"/>
      <c r="K186" s="220" t="s">
        <v>249</v>
      </c>
      <c r="L186" s="245"/>
    </row>
    <row r="187" spans="1:12">
      <c r="A187" s="13">
        <v>8</v>
      </c>
      <c r="B187" s="1389" t="s">
        <v>291</v>
      </c>
      <c r="C187" s="1390"/>
      <c r="D187" s="1390"/>
      <c r="E187" s="1390"/>
      <c r="F187" s="1390"/>
      <c r="G187" s="1394"/>
      <c r="H187" s="220" t="s">
        <v>248</v>
      </c>
      <c r="I187" s="221"/>
      <c r="J187" s="222"/>
      <c r="K187" s="220" t="s">
        <v>249</v>
      </c>
      <c r="L187" s="245"/>
    </row>
    <row r="188" spans="1:12">
      <c r="A188" s="13"/>
      <c r="B188" s="192"/>
      <c r="C188" s="224"/>
      <c r="D188" s="224"/>
      <c r="E188" s="224"/>
      <c r="F188" s="224" t="s">
        <v>250</v>
      </c>
      <c r="G188" s="224"/>
      <c r="H188" s="224"/>
      <c r="I188" s="224"/>
      <c r="J188" s="224"/>
      <c r="K188" s="224"/>
      <c r="L188" s="246"/>
    </row>
    <row r="189" spans="1:12">
      <c r="A189" s="13">
        <v>9</v>
      </c>
      <c r="B189" s="205" t="s">
        <v>251</v>
      </c>
      <c r="C189" s="206" t="s">
        <v>252</v>
      </c>
      <c r="D189" s="206"/>
      <c r="E189" s="206"/>
      <c r="F189" s="206"/>
      <c r="G189" s="207"/>
      <c r="H189" s="216"/>
      <c r="I189" s="206"/>
      <c r="J189" s="206"/>
      <c r="K189" s="206"/>
      <c r="L189" s="244"/>
    </row>
    <row r="190" spans="1:12">
      <c r="A190" s="85"/>
      <c r="B190" s="205" t="s">
        <v>253</v>
      </c>
      <c r="C190" s="206" t="s">
        <v>254</v>
      </c>
      <c r="D190" s="206"/>
      <c r="E190" s="206"/>
      <c r="F190" s="206"/>
      <c r="G190" s="207"/>
      <c r="H190" s="216"/>
      <c r="I190" s="206"/>
      <c r="J190" s="206"/>
      <c r="K190" s="206"/>
      <c r="L190" s="244"/>
    </row>
    <row r="191" spans="1:12">
      <c r="A191" s="85"/>
      <c r="B191" s="205" t="s">
        <v>292</v>
      </c>
      <c r="C191" s="206" t="s">
        <v>293</v>
      </c>
      <c r="D191" s="206"/>
      <c r="E191" s="206"/>
      <c r="F191" s="206"/>
      <c r="G191" s="207"/>
      <c r="H191" s="216"/>
      <c r="I191" s="206"/>
      <c r="J191" s="206"/>
      <c r="K191" s="206"/>
      <c r="L191" s="244"/>
    </row>
    <row r="192" spans="1:12">
      <c r="A192" s="85"/>
      <c r="B192" s="205" t="s">
        <v>256</v>
      </c>
      <c r="C192" s="206" t="s">
        <v>257</v>
      </c>
      <c r="D192" s="206"/>
      <c r="E192" s="206"/>
      <c r="F192" s="206"/>
      <c r="G192" s="207"/>
      <c r="H192" s="216"/>
      <c r="I192" s="206"/>
      <c r="J192" s="206"/>
      <c r="K192" s="206"/>
      <c r="L192" s="244"/>
    </row>
    <row r="193" spans="1:12">
      <c r="A193" s="85"/>
      <c r="B193" s="205" t="s">
        <v>258</v>
      </c>
      <c r="C193" s="206" t="s">
        <v>259</v>
      </c>
      <c r="D193" s="206"/>
      <c r="E193" s="206"/>
      <c r="F193" s="206"/>
      <c r="G193" s="207"/>
      <c r="H193" s="216"/>
      <c r="I193" s="206"/>
      <c r="J193" s="206"/>
      <c r="K193" s="206"/>
      <c r="L193" s="244"/>
    </row>
    <row r="194" spans="1:12">
      <c r="A194" s="85">
        <v>10</v>
      </c>
      <c r="B194" s="205" t="s">
        <v>251</v>
      </c>
      <c r="C194" s="206" t="s">
        <v>294</v>
      </c>
      <c r="D194" s="206"/>
      <c r="E194" s="206"/>
      <c r="F194" s="206"/>
      <c r="G194" s="207"/>
      <c r="H194" s="220" t="s">
        <v>248</v>
      </c>
      <c r="I194" s="221"/>
      <c r="J194" s="222"/>
      <c r="K194" s="220" t="s">
        <v>249</v>
      </c>
      <c r="L194" s="245"/>
    </row>
    <row r="195" spans="1:12">
      <c r="A195" s="85"/>
      <c r="B195" s="205" t="s">
        <v>253</v>
      </c>
      <c r="C195" s="206" t="s">
        <v>295</v>
      </c>
      <c r="D195" s="206"/>
      <c r="E195" s="206"/>
      <c r="F195" s="206"/>
      <c r="G195" s="207"/>
      <c r="H195" s="216"/>
      <c r="I195" s="206"/>
      <c r="J195" s="206"/>
      <c r="K195" s="206"/>
      <c r="L195" s="244"/>
    </row>
    <row r="196" spans="1:12">
      <c r="A196" s="85"/>
      <c r="B196" s="205" t="s">
        <v>292</v>
      </c>
      <c r="C196" s="206" t="s">
        <v>260</v>
      </c>
      <c r="D196" s="206"/>
      <c r="E196" s="206"/>
      <c r="F196" s="206"/>
      <c r="G196" s="207"/>
      <c r="H196" s="216"/>
      <c r="I196" s="206"/>
      <c r="J196" s="206"/>
      <c r="K196" s="206"/>
      <c r="L196" s="244"/>
    </row>
    <row r="197" spans="1:12">
      <c r="A197" s="85"/>
      <c r="B197" s="205" t="s">
        <v>256</v>
      </c>
      <c r="C197" s="206" t="s">
        <v>296</v>
      </c>
      <c r="D197" s="206"/>
      <c r="E197" s="206"/>
      <c r="F197" s="206"/>
      <c r="G197" s="207"/>
      <c r="H197" s="216"/>
      <c r="I197" s="206"/>
      <c r="J197" s="206"/>
      <c r="K197" s="206"/>
      <c r="L197" s="244"/>
    </row>
    <row r="198" spans="1:12">
      <c r="A198" s="13"/>
      <c r="B198" s="192"/>
      <c r="C198" s="224"/>
      <c r="D198" s="224"/>
      <c r="E198" s="224" t="s">
        <v>297</v>
      </c>
      <c r="F198" s="224"/>
      <c r="G198" s="224"/>
      <c r="H198" s="224"/>
      <c r="I198" s="224"/>
      <c r="J198" s="224"/>
      <c r="K198" s="224"/>
      <c r="L198" s="246"/>
    </row>
    <row r="199" spans="1:12">
      <c r="A199" s="13">
        <v>11</v>
      </c>
      <c r="B199" s="205" t="s">
        <v>251</v>
      </c>
      <c r="C199" s="206" t="s">
        <v>261</v>
      </c>
      <c r="D199" s="206"/>
      <c r="E199" s="206"/>
      <c r="F199" s="206"/>
      <c r="G199" s="207"/>
      <c r="H199" s="216"/>
      <c r="I199" s="206"/>
      <c r="J199" s="206"/>
      <c r="K199" s="206"/>
      <c r="L199" s="244"/>
    </row>
    <row r="200" spans="1:12">
      <c r="A200" s="13"/>
      <c r="B200" s="205" t="s">
        <v>253</v>
      </c>
      <c r="C200" s="206" t="s">
        <v>262</v>
      </c>
      <c r="D200" s="206"/>
      <c r="E200" s="206"/>
      <c r="F200" s="206"/>
      <c r="G200" s="207"/>
      <c r="H200" s="216"/>
      <c r="I200" s="206"/>
      <c r="J200" s="206"/>
      <c r="K200" s="206"/>
      <c r="L200" s="244"/>
    </row>
    <row r="201" spans="1:12">
      <c r="A201" s="13"/>
      <c r="B201" s="205" t="s">
        <v>255</v>
      </c>
      <c r="C201" s="206" t="s">
        <v>263</v>
      </c>
      <c r="D201" s="206"/>
      <c r="E201" s="206"/>
      <c r="F201" s="206"/>
      <c r="G201" s="207"/>
      <c r="H201" s="216"/>
      <c r="I201" s="206"/>
      <c r="J201" s="206"/>
      <c r="K201" s="206"/>
      <c r="L201" s="244"/>
    </row>
    <row r="202" spans="1:12">
      <c r="A202" s="13"/>
      <c r="B202" s="180"/>
      <c r="C202" s="176"/>
      <c r="D202" s="176"/>
      <c r="E202" s="176"/>
      <c r="F202" s="225" t="s">
        <v>264</v>
      </c>
      <c r="G202" s="176"/>
      <c r="H202" s="165"/>
      <c r="I202" s="165"/>
      <c r="J202" s="165"/>
      <c r="K202" s="165"/>
      <c r="L202" s="183"/>
    </row>
    <row r="203" spans="1:12">
      <c r="A203" s="13"/>
      <c r="B203" s="237" t="s">
        <v>265</v>
      </c>
      <c r="C203" s="236" t="s">
        <v>266</v>
      </c>
      <c r="D203" s="176"/>
      <c r="E203" s="176"/>
      <c r="F203" s="176"/>
      <c r="G203" s="176"/>
      <c r="H203" s="165"/>
      <c r="I203" s="165"/>
      <c r="J203" s="166"/>
      <c r="K203" s="165"/>
      <c r="L203" s="183"/>
    </row>
    <row r="204" spans="1:12">
      <c r="A204" s="13"/>
      <c r="B204" s="237" t="s">
        <v>267</v>
      </c>
      <c r="C204" s="235" t="s">
        <v>268</v>
      </c>
      <c r="D204" s="165"/>
      <c r="E204" s="166"/>
      <c r="G204" s="1395"/>
      <c r="H204" s="1395"/>
      <c r="I204" s="181"/>
      <c r="J204" s="182"/>
      <c r="K204" s="1395"/>
      <c r="L204" s="1396"/>
    </row>
    <row r="205" spans="1:12">
      <c r="A205" s="13"/>
      <c r="B205" s="238" t="s">
        <v>269</v>
      </c>
      <c r="C205" s="1397" t="s">
        <v>298</v>
      </c>
      <c r="D205" s="1397"/>
      <c r="E205" s="1397"/>
      <c r="F205" s="1397"/>
      <c r="G205" s="1397"/>
      <c r="H205" s="1397"/>
      <c r="I205" s="1397"/>
      <c r="J205" s="1397"/>
      <c r="K205" s="1397"/>
      <c r="L205" s="1398"/>
    </row>
    <row r="206" spans="1:12">
      <c r="A206" s="13"/>
      <c r="B206" s="237" t="s">
        <v>270</v>
      </c>
      <c r="C206" s="236" t="s">
        <v>271</v>
      </c>
      <c r="D206" s="228"/>
      <c r="E206" s="228"/>
      <c r="F206" s="228"/>
      <c r="G206" s="228"/>
      <c r="H206" s="228"/>
      <c r="I206" s="228"/>
      <c r="J206" s="228"/>
      <c r="K206" s="228"/>
      <c r="L206" s="247"/>
    </row>
    <row r="207" spans="1:12">
      <c r="A207" s="13"/>
      <c r="B207" s="180"/>
      <c r="C207" t="s">
        <v>299</v>
      </c>
      <c r="D207" s="294" t="e">
        <f>'04-221Master'!#REF!</f>
        <v>#REF!</v>
      </c>
      <c r="E207" s="2"/>
      <c r="F207" s="2"/>
      <c r="G207" s="2"/>
      <c r="L207" s="14"/>
    </row>
    <row r="208" spans="1:12">
      <c r="A208" s="13"/>
      <c r="C208" t="s">
        <v>272</v>
      </c>
      <c r="D208" t="s">
        <v>361</v>
      </c>
      <c r="J208" t="s">
        <v>300</v>
      </c>
      <c r="L208" s="14"/>
    </row>
    <row r="209" spans="1:12">
      <c r="A209" s="13"/>
      <c r="L209" s="14"/>
    </row>
    <row r="210" spans="1:12">
      <c r="A210" s="13"/>
      <c r="F210" s="226" t="s">
        <v>273</v>
      </c>
      <c r="L210" s="14"/>
    </row>
    <row r="211" spans="1:12">
      <c r="A211" s="13" t="s">
        <v>301</v>
      </c>
      <c r="B211" t="s">
        <v>274</v>
      </c>
      <c r="E211" s="229" t="e">
        <f>'04-221Master'!#REF!</f>
        <v>#REF!</v>
      </c>
      <c r="H211" s="1399" t="s">
        <v>275</v>
      </c>
      <c r="I211" s="1399"/>
      <c r="J211" s="230" t="e">
        <f>'04-221Master'!#REF!</f>
        <v>#REF!</v>
      </c>
      <c r="K211" t="s">
        <v>276</v>
      </c>
      <c r="L211" s="14"/>
    </row>
    <row r="212" spans="1:12">
      <c r="A212" s="13"/>
      <c r="B212" s="1410" t="e">
        <f>'04-221Master'!#REF!</f>
        <v>#REF!</v>
      </c>
      <c r="C212" s="1411"/>
      <c r="D212" s="227"/>
      <c r="E212" s="227"/>
      <c r="F212" s="227"/>
      <c r="G212" s="227"/>
      <c r="H212" s="227"/>
      <c r="I212" s="227"/>
      <c r="J212" s="227"/>
      <c r="K212" s="227"/>
      <c r="L212" s="248"/>
    </row>
    <row r="213" spans="1:12">
      <c r="A213" s="13" t="s">
        <v>303</v>
      </c>
      <c r="B213" s="227" t="s">
        <v>277</v>
      </c>
      <c r="C213" s="227"/>
      <c r="D213" s="227"/>
      <c r="E213" s="227"/>
      <c r="F213" s="227"/>
      <c r="G213" s="227"/>
      <c r="H213" s="227"/>
      <c r="I213" s="227"/>
      <c r="J213" s="227"/>
      <c r="K213" s="227"/>
      <c r="L213" s="248"/>
    </row>
    <row r="214" spans="1:12">
      <c r="A214" s="13"/>
      <c r="B214" s="227" t="s">
        <v>302</v>
      </c>
      <c r="C214" s="227"/>
      <c r="D214" s="227"/>
      <c r="E214" s="227"/>
      <c r="F214" s="227"/>
      <c r="G214" s="227"/>
      <c r="H214" s="227"/>
      <c r="I214" s="227"/>
      <c r="J214" s="227"/>
      <c r="K214" s="227"/>
      <c r="L214" s="248"/>
    </row>
    <row r="215" spans="1:12" ht="27.95" customHeight="1">
      <c r="A215" s="13"/>
      <c r="B215" t="s">
        <v>278</v>
      </c>
      <c r="L215" s="14"/>
    </row>
    <row r="216" spans="1:12" ht="27.95" customHeight="1">
      <c r="A216" s="13"/>
      <c r="B216" s="2" t="s">
        <v>279</v>
      </c>
      <c r="F216" s="179"/>
      <c r="L216" s="14"/>
    </row>
    <row r="217" spans="1:12" ht="27.95" customHeight="1">
      <c r="A217" s="13"/>
      <c r="B217" s="2" t="s">
        <v>280</v>
      </c>
      <c r="L217" s="14"/>
    </row>
    <row r="218" spans="1:12" ht="27.95" customHeight="1">
      <c r="A218" s="13"/>
      <c r="B218" t="s">
        <v>281</v>
      </c>
      <c r="L218" s="14"/>
    </row>
    <row r="219" spans="1:12" ht="27.95" customHeight="1">
      <c r="A219" s="13"/>
      <c r="B219" t="s">
        <v>282</v>
      </c>
      <c r="L219" s="14"/>
    </row>
    <row r="220" spans="1:12" ht="27.95" customHeight="1">
      <c r="A220" s="13" t="s">
        <v>292</v>
      </c>
      <c r="B220" t="s">
        <v>283</v>
      </c>
      <c r="L220" s="14"/>
    </row>
    <row r="221" spans="1:12" ht="27.95" customHeight="1">
      <c r="A221" s="13"/>
      <c r="B221" s="239" t="s">
        <v>304</v>
      </c>
      <c r="L221" s="14"/>
    </row>
    <row r="222" spans="1:12" ht="27.95" customHeight="1">
      <c r="A222" s="13"/>
      <c r="B222" t="s">
        <v>278</v>
      </c>
      <c r="L222" s="14"/>
    </row>
    <row r="223" spans="1:12" ht="27.95" customHeight="1">
      <c r="A223" s="13"/>
      <c r="B223" t="s">
        <v>284</v>
      </c>
      <c r="L223" s="14"/>
    </row>
    <row r="224" spans="1:12" ht="27.95" customHeight="1">
      <c r="A224" s="13"/>
      <c r="B224" t="s">
        <v>285</v>
      </c>
      <c r="L224" s="14"/>
    </row>
    <row r="225" spans="1:12" ht="27.95" customHeight="1">
      <c r="A225" s="13"/>
      <c r="B225" s="1412" t="s">
        <v>286</v>
      </c>
      <c r="C225" s="1412"/>
      <c r="D225" s="1412"/>
      <c r="E225" s="1412"/>
      <c r="F225" s="1412"/>
      <c r="G225" s="1412"/>
      <c r="H225" s="1412"/>
      <c r="I225" s="1412"/>
      <c r="J225" s="1412"/>
      <c r="K225" s="1412"/>
      <c r="L225" s="1413"/>
    </row>
    <row r="226" spans="1:12" ht="27.95" customHeight="1">
      <c r="A226" s="13"/>
      <c r="B226" t="s">
        <v>198</v>
      </c>
      <c r="C226" s="289" t="e">
        <f>D207</f>
        <v>#REF!</v>
      </c>
      <c r="D226" s="209"/>
      <c r="E226" s="209"/>
      <c r="F226" s="209"/>
      <c r="G226" s="209"/>
      <c r="H226" s="209"/>
      <c r="I226" t="s">
        <v>305</v>
      </c>
      <c r="J226" s="209"/>
      <c r="K226" s="209"/>
      <c r="L226" s="240"/>
    </row>
    <row r="227" spans="1:12" ht="27.95" customHeight="1" thickBot="1">
      <c r="A227" s="25"/>
      <c r="B227" s="1170"/>
      <c r="C227" s="1170"/>
      <c r="D227" s="1170"/>
      <c r="E227" s="1170"/>
      <c r="F227" s="1170"/>
      <c r="G227" s="1170"/>
      <c r="H227" s="1170"/>
      <c r="I227" s="1170"/>
      <c r="J227" s="1170"/>
      <c r="K227" s="1170"/>
      <c r="L227" s="1171"/>
    </row>
    <row r="228" spans="1:12" ht="27.95" customHeight="1">
      <c r="A228" s="74"/>
      <c r="B228" s="75"/>
      <c r="C228" s="75"/>
      <c r="D228" s="75"/>
      <c r="E228" s="75"/>
      <c r="F228" s="75"/>
      <c r="G228" s="75"/>
      <c r="H228" s="75"/>
      <c r="I228" s="79" t="s">
        <v>232</v>
      </c>
      <c r="J228" s="75"/>
      <c r="K228" s="75"/>
      <c r="L228" s="76"/>
    </row>
    <row r="229" spans="1:12" ht="27.95" customHeight="1">
      <c r="A229" s="13"/>
      <c r="B229" s="1400" t="s">
        <v>287</v>
      </c>
      <c r="C229" s="1400"/>
      <c r="D229" s="1400"/>
      <c r="E229" s="1400"/>
      <c r="F229" s="1400"/>
      <c r="G229" s="1400"/>
      <c r="H229" s="1400"/>
      <c r="I229" s="1400"/>
      <c r="J229" s="1400"/>
      <c r="K229" s="1400"/>
      <c r="L229" s="1401"/>
    </row>
    <row r="230" spans="1:12" ht="27.95" customHeight="1">
      <c r="A230" s="13"/>
      <c r="B230" s="209"/>
      <c r="C230" s="209"/>
      <c r="D230" s="217" t="s">
        <v>234</v>
      </c>
      <c r="E230" s="209"/>
      <c r="F230" s="209"/>
      <c r="G230" s="209"/>
      <c r="H230" s="209"/>
      <c r="I230" s="211" t="s">
        <v>288</v>
      </c>
      <c r="J230" s="212"/>
      <c r="K230" s="293" t="e">
        <f>'04-221Master'!#REF!</f>
        <v>#REF!</v>
      </c>
      <c r="L230" s="242"/>
    </row>
    <row r="231" spans="1:12" ht="27.95" customHeight="1">
      <c r="A231" s="13"/>
      <c r="B231" s="1"/>
      <c r="C231" s="1" t="s">
        <v>235</v>
      </c>
      <c r="E231" s="1"/>
      <c r="F231" s="1"/>
      <c r="G231" s="1"/>
      <c r="H231" s="1"/>
      <c r="I231" s="210" t="s">
        <v>289</v>
      </c>
      <c r="J231" s="231" t="str">
        <f>'04-221Master'!F5</f>
        <v>Burgeon IT Services Pvt.Ltd.</v>
      </c>
      <c r="K231" s="213"/>
      <c r="L231" s="243"/>
    </row>
    <row r="232" spans="1:12" ht="27.95" customHeight="1">
      <c r="A232" s="13"/>
      <c r="B232" s="218"/>
      <c r="C232" s="187" t="s">
        <v>236</v>
      </c>
      <c r="E232" s="218"/>
      <c r="F232" s="218"/>
      <c r="H232" s="188"/>
      <c r="I232" s="234" t="str">
        <f>'04-221Master'!F6</f>
        <v>Siri Mansion LIGB 436 Dr.A S Rao Nagar,Hyderabad</v>
      </c>
      <c r="J232" s="232"/>
      <c r="K232" s="233"/>
      <c r="L232" s="197"/>
    </row>
    <row r="233" spans="1:12">
      <c r="A233" s="13"/>
      <c r="L233" s="14"/>
    </row>
    <row r="234" spans="1:12" ht="19.5" customHeight="1">
      <c r="A234" s="13">
        <v>1</v>
      </c>
      <c r="B234" s="214" t="s">
        <v>237</v>
      </c>
      <c r="C234" s="64"/>
      <c r="D234" s="64"/>
      <c r="E234" s="64"/>
      <c r="F234" s="64"/>
      <c r="G234" s="65"/>
      <c r="H234" s="1366" t="e">
        <f>'04-221Master'!#REF!</f>
        <v>#REF!</v>
      </c>
      <c r="I234" s="1382"/>
      <c r="J234" s="1382"/>
      <c r="K234" s="1382"/>
      <c r="L234" s="1383"/>
    </row>
    <row r="235" spans="1:12">
      <c r="A235" s="13">
        <v>2</v>
      </c>
      <c r="B235" s="1402" t="s">
        <v>238</v>
      </c>
      <c r="C235" s="1403"/>
      <c r="D235" s="1403"/>
      <c r="E235" s="1403"/>
      <c r="F235" s="215" t="s">
        <v>239</v>
      </c>
      <c r="G235" s="199"/>
      <c r="H235" s="1404" t="e">
        <f>'04-221Master'!#REF!</f>
        <v>#REF!</v>
      </c>
      <c r="I235" s="1405"/>
      <c r="J235" s="1405"/>
      <c r="K235" s="1405"/>
      <c r="L235" s="1406"/>
    </row>
    <row r="236" spans="1:12" ht="12" customHeight="1">
      <c r="A236" s="13"/>
      <c r="B236" s="200" t="s">
        <v>240</v>
      </c>
      <c r="C236" s="201"/>
      <c r="D236" s="201"/>
      <c r="E236" s="201"/>
      <c r="F236" s="201" t="s">
        <v>233</v>
      </c>
      <c r="G236" s="202"/>
      <c r="H236" s="1407"/>
      <c r="I236" s="1408"/>
      <c r="J236" s="1408"/>
      <c r="K236" s="1408"/>
      <c r="L236" s="1409"/>
    </row>
    <row r="237" spans="1:12">
      <c r="A237" s="13">
        <v>3</v>
      </c>
      <c r="B237" s="216" t="s">
        <v>241</v>
      </c>
      <c r="C237" s="206"/>
      <c r="D237" s="206"/>
      <c r="E237" s="206"/>
      <c r="F237" s="206"/>
      <c r="G237" s="207"/>
      <c r="H237" s="1389" t="e">
        <f>'04-221Master'!#REF!</f>
        <v>#REF!</v>
      </c>
      <c r="I237" s="1390"/>
      <c r="J237" s="1390"/>
      <c r="K237" s="1390"/>
      <c r="L237" s="1391"/>
    </row>
    <row r="238" spans="1:12">
      <c r="A238" s="13">
        <v>4</v>
      </c>
      <c r="B238" s="192" t="s">
        <v>242</v>
      </c>
      <c r="C238" s="64"/>
      <c r="D238" s="64"/>
      <c r="E238" s="64"/>
      <c r="F238" s="64"/>
      <c r="G238" s="65"/>
      <c r="H238" s="1364" t="e">
        <f>'04-221Master'!#REF!</f>
        <v>#REF!</v>
      </c>
      <c r="I238" s="1377"/>
      <c r="J238" s="1377"/>
      <c r="K238" s="1377"/>
      <c r="L238" s="1365"/>
    </row>
    <row r="239" spans="1:12">
      <c r="A239" s="13">
        <v>5</v>
      </c>
      <c r="B239" s="1392" t="s">
        <v>290</v>
      </c>
      <c r="C239" s="1393"/>
      <c r="D239" s="1393"/>
      <c r="E239" s="1393"/>
      <c r="F239" s="1393"/>
      <c r="G239" s="65"/>
      <c r="H239" s="1381" t="s">
        <v>369</v>
      </c>
      <c r="I239" s="1382"/>
      <c r="J239" s="1382"/>
      <c r="K239" s="1382"/>
      <c r="L239" s="1383"/>
    </row>
    <row r="240" spans="1:12">
      <c r="A240" s="13">
        <v>6</v>
      </c>
      <c r="B240" s="205" t="s">
        <v>243</v>
      </c>
      <c r="C240" s="206" t="s">
        <v>244</v>
      </c>
      <c r="D240" s="206"/>
      <c r="E240" s="206"/>
      <c r="F240" s="206"/>
      <c r="G240" s="207"/>
      <c r="H240" s="216"/>
      <c r="I240" s="206"/>
      <c r="J240" s="206"/>
      <c r="K240" s="206"/>
      <c r="L240" s="244"/>
    </row>
    <row r="241" spans="1:12">
      <c r="A241" s="13"/>
      <c r="B241" s="205" t="s">
        <v>245</v>
      </c>
      <c r="C241" s="206" t="s">
        <v>246</v>
      </c>
      <c r="D241" s="206"/>
      <c r="E241" s="206"/>
      <c r="F241" s="206"/>
      <c r="G241" s="207"/>
      <c r="H241" s="216"/>
      <c r="I241" s="198"/>
      <c r="J241" s="198"/>
      <c r="K241" s="206"/>
      <c r="L241" s="244"/>
    </row>
    <row r="242" spans="1:12">
      <c r="A242" s="13">
        <v>7</v>
      </c>
      <c r="B242" s="1389" t="s">
        <v>247</v>
      </c>
      <c r="C242" s="1390"/>
      <c r="D242" s="1390"/>
      <c r="E242" s="1390"/>
      <c r="F242" s="1390"/>
      <c r="G242" s="1394"/>
      <c r="H242" s="220" t="s">
        <v>248</v>
      </c>
      <c r="I242" s="221"/>
      <c r="J242" s="222"/>
      <c r="K242" s="220" t="s">
        <v>249</v>
      </c>
      <c r="L242" s="245"/>
    </row>
    <row r="243" spans="1:12">
      <c r="A243" s="13">
        <v>8</v>
      </c>
      <c r="B243" s="1389" t="s">
        <v>291</v>
      </c>
      <c r="C243" s="1390"/>
      <c r="D243" s="1390"/>
      <c r="E243" s="1390"/>
      <c r="F243" s="1390"/>
      <c r="G243" s="1394"/>
      <c r="H243" s="220" t="s">
        <v>248</v>
      </c>
      <c r="I243" s="221"/>
      <c r="J243" s="222"/>
      <c r="K243" s="220" t="s">
        <v>249</v>
      </c>
      <c r="L243" s="245"/>
    </row>
    <row r="244" spans="1:12">
      <c r="A244" s="13"/>
      <c r="B244" s="192"/>
      <c r="C244" s="224"/>
      <c r="D244" s="224"/>
      <c r="E244" s="224"/>
      <c r="F244" s="224" t="s">
        <v>250</v>
      </c>
      <c r="G244" s="224"/>
      <c r="H244" s="224"/>
      <c r="I244" s="224"/>
      <c r="J244" s="224"/>
      <c r="K244" s="224"/>
      <c r="L244" s="246"/>
    </row>
    <row r="245" spans="1:12">
      <c r="A245" s="13">
        <v>9</v>
      </c>
      <c r="B245" s="205" t="s">
        <v>251</v>
      </c>
      <c r="C245" s="206" t="s">
        <v>252</v>
      </c>
      <c r="D245" s="206"/>
      <c r="E245" s="206"/>
      <c r="F245" s="206"/>
      <c r="G245" s="207"/>
      <c r="H245" s="216"/>
      <c r="I245" s="206"/>
      <c r="J245" s="206"/>
      <c r="K245" s="206"/>
      <c r="L245" s="244"/>
    </row>
    <row r="246" spans="1:12">
      <c r="A246" s="85"/>
      <c r="B246" s="205" t="s">
        <v>253</v>
      </c>
      <c r="C246" s="206" t="s">
        <v>254</v>
      </c>
      <c r="D246" s="206"/>
      <c r="E246" s="206"/>
      <c r="F246" s="206"/>
      <c r="G246" s="207"/>
      <c r="H246" s="216"/>
      <c r="I246" s="206"/>
      <c r="J246" s="206"/>
      <c r="K246" s="206"/>
      <c r="L246" s="244"/>
    </row>
    <row r="247" spans="1:12">
      <c r="A247" s="85"/>
      <c r="B247" s="205" t="s">
        <v>292</v>
      </c>
      <c r="C247" s="206" t="s">
        <v>293</v>
      </c>
      <c r="D247" s="206"/>
      <c r="E247" s="206"/>
      <c r="F247" s="206"/>
      <c r="G247" s="207"/>
      <c r="H247" s="216"/>
      <c r="I247" s="206"/>
      <c r="J247" s="206"/>
      <c r="K247" s="206"/>
      <c r="L247" s="244"/>
    </row>
    <row r="248" spans="1:12">
      <c r="A248" s="85"/>
      <c r="B248" s="205" t="s">
        <v>256</v>
      </c>
      <c r="C248" s="206" t="s">
        <v>257</v>
      </c>
      <c r="D248" s="206"/>
      <c r="E248" s="206"/>
      <c r="F248" s="206"/>
      <c r="G248" s="207"/>
      <c r="H248" s="216"/>
      <c r="I248" s="206"/>
      <c r="J248" s="206"/>
      <c r="K248" s="206"/>
      <c r="L248" s="244"/>
    </row>
    <row r="249" spans="1:12">
      <c r="A249" s="85"/>
      <c r="B249" s="205" t="s">
        <v>258</v>
      </c>
      <c r="C249" s="206" t="s">
        <v>259</v>
      </c>
      <c r="D249" s="206"/>
      <c r="E249" s="206"/>
      <c r="F249" s="206"/>
      <c r="G249" s="207"/>
      <c r="H249" s="216"/>
      <c r="I249" s="206"/>
      <c r="J249" s="206"/>
      <c r="K249" s="206"/>
      <c r="L249" s="244"/>
    </row>
    <row r="250" spans="1:12">
      <c r="A250" s="85">
        <v>10</v>
      </c>
      <c r="B250" s="205" t="s">
        <v>251</v>
      </c>
      <c r="C250" s="206" t="s">
        <v>294</v>
      </c>
      <c r="D250" s="206"/>
      <c r="E250" s="206"/>
      <c r="F250" s="206"/>
      <c r="G250" s="207"/>
      <c r="H250" s="220" t="s">
        <v>248</v>
      </c>
      <c r="I250" s="221"/>
      <c r="J250" s="222"/>
      <c r="K250" s="220" t="s">
        <v>249</v>
      </c>
      <c r="L250" s="245"/>
    </row>
    <row r="251" spans="1:12">
      <c r="A251" s="85"/>
      <c r="B251" s="205" t="s">
        <v>253</v>
      </c>
      <c r="C251" s="206" t="s">
        <v>295</v>
      </c>
      <c r="D251" s="206"/>
      <c r="E251" s="206"/>
      <c r="F251" s="206"/>
      <c r="G251" s="207"/>
      <c r="H251" s="216"/>
      <c r="I251" s="206"/>
      <c r="J251" s="206"/>
      <c r="K251" s="206"/>
      <c r="L251" s="244"/>
    </row>
    <row r="252" spans="1:12">
      <c r="A252" s="85"/>
      <c r="B252" s="205" t="s">
        <v>292</v>
      </c>
      <c r="C252" s="206" t="s">
        <v>260</v>
      </c>
      <c r="D252" s="206"/>
      <c r="E252" s="206"/>
      <c r="F252" s="206"/>
      <c r="G252" s="207"/>
      <c r="H252" s="216"/>
      <c r="I252" s="206"/>
      <c r="J252" s="206"/>
      <c r="K252" s="206"/>
      <c r="L252" s="244"/>
    </row>
    <row r="253" spans="1:12">
      <c r="A253" s="85"/>
      <c r="B253" s="205" t="s">
        <v>256</v>
      </c>
      <c r="C253" s="206" t="s">
        <v>296</v>
      </c>
      <c r="D253" s="206"/>
      <c r="E253" s="206"/>
      <c r="F253" s="206"/>
      <c r="G253" s="207"/>
      <c r="H253" s="216"/>
      <c r="I253" s="206"/>
      <c r="J253" s="206"/>
      <c r="K253" s="206"/>
      <c r="L253" s="244"/>
    </row>
    <row r="254" spans="1:12">
      <c r="A254" s="13"/>
      <c r="B254" s="192"/>
      <c r="C254" s="224"/>
      <c r="D254" s="224"/>
      <c r="E254" s="224" t="s">
        <v>297</v>
      </c>
      <c r="F254" s="224"/>
      <c r="G254" s="224"/>
      <c r="H254" s="224"/>
      <c r="I254" s="224"/>
      <c r="J254" s="224"/>
      <c r="K254" s="224"/>
      <c r="L254" s="246"/>
    </row>
    <row r="255" spans="1:12">
      <c r="A255" s="13">
        <v>11</v>
      </c>
      <c r="B255" s="205" t="s">
        <v>251</v>
      </c>
      <c r="C255" s="206" t="s">
        <v>261</v>
      </c>
      <c r="D255" s="206"/>
      <c r="E255" s="206"/>
      <c r="F255" s="206"/>
      <c r="G255" s="207"/>
      <c r="H255" s="216"/>
      <c r="I255" s="206"/>
      <c r="J255" s="206"/>
      <c r="K255" s="206"/>
      <c r="L255" s="244"/>
    </row>
    <row r="256" spans="1:12">
      <c r="A256" s="13"/>
      <c r="B256" s="205" t="s">
        <v>253</v>
      </c>
      <c r="C256" s="206" t="s">
        <v>262</v>
      </c>
      <c r="D256" s="206"/>
      <c r="E256" s="206"/>
      <c r="F256" s="206"/>
      <c r="G256" s="207"/>
      <c r="H256" s="216"/>
      <c r="I256" s="206"/>
      <c r="J256" s="206"/>
      <c r="K256" s="206"/>
      <c r="L256" s="244"/>
    </row>
    <row r="257" spans="1:12">
      <c r="A257" s="13"/>
      <c r="B257" s="205" t="s">
        <v>255</v>
      </c>
      <c r="C257" s="206" t="s">
        <v>263</v>
      </c>
      <c r="D257" s="206"/>
      <c r="E257" s="206"/>
      <c r="F257" s="206"/>
      <c r="G257" s="207"/>
      <c r="H257" s="216"/>
      <c r="I257" s="206"/>
      <c r="J257" s="206"/>
      <c r="K257" s="206"/>
      <c r="L257" s="244"/>
    </row>
    <row r="258" spans="1:12">
      <c r="A258" s="13"/>
      <c r="B258" s="180"/>
      <c r="C258" s="176"/>
      <c r="D258" s="176"/>
      <c r="E258" s="176"/>
      <c r="F258" s="225" t="s">
        <v>264</v>
      </c>
      <c r="G258" s="176"/>
      <c r="H258" s="165"/>
      <c r="I258" s="165"/>
      <c r="J258" s="165"/>
      <c r="K258" s="165"/>
      <c r="L258" s="183"/>
    </row>
    <row r="259" spans="1:12">
      <c r="A259" s="13"/>
      <c r="B259" s="237" t="s">
        <v>265</v>
      </c>
      <c r="C259" s="236" t="s">
        <v>266</v>
      </c>
      <c r="D259" s="176"/>
      <c r="E259" s="176"/>
      <c r="F259" s="176"/>
      <c r="G259" s="176"/>
      <c r="H259" s="165"/>
      <c r="I259" s="165"/>
      <c r="J259" s="166"/>
      <c r="K259" s="165"/>
      <c r="L259" s="183"/>
    </row>
    <row r="260" spans="1:12">
      <c r="A260" s="13"/>
      <c r="B260" s="237" t="s">
        <v>267</v>
      </c>
      <c r="C260" s="235" t="s">
        <v>268</v>
      </c>
      <c r="D260" s="165"/>
      <c r="E260" s="166"/>
      <c r="G260" s="1395"/>
      <c r="H260" s="1395"/>
      <c r="I260" s="181"/>
      <c r="J260" s="182"/>
      <c r="K260" s="1395"/>
      <c r="L260" s="1396"/>
    </row>
    <row r="261" spans="1:12">
      <c r="A261" s="13"/>
      <c r="B261" s="238" t="s">
        <v>269</v>
      </c>
      <c r="C261" s="1397" t="s">
        <v>298</v>
      </c>
      <c r="D261" s="1397"/>
      <c r="E261" s="1397"/>
      <c r="F261" s="1397"/>
      <c r="G261" s="1397"/>
      <c r="H261" s="1397"/>
      <c r="I261" s="1397"/>
      <c r="J261" s="1397"/>
      <c r="K261" s="1397"/>
      <c r="L261" s="1398"/>
    </row>
    <row r="262" spans="1:12">
      <c r="A262" s="13"/>
      <c r="B262" s="237" t="s">
        <v>270</v>
      </c>
      <c r="C262" s="236" t="s">
        <v>271</v>
      </c>
      <c r="D262" s="228"/>
      <c r="E262" s="228"/>
      <c r="F262" s="228"/>
      <c r="G262" s="228"/>
      <c r="H262" s="228"/>
      <c r="I262" s="228"/>
      <c r="J262" s="228"/>
      <c r="K262" s="228"/>
      <c r="L262" s="247"/>
    </row>
    <row r="263" spans="1:12">
      <c r="A263" s="13"/>
      <c r="B263" s="180"/>
      <c r="C263" t="s">
        <v>299</v>
      </c>
      <c r="D263" s="294" t="e">
        <f>'04-221Master'!#REF!</f>
        <v>#REF!</v>
      </c>
      <c r="E263" s="2"/>
      <c r="F263" s="2"/>
      <c r="G263" s="2"/>
      <c r="L263" s="14"/>
    </row>
    <row r="264" spans="1:12">
      <c r="A264" s="13"/>
      <c r="C264" t="s">
        <v>272</v>
      </c>
      <c r="D264" t="s">
        <v>361</v>
      </c>
      <c r="J264" t="s">
        <v>300</v>
      </c>
      <c r="L264" s="14"/>
    </row>
    <row r="265" spans="1:12">
      <c r="A265" s="13"/>
      <c r="L265" s="14"/>
    </row>
    <row r="266" spans="1:12">
      <c r="A266" s="13"/>
      <c r="F266" s="226" t="s">
        <v>273</v>
      </c>
      <c r="L266" s="14"/>
    </row>
    <row r="267" spans="1:12">
      <c r="A267" s="13" t="s">
        <v>301</v>
      </c>
      <c r="B267" t="s">
        <v>274</v>
      </c>
      <c r="E267" s="229" t="e">
        <f>'04-221Master'!#REF!</f>
        <v>#REF!</v>
      </c>
      <c r="H267" s="1399" t="s">
        <v>275</v>
      </c>
      <c r="I267" s="1399"/>
      <c r="J267" s="230" t="e">
        <f>'04-221Master'!#REF!</f>
        <v>#REF!</v>
      </c>
      <c r="K267" t="s">
        <v>276</v>
      </c>
      <c r="L267" s="14"/>
    </row>
    <row r="268" spans="1:12" ht="24" customHeight="1">
      <c r="A268" s="13"/>
      <c r="B268" s="1410" t="e">
        <f>'04-221Master'!#REF!</f>
        <v>#REF!</v>
      </c>
      <c r="C268" s="1411"/>
      <c r="D268" s="227"/>
      <c r="E268" s="227"/>
      <c r="F268" s="227"/>
      <c r="G268" s="227"/>
      <c r="H268" s="227"/>
      <c r="I268" s="227"/>
      <c r="J268" s="227"/>
      <c r="K268" s="227"/>
      <c r="L268" s="248"/>
    </row>
    <row r="269" spans="1:12" ht="24" customHeight="1">
      <c r="A269" s="13" t="s">
        <v>303</v>
      </c>
      <c r="B269" s="227" t="s">
        <v>277</v>
      </c>
      <c r="C269" s="227"/>
      <c r="D269" s="227"/>
      <c r="E269" s="227"/>
      <c r="F269" s="227"/>
      <c r="G269" s="227"/>
      <c r="H269" s="227"/>
      <c r="I269" s="227"/>
      <c r="J269" s="227"/>
      <c r="K269" s="227"/>
      <c r="L269" s="248"/>
    </row>
    <row r="270" spans="1:12" ht="23.25" customHeight="1">
      <c r="A270" s="13"/>
      <c r="B270" s="227" t="s">
        <v>302</v>
      </c>
      <c r="C270" s="227"/>
      <c r="D270" s="227"/>
      <c r="E270" s="227"/>
      <c r="F270" s="227"/>
      <c r="G270" s="227"/>
      <c r="H270" s="227"/>
      <c r="I270" s="227"/>
      <c r="J270" s="227"/>
      <c r="K270" s="227"/>
      <c r="L270" s="248"/>
    </row>
    <row r="271" spans="1:12" ht="21.75" customHeight="1">
      <c r="A271" s="13"/>
      <c r="B271" t="s">
        <v>278</v>
      </c>
      <c r="L271" s="14"/>
    </row>
    <row r="272" spans="1:12" ht="27.95" customHeight="1">
      <c r="A272" s="13"/>
      <c r="B272" s="2" t="s">
        <v>279</v>
      </c>
      <c r="F272" s="179"/>
      <c r="L272" s="14"/>
    </row>
    <row r="273" spans="1:12" ht="21" customHeight="1">
      <c r="A273" s="13"/>
      <c r="B273" s="2" t="s">
        <v>280</v>
      </c>
      <c r="L273" s="14"/>
    </row>
    <row r="274" spans="1:12" ht="27.95" customHeight="1">
      <c r="A274" s="13"/>
      <c r="B274" t="s">
        <v>281</v>
      </c>
      <c r="L274" s="14"/>
    </row>
    <row r="275" spans="1:12" ht="27.95" customHeight="1">
      <c r="A275" s="13"/>
      <c r="B275" t="s">
        <v>282</v>
      </c>
      <c r="L275" s="14"/>
    </row>
    <row r="276" spans="1:12" ht="27.95" customHeight="1">
      <c r="A276" s="13" t="s">
        <v>292</v>
      </c>
      <c r="B276" t="s">
        <v>283</v>
      </c>
      <c r="L276" s="14"/>
    </row>
    <row r="277" spans="1:12" ht="27.95" customHeight="1">
      <c r="A277" s="13"/>
      <c r="B277" s="239" t="s">
        <v>304</v>
      </c>
      <c r="L277" s="14"/>
    </row>
    <row r="278" spans="1:12" ht="27.95" customHeight="1">
      <c r="A278" s="13"/>
      <c r="B278" t="s">
        <v>278</v>
      </c>
      <c r="L278" s="14"/>
    </row>
    <row r="279" spans="1:12" ht="19.5" customHeight="1">
      <c r="A279" s="13"/>
      <c r="B279" t="s">
        <v>284</v>
      </c>
      <c r="L279" s="14"/>
    </row>
    <row r="280" spans="1:12" ht="21.75" customHeight="1">
      <c r="A280" s="13"/>
      <c r="B280" t="s">
        <v>285</v>
      </c>
      <c r="L280" s="14"/>
    </row>
    <row r="281" spans="1:12" ht="18.75" customHeight="1">
      <c r="A281" s="13"/>
      <c r="B281" s="1412" t="s">
        <v>286</v>
      </c>
      <c r="C281" s="1412"/>
      <c r="D281" s="1412"/>
      <c r="E281" s="1412"/>
      <c r="F281" s="1412"/>
      <c r="G281" s="1412"/>
      <c r="H281" s="1412"/>
      <c r="I281" s="1412"/>
      <c r="J281" s="1412"/>
      <c r="K281" s="1412"/>
      <c r="L281" s="1413"/>
    </row>
    <row r="282" spans="1:12" ht="27.95" customHeight="1">
      <c r="A282" s="13"/>
      <c r="B282" t="s">
        <v>198</v>
      </c>
      <c r="C282" s="289" t="e">
        <f>'04-221Master'!#REF!</f>
        <v>#REF!</v>
      </c>
      <c r="D282" s="209"/>
      <c r="E282" s="209"/>
      <c r="F282" s="209"/>
      <c r="G282" s="209"/>
      <c r="H282" s="209"/>
      <c r="I282" t="s">
        <v>305</v>
      </c>
      <c r="J282" s="209"/>
      <c r="K282" s="209"/>
      <c r="L282" s="240"/>
    </row>
    <row r="283" spans="1:12" ht="27.95" customHeight="1" thickBot="1">
      <c r="A283" s="25"/>
      <c r="B283" s="1170"/>
      <c r="C283" s="1170"/>
      <c r="D283" s="1170"/>
      <c r="E283" s="1170"/>
      <c r="F283" s="1170"/>
      <c r="G283" s="1170"/>
      <c r="H283" s="1170"/>
      <c r="I283" s="1170"/>
      <c r="J283" s="1170"/>
      <c r="K283" s="1170"/>
      <c r="L283" s="1171"/>
    </row>
    <row r="284" spans="1:12" ht="27.95" customHeight="1">
      <c r="A284" s="74"/>
      <c r="B284" s="75"/>
      <c r="C284" s="75"/>
      <c r="D284" s="75"/>
      <c r="E284" s="75"/>
      <c r="F284" s="75"/>
      <c r="G284" s="75"/>
      <c r="H284" s="75"/>
      <c r="I284" s="79" t="s">
        <v>232</v>
      </c>
      <c r="J284" s="75"/>
      <c r="K284" s="75"/>
      <c r="L284" s="76"/>
    </row>
    <row r="285" spans="1:12" ht="27.95" customHeight="1">
      <c r="A285" s="13"/>
      <c r="B285" s="1400" t="s">
        <v>287</v>
      </c>
      <c r="C285" s="1400"/>
      <c r="D285" s="1400"/>
      <c r="E285" s="1400"/>
      <c r="F285" s="1400"/>
      <c r="G285" s="1400"/>
      <c r="H285" s="1400"/>
      <c r="I285" s="1400"/>
      <c r="J285" s="1400"/>
      <c r="K285" s="1400"/>
      <c r="L285" s="1401"/>
    </row>
    <row r="286" spans="1:12" ht="23.25">
      <c r="A286" s="13"/>
      <c r="B286" s="209"/>
      <c r="C286" s="209"/>
      <c r="D286" s="217" t="s">
        <v>234</v>
      </c>
      <c r="E286" s="209"/>
      <c r="F286" s="209"/>
      <c r="G286" s="209"/>
      <c r="H286" s="209"/>
      <c r="I286" s="211" t="s">
        <v>288</v>
      </c>
      <c r="J286" s="212"/>
      <c r="K286" s="293" t="e">
        <f>'04-221Master'!#REF!</f>
        <v>#REF!</v>
      </c>
      <c r="L286" s="242"/>
    </row>
    <row r="287" spans="1:12" ht="15.75">
      <c r="A287" s="13"/>
      <c r="B287" s="1"/>
      <c r="C287" s="1" t="s">
        <v>235</v>
      </c>
      <c r="E287" s="1"/>
      <c r="F287" s="1"/>
      <c r="G287" s="1"/>
      <c r="H287" s="1"/>
      <c r="I287" s="210" t="s">
        <v>289</v>
      </c>
      <c r="J287" s="231" t="str">
        <f>'04-221Master'!F5</f>
        <v>Burgeon IT Services Pvt.Ltd.</v>
      </c>
      <c r="K287" s="213"/>
      <c r="L287" s="243"/>
    </row>
    <row r="288" spans="1:12">
      <c r="A288" s="13"/>
      <c r="B288" s="218"/>
      <c r="C288" s="187" t="s">
        <v>236</v>
      </c>
      <c r="E288" s="218"/>
      <c r="F288" s="218"/>
      <c r="H288" s="188"/>
      <c r="I288" s="234" t="str">
        <f>'04-221Master'!F6</f>
        <v>Siri Mansion LIGB 436 Dr.A S Rao Nagar,Hyderabad</v>
      </c>
      <c r="J288" s="232"/>
      <c r="K288" s="233"/>
      <c r="L288" s="197"/>
    </row>
    <row r="289" spans="1:12">
      <c r="A289" s="13"/>
      <c r="L289" s="14"/>
    </row>
    <row r="290" spans="1:12">
      <c r="A290" s="13">
        <v>1</v>
      </c>
      <c r="B290" s="214" t="s">
        <v>237</v>
      </c>
      <c r="C290" s="64"/>
      <c r="D290" s="64"/>
      <c r="E290" s="64"/>
      <c r="F290" s="64"/>
      <c r="G290" s="65"/>
      <c r="H290" s="1366" t="e">
        <f>'04-221Master'!#REF!</f>
        <v>#REF!</v>
      </c>
      <c r="I290" s="1382"/>
      <c r="J290" s="1382"/>
      <c r="K290" s="1382"/>
      <c r="L290" s="1383"/>
    </row>
    <row r="291" spans="1:12">
      <c r="A291" s="13">
        <v>2</v>
      </c>
      <c r="B291" s="1402" t="s">
        <v>238</v>
      </c>
      <c r="C291" s="1403"/>
      <c r="D291" s="1403"/>
      <c r="E291" s="1403"/>
      <c r="F291" s="215" t="s">
        <v>239</v>
      </c>
      <c r="G291" s="199"/>
      <c r="H291" s="1404" t="e">
        <f>'04-221Master'!#REF!</f>
        <v>#REF!</v>
      </c>
      <c r="I291" s="1405"/>
      <c r="J291" s="1405"/>
      <c r="K291" s="1405"/>
      <c r="L291" s="1406"/>
    </row>
    <row r="292" spans="1:12">
      <c r="A292" s="13"/>
      <c r="B292" s="200" t="s">
        <v>240</v>
      </c>
      <c r="C292" s="201"/>
      <c r="D292" s="201"/>
      <c r="E292" s="201"/>
      <c r="F292" s="201" t="s">
        <v>233</v>
      </c>
      <c r="G292" s="202"/>
      <c r="H292" s="1407"/>
      <c r="I292" s="1408"/>
      <c r="J292" s="1408"/>
      <c r="K292" s="1408"/>
      <c r="L292" s="1409"/>
    </row>
    <row r="293" spans="1:12">
      <c r="A293" s="13">
        <v>3</v>
      </c>
      <c r="B293" s="216" t="s">
        <v>241</v>
      </c>
      <c r="C293" s="206"/>
      <c r="D293" s="206"/>
      <c r="E293" s="206"/>
      <c r="F293" s="206"/>
      <c r="G293" s="207"/>
      <c r="H293" s="1389" t="e">
        <f>'04-221Master'!#REF!</f>
        <v>#REF!</v>
      </c>
      <c r="I293" s="1390"/>
      <c r="J293" s="1390"/>
      <c r="K293" s="1390"/>
      <c r="L293" s="1391"/>
    </row>
    <row r="294" spans="1:12">
      <c r="A294" s="13">
        <v>4</v>
      </c>
      <c r="B294" s="192" t="s">
        <v>242</v>
      </c>
      <c r="C294" s="64"/>
      <c r="D294" s="64"/>
      <c r="E294" s="64"/>
      <c r="F294" s="64"/>
      <c r="G294" s="65"/>
      <c r="H294" s="1364" t="e">
        <f>'04-221Master'!#REF!</f>
        <v>#REF!</v>
      </c>
      <c r="I294" s="1377"/>
      <c r="J294" s="1377"/>
      <c r="K294" s="1377"/>
      <c r="L294" s="1365"/>
    </row>
    <row r="295" spans="1:12">
      <c r="A295" s="13">
        <v>5</v>
      </c>
      <c r="B295" s="1392" t="s">
        <v>290</v>
      </c>
      <c r="C295" s="1393"/>
      <c r="D295" s="1393"/>
      <c r="E295" s="1393"/>
      <c r="F295" s="1393"/>
      <c r="G295" s="65"/>
      <c r="H295" s="1381" t="s">
        <v>369</v>
      </c>
      <c r="I295" s="1382"/>
      <c r="J295" s="1382"/>
      <c r="K295" s="1382"/>
      <c r="L295" s="1383"/>
    </row>
    <row r="296" spans="1:12">
      <c r="A296" s="13">
        <v>6</v>
      </c>
      <c r="B296" s="205" t="s">
        <v>243</v>
      </c>
      <c r="C296" s="206" t="s">
        <v>244</v>
      </c>
      <c r="D296" s="206"/>
      <c r="E296" s="206"/>
      <c r="F296" s="206"/>
      <c r="G296" s="207"/>
      <c r="H296" s="216"/>
      <c r="I296" s="206"/>
      <c r="J296" s="206"/>
      <c r="K296" s="206"/>
      <c r="L296" s="244"/>
    </row>
    <row r="297" spans="1:12">
      <c r="A297" s="13"/>
      <c r="B297" s="205" t="s">
        <v>245</v>
      </c>
      <c r="C297" s="206" t="s">
        <v>246</v>
      </c>
      <c r="D297" s="206"/>
      <c r="E297" s="206"/>
      <c r="F297" s="206"/>
      <c r="G297" s="207"/>
      <c r="H297" s="216"/>
      <c r="I297" s="198"/>
      <c r="J297" s="198"/>
      <c r="K297" s="206"/>
      <c r="L297" s="244"/>
    </row>
    <row r="298" spans="1:12">
      <c r="A298" s="13">
        <v>7</v>
      </c>
      <c r="B298" s="1389" t="s">
        <v>247</v>
      </c>
      <c r="C298" s="1390"/>
      <c r="D298" s="1390"/>
      <c r="E298" s="1390"/>
      <c r="F298" s="1390"/>
      <c r="G298" s="1394"/>
      <c r="H298" s="220" t="s">
        <v>248</v>
      </c>
      <c r="I298" s="221"/>
      <c r="J298" s="222"/>
      <c r="K298" s="220" t="s">
        <v>249</v>
      </c>
      <c r="L298" s="245"/>
    </row>
    <row r="299" spans="1:12">
      <c r="A299" s="13">
        <v>8</v>
      </c>
      <c r="B299" s="1389" t="s">
        <v>291</v>
      </c>
      <c r="C299" s="1390"/>
      <c r="D299" s="1390"/>
      <c r="E299" s="1390"/>
      <c r="F299" s="1390"/>
      <c r="G299" s="1394"/>
      <c r="H299" s="220" t="s">
        <v>248</v>
      </c>
      <c r="I299" s="221"/>
      <c r="J299" s="222"/>
      <c r="K299" s="220" t="s">
        <v>249</v>
      </c>
      <c r="L299" s="245"/>
    </row>
    <row r="300" spans="1:12">
      <c r="A300" s="13"/>
      <c r="B300" s="192"/>
      <c r="C300" s="224"/>
      <c r="D300" s="224"/>
      <c r="E300" s="224"/>
      <c r="F300" s="224" t="s">
        <v>250</v>
      </c>
      <c r="G300" s="224"/>
      <c r="H300" s="224"/>
      <c r="I300" s="224"/>
      <c r="J300" s="224"/>
      <c r="K300" s="224"/>
      <c r="L300" s="246"/>
    </row>
    <row r="301" spans="1:12">
      <c r="A301" s="13">
        <v>9</v>
      </c>
      <c r="B301" s="205" t="s">
        <v>251</v>
      </c>
      <c r="C301" s="206" t="s">
        <v>252</v>
      </c>
      <c r="D301" s="206"/>
      <c r="E301" s="206"/>
      <c r="F301" s="206"/>
      <c r="G301" s="207"/>
      <c r="H301" s="216"/>
      <c r="I301" s="206"/>
      <c r="J301" s="206"/>
      <c r="K301" s="206"/>
      <c r="L301" s="244"/>
    </row>
    <row r="302" spans="1:12">
      <c r="A302" s="85"/>
      <c r="B302" s="205" t="s">
        <v>253</v>
      </c>
      <c r="C302" s="206" t="s">
        <v>254</v>
      </c>
      <c r="D302" s="206"/>
      <c r="E302" s="206"/>
      <c r="F302" s="206"/>
      <c r="G302" s="207"/>
      <c r="H302" s="216"/>
      <c r="I302" s="206"/>
      <c r="J302" s="206"/>
      <c r="K302" s="206"/>
      <c r="L302" s="244"/>
    </row>
    <row r="303" spans="1:12">
      <c r="A303" s="85"/>
      <c r="B303" s="205" t="s">
        <v>292</v>
      </c>
      <c r="C303" s="206" t="s">
        <v>293</v>
      </c>
      <c r="D303" s="206"/>
      <c r="E303" s="206"/>
      <c r="F303" s="206"/>
      <c r="G303" s="207"/>
      <c r="H303" s="216"/>
      <c r="I303" s="206"/>
      <c r="J303" s="206"/>
      <c r="K303" s="206"/>
      <c r="L303" s="244"/>
    </row>
    <row r="304" spans="1:12">
      <c r="A304" s="85"/>
      <c r="B304" s="205" t="s">
        <v>256</v>
      </c>
      <c r="C304" s="206" t="s">
        <v>257</v>
      </c>
      <c r="D304" s="206"/>
      <c r="E304" s="206"/>
      <c r="F304" s="206"/>
      <c r="G304" s="207"/>
      <c r="H304" s="216"/>
      <c r="I304" s="206"/>
      <c r="J304" s="206"/>
      <c r="K304" s="206"/>
      <c r="L304" s="244"/>
    </row>
    <row r="305" spans="1:12">
      <c r="A305" s="85"/>
      <c r="B305" s="205" t="s">
        <v>258</v>
      </c>
      <c r="C305" s="206" t="s">
        <v>259</v>
      </c>
      <c r="D305" s="206"/>
      <c r="E305" s="206"/>
      <c r="F305" s="206"/>
      <c r="G305" s="207"/>
      <c r="H305" s="216"/>
      <c r="I305" s="206"/>
      <c r="J305" s="206"/>
      <c r="K305" s="206"/>
      <c r="L305" s="244"/>
    </row>
    <row r="306" spans="1:12">
      <c r="A306" s="85">
        <v>10</v>
      </c>
      <c r="B306" s="205" t="s">
        <v>251</v>
      </c>
      <c r="C306" s="206" t="s">
        <v>294</v>
      </c>
      <c r="D306" s="206"/>
      <c r="E306" s="206"/>
      <c r="F306" s="206"/>
      <c r="G306" s="207"/>
      <c r="H306" s="220" t="s">
        <v>248</v>
      </c>
      <c r="I306" s="221"/>
      <c r="J306" s="222"/>
      <c r="K306" s="220" t="s">
        <v>249</v>
      </c>
      <c r="L306" s="245"/>
    </row>
    <row r="307" spans="1:12">
      <c r="A307" s="85"/>
      <c r="B307" s="205" t="s">
        <v>253</v>
      </c>
      <c r="C307" s="206" t="s">
        <v>295</v>
      </c>
      <c r="D307" s="206"/>
      <c r="E307" s="206"/>
      <c r="F307" s="206"/>
      <c r="G307" s="207"/>
      <c r="H307" s="216"/>
      <c r="I307" s="206"/>
      <c r="J307" s="206"/>
      <c r="K307" s="206"/>
      <c r="L307" s="244"/>
    </row>
    <row r="308" spans="1:12">
      <c r="A308" s="85"/>
      <c r="B308" s="205" t="s">
        <v>292</v>
      </c>
      <c r="C308" s="206" t="s">
        <v>260</v>
      </c>
      <c r="D308" s="206"/>
      <c r="E308" s="206"/>
      <c r="F308" s="206"/>
      <c r="G308" s="207"/>
      <c r="H308" s="216"/>
      <c r="I308" s="206"/>
      <c r="J308" s="206"/>
      <c r="K308" s="206"/>
      <c r="L308" s="244"/>
    </row>
    <row r="309" spans="1:12">
      <c r="A309" s="85"/>
      <c r="B309" s="205" t="s">
        <v>256</v>
      </c>
      <c r="C309" s="206" t="s">
        <v>296</v>
      </c>
      <c r="D309" s="206"/>
      <c r="E309" s="206"/>
      <c r="F309" s="206"/>
      <c r="G309" s="207"/>
      <c r="H309" s="216"/>
      <c r="I309" s="206"/>
      <c r="J309" s="206"/>
      <c r="K309" s="206"/>
      <c r="L309" s="244"/>
    </row>
    <row r="310" spans="1:12">
      <c r="A310" s="13"/>
      <c r="B310" s="192"/>
      <c r="C310" s="224"/>
      <c r="D310" s="224"/>
      <c r="E310" s="224" t="s">
        <v>297</v>
      </c>
      <c r="F310" s="224"/>
      <c r="G310" s="224"/>
      <c r="H310" s="224"/>
      <c r="I310" s="224"/>
      <c r="J310" s="224"/>
      <c r="K310" s="224"/>
      <c r="L310" s="246"/>
    </row>
    <row r="311" spans="1:12">
      <c r="A311" s="13">
        <v>11</v>
      </c>
      <c r="B311" s="205" t="s">
        <v>251</v>
      </c>
      <c r="C311" s="206" t="s">
        <v>261</v>
      </c>
      <c r="D311" s="206"/>
      <c r="E311" s="206"/>
      <c r="F311" s="206"/>
      <c r="G311" s="207"/>
      <c r="H311" s="216"/>
      <c r="I311" s="206"/>
      <c r="J311" s="206"/>
      <c r="K311" s="206"/>
      <c r="L311" s="244"/>
    </row>
    <row r="312" spans="1:12">
      <c r="A312" s="13"/>
      <c r="B312" s="205" t="s">
        <v>253</v>
      </c>
      <c r="C312" s="206" t="s">
        <v>262</v>
      </c>
      <c r="D312" s="206"/>
      <c r="E312" s="206"/>
      <c r="F312" s="206"/>
      <c r="G312" s="207"/>
      <c r="H312" s="216"/>
      <c r="I312" s="206"/>
      <c r="J312" s="206"/>
      <c r="K312" s="206"/>
      <c r="L312" s="244"/>
    </row>
    <row r="313" spans="1:12">
      <c r="A313" s="13"/>
      <c r="B313" s="205" t="s">
        <v>255</v>
      </c>
      <c r="C313" s="206" t="s">
        <v>263</v>
      </c>
      <c r="D313" s="206"/>
      <c r="E313" s="206"/>
      <c r="F313" s="206"/>
      <c r="G313" s="207"/>
      <c r="H313" s="216"/>
      <c r="I313" s="206"/>
      <c r="J313" s="206"/>
      <c r="K313" s="206"/>
      <c r="L313" s="244"/>
    </row>
    <row r="314" spans="1:12">
      <c r="A314" s="13"/>
      <c r="B314" s="180"/>
      <c r="C314" s="176"/>
      <c r="D314" s="176"/>
      <c r="E314" s="176"/>
      <c r="F314" s="225" t="s">
        <v>264</v>
      </c>
      <c r="G314" s="176"/>
      <c r="H314" s="165"/>
      <c r="I314" s="165"/>
      <c r="J314" s="165"/>
      <c r="K314" s="165"/>
      <c r="L314" s="183"/>
    </row>
    <row r="315" spans="1:12">
      <c r="A315" s="13"/>
      <c r="B315" s="237" t="s">
        <v>265</v>
      </c>
      <c r="C315" s="236" t="s">
        <v>266</v>
      </c>
      <c r="D315" s="176"/>
      <c r="E315" s="176"/>
      <c r="F315" s="176"/>
      <c r="G315" s="176"/>
      <c r="H315" s="165"/>
      <c r="I315" s="165"/>
      <c r="J315" s="166"/>
      <c r="K315" s="165"/>
      <c r="L315" s="183"/>
    </row>
    <row r="316" spans="1:12">
      <c r="A316" s="13"/>
      <c r="B316" s="237" t="s">
        <v>267</v>
      </c>
      <c r="C316" s="235" t="s">
        <v>268</v>
      </c>
      <c r="D316" s="165"/>
      <c r="E316" s="166"/>
      <c r="G316" s="1395"/>
      <c r="H316" s="1395"/>
      <c r="I316" s="181"/>
      <c r="J316" s="182"/>
      <c r="K316" s="1395"/>
      <c r="L316" s="1396"/>
    </row>
    <row r="317" spans="1:12">
      <c r="A317" s="13"/>
      <c r="B317" s="238" t="s">
        <v>269</v>
      </c>
      <c r="C317" s="1397" t="s">
        <v>298</v>
      </c>
      <c r="D317" s="1397"/>
      <c r="E317" s="1397"/>
      <c r="F317" s="1397"/>
      <c r="G317" s="1397"/>
      <c r="H317" s="1397"/>
      <c r="I317" s="1397"/>
      <c r="J317" s="1397"/>
      <c r="K317" s="1397"/>
      <c r="L317" s="1398"/>
    </row>
    <row r="318" spans="1:12">
      <c r="A318" s="13"/>
      <c r="B318" s="237" t="s">
        <v>270</v>
      </c>
      <c r="C318" s="236" t="s">
        <v>271</v>
      </c>
      <c r="D318" s="228"/>
      <c r="E318" s="228"/>
      <c r="F318" s="228"/>
      <c r="G318" s="228"/>
      <c r="H318" s="228"/>
      <c r="I318" s="228"/>
      <c r="J318" s="228"/>
      <c r="K318" s="228"/>
      <c r="L318" s="247"/>
    </row>
    <row r="319" spans="1:12">
      <c r="A319" s="13"/>
      <c r="B319" s="180"/>
      <c r="C319" t="s">
        <v>299</v>
      </c>
      <c r="D319" s="294" t="e">
        <f>'04-221Master'!#REF!</f>
        <v>#REF!</v>
      </c>
      <c r="E319" s="2"/>
      <c r="F319" s="2"/>
      <c r="G319" s="2"/>
      <c r="L319" s="14"/>
    </row>
    <row r="320" spans="1:12">
      <c r="A320" s="13"/>
      <c r="C320" t="s">
        <v>272</v>
      </c>
      <c r="D320" t="s">
        <v>361</v>
      </c>
      <c r="J320" t="s">
        <v>300</v>
      </c>
      <c r="L320" s="14"/>
    </row>
    <row r="321" spans="1:12" ht="16.5" customHeight="1">
      <c r="A321" s="13"/>
      <c r="L321" s="14"/>
    </row>
    <row r="322" spans="1:12" ht="21.75" customHeight="1">
      <c r="A322" s="13"/>
      <c r="F322" s="226" t="s">
        <v>273</v>
      </c>
      <c r="L322" s="14"/>
    </row>
    <row r="323" spans="1:12" ht="27.95" customHeight="1">
      <c r="A323" s="13" t="s">
        <v>301</v>
      </c>
      <c r="B323" t="s">
        <v>274</v>
      </c>
      <c r="E323" s="229" t="e">
        <f>'04-221Master'!#REF!</f>
        <v>#REF!</v>
      </c>
      <c r="H323" s="1399" t="s">
        <v>275</v>
      </c>
      <c r="I323" s="1399"/>
      <c r="J323" s="230" t="e">
        <f>'04-221Master'!#REF!</f>
        <v>#REF!</v>
      </c>
      <c r="K323" t="s">
        <v>276</v>
      </c>
      <c r="L323" s="14"/>
    </row>
    <row r="324" spans="1:12" ht="25.5" customHeight="1">
      <c r="A324" s="13"/>
      <c r="B324" s="1410" t="e">
        <f>'04-221Master'!#REF!</f>
        <v>#REF!</v>
      </c>
      <c r="C324" s="1411"/>
      <c r="D324" s="227"/>
      <c r="E324" s="227"/>
      <c r="F324" s="227"/>
      <c r="G324" s="227"/>
      <c r="H324" s="227"/>
      <c r="I324" s="227"/>
      <c r="J324" s="227"/>
      <c r="K324" s="227"/>
      <c r="L324" s="248"/>
    </row>
    <row r="325" spans="1:12" ht="24.75" customHeight="1">
      <c r="A325" s="13" t="s">
        <v>303</v>
      </c>
      <c r="B325" s="227" t="s">
        <v>277</v>
      </c>
      <c r="C325" s="227"/>
      <c r="D325" s="227"/>
      <c r="E325" s="227"/>
      <c r="F325" s="227"/>
      <c r="G325" s="227"/>
      <c r="H325" s="227"/>
      <c r="I325" s="227"/>
      <c r="J325" s="227"/>
      <c r="K325" s="227"/>
      <c r="L325" s="248"/>
    </row>
    <row r="326" spans="1:12" ht="27.95" customHeight="1">
      <c r="A326" s="13"/>
      <c r="B326" s="227" t="s">
        <v>302</v>
      </c>
      <c r="C326" s="227"/>
      <c r="D326" s="227"/>
      <c r="E326" s="227"/>
      <c r="F326" s="227"/>
      <c r="G326" s="227"/>
      <c r="H326" s="227"/>
      <c r="I326" s="227"/>
      <c r="J326" s="227"/>
      <c r="K326" s="227"/>
      <c r="L326" s="248"/>
    </row>
    <row r="327" spans="1:12" ht="27.95" customHeight="1">
      <c r="A327" s="13"/>
      <c r="B327" t="s">
        <v>278</v>
      </c>
      <c r="L327" s="14"/>
    </row>
    <row r="328" spans="1:12" ht="27.95" customHeight="1">
      <c r="A328" s="13"/>
      <c r="B328" s="2" t="s">
        <v>279</v>
      </c>
      <c r="F328" s="179"/>
      <c r="L328" s="14"/>
    </row>
    <row r="329" spans="1:12" ht="27.95" customHeight="1">
      <c r="A329" s="13"/>
      <c r="B329" s="2" t="s">
        <v>280</v>
      </c>
      <c r="L329" s="14"/>
    </row>
    <row r="330" spans="1:12" ht="27.95" customHeight="1">
      <c r="A330" s="13"/>
      <c r="B330" t="s">
        <v>281</v>
      </c>
      <c r="L330" s="14"/>
    </row>
    <row r="331" spans="1:12" ht="27.95" customHeight="1">
      <c r="A331" s="13"/>
      <c r="B331" t="s">
        <v>282</v>
      </c>
      <c r="L331" s="14"/>
    </row>
    <row r="332" spans="1:12" ht="27.95" customHeight="1">
      <c r="A332" s="13" t="s">
        <v>292</v>
      </c>
      <c r="B332" t="s">
        <v>283</v>
      </c>
      <c r="L332" s="14"/>
    </row>
    <row r="333" spans="1:12" ht="27.95" customHeight="1">
      <c r="A333" s="13"/>
      <c r="B333" s="239" t="s">
        <v>304</v>
      </c>
      <c r="L333" s="14"/>
    </row>
    <row r="334" spans="1:12" ht="27.95" customHeight="1">
      <c r="A334" s="13"/>
      <c r="B334" t="s">
        <v>278</v>
      </c>
      <c r="L334" s="14"/>
    </row>
    <row r="335" spans="1:12" ht="27.95" customHeight="1">
      <c r="A335" s="13"/>
      <c r="B335" t="s">
        <v>284</v>
      </c>
      <c r="L335" s="14"/>
    </row>
    <row r="336" spans="1:12" ht="27.95" customHeight="1">
      <c r="A336" s="13"/>
      <c r="B336" t="s">
        <v>285</v>
      </c>
      <c r="L336" s="14"/>
    </row>
    <row r="337" spans="1:12" ht="27.95" customHeight="1">
      <c r="A337" s="13"/>
      <c r="B337" s="1412" t="s">
        <v>286</v>
      </c>
      <c r="C337" s="1412"/>
      <c r="D337" s="1412"/>
      <c r="E337" s="1412"/>
      <c r="F337" s="1412"/>
      <c r="G337" s="1412"/>
      <c r="H337" s="1412"/>
      <c r="I337" s="1412"/>
      <c r="J337" s="1412"/>
      <c r="K337" s="1412"/>
      <c r="L337" s="1413"/>
    </row>
    <row r="338" spans="1:12" ht="27.95" customHeight="1">
      <c r="A338" s="13"/>
      <c r="B338" t="s">
        <v>198</v>
      </c>
      <c r="C338" s="289" t="e">
        <f>'04-221Master'!#REF!</f>
        <v>#REF!</v>
      </c>
      <c r="D338" s="209"/>
      <c r="E338" s="209"/>
      <c r="F338" s="209"/>
      <c r="G338" s="209"/>
      <c r="H338" s="209"/>
      <c r="I338" t="s">
        <v>305</v>
      </c>
      <c r="J338" s="209"/>
      <c r="K338" s="209"/>
      <c r="L338" s="240"/>
    </row>
    <row r="339" spans="1:12" ht="16.5" thickBot="1">
      <c r="A339" s="25"/>
      <c r="B339" s="1170"/>
      <c r="C339" s="1170"/>
      <c r="D339" s="1170"/>
      <c r="E339" s="1170"/>
      <c r="F339" s="1170"/>
      <c r="G339" s="1170"/>
      <c r="H339" s="1170"/>
      <c r="I339" s="1170"/>
      <c r="J339" s="1170"/>
      <c r="K339" s="1170"/>
      <c r="L339" s="1171"/>
    </row>
    <row r="340" spans="1:12">
      <c r="A340" s="74"/>
      <c r="B340" s="75"/>
      <c r="C340" s="75"/>
      <c r="D340" s="75"/>
      <c r="E340" s="75"/>
      <c r="F340" s="75"/>
      <c r="G340" s="75"/>
      <c r="H340" s="75"/>
      <c r="I340" s="79" t="s">
        <v>232</v>
      </c>
      <c r="J340" s="75"/>
      <c r="K340" s="75"/>
      <c r="L340" s="76"/>
    </row>
    <row r="341" spans="1:12">
      <c r="A341" s="13"/>
      <c r="B341" s="1400" t="s">
        <v>287</v>
      </c>
      <c r="C341" s="1400"/>
      <c r="D341" s="1400"/>
      <c r="E341" s="1400"/>
      <c r="F341" s="1400"/>
      <c r="G341" s="1400"/>
      <c r="H341" s="1400"/>
      <c r="I341" s="1400"/>
      <c r="J341" s="1400"/>
      <c r="K341" s="1400"/>
      <c r="L341" s="1401"/>
    </row>
    <row r="342" spans="1:12" ht="23.25">
      <c r="A342" s="13"/>
      <c r="B342" s="209"/>
      <c r="C342" s="209"/>
      <c r="D342" s="217" t="s">
        <v>234</v>
      </c>
      <c r="E342" s="209"/>
      <c r="F342" s="209"/>
      <c r="G342" s="209"/>
      <c r="H342" s="209"/>
      <c r="I342" s="211" t="s">
        <v>288</v>
      </c>
      <c r="J342" s="212"/>
      <c r="K342" s="293" t="e">
        <f>'04-221Master'!#REF!</f>
        <v>#REF!</v>
      </c>
      <c r="L342" s="242"/>
    </row>
    <row r="343" spans="1:12" ht="15.75">
      <c r="A343" s="13"/>
      <c r="B343" s="1"/>
      <c r="C343" s="1" t="s">
        <v>235</v>
      </c>
      <c r="E343" s="1"/>
      <c r="F343" s="1"/>
      <c r="G343" s="1"/>
      <c r="H343" s="1"/>
      <c r="I343" s="210" t="s">
        <v>289</v>
      </c>
      <c r="J343" s="231" t="str">
        <f>'04-221Master'!F5</f>
        <v>Burgeon IT Services Pvt.Ltd.</v>
      </c>
      <c r="K343" s="213"/>
      <c r="L343" s="243"/>
    </row>
    <row r="344" spans="1:12">
      <c r="A344" s="13"/>
      <c r="B344" s="218"/>
      <c r="C344" s="187" t="s">
        <v>236</v>
      </c>
      <c r="E344" s="218"/>
      <c r="F344" s="218"/>
      <c r="H344" s="188"/>
      <c r="I344" s="234" t="str">
        <f>'04-221Master'!F6</f>
        <v>Siri Mansion LIGB 436 Dr.A S Rao Nagar,Hyderabad</v>
      </c>
      <c r="J344" s="232"/>
      <c r="K344" s="233"/>
      <c r="L344" s="197"/>
    </row>
    <row r="345" spans="1:12">
      <c r="A345" s="13"/>
      <c r="L345" s="14"/>
    </row>
    <row r="346" spans="1:12" ht="20.25" customHeight="1">
      <c r="A346" s="13">
        <v>1</v>
      </c>
      <c r="B346" s="214" t="s">
        <v>237</v>
      </c>
      <c r="C346" s="64"/>
      <c r="D346" s="64"/>
      <c r="E346" s="64"/>
      <c r="F346" s="64"/>
      <c r="G346" s="65"/>
      <c r="H346" s="1366" t="e">
        <f>'04-221Master'!#REF!</f>
        <v>#REF!</v>
      </c>
      <c r="I346" s="1382"/>
      <c r="J346" s="1382"/>
      <c r="K346" s="1382"/>
      <c r="L346" s="1383"/>
    </row>
    <row r="347" spans="1:12" ht="11.25" customHeight="1">
      <c r="A347" s="13">
        <v>2</v>
      </c>
      <c r="B347" s="1402" t="s">
        <v>238</v>
      </c>
      <c r="C347" s="1403"/>
      <c r="D347" s="1403"/>
      <c r="E347" s="1403"/>
      <c r="F347" s="215" t="s">
        <v>239</v>
      </c>
      <c r="G347" s="199"/>
      <c r="H347" s="1404" t="e">
        <f>'04-221Master'!#REF!</f>
        <v>#REF!</v>
      </c>
      <c r="I347" s="1405"/>
      <c r="J347" s="1405"/>
      <c r="K347" s="1405"/>
      <c r="L347" s="1406"/>
    </row>
    <row r="348" spans="1:12" ht="11.25" customHeight="1">
      <c r="A348" s="13"/>
      <c r="B348" s="200" t="s">
        <v>240</v>
      </c>
      <c r="C348" s="201"/>
      <c r="D348" s="201"/>
      <c r="E348" s="201"/>
      <c r="F348" s="201" t="s">
        <v>233</v>
      </c>
      <c r="G348" s="202"/>
      <c r="H348" s="1407"/>
      <c r="I348" s="1408"/>
      <c r="J348" s="1408"/>
      <c r="K348" s="1408"/>
      <c r="L348" s="1409"/>
    </row>
    <row r="349" spans="1:12">
      <c r="A349" s="13">
        <v>3</v>
      </c>
      <c r="B349" s="216" t="s">
        <v>241</v>
      </c>
      <c r="C349" s="206"/>
      <c r="D349" s="206"/>
      <c r="E349" s="206"/>
      <c r="F349" s="206"/>
      <c r="G349" s="207"/>
      <c r="H349" s="1389" t="e">
        <f>'04-221Master'!#REF!</f>
        <v>#REF!</v>
      </c>
      <c r="I349" s="1390"/>
      <c r="J349" s="1390"/>
      <c r="K349" s="1390"/>
      <c r="L349" s="1391"/>
    </row>
    <row r="350" spans="1:12">
      <c r="A350" s="13">
        <v>4</v>
      </c>
      <c r="B350" s="192" t="s">
        <v>242</v>
      </c>
      <c r="C350" s="64"/>
      <c r="D350" s="64"/>
      <c r="E350" s="64"/>
      <c r="F350" s="64"/>
      <c r="G350" s="65"/>
      <c r="H350" s="1364" t="e">
        <f>'04-221Master'!#REF!</f>
        <v>#REF!</v>
      </c>
      <c r="I350" s="1377"/>
      <c r="J350" s="1377"/>
      <c r="K350" s="1377"/>
      <c r="L350" s="1365"/>
    </row>
    <row r="351" spans="1:12">
      <c r="A351" s="13">
        <v>5</v>
      </c>
      <c r="B351" s="1392" t="s">
        <v>290</v>
      </c>
      <c r="C351" s="1393"/>
      <c r="D351" s="1393"/>
      <c r="E351" s="1393"/>
      <c r="F351" s="1393"/>
      <c r="G351" s="65"/>
      <c r="H351" s="1381" t="s">
        <v>369</v>
      </c>
      <c r="I351" s="1382"/>
      <c r="J351" s="1382"/>
      <c r="K351" s="1382"/>
      <c r="L351" s="1383"/>
    </row>
    <row r="352" spans="1:12">
      <c r="A352" s="13">
        <v>6</v>
      </c>
      <c r="B352" s="205" t="s">
        <v>243</v>
      </c>
      <c r="C352" s="206" t="s">
        <v>244</v>
      </c>
      <c r="D352" s="206"/>
      <c r="E352" s="206"/>
      <c r="F352" s="206"/>
      <c r="G352" s="207"/>
      <c r="H352" s="216"/>
      <c r="I352" s="206"/>
      <c r="J352" s="206"/>
      <c r="K352" s="206"/>
      <c r="L352" s="244"/>
    </row>
    <row r="353" spans="1:12">
      <c r="A353" s="13"/>
      <c r="B353" s="205" t="s">
        <v>245</v>
      </c>
      <c r="C353" s="206" t="s">
        <v>246</v>
      </c>
      <c r="D353" s="206"/>
      <c r="E353" s="206"/>
      <c r="F353" s="206"/>
      <c r="G353" s="207"/>
      <c r="H353" s="216"/>
      <c r="I353" s="198"/>
      <c r="J353" s="198"/>
      <c r="K353" s="206"/>
      <c r="L353" s="244"/>
    </row>
    <row r="354" spans="1:12">
      <c r="A354" s="13">
        <v>7</v>
      </c>
      <c r="B354" s="1389" t="s">
        <v>247</v>
      </c>
      <c r="C354" s="1390"/>
      <c r="D354" s="1390"/>
      <c r="E354" s="1390"/>
      <c r="F354" s="1390"/>
      <c r="G354" s="1394"/>
      <c r="H354" s="220" t="s">
        <v>248</v>
      </c>
      <c r="I354" s="221"/>
      <c r="J354" s="222"/>
      <c r="K354" s="220" t="s">
        <v>249</v>
      </c>
      <c r="L354" s="245"/>
    </row>
    <row r="355" spans="1:12">
      <c r="A355" s="13">
        <v>8</v>
      </c>
      <c r="B355" s="1389" t="s">
        <v>291</v>
      </c>
      <c r="C355" s="1390"/>
      <c r="D355" s="1390"/>
      <c r="E355" s="1390"/>
      <c r="F355" s="1390"/>
      <c r="G355" s="1394"/>
      <c r="H355" s="220" t="s">
        <v>248</v>
      </c>
      <c r="I355" s="221"/>
      <c r="J355" s="222"/>
      <c r="K355" s="220" t="s">
        <v>249</v>
      </c>
      <c r="L355" s="245"/>
    </row>
    <row r="356" spans="1:12">
      <c r="A356" s="13"/>
      <c r="B356" s="192"/>
      <c r="C356" s="224"/>
      <c r="D356" s="224"/>
      <c r="E356" s="224"/>
      <c r="F356" s="224" t="s">
        <v>250</v>
      </c>
      <c r="G356" s="224"/>
      <c r="H356" s="224"/>
      <c r="I356" s="224"/>
      <c r="J356" s="224"/>
      <c r="K356" s="224"/>
      <c r="L356" s="246"/>
    </row>
    <row r="357" spans="1:12">
      <c r="A357" s="13">
        <v>9</v>
      </c>
      <c r="B357" s="205" t="s">
        <v>251</v>
      </c>
      <c r="C357" s="206" t="s">
        <v>252</v>
      </c>
      <c r="D357" s="206"/>
      <c r="E357" s="206"/>
      <c r="F357" s="206"/>
      <c r="G357" s="207"/>
      <c r="H357" s="216"/>
      <c r="I357" s="206"/>
      <c r="J357" s="206"/>
      <c r="K357" s="206"/>
      <c r="L357" s="244"/>
    </row>
    <row r="358" spans="1:12">
      <c r="A358" s="85"/>
      <c r="B358" s="205" t="s">
        <v>253</v>
      </c>
      <c r="C358" s="206" t="s">
        <v>254</v>
      </c>
      <c r="D358" s="206"/>
      <c r="E358" s="206"/>
      <c r="F358" s="206"/>
      <c r="G358" s="207"/>
      <c r="H358" s="216"/>
      <c r="I358" s="206"/>
      <c r="J358" s="206"/>
      <c r="K358" s="206"/>
      <c r="L358" s="244"/>
    </row>
    <row r="359" spans="1:12">
      <c r="A359" s="85"/>
      <c r="B359" s="205" t="s">
        <v>292</v>
      </c>
      <c r="C359" s="206" t="s">
        <v>293</v>
      </c>
      <c r="D359" s="206"/>
      <c r="E359" s="206"/>
      <c r="F359" s="206"/>
      <c r="G359" s="207"/>
      <c r="H359" s="216"/>
      <c r="I359" s="206"/>
      <c r="J359" s="206"/>
      <c r="K359" s="206"/>
      <c r="L359" s="244"/>
    </row>
    <row r="360" spans="1:12">
      <c r="A360" s="85"/>
      <c r="B360" s="205" t="s">
        <v>256</v>
      </c>
      <c r="C360" s="206" t="s">
        <v>257</v>
      </c>
      <c r="D360" s="206"/>
      <c r="E360" s="206"/>
      <c r="F360" s="206"/>
      <c r="G360" s="207"/>
      <c r="H360" s="216"/>
      <c r="I360" s="206"/>
      <c r="J360" s="206"/>
      <c r="K360" s="206"/>
      <c r="L360" s="244"/>
    </row>
    <row r="361" spans="1:12">
      <c r="A361" s="85"/>
      <c r="B361" s="205" t="s">
        <v>258</v>
      </c>
      <c r="C361" s="206" t="s">
        <v>259</v>
      </c>
      <c r="D361" s="206"/>
      <c r="E361" s="206"/>
      <c r="F361" s="206"/>
      <c r="G361" s="207"/>
      <c r="H361" s="216"/>
      <c r="I361" s="206"/>
      <c r="J361" s="206"/>
      <c r="K361" s="206"/>
      <c r="L361" s="244"/>
    </row>
    <row r="362" spans="1:12">
      <c r="A362" s="85">
        <v>10</v>
      </c>
      <c r="B362" s="205" t="s">
        <v>251</v>
      </c>
      <c r="C362" s="206" t="s">
        <v>294</v>
      </c>
      <c r="D362" s="206"/>
      <c r="E362" s="206"/>
      <c r="F362" s="206"/>
      <c r="G362" s="207"/>
      <c r="H362" s="220" t="s">
        <v>248</v>
      </c>
      <c r="I362" s="221"/>
      <c r="J362" s="222"/>
      <c r="K362" s="220" t="s">
        <v>249</v>
      </c>
      <c r="L362" s="245"/>
    </row>
    <row r="363" spans="1:12">
      <c r="A363" s="85"/>
      <c r="B363" s="205" t="s">
        <v>253</v>
      </c>
      <c r="C363" s="206" t="s">
        <v>295</v>
      </c>
      <c r="D363" s="206"/>
      <c r="E363" s="206"/>
      <c r="F363" s="206"/>
      <c r="G363" s="207"/>
      <c r="H363" s="216"/>
      <c r="I363" s="206"/>
      <c r="J363" s="206"/>
      <c r="K363" s="206"/>
      <c r="L363" s="244"/>
    </row>
    <row r="364" spans="1:12">
      <c r="A364" s="85"/>
      <c r="B364" s="205" t="s">
        <v>292</v>
      </c>
      <c r="C364" s="206" t="s">
        <v>260</v>
      </c>
      <c r="D364" s="206"/>
      <c r="E364" s="206"/>
      <c r="F364" s="206"/>
      <c r="G364" s="207"/>
      <c r="H364" s="216"/>
      <c r="I364" s="206"/>
      <c r="J364" s="206"/>
      <c r="K364" s="206"/>
      <c r="L364" s="244"/>
    </row>
    <row r="365" spans="1:12">
      <c r="A365" s="85"/>
      <c r="B365" s="205" t="s">
        <v>256</v>
      </c>
      <c r="C365" s="206" t="s">
        <v>296</v>
      </c>
      <c r="D365" s="206"/>
      <c r="E365" s="206"/>
      <c r="F365" s="206"/>
      <c r="G365" s="207"/>
      <c r="H365" s="216"/>
      <c r="I365" s="206"/>
      <c r="J365" s="206"/>
      <c r="K365" s="206"/>
      <c r="L365" s="244"/>
    </row>
    <row r="366" spans="1:12">
      <c r="A366" s="13"/>
      <c r="B366" s="192"/>
      <c r="C366" s="224"/>
      <c r="D366" s="224"/>
      <c r="E366" s="224" t="s">
        <v>297</v>
      </c>
      <c r="F366" s="224"/>
      <c r="G366" s="224"/>
      <c r="H366" s="224"/>
      <c r="I366" s="224"/>
      <c r="J366" s="224"/>
      <c r="K366" s="224"/>
      <c r="L366" s="246"/>
    </row>
    <row r="367" spans="1:12">
      <c r="A367" s="13">
        <v>11</v>
      </c>
      <c r="B367" s="205" t="s">
        <v>251</v>
      </c>
      <c r="C367" s="206" t="s">
        <v>261</v>
      </c>
      <c r="D367" s="206"/>
      <c r="E367" s="206"/>
      <c r="F367" s="206"/>
      <c r="G367" s="207"/>
      <c r="H367" s="216"/>
      <c r="I367" s="206"/>
      <c r="J367" s="206"/>
      <c r="K367" s="206"/>
      <c r="L367" s="244"/>
    </row>
    <row r="368" spans="1:12">
      <c r="A368" s="13"/>
      <c r="B368" s="205" t="s">
        <v>253</v>
      </c>
      <c r="C368" s="206" t="s">
        <v>262</v>
      </c>
      <c r="D368" s="206"/>
      <c r="E368" s="206"/>
      <c r="F368" s="206"/>
      <c r="G368" s="207"/>
      <c r="H368" s="216"/>
      <c r="I368" s="206"/>
      <c r="J368" s="206"/>
      <c r="K368" s="206"/>
      <c r="L368" s="244"/>
    </row>
    <row r="369" spans="1:12">
      <c r="A369" s="13"/>
      <c r="B369" s="205" t="s">
        <v>255</v>
      </c>
      <c r="C369" s="206" t="s">
        <v>263</v>
      </c>
      <c r="D369" s="206"/>
      <c r="E369" s="206"/>
      <c r="F369" s="206"/>
      <c r="G369" s="207"/>
      <c r="H369" s="216"/>
      <c r="I369" s="206"/>
      <c r="J369" s="206"/>
      <c r="K369" s="206"/>
      <c r="L369" s="244"/>
    </row>
    <row r="370" spans="1:12">
      <c r="A370" s="13"/>
      <c r="B370" s="180"/>
      <c r="C370" s="176"/>
      <c r="D370" s="176"/>
      <c r="E370" s="176"/>
      <c r="F370" s="225" t="s">
        <v>264</v>
      </c>
      <c r="G370" s="176"/>
      <c r="H370" s="165"/>
      <c r="I370" s="165"/>
      <c r="J370" s="165"/>
      <c r="K370" s="165"/>
      <c r="L370" s="183"/>
    </row>
    <row r="371" spans="1:12">
      <c r="A371" s="13"/>
      <c r="B371" s="237" t="s">
        <v>265</v>
      </c>
      <c r="C371" s="236" t="s">
        <v>266</v>
      </c>
      <c r="D371" s="176"/>
      <c r="E371" s="176"/>
      <c r="F371" s="176"/>
      <c r="G371" s="176"/>
      <c r="H371" s="165"/>
      <c r="I371" s="165"/>
      <c r="J371" s="166"/>
      <c r="K371" s="165"/>
      <c r="L371" s="183"/>
    </row>
    <row r="372" spans="1:12">
      <c r="A372" s="13"/>
      <c r="B372" s="237" t="s">
        <v>267</v>
      </c>
      <c r="C372" s="235" t="s">
        <v>268</v>
      </c>
      <c r="D372" s="165"/>
      <c r="E372" s="166"/>
      <c r="G372" s="1395"/>
      <c r="H372" s="1395"/>
      <c r="I372" s="181"/>
      <c r="J372" s="182"/>
      <c r="K372" s="1395"/>
      <c r="L372" s="1396"/>
    </row>
    <row r="373" spans="1:12">
      <c r="A373" s="13"/>
      <c r="B373" s="238" t="s">
        <v>269</v>
      </c>
      <c r="C373" s="1397" t="s">
        <v>298</v>
      </c>
      <c r="D373" s="1397"/>
      <c r="E373" s="1397"/>
      <c r="F373" s="1397"/>
      <c r="G373" s="1397"/>
      <c r="H373" s="1397"/>
      <c r="I373" s="1397"/>
      <c r="J373" s="1397"/>
      <c r="K373" s="1397"/>
      <c r="L373" s="1398"/>
    </row>
    <row r="374" spans="1:12" ht="27.95" customHeight="1">
      <c r="A374" s="13"/>
      <c r="B374" s="237" t="s">
        <v>270</v>
      </c>
      <c r="C374" s="236" t="s">
        <v>271</v>
      </c>
      <c r="D374" s="228"/>
      <c r="E374" s="228"/>
      <c r="F374" s="228"/>
      <c r="G374" s="228"/>
      <c r="H374" s="228"/>
      <c r="I374" s="228"/>
      <c r="J374" s="228"/>
      <c r="K374" s="228"/>
      <c r="L374" s="247"/>
    </row>
    <row r="375" spans="1:12" ht="27.95" customHeight="1">
      <c r="A375" s="13"/>
      <c r="B375" s="180"/>
      <c r="C375" t="s">
        <v>299</v>
      </c>
      <c r="D375" s="294" t="e">
        <f>'04-221Master'!#REF!</f>
        <v>#REF!</v>
      </c>
      <c r="E375" s="2"/>
      <c r="F375" s="2"/>
      <c r="G375" s="2"/>
      <c r="L375" s="14"/>
    </row>
    <row r="376" spans="1:12" ht="27.95" customHeight="1">
      <c r="A376" s="13"/>
      <c r="C376" t="s">
        <v>272</v>
      </c>
      <c r="D376" t="s">
        <v>361</v>
      </c>
      <c r="J376" t="s">
        <v>300</v>
      </c>
      <c r="L376" s="14"/>
    </row>
    <row r="377" spans="1:12" ht="27.95" customHeight="1">
      <c r="A377" s="13"/>
      <c r="F377" s="226" t="s">
        <v>273</v>
      </c>
      <c r="L377" s="14"/>
    </row>
    <row r="378" spans="1:12" ht="27.95" customHeight="1">
      <c r="A378" s="13" t="s">
        <v>301</v>
      </c>
      <c r="B378" t="s">
        <v>274</v>
      </c>
      <c r="E378" s="229" t="e">
        <f>'04-221Master'!#REF!</f>
        <v>#REF!</v>
      </c>
      <c r="H378" s="1399" t="s">
        <v>275</v>
      </c>
      <c r="I378" s="1399"/>
      <c r="J378" s="230" t="e">
        <f>'04-221Master'!#REF!</f>
        <v>#REF!</v>
      </c>
      <c r="K378" t="s">
        <v>276</v>
      </c>
      <c r="L378" s="14"/>
    </row>
    <row r="379" spans="1:12" ht="27.95" customHeight="1">
      <c r="A379" s="13"/>
      <c r="B379" s="1410" t="e">
        <f>'04-221Master'!#REF!</f>
        <v>#REF!</v>
      </c>
      <c r="C379" s="1411"/>
      <c r="D379" s="227"/>
      <c r="E379" s="227"/>
      <c r="F379" s="227"/>
      <c r="G379" s="227"/>
      <c r="H379" s="227"/>
      <c r="I379" s="227"/>
      <c r="J379" s="227"/>
      <c r="K379" s="227"/>
      <c r="L379" s="248"/>
    </row>
    <row r="380" spans="1:12" ht="27.95" customHeight="1">
      <c r="A380" s="13" t="s">
        <v>303</v>
      </c>
      <c r="B380" s="227" t="s">
        <v>277</v>
      </c>
      <c r="C380" s="227"/>
      <c r="D380" s="227"/>
      <c r="E380" s="227"/>
      <c r="F380" s="227"/>
      <c r="G380" s="227"/>
      <c r="H380" s="227"/>
      <c r="I380" s="227"/>
      <c r="J380" s="227"/>
      <c r="K380" s="227"/>
      <c r="L380" s="248"/>
    </row>
    <row r="381" spans="1:12" ht="27.95" customHeight="1">
      <c r="A381" s="13"/>
      <c r="B381" s="227" t="s">
        <v>302</v>
      </c>
      <c r="C381" s="227"/>
      <c r="D381" s="227"/>
      <c r="E381" s="227"/>
      <c r="F381" s="227"/>
      <c r="G381" s="227"/>
      <c r="H381" s="227"/>
      <c r="I381" s="227"/>
      <c r="J381" s="227"/>
      <c r="K381" s="227"/>
      <c r="L381" s="248"/>
    </row>
    <row r="382" spans="1:12" ht="27.95" customHeight="1">
      <c r="A382" s="13"/>
      <c r="B382" t="s">
        <v>278</v>
      </c>
      <c r="L382" s="14"/>
    </row>
    <row r="383" spans="1:12" ht="27.95" customHeight="1">
      <c r="A383" s="13"/>
      <c r="B383" s="2" t="s">
        <v>279</v>
      </c>
      <c r="F383" s="179"/>
      <c r="L383" s="14"/>
    </row>
    <row r="384" spans="1:12" ht="27.95" customHeight="1">
      <c r="A384" s="13"/>
      <c r="B384" s="2" t="s">
        <v>280</v>
      </c>
      <c r="L384" s="14"/>
    </row>
    <row r="385" spans="1:12" ht="27.95" customHeight="1">
      <c r="A385" s="13"/>
      <c r="B385" t="s">
        <v>281</v>
      </c>
      <c r="L385" s="14"/>
    </row>
    <row r="386" spans="1:12" ht="27.95" customHeight="1">
      <c r="A386" s="13"/>
      <c r="B386" t="s">
        <v>282</v>
      </c>
      <c r="L386" s="14"/>
    </row>
    <row r="387" spans="1:12" ht="27.95" customHeight="1">
      <c r="A387" s="13" t="s">
        <v>292</v>
      </c>
      <c r="B387" t="s">
        <v>283</v>
      </c>
      <c r="L387" s="14"/>
    </row>
    <row r="388" spans="1:12" ht="27.95" customHeight="1">
      <c r="A388" s="13"/>
      <c r="B388" s="239" t="s">
        <v>304</v>
      </c>
      <c r="L388" s="14"/>
    </row>
    <row r="389" spans="1:12" ht="27.95" customHeight="1">
      <c r="A389" s="13"/>
      <c r="B389" t="s">
        <v>278</v>
      </c>
      <c r="L389" s="14"/>
    </row>
    <row r="390" spans="1:12" ht="27.95" customHeight="1">
      <c r="A390" s="13"/>
      <c r="B390" t="s">
        <v>284</v>
      </c>
      <c r="L390" s="14"/>
    </row>
    <row r="391" spans="1:12">
      <c r="A391" s="13"/>
      <c r="B391" t="s">
        <v>285</v>
      </c>
      <c r="L391" s="14"/>
    </row>
    <row r="392" spans="1:12">
      <c r="A392" s="13"/>
      <c r="B392" s="1412" t="s">
        <v>286</v>
      </c>
      <c r="C392" s="1412"/>
      <c r="D392" s="1412"/>
      <c r="E392" s="1412"/>
      <c r="F392" s="1412"/>
      <c r="G392" s="1412"/>
      <c r="H392" s="1412"/>
      <c r="I392" s="1412"/>
      <c r="J392" s="1412"/>
      <c r="K392" s="1412"/>
      <c r="L392" s="1413"/>
    </row>
    <row r="393" spans="1:12" ht="23.25">
      <c r="A393" s="13"/>
      <c r="B393" t="s">
        <v>198</v>
      </c>
      <c r="C393" s="289" t="e">
        <f>'04-221Master'!#REF!</f>
        <v>#REF!</v>
      </c>
      <c r="D393" s="209"/>
      <c r="E393" s="209"/>
      <c r="F393" s="209"/>
      <c r="G393" s="209"/>
      <c r="H393" s="209"/>
      <c r="I393" t="s">
        <v>305</v>
      </c>
      <c r="J393" s="209"/>
      <c r="K393" s="209"/>
      <c r="L393" s="240"/>
    </row>
    <row r="394" spans="1:12" ht="16.5" thickBot="1">
      <c r="A394" s="25"/>
      <c r="B394" s="1170"/>
      <c r="C394" s="1170"/>
      <c r="D394" s="1170"/>
      <c r="E394" s="1170"/>
      <c r="F394" s="1170"/>
      <c r="G394" s="1170"/>
      <c r="H394" s="1170"/>
      <c r="I394" s="1170"/>
      <c r="J394" s="1170"/>
      <c r="K394" s="1170"/>
      <c r="L394" s="1171"/>
    </row>
    <row r="395" spans="1:12" ht="24" thickBot="1">
      <c r="B395" s="1167"/>
      <c r="C395" s="1167"/>
      <c r="D395" s="1167"/>
      <c r="E395" s="1167"/>
      <c r="F395" s="1167"/>
      <c r="G395" s="1167"/>
      <c r="H395" s="1167"/>
      <c r="I395" s="1167"/>
      <c r="J395" s="1167"/>
      <c r="K395" s="1167"/>
      <c r="L395" s="1167"/>
    </row>
    <row r="396" spans="1:12">
      <c r="A396" s="74"/>
      <c r="B396" s="75"/>
      <c r="C396" s="75"/>
      <c r="D396" s="75"/>
      <c r="E396" s="75"/>
      <c r="F396" s="75"/>
      <c r="G396" s="75"/>
      <c r="H396" s="75"/>
      <c r="I396" s="79" t="s">
        <v>232</v>
      </c>
      <c r="J396" s="75"/>
      <c r="K396" s="75"/>
      <c r="L396" s="76"/>
    </row>
    <row r="397" spans="1:12" ht="15" customHeight="1">
      <c r="A397" s="13"/>
      <c r="B397" s="1400" t="s">
        <v>287</v>
      </c>
      <c r="C397" s="1400"/>
      <c r="D397" s="1400"/>
      <c r="E397" s="1400"/>
      <c r="F397" s="1400"/>
      <c r="G397" s="1400"/>
      <c r="H397" s="1400"/>
      <c r="I397" s="1400"/>
      <c r="J397" s="1400"/>
      <c r="K397" s="1400"/>
      <c r="L397" s="1401"/>
    </row>
    <row r="398" spans="1:12" ht="23.25">
      <c r="A398" s="13"/>
      <c r="B398" s="209"/>
      <c r="C398" s="209"/>
      <c r="D398" s="217" t="s">
        <v>234</v>
      </c>
      <c r="E398" s="209"/>
      <c r="F398" s="209"/>
      <c r="G398" s="209"/>
      <c r="H398" s="209"/>
      <c r="I398" s="211" t="s">
        <v>288</v>
      </c>
      <c r="J398" s="212"/>
      <c r="K398" s="293" t="e">
        <f>'04-221Master'!#REF!</f>
        <v>#REF!</v>
      </c>
      <c r="L398" s="242"/>
    </row>
    <row r="399" spans="1:12" ht="15.75">
      <c r="A399" s="13"/>
      <c r="B399" s="1"/>
      <c r="C399" s="1" t="s">
        <v>235</v>
      </c>
      <c r="E399" s="1"/>
      <c r="F399" s="1"/>
      <c r="G399" s="1"/>
      <c r="H399" s="1"/>
      <c r="I399" s="210" t="s">
        <v>289</v>
      </c>
      <c r="J399" s="231" t="str">
        <f>'04-221Master'!F5</f>
        <v>Burgeon IT Services Pvt.Ltd.</v>
      </c>
      <c r="K399" s="213"/>
      <c r="L399" s="243"/>
    </row>
    <row r="400" spans="1:12">
      <c r="A400" s="13"/>
      <c r="B400" s="218"/>
      <c r="C400" s="187" t="s">
        <v>236</v>
      </c>
      <c r="E400" s="218"/>
      <c r="F400" s="218"/>
      <c r="H400" s="188"/>
      <c r="I400" s="234" t="str">
        <f>'04-221Master'!F6</f>
        <v>Siri Mansion LIGB 436 Dr.A S Rao Nagar,Hyderabad</v>
      </c>
      <c r="J400" s="232"/>
      <c r="K400" s="233"/>
      <c r="L400" s="197"/>
    </row>
    <row r="401" spans="1:12">
      <c r="A401" s="13"/>
      <c r="L401" s="14"/>
    </row>
    <row r="402" spans="1:12">
      <c r="A402" s="13">
        <v>1</v>
      </c>
      <c r="B402" s="214" t="s">
        <v>237</v>
      </c>
      <c r="C402" s="64"/>
      <c r="D402" s="64"/>
      <c r="E402" s="64"/>
      <c r="F402" s="64"/>
      <c r="G402" s="65"/>
      <c r="H402" s="1366" t="e">
        <f>'04-221Master'!#REF!</f>
        <v>#REF!</v>
      </c>
      <c r="I402" s="1382"/>
      <c r="J402" s="1382"/>
      <c r="K402" s="1382"/>
      <c r="L402" s="1383"/>
    </row>
    <row r="403" spans="1:12">
      <c r="A403" s="13">
        <v>2</v>
      </c>
      <c r="B403" s="1402" t="s">
        <v>238</v>
      </c>
      <c r="C403" s="1403"/>
      <c r="D403" s="1403"/>
      <c r="E403" s="1403"/>
      <c r="F403" s="215" t="s">
        <v>239</v>
      </c>
      <c r="G403" s="199"/>
      <c r="H403" s="1404" t="e">
        <f>'04-221Master'!#REF!</f>
        <v>#REF!</v>
      </c>
      <c r="I403" s="1405"/>
      <c r="J403" s="1405"/>
      <c r="K403" s="1405"/>
      <c r="L403" s="1406"/>
    </row>
    <row r="404" spans="1:12">
      <c r="A404" s="13"/>
      <c r="B404" s="200" t="s">
        <v>240</v>
      </c>
      <c r="C404" s="201"/>
      <c r="D404" s="201"/>
      <c r="E404" s="201"/>
      <c r="F404" s="201" t="s">
        <v>233</v>
      </c>
      <c r="G404" s="202"/>
      <c r="H404" s="1407"/>
      <c r="I404" s="1408"/>
      <c r="J404" s="1408"/>
      <c r="K404" s="1408"/>
      <c r="L404" s="1409"/>
    </row>
    <row r="405" spans="1:12">
      <c r="A405" s="13">
        <v>3</v>
      </c>
      <c r="B405" s="216" t="s">
        <v>241</v>
      </c>
      <c r="C405" s="206"/>
      <c r="D405" s="206"/>
      <c r="E405" s="206"/>
      <c r="F405" s="206"/>
      <c r="G405" s="207"/>
      <c r="H405" s="1389" t="e">
        <f>'04-221Master'!#REF!</f>
        <v>#REF!</v>
      </c>
      <c r="I405" s="1390"/>
      <c r="J405" s="1390"/>
      <c r="K405" s="1390"/>
      <c r="L405" s="1391"/>
    </row>
    <row r="406" spans="1:12">
      <c r="A406" s="13">
        <v>4</v>
      </c>
      <c r="B406" s="192" t="s">
        <v>242</v>
      </c>
      <c r="C406" s="64"/>
      <c r="D406" s="64"/>
      <c r="E406" s="64"/>
      <c r="F406" s="64"/>
      <c r="G406" s="65"/>
      <c r="H406" s="1364" t="e">
        <f>'04-221Master'!#REF!</f>
        <v>#REF!</v>
      </c>
      <c r="I406" s="1377"/>
      <c r="J406" s="1377"/>
      <c r="K406" s="1377"/>
      <c r="L406" s="1365"/>
    </row>
    <row r="407" spans="1:12">
      <c r="A407" s="13">
        <v>5</v>
      </c>
      <c r="B407" s="1392" t="s">
        <v>290</v>
      </c>
      <c r="C407" s="1393"/>
      <c r="D407" s="1393"/>
      <c r="E407" s="1393"/>
      <c r="F407" s="1393"/>
      <c r="G407" s="65"/>
      <c r="H407" s="1381" t="s">
        <v>369</v>
      </c>
      <c r="I407" s="1382"/>
      <c r="J407" s="1382"/>
      <c r="K407" s="1382"/>
      <c r="L407" s="1383"/>
    </row>
    <row r="408" spans="1:12">
      <c r="A408" s="13">
        <v>6</v>
      </c>
      <c r="B408" s="205" t="s">
        <v>243</v>
      </c>
      <c r="C408" s="206" t="s">
        <v>244</v>
      </c>
      <c r="D408" s="206"/>
      <c r="E408" s="206"/>
      <c r="F408" s="206"/>
      <c r="G408" s="207"/>
      <c r="H408" s="216"/>
      <c r="I408" s="206"/>
      <c r="J408" s="206"/>
      <c r="K408" s="206"/>
      <c r="L408" s="244"/>
    </row>
    <row r="409" spans="1:12">
      <c r="A409" s="13"/>
      <c r="B409" s="205" t="s">
        <v>245</v>
      </c>
      <c r="C409" s="206" t="s">
        <v>246</v>
      </c>
      <c r="D409" s="206"/>
      <c r="E409" s="206"/>
      <c r="F409" s="206"/>
      <c r="G409" s="207"/>
      <c r="H409" s="216"/>
      <c r="I409" s="198"/>
      <c r="J409" s="198"/>
      <c r="K409" s="206"/>
      <c r="L409" s="244"/>
    </row>
    <row r="410" spans="1:12">
      <c r="A410" s="13">
        <v>7</v>
      </c>
      <c r="B410" s="1389" t="s">
        <v>247</v>
      </c>
      <c r="C410" s="1390"/>
      <c r="D410" s="1390"/>
      <c r="E410" s="1390"/>
      <c r="F410" s="1390"/>
      <c r="G410" s="1394"/>
      <c r="H410" s="220" t="s">
        <v>248</v>
      </c>
      <c r="I410" s="221"/>
      <c r="J410" s="222"/>
      <c r="K410" s="220" t="s">
        <v>249</v>
      </c>
      <c r="L410" s="245"/>
    </row>
    <row r="411" spans="1:12">
      <c r="A411" s="13">
        <v>8</v>
      </c>
      <c r="B411" s="1389" t="s">
        <v>291</v>
      </c>
      <c r="C411" s="1390"/>
      <c r="D411" s="1390"/>
      <c r="E411" s="1390"/>
      <c r="F411" s="1390"/>
      <c r="G411" s="1394"/>
      <c r="H411" s="220" t="s">
        <v>248</v>
      </c>
      <c r="I411" s="221"/>
      <c r="J411" s="222"/>
      <c r="K411" s="220" t="s">
        <v>249</v>
      </c>
      <c r="L411" s="245"/>
    </row>
    <row r="412" spans="1:12" ht="27.95" customHeight="1">
      <c r="A412" s="13"/>
      <c r="B412" s="192"/>
      <c r="C412" s="224"/>
      <c r="D412" s="224"/>
      <c r="E412" s="224"/>
      <c r="F412" s="224" t="s">
        <v>250</v>
      </c>
      <c r="G412" s="224"/>
      <c r="H412" s="224"/>
      <c r="I412" s="224"/>
      <c r="J412" s="224"/>
      <c r="K412" s="224"/>
      <c r="L412" s="246"/>
    </row>
    <row r="413" spans="1:12" ht="27.95" customHeight="1">
      <c r="A413" s="13">
        <v>9</v>
      </c>
      <c r="B413" s="205" t="s">
        <v>251</v>
      </c>
      <c r="C413" s="206" t="s">
        <v>252</v>
      </c>
      <c r="D413" s="206"/>
      <c r="E413" s="206"/>
      <c r="F413" s="206"/>
      <c r="G413" s="207"/>
      <c r="H413" s="216"/>
      <c r="I413" s="206"/>
      <c r="J413" s="206"/>
      <c r="K413" s="206"/>
      <c r="L413" s="244"/>
    </row>
    <row r="414" spans="1:12" ht="27.95" customHeight="1">
      <c r="A414" s="85"/>
      <c r="B414" s="205" t="s">
        <v>253</v>
      </c>
      <c r="C414" s="206" t="s">
        <v>254</v>
      </c>
      <c r="D414" s="206"/>
      <c r="E414" s="206"/>
      <c r="F414" s="206"/>
      <c r="G414" s="207"/>
      <c r="H414" s="216"/>
      <c r="I414" s="206"/>
      <c r="J414" s="206"/>
      <c r="K414" s="206"/>
      <c r="L414" s="244"/>
    </row>
    <row r="415" spans="1:12" ht="27.95" customHeight="1">
      <c r="A415" s="85"/>
      <c r="B415" s="205" t="s">
        <v>292</v>
      </c>
      <c r="C415" s="206" t="s">
        <v>293</v>
      </c>
      <c r="D415" s="206"/>
      <c r="E415" s="206"/>
      <c r="F415" s="206"/>
      <c r="G415" s="207"/>
      <c r="H415" s="216"/>
      <c r="I415" s="206"/>
      <c r="J415" s="206"/>
      <c r="K415" s="206"/>
      <c r="L415" s="244"/>
    </row>
    <row r="416" spans="1:12" ht="27.95" customHeight="1">
      <c r="A416" s="85"/>
      <c r="B416" s="205" t="s">
        <v>256</v>
      </c>
      <c r="C416" s="206" t="s">
        <v>257</v>
      </c>
      <c r="D416" s="206"/>
      <c r="E416" s="206"/>
      <c r="F416" s="206"/>
      <c r="G416" s="207"/>
      <c r="H416" s="216"/>
      <c r="I416" s="206"/>
      <c r="J416" s="206"/>
      <c r="K416" s="206"/>
      <c r="L416" s="244"/>
    </row>
    <row r="417" spans="1:12" ht="27.95" customHeight="1">
      <c r="A417" s="85"/>
      <c r="B417" s="205" t="s">
        <v>258</v>
      </c>
      <c r="C417" s="206" t="s">
        <v>259</v>
      </c>
      <c r="D417" s="206"/>
      <c r="E417" s="206"/>
      <c r="F417" s="206"/>
      <c r="G417" s="207"/>
      <c r="H417" s="216"/>
      <c r="I417" s="206"/>
      <c r="J417" s="206"/>
      <c r="K417" s="206"/>
      <c r="L417" s="244"/>
    </row>
    <row r="418" spans="1:12" ht="27.95" customHeight="1">
      <c r="A418" s="85">
        <v>10</v>
      </c>
      <c r="B418" s="205" t="s">
        <v>251</v>
      </c>
      <c r="C418" s="206" t="s">
        <v>294</v>
      </c>
      <c r="D418" s="206"/>
      <c r="E418" s="206"/>
      <c r="F418" s="206"/>
      <c r="G418" s="207"/>
      <c r="H418" s="220" t="s">
        <v>248</v>
      </c>
      <c r="I418" s="221"/>
      <c r="J418" s="222"/>
      <c r="K418" s="220" t="s">
        <v>249</v>
      </c>
      <c r="L418" s="245"/>
    </row>
    <row r="419" spans="1:12" ht="27.95" customHeight="1">
      <c r="A419" s="85"/>
      <c r="B419" s="205" t="s">
        <v>253</v>
      </c>
      <c r="C419" s="206" t="s">
        <v>295</v>
      </c>
      <c r="D419" s="206"/>
      <c r="E419" s="206"/>
      <c r="F419" s="206"/>
      <c r="G419" s="207"/>
      <c r="H419" s="216"/>
      <c r="I419" s="206"/>
      <c r="J419" s="206"/>
      <c r="K419" s="206"/>
      <c r="L419" s="244"/>
    </row>
    <row r="420" spans="1:12" ht="27.95" customHeight="1">
      <c r="A420" s="85"/>
      <c r="B420" s="205" t="s">
        <v>292</v>
      </c>
      <c r="C420" s="206" t="s">
        <v>260</v>
      </c>
      <c r="D420" s="206"/>
      <c r="E420" s="206"/>
      <c r="F420" s="206"/>
      <c r="G420" s="207"/>
      <c r="H420" s="216"/>
      <c r="I420" s="206"/>
      <c r="J420" s="206"/>
      <c r="K420" s="206"/>
      <c r="L420" s="244"/>
    </row>
    <row r="421" spans="1:12" ht="27.95" customHeight="1">
      <c r="A421" s="85"/>
      <c r="B421" s="205" t="s">
        <v>256</v>
      </c>
      <c r="C421" s="206" t="s">
        <v>296</v>
      </c>
      <c r="D421" s="206"/>
      <c r="E421" s="206"/>
      <c r="F421" s="206"/>
      <c r="G421" s="207"/>
      <c r="H421" s="216"/>
      <c r="I421" s="206"/>
      <c r="J421" s="206"/>
      <c r="K421" s="206"/>
      <c r="L421" s="244"/>
    </row>
    <row r="422" spans="1:12" ht="27.95" customHeight="1">
      <c r="A422" s="13"/>
      <c r="B422" s="192"/>
      <c r="C422" s="224"/>
      <c r="D422" s="224"/>
      <c r="E422" s="224" t="s">
        <v>297</v>
      </c>
      <c r="F422" s="224"/>
      <c r="G422" s="224"/>
      <c r="H422" s="224"/>
      <c r="I422" s="224"/>
      <c r="J422" s="224"/>
      <c r="K422" s="224"/>
      <c r="L422" s="246"/>
    </row>
    <row r="423" spans="1:12" ht="27.95" customHeight="1">
      <c r="A423" s="13">
        <v>11</v>
      </c>
      <c r="B423" s="205" t="s">
        <v>251</v>
      </c>
      <c r="C423" s="206" t="s">
        <v>261</v>
      </c>
      <c r="D423" s="206"/>
      <c r="E423" s="206"/>
      <c r="F423" s="206"/>
      <c r="G423" s="207"/>
      <c r="H423" s="216"/>
      <c r="I423" s="206"/>
      <c r="J423" s="206"/>
      <c r="K423" s="206"/>
      <c r="L423" s="244"/>
    </row>
    <row r="424" spans="1:12" ht="27.95" customHeight="1">
      <c r="A424" s="13"/>
      <c r="B424" s="205" t="s">
        <v>253</v>
      </c>
      <c r="C424" s="206" t="s">
        <v>262</v>
      </c>
      <c r="D424" s="206"/>
      <c r="E424" s="206"/>
      <c r="F424" s="206"/>
      <c r="G424" s="207"/>
      <c r="H424" s="216"/>
      <c r="I424" s="206"/>
      <c r="J424" s="206"/>
      <c r="K424" s="206"/>
      <c r="L424" s="244"/>
    </row>
    <row r="425" spans="1:12" ht="27.95" customHeight="1">
      <c r="A425" s="13"/>
      <c r="B425" s="205" t="s">
        <v>255</v>
      </c>
      <c r="C425" s="206" t="s">
        <v>263</v>
      </c>
      <c r="D425" s="206"/>
      <c r="E425" s="206"/>
      <c r="F425" s="206"/>
      <c r="G425" s="207"/>
      <c r="H425" s="216"/>
      <c r="I425" s="206"/>
      <c r="J425" s="206"/>
      <c r="K425" s="206"/>
      <c r="L425" s="244"/>
    </row>
    <row r="426" spans="1:12" ht="27.95" customHeight="1">
      <c r="A426" s="13"/>
      <c r="B426" s="180"/>
      <c r="C426" s="176"/>
      <c r="D426" s="176"/>
      <c r="E426" s="176"/>
      <c r="F426" s="225" t="s">
        <v>264</v>
      </c>
      <c r="G426" s="176"/>
      <c r="H426" s="165"/>
      <c r="I426" s="165"/>
      <c r="J426" s="165"/>
      <c r="K426" s="165"/>
      <c r="L426" s="183"/>
    </row>
    <row r="427" spans="1:12" ht="27.95" customHeight="1">
      <c r="A427" s="13"/>
      <c r="B427" s="237" t="s">
        <v>265</v>
      </c>
      <c r="C427" s="236" t="s">
        <v>266</v>
      </c>
      <c r="D427" s="176"/>
      <c r="E427" s="176"/>
      <c r="F427" s="176"/>
      <c r="G427" s="176"/>
      <c r="H427" s="165"/>
      <c r="I427" s="165"/>
      <c r="J427" s="166"/>
      <c r="K427" s="165"/>
      <c r="L427" s="183"/>
    </row>
    <row r="428" spans="1:12" ht="27.95" customHeight="1">
      <c r="A428" s="13"/>
      <c r="B428" s="237" t="s">
        <v>267</v>
      </c>
      <c r="C428" s="235" t="s">
        <v>268</v>
      </c>
      <c r="D428" s="165"/>
      <c r="E428" s="166"/>
      <c r="G428" s="1395"/>
      <c r="H428" s="1395"/>
      <c r="I428" s="181"/>
      <c r="J428" s="182"/>
      <c r="K428" s="1395"/>
      <c r="L428" s="1396"/>
    </row>
    <row r="429" spans="1:12" ht="27.95" customHeight="1">
      <c r="A429" s="13"/>
      <c r="B429" s="238" t="s">
        <v>269</v>
      </c>
      <c r="C429" s="1397" t="s">
        <v>298</v>
      </c>
      <c r="D429" s="1397"/>
      <c r="E429" s="1397"/>
      <c r="F429" s="1397"/>
      <c r="G429" s="1397"/>
      <c r="H429" s="1397"/>
      <c r="I429" s="1397"/>
      <c r="J429" s="1397"/>
      <c r="K429" s="1397"/>
      <c r="L429" s="1398"/>
    </row>
    <row r="430" spans="1:12">
      <c r="A430" s="13"/>
      <c r="B430" s="237" t="s">
        <v>270</v>
      </c>
      <c r="C430" s="236" t="s">
        <v>271</v>
      </c>
      <c r="D430" s="228"/>
      <c r="E430" s="228"/>
      <c r="F430" s="228"/>
      <c r="G430" s="228"/>
      <c r="H430" s="228"/>
      <c r="I430" s="228"/>
      <c r="J430" s="228"/>
      <c r="K430" s="228"/>
      <c r="L430" s="247"/>
    </row>
    <row r="431" spans="1:12">
      <c r="A431" s="13"/>
      <c r="B431" s="180"/>
      <c r="C431" t="s">
        <v>299</v>
      </c>
      <c r="D431" s="294" t="e">
        <f>'04-221Master'!#REF!</f>
        <v>#REF!</v>
      </c>
      <c r="E431" s="2"/>
      <c r="F431" s="2"/>
      <c r="G431" s="2"/>
      <c r="L431" s="14"/>
    </row>
    <row r="432" spans="1:12">
      <c r="A432" s="13"/>
      <c r="C432" t="s">
        <v>272</v>
      </c>
      <c r="D432" t="s">
        <v>361</v>
      </c>
      <c r="J432" t="s">
        <v>300</v>
      </c>
      <c r="L432" s="14"/>
    </row>
    <row r="433" spans="1:12">
      <c r="A433" s="13"/>
      <c r="F433" s="226" t="s">
        <v>273</v>
      </c>
      <c r="L433" s="14"/>
    </row>
    <row r="434" spans="1:12">
      <c r="A434" s="13" t="s">
        <v>301</v>
      </c>
      <c r="B434" t="s">
        <v>274</v>
      </c>
      <c r="E434" s="229" t="e">
        <f>'04-221Master'!#REF!</f>
        <v>#REF!</v>
      </c>
      <c r="H434" s="1399" t="s">
        <v>275</v>
      </c>
      <c r="I434" s="1399"/>
      <c r="J434" s="230" t="e">
        <f>'04-221Master'!#REF!</f>
        <v>#REF!</v>
      </c>
      <c r="K434" t="s">
        <v>276</v>
      </c>
      <c r="L434" s="14"/>
    </row>
    <row r="435" spans="1:12">
      <c r="A435" s="13"/>
      <c r="B435" s="1410" t="e">
        <f>'04-221Master'!#REF!</f>
        <v>#REF!</v>
      </c>
      <c r="C435" s="1411"/>
      <c r="D435" s="227"/>
      <c r="E435" s="227"/>
      <c r="F435" s="227"/>
      <c r="G435" s="227"/>
      <c r="H435" s="227"/>
      <c r="I435" s="227"/>
      <c r="J435" s="227"/>
      <c r="K435" s="227"/>
      <c r="L435" s="248"/>
    </row>
    <row r="436" spans="1:12" ht="15" customHeight="1">
      <c r="A436" s="13" t="s">
        <v>303</v>
      </c>
      <c r="B436" s="227" t="s">
        <v>277</v>
      </c>
      <c r="C436" s="227"/>
      <c r="D436" s="227"/>
      <c r="E436" s="227"/>
      <c r="F436" s="227"/>
      <c r="G436" s="227"/>
      <c r="H436" s="227"/>
      <c r="I436" s="227"/>
      <c r="J436" s="227"/>
      <c r="K436" s="227"/>
      <c r="L436" s="248"/>
    </row>
    <row r="437" spans="1:12">
      <c r="A437" s="13"/>
      <c r="B437" s="227" t="s">
        <v>302</v>
      </c>
      <c r="C437" s="227"/>
      <c r="D437" s="227"/>
      <c r="E437" s="227"/>
      <c r="F437" s="227"/>
      <c r="G437" s="227"/>
      <c r="H437" s="227"/>
      <c r="I437" s="227"/>
      <c r="J437" s="227"/>
      <c r="K437" s="227"/>
      <c r="L437" s="248"/>
    </row>
    <row r="438" spans="1:12">
      <c r="A438" s="13"/>
      <c r="B438" t="s">
        <v>278</v>
      </c>
      <c r="L438" s="14"/>
    </row>
    <row r="439" spans="1:12" ht="18.75">
      <c r="A439" s="13"/>
      <c r="B439" s="2" t="s">
        <v>279</v>
      </c>
      <c r="F439" s="179"/>
      <c r="L439" s="14"/>
    </row>
    <row r="440" spans="1:12">
      <c r="A440" s="13"/>
      <c r="B440" s="2" t="s">
        <v>280</v>
      </c>
      <c r="L440" s="14"/>
    </row>
    <row r="441" spans="1:12">
      <c r="A441" s="13"/>
      <c r="B441" t="s">
        <v>281</v>
      </c>
      <c r="L441" s="14"/>
    </row>
    <row r="442" spans="1:12">
      <c r="A442" s="13"/>
      <c r="B442" t="s">
        <v>282</v>
      </c>
      <c r="L442" s="14"/>
    </row>
    <row r="443" spans="1:12">
      <c r="A443" s="13" t="s">
        <v>292</v>
      </c>
      <c r="B443" t="s">
        <v>283</v>
      </c>
      <c r="L443" s="14"/>
    </row>
    <row r="444" spans="1:12">
      <c r="A444" s="13"/>
      <c r="B444" s="239" t="s">
        <v>304</v>
      </c>
      <c r="L444" s="14"/>
    </row>
    <row r="445" spans="1:12">
      <c r="A445" s="13"/>
      <c r="B445" t="s">
        <v>278</v>
      </c>
      <c r="L445" s="14"/>
    </row>
    <row r="446" spans="1:12">
      <c r="A446" s="13"/>
      <c r="B446" t="s">
        <v>284</v>
      </c>
      <c r="L446" s="14"/>
    </row>
    <row r="447" spans="1:12">
      <c r="A447" s="13"/>
      <c r="B447" t="s">
        <v>285</v>
      </c>
      <c r="L447" s="14"/>
    </row>
    <row r="448" spans="1:12">
      <c r="A448" s="13"/>
      <c r="B448" s="1412" t="s">
        <v>286</v>
      </c>
      <c r="C448" s="1412"/>
      <c r="D448" s="1412"/>
      <c r="E448" s="1412"/>
      <c r="F448" s="1412"/>
      <c r="G448" s="1412"/>
      <c r="H448" s="1412"/>
      <c r="I448" s="1412"/>
      <c r="J448" s="1412"/>
      <c r="K448" s="1412"/>
      <c r="L448" s="1413"/>
    </row>
    <row r="449" spans="1:12" ht="23.25">
      <c r="A449" s="13"/>
      <c r="B449" t="s">
        <v>198</v>
      </c>
      <c r="C449" s="289" t="e">
        <f>'04-221Master'!#REF!</f>
        <v>#REF!</v>
      </c>
      <c r="D449" s="209"/>
      <c r="E449" s="209"/>
      <c r="F449" s="209"/>
      <c r="G449" s="209"/>
      <c r="H449" s="209"/>
      <c r="I449" t="s">
        <v>305</v>
      </c>
      <c r="J449" s="209"/>
      <c r="K449" s="209"/>
      <c r="L449" s="240"/>
    </row>
    <row r="450" spans="1:12" ht="16.5" thickBot="1">
      <c r="A450" s="25"/>
      <c r="B450" s="1170"/>
      <c r="C450" s="1170"/>
      <c r="D450" s="1170"/>
      <c r="E450" s="1170"/>
      <c r="F450" s="1170"/>
      <c r="G450" s="1170"/>
      <c r="H450" s="1170"/>
      <c r="I450" s="1170"/>
      <c r="J450" s="1170"/>
      <c r="K450" s="1170"/>
      <c r="L450" s="1171"/>
    </row>
    <row r="451" spans="1:12" ht="21.75" customHeight="1">
      <c r="A451" s="74"/>
      <c r="B451" s="75"/>
      <c r="C451" s="75"/>
      <c r="D451" s="75"/>
      <c r="E451" s="75"/>
      <c r="F451" s="75"/>
      <c r="G451" s="75"/>
      <c r="H451" s="75"/>
      <c r="I451" s="79" t="s">
        <v>232</v>
      </c>
      <c r="J451" s="75"/>
      <c r="K451" s="75"/>
      <c r="L451" s="76"/>
    </row>
    <row r="452" spans="1:12" ht="12" customHeight="1">
      <c r="A452" s="13"/>
      <c r="B452" s="1400" t="s">
        <v>287</v>
      </c>
      <c r="C452" s="1400"/>
      <c r="D452" s="1400"/>
      <c r="E452" s="1400"/>
      <c r="F452" s="1400"/>
      <c r="G452" s="1400"/>
      <c r="H452" s="1400"/>
      <c r="I452" s="1400"/>
      <c r="J452" s="1400"/>
      <c r="K452" s="1400"/>
      <c r="L452" s="1401"/>
    </row>
    <row r="453" spans="1:12" ht="27.95" customHeight="1">
      <c r="A453" s="13"/>
      <c r="B453" s="209"/>
      <c r="C453" s="209"/>
      <c r="D453" s="217" t="s">
        <v>234</v>
      </c>
      <c r="E453" s="209"/>
      <c r="F453" s="209"/>
      <c r="G453" s="209"/>
      <c r="H453" s="209"/>
      <c r="I453" s="211" t="s">
        <v>288</v>
      </c>
      <c r="J453" s="212"/>
      <c r="K453" s="293" t="e">
        <f>'04-221Master'!#REF!</f>
        <v>#REF!</v>
      </c>
      <c r="L453" s="242"/>
    </row>
    <row r="454" spans="1:12" ht="27.95" customHeight="1">
      <c r="A454" s="13"/>
      <c r="B454" s="1"/>
      <c r="C454" s="1" t="s">
        <v>235</v>
      </c>
      <c r="E454" s="1"/>
      <c r="F454" s="1"/>
      <c r="G454" s="1"/>
      <c r="H454" s="1"/>
      <c r="I454" s="210" t="s">
        <v>289</v>
      </c>
      <c r="J454" s="231" t="str">
        <f>'04-221Master'!F5</f>
        <v>Burgeon IT Services Pvt.Ltd.</v>
      </c>
      <c r="K454" s="213"/>
      <c r="L454" s="243"/>
    </row>
    <row r="455" spans="1:12" ht="24" customHeight="1">
      <c r="A455" s="13"/>
      <c r="B455" s="218"/>
      <c r="C455" s="187" t="s">
        <v>236</v>
      </c>
      <c r="E455" s="218"/>
      <c r="F455" s="218"/>
      <c r="H455" s="188"/>
      <c r="I455" s="234" t="str">
        <f>'04-221Master'!F6</f>
        <v>Siri Mansion LIGB 436 Dr.A S Rao Nagar,Hyderabad</v>
      </c>
      <c r="J455" s="232"/>
      <c r="K455" s="233"/>
      <c r="L455" s="197"/>
    </row>
    <row r="456" spans="1:12" ht="27.95" customHeight="1">
      <c r="A456" s="13">
        <v>1</v>
      </c>
      <c r="B456" s="214" t="s">
        <v>237</v>
      </c>
      <c r="C456" s="64"/>
      <c r="D456" s="64"/>
      <c r="E456" s="64"/>
      <c r="F456" s="64"/>
      <c r="G456" s="65"/>
      <c r="H456" s="1366" t="e">
        <f>'04-221Master'!#REF!</f>
        <v>#REF!</v>
      </c>
      <c r="I456" s="1382"/>
      <c r="J456" s="1382"/>
      <c r="K456" s="1382"/>
      <c r="L456" s="1383"/>
    </row>
    <row r="457" spans="1:12" ht="21" customHeight="1">
      <c r="A457" s="13">
        <v>2</v>
      </c>
      <c r="B457" s="1402" t="s">
        <v>238</v>
      </c>
      <c r="C457" s="1403"/>
      <c r="D457" s="1403"/>
      <c r="E457" s="1403"/>
      <c r="F457" s="215" t="s">
        <v>239</v>
      </c>
      <c r="G457" s="199"/>
      <c r="H457" s="1404" t="e">
        <f>'04-221Master'!#REF!</f>
        <v>#REF!</v>
      </c>
      <c r="I457" s="1405"/>
      <c r="J457" s="1405"/>
      <c r="K457" s="1405"/>
      <c r="L457" s="1406"/>
    </row>
    <row r="458" spans="1:12" ht="12" customHeight="1">
      <c r="A458" s="13"/>
      <c r="B458" s="200" t="s">
        <v>240</v>
      </c>
      <c r="C458" s="201"/>
      <c r="D458" s="201"/>
      <c r="E458" s="201"/>
      <c r="F458" s="201" t="s">
        <v>233</v>
      </c>
      <c r="G458" s="202"/>
      <c r="H458" s="1407"/>
      <c r="I458" s="1408"/>
      <c r="J458" s="1408"/>
      <c r="K458" s="1408"/>
      <c r="L458" s="1409"/>
    </row>
    <row r="459" spans="1:12" ht="27.95" customHeight="1">
      <c r="A459" s="13">
        <v>3</v>
      </c>
      <c r="B459" s="216" t="s">
        <v>241</v>
      </c>
      <c r="C459" s="206"/>
      <c r="D459" s="206"/>
      <c r="E459" s="206"/>
      <c r="F459" s="206"/>
      <c r="G459" s="207"/>
      <c r="H459" s="1389" t="e">
        <f>'04-221Master'!#REF!</f>
        <v>#REF!</v>
      </c>
      <c r="I459" s="1390"/>
      <c r="J459" s="1390"/>
      <c r="K459" s="1390"/>
      <c r="L459" s="1391"/>
    </row>
    <row r="460" spans="1:12" ht="23.25" customHeight="1">
      <c r="A460" s="13">
        <v>4</v>
      </c>
      <c r="B460" s="192" t="s">
        <v>242</v>
      </c>
      <c r="C460" s="64"/>
      <c r="D460" s="64"/>
      <c r="E460" s="64"/>
      <c r="F460" s="64"/>
      <c r="G460" s="65"/>
      <c r="H460" s="1364" t="e">
        <f>'04-221Master'!#REF!</f>
        <v>#REF!</v>
      </c>
      <c r="I460" s="1377"/>
      <c r="J460" s="1377"/>
      <c r="K460" s="1377"/>
      <c r="L460" s="1365"/>
    </row>
    <row r="461" spans="1:12" ht="27.95" customHeight="1">
      <c r="A461" s="13">
        <v>5</v>
      </c>
      <c r="B461" s="1392" t="s">
        <v>290</v>
      </c>
      <c r="C461" s="1393"/>
      <c r="D461" s="1393"/>
      <c r="E461" s="1393"/>
      <c r="F461" s="1393"/>
      <c r="G461" s="65"/>
      <c r="H461" s="1381" t="s">
        <v>369</v>
      </c>
      <c r="I461" s="1382"/>
      <c r="J461" s="1382"/>
      <c r="K461" s="1382"/>
      <c r="L461" s="1383"/>
    </row>
    <row r="462" spans="1:12" ht="27.95" customHeight="1">
      <c r="A462" s="13">
        <v>6</v>
      </c>
      <c r="B462" s="205" t="s">
        <v>243</v>
      </c>
      <c r="C462" s="206" t="s">
        <v>244</v>
      </c>
      <c r="D462" s="206"/>
      <c r="E462" s="206"/>
      <c r="F462" s="206"/>
      <c r="G462" s="207"/>
      <c r="H462" s="216"/>
      <c r="I462" s="206"/>
      <c r="J462" s="206"/>
      <c r="K462" s="206"/>
      <c r="L462" s="244"/>
    </row>
    <row r="463" spans="1:12" ht="27.95" customHeight="1">
      <c r="A463" s="13"/>
      <c r="B463" s="205" t="s">
        <v>245</v>
      </c>
      <c r="C463" s="206" t="s">
        <v>246</v>
      </c>
      <c r="D463" s="206"/>
      <c r="E463" s="206"/>
      <c r="F463" s="206"/>
      <c r="G463" s="207"/>
      <c r="H463" s="216"/>
      <c r="I463" s="198"/>
      <c r="J463" s="198"/>
      <c r="K463" s="206"/>
      <c r="L463" s="244"/>
    </row>
    <row r="464" spans="1:12" ht="27.95" customHeight="1">
      <c r="A464" s="13">
        <v>7</v>
      </c>
      <c r="B464" s="1389" t="s">
        <v>247</v>
      </c>
      <c r="C464" s="1390"/>
      <c r="D464" s="1390"/>
      <c r="E464" s="1390"/>
      <c r="F464" s="1390"/>
      <c r="G464" s="1394"/>
      <c r="H464" s="220" t="s">
        <v>248</v>
      </c>
      <c r="I464" s="221"/>
      <c r="J464" s="222"/>
      <c r="K464" s="220" t="s">
        <v>249</v>
      </c>
      <c r="L464" s="245"/>
    </row>
    <row r="465" spans="1:12" ht="27.95" customHeight="1">
      <c r="A465" s="13">
        <v>8</v>
      </c>
      <c r="B465" s="1389" t="s">
        <v>291</v>
      </c>
      <c r="C465" s="1390"/>
      <c r="D465" s="1390"/>
      <c r="E465" s="1390"/>
      <c r="F465" s="1390"/>
      <c r="G465" s="1394"/>
      <c r="H465" s="220" t="s">
        <v>248</v>
      </c>
      <c r="I465" s="221"/>
      <c r="J465" s="222"/>
      <c r="K465" s="220" t="s">
        <v>249</v>
      </c>
      <c r="L465" s="245"/>
    </row>
    <row r="466" spans="1:12" ht="27.95" customHeight="1">
      <c r="A466" s="13"/>
      <c r="B466" s="192"/>
      <c r="C466" s="224"/>
      <c r="D466" s="224"/>
      <c r="E466" s="224"/>
      <c r="F466" s="224" t="s">
        <v>250</v>
      </c>
      <c r="G466" s="224"/>
      <c r="H466" s="224"/>
      <c r="I466" s="224"/>
      <c r="J466" s="224"/>
      <c r="K466" s="224"/>
      <c r="L466" s="246"/>
    </row>
    <row r="467" spans="1:12" ht="27.95" customHeight="1">
      <c r="A467" s="13">
        <v>9</v>
      </c>
      <c r="B467" s="205" t="s">
        <v>251</v>
      </c>
      <c r="C467" s="206" t="s">
        <v>252</v>
      </c>
      <c r="D467" s="206"/>
      <c r="E467" s="206"/>
      <c r="F467" s="206"/>
      <c r="G467" s="207"/>
      <c r="H467" s="216"/>
      <c r="I467" s="206"/>
      <c r="J467" s="206"/>
      <c r="K467" s="206"/>
      <c r="L467" s="244"/>
    </row>
    <row r="468" spans="1:12">
      <c r="A468" s="85"/>
      <c r="B468" s="205" t="s">
        <v>253</v>
      </c>
      <c r="C468" s="206" t="s">
        <v>254</v>
      </c>
      <c r="D468" s="206"/>
      <c r="E468" s="206"/>
      <c r="F468" s="206"/>
      <c r="G468" s="207"/>
      <c r="H468" s="216"/>
      <c r="I468" s="206"/>
      <c r="J468" s="206"/>
      <c r="K468" s="206"/>
      <c r="L468" s="244"/>
    </row>
    <row r="469" spans="1:12">
      <c r="A469" s="85"/>
      <c r="B469" s="205" t="s">
        <v>292</v>
      </c>
      <c r="C469" s="206" t="s">
        <v>293</v>
      </c>
      <c r="D469" s="206"/>
      <c r="E469" s="206"/>
      <c r="F469" s="206"/>
      <c r="G469" s="207"/>
      <c r="H469" s="216"/>
      <c r="I469" s="206"/>
      <c r="J469" s="206"/>
      <c r="K469" s="206"/>
      <c r="L469" s="244"/>
    </row>
    <row r="470" spans="1:12">
      <c r="A470" s="85"/>
      <c r="B470" s="205" t="s">
        <v>256</v>
      </c>
      <c r="C470" s="206" t="s">
        <v>257</v>
      </c>
      <c r="D470" s="206"/>
      <c r="E470" s="206"/>
      <c r="F470" s="206"/>
      <c r="G470" s="207"/>
      <c r="H470" s="216"/>
      <c r="I470" s="206"/>
      <c r="J470" s="206"/>
      <c r="K470" s="206"/>
      <c r="L470" s="244"/>
    </row>
    <row r="471" spans="1:12">
      <c r="A471" s="85"/>
      <c r="B471" s="205" t="s">
        <v>258</v>
      </c>
      <c r="C471" s="206" t="s">
        <v>259</v>
      </c>
      <c r="D471" s="206"/>
      <c r="E471" s="206"/>
      <c r="F471" s="206"/>
      <c r="G471" s="207"/>
      <c r="H471" s="216"/>
      <c r="I471" s="206"/>
      <c r="J471" s="206"/>
      <c r="K471" s="206"/>
      <c r="L471" s="244"/>
    </row>
    <row r="472" spans="1:12">
      <c r="A472" s="85">
        <v>10</v>
      </c>
      <c r="B472" s="205" t="s">
        <v>251</v>
      </c>
      <c r="C472" s="206" t="s">
        <v>294</v>
      </c>
      <c r="D472" s="206"/>
      <c r="E472" s="206"/>
      <c r="F472" s="206"/>
      <c r="G472" s="207"/>
      <c r="H472" s="220" t="s">
        <v>248</v>
      </c>
      <c r="I472" s="221"/>
      <c r="J472" s="222"/>
      <c r="K472" s="220" t="s">
        <v>249</v>
      </c>
      <c r="L472" s="245"/>
    </row>
    <row r="473" spans="1:12" ht="15" customHeight="1">
      <c r="A473" s="85"/>
      <c r="B473" s="205" t="s">
        <v>253</v>
      </c>
      <c r="C473" s="206" t="s">
        <v>295</v>
      </c>
      <c r="D473" s="206"/>
      <c r="E473" s="206"/>
      <c r="F473" s="206"/>
      <c r="G473" s="207"/>
      <c r="H473" s="216"/>
      <c r="I473" s="206"/>
      <c r="J473" s="206"/>
      <c r="K473" s="206"/>
      <c r="L473" s="244"/>
    </row>
    <row r="474" spans="1:12">
      <c r="A474" s="85"/>
      <c r="B474" s="205" t="s">
        <v>292</v>
      </c>
      <c r="C474" s="206" t="s">
        <v>260</v>
      </c>
      <c r="D474" s="206"/>
      <c r="E474" s="206"/>
      <c r="F474" s="206"/>
      <c r="G474" s="207"/>
      <c r="H474" s="216"/>
      <c r="I474" s="206"/>
      <c r="J474" s="206"/>
      <c r="K474" s="206"/>
      <c r="L474" s="244"/>
    </row>
    <row r="475" spans="1:12">
      <c r="A475" s="85"/>
      <c r="B475" s="205" t="s">
        <v>256</v>
      </c>
      <c r="C475" s="206" t="s">
        <v>296</v>
      </c>
      <c r="D475" s="206"/>
      <c r="E475" s="206"/>
      <c r="F475" s="206"/>
      <c r="G475" s="207"/>
      <c r="H475" s="216"/>
      <c r="I475" s="206"/>
      <c r="J475" s="206"/>
      <c r="K475" s="206"/>
      <c r="L475" s="244"/>
    </row>
    <row r="476" spans="1:12">
      <c r="A476" s="13"/>
      <c r="B476" s="192"/>
      <c r="C476" s="224"/>
      <c r="D476" s="224"/>
      <c r="E476" s="224" t="s">
        <v>297</v>
      </c>
      <c r="F476" s="224"/>
      <c r="G476" s="224"/>
      <c r="H476" s="224"/>
      <c r="I476" s="224"/>
      <c r="J476" s="224"/>
      <c r="K476" s="224"/>
      <c r="L476" s="246"/>
    </row>
    <row r="477" spans="1:12">
      <c r="A477" s="13">
        <v>11</v>
      </c>
      <c r="B477" s="205" t="s">
        <v>251</v>
      </c>
      <c r="C477" s="206" t="s">
        <v>261</v>
      </c>
      <c r="D477" s="206"/>
      <c r="E477" s="206"/>
      <c r="F477" s="206"/>
      <c r="G477" s="207"/>
      <c r="H477" s="216"/>
      <c r="I477" s="206"/>
      <c r="J477" s="206"/>
      <c r="K477" s="206"/>
      <c r="L477" s="244"/>
    </row>
    <row r="478" spans="1:12">
      <c r="A478" s="13"/>
      <c r="B478" s="205" t="s">
        <v>253</v>
      </c>
      <c r="C478" s="206" t="s">
        <v>262</v>
      </c>
      <c r="D478" s="206"/>
      <c r="E478" s="206"/>
      <c r="F478" s="206"/>
      <c r="G478" s="207"/>
      <c r="H478" s="216"/>
      <c r="I478" s="206"/>
      <c r="J478" s="206"/>
      <c r="K478" s="206"/>
      <c r="L478" s="244"/>
    </row>
    <row r="479" spans="1:12">
      <c r="A479" s="13"/>
      <c r="B479" s="205" t="s">
        <v>255</v>
      </c>
      <c r="C479" s="206" t="s">
        <v>263</v>
      </c>
      <c r="D479" s="206"/>
      <c r="E479" s="206"/>
      <c r="F479" s="206"/>
      <c r="G479" s="207"/>
      <c r="H479" s="216"/>
      <c r="I479" s="206"/>
      <c r="J479" s="206"/>
      <c r="K479" s="206"/>
      <c r="L479" s="244"/>
    </row>
    <row r="480" spans="1:12">
      <c r="A480" s="13"/>
      <c r="B480" s="180"/>
      <c r="C480" s="176"/>
      <c r="D480" s="176"/>
      <c r="E480" s="176"/>
      <c r="F480" s="225" t="s">
        <v>264</v>
      </c>
      <c r="G480" s="176"/>
      <c r="H480" s="165"/>
      <c r="I480" s="165"/>
      <c r="J480" s="165"/>
      <c r="K480" s="165"/>
      <c r="L480" s="183"/>
    </row>
    <row r="481" spans="1:12">
      <c r="A481" s="13"/>
      <c r="B481" s="237" t="s">
        <v>265</v>
      </c>
      <c r="C481" s="236" t="s">
        <v>266</v>
      </c>
      <c r="D481" s="176"/>
      <c r="E481" s="176"/>
      <c r="F481" s="176"/>
      <c r="G481" s="176"/>
      <c r="H481" s="165"/>
      <c r="I481" s="165"/>
      <c r="J481" s="166"/>
      <c r="K481" s="165"/>
      <c r="L481" s="183"/>
    </row>
    <row r="482" spans="1:12">
      <c r="A482" s="13"/>
      <c r="B482" s="237" t="s">
        <v>267</v>
      </c>
      <c r="C482" s="235" t="s">
        <v>268</v>
      </c>
      <c r="D482" s="165"/>
      <c r="E482" s="166"/>
      <c r="G482" s="1395"/>
      <c r="H482" s="1395"/>
      <c r="I482" s="181"/>
      <c r="J482" s="182"/>
      <c r="K482" s="1395"/>
      <c r="L482" s="1396"/>
    </row>
    <row r="483" spans="1:12">
      <c r="A483" s="13"/>
      <c r="B483" s="238" t="s">
        <v>269</v>
      </c>
      <c r="C483" s="1397" t="s">
        <v>298</v>
      </c>
      <c r="D483" s="1397"/>
      <c r="E483" s="1397"/>
      <c r="F483" s="1397"/>
      <c r="G483" s="1397"/>
      <c r="H483" s="1397"/>
      <c r="I483" s="1397"/>
      <c r="J483" s="1397"/>
      <c r="K483" s="1397"/>
      <c r="L483" s="1398"/>
    </row>
    <row r="484" spans="1:12">
      <c r="A484" s="13"/>
      <c r="B484" s="237" t="s">
        <v>270</v>
      </c>
      <c r="C484" s="236" t="s">
        <v>271</v>
      </c>
      <c r="D484" s="228"/>
      <c r="E484" s="228"/>
      <c r="F484" s="228"/>
      <c r="G484" s="228"/>
      <c r="H484" s="228"/>
      <c r="I484" s="228"/>
      <c r="J484" s="228"/>
      <c r="K484" s="228"/>
      <c r="L484" s="247"/>
    </row>
    <row r="485" spans="1:12">
      <c r="A485" s="13"/>
      <c r="B485" s="180"/>
      <c r="C485" t="s">
        <v>299</v>
      </c>
      <c r="D485" s="294" t="e">
        <f>'04-221Master'!#REF!</f>
        <v>#REF!</v>
      </c>
      <c r="E485" s="2"/>
      <c r="F485" s="2"/>
      <c r="G485" s="2"/>
      <c r="L485" s="14"/>
    </row>
    <row r="486" spans="1:12">
      <c r="A486" s="13"/>
      <c r="C486" t="s">
        <v>272</v>
      </c>
      <c r="D486" t="s">
        <v>361</v>
      </c>
      <c r="J486" t="s">
        <v>300</v>
      </c>
      <c r="L486" s="14"/>
    </row>
    <row r="487" spans="1:12">
      <c r="A487" s="13"/>
      <c r="F487" s="226" t="s">
        <v>273</v>
      </c>
      <c r="L487" s="14"/>
    </row>
    <row r="488" spans="1:12" ht="27.95" customHeight="1">
      <c r="A488" s="13" t="s">
        <v>301</v>
      </c>
      <c r="B488" t="s">
        <v>274</v>
      </c>
      <c r="E488" s="229" t="e">
        <f>'04-221Master'!#REF!</f>
        <v>#REF!</v>
      </c>
      <c r="H488" s="1399" t="s">
        <v>275</v>
      </c>
      <c r="I488" s="1399"/>
      <c r="J488" s="230" t="e">
        <f>'04-221Master'!#REF!</f>
        <v>#REF!</v>
      </c>
      <c r="K488" t="s">
        <v>276</v>
      </c>
      <c r="L488" s="14"/>
    </row>
    <row r="489" spans="1:12" ht="15.75" customHeight="1">
      <c r="A489" s="13"/>
      <c r="B489" s="1410" t="e">
        <f>'04-221Master'!#REF!</f>
        <v>#REF!</v>
      </c>
      <c r="C489" s="1411"/>
      <c r="D489" s="227"/>
      <c r="E489" s="227"/>
      <c r="F489" s="227"/>
      <c r="G489" s="227"/>
      <c r="H489" s="227"/>
      <c r="I489" s="227"/>
      <c r="J489" s="227"/>
      <c r="K489" s="227"/>
      <c r="L489" s="248"/>
    </row>
    <row r="490" spans="1:12" ht="22.5" customHeight="1">
      <c r="A490" s="13" t="s">
        <v>303</v>
      </c>
      <c r="B490" s="227" t="s">
        <v>277</v>
      </c>
      <c r="C490" s="227"/>
      <c r="D490" s="227"/>
      <c r="E490" s="227"/>
      <c r="F490" s="227"/>
      <c r="G490" s="227"/>
      <c r="H490" s="227"/>
      <c r="I490" s="227"/>
      <c r="J490" s="227"/>
      <c r="K490" s="227"/>
      <c r="L490" s="248"/>
    </row>
    <row r="491" spans="1:12" ht="19.5" customHeight="1">
      <c r="A491" s="13"/>
      <c r="B491" s="227" t="s">
        <v>302</v>
      </c>
      <c r="C491" s="227"/>
      <c r="D491" s="227"/>
      <c r="E491" s="227"/>
      <c r="F491" s="227"/>
      <c r="G491" s="227"/>
      <c r="H491" s="227"/>
      <c r="I491" s="227"/>
      <c r="J491" s="227"/>
      <c r="K491" s="227"/>
      <c r="L491" s="248"/>
    </row>
    <row r="492" spans="1:12" ht="22.5" customHeight="1">
      <c r="A492" s="13"/>
      <c r="B492" t="s">
        <v>278</v>
      </c>
      <c r="L492" s="14"/>
    </row>
    <row r="493" spans="1:12" ht="18" customHeight="1">
      <c r="A493" s="13"/>
      <c r="B493" s="2" t="s">
        <v>279</v>
      </c>
      <c r="F493" s="179"/>
      <c r="L493" s="14"/>
    </row>
    <row r="494" spans="1:12" ht="16.5" customHeight="1">
      <c r="A494" s="13"/>
      <c r="B494" s="2" t="s">
        <v>280</v>
      </c>
      <c r="L494" s="14"/>
    </row>
    <row r="495" spans="1:12" ht="22.5" customHeight="1">
      <c r="A495" s="13"/>
      <c r="B495" t="s">
        <v>281</v>
      </c>
      <c r="L495" s="14"/>
    </row>
    <row r="496" spans="1:12" ht="19.5" customHeight="1">
      <c r="A496" s="13"/>
      <c r="B496" t="s">
        <v>282</v>
      </c>
      <c r="L496" s="14"/>
    </row>
    <row r="497" spans="1:12" ht="20.25" customHeight="1">
      <c r="A497" s="13" t="s">
        <v>292</v>
      </c>
      <c r="B497" t="s">
        <v>283</v>
      </c>
      <c r="L497" s="14"/>
    </row>
    <row r="498" spans="1:12" ht="20.25" customHeight="1">
      <c r="A498" s="13"/>
      <c r="B498" s="239" t="s">
        <v>304</v>
      </c>
      <c r="L498" s="14"/>
    </row>
    <row r="499" spans="1:12" ht="20.25" customHeight="1">
      <c r="A499" s="13"/>
      <c r="B499" t="s">
        <v>278</v>
      </c>
      <c r="L499" s="14"/>
    </row>
    <row r="500" spans="1:12" ht="20.25" customHeight="1">
      <c r="A500" s="13"/>
      <c r="B500" t="s">
        <v>284</v>
      </c>
      <c r="L500" s="14"/>
    </row>
    <row r="501" spans="1:12" ht="20.25" customHeight="1">
      <c r="A501" s="13"/>
      <c r="B501" t="s">
        <v>285</v>
      </c>
      <c r="L501" s="14"/>
    </row>
    <row r="502" spans="1:12" ht="21" customHeight="1">
      <c r="A502" s="13"/>
      <c r="B502" s="1412" t="s">
        <v>286</v>
      </c>
      <c r="C502" s="1412"/>
      <c r="D502" s="1412"/>
      <c r="E502" s="1412"/>
      <c r="F502" s="1412"/>
      <c r="G502" s="1412"/>
      <c r="H502" s="1412"/>
      <c r="I502" s="1412"/>
      <c r="J502" s="1412"/>
      <c r="K502" s="1412"/>
      <c r="L502" s="1413"/>
    </row>
    <row r="503" spans="1:12" ht="27.95" customHeight="1">
      <c r="A503" s="13"/>
      <c r="B503" t="s">
        <v>198</v>
      </c>
      <c r="C503" s="289" t="e">
        <f>'04-221Master'!#REF!</f>
        <v>#REF!</v>
      </c>
      <c r="D503" s="209"/>
      <c r="E503" s="209"/>
      <c r="F503" s="209"/>
      <c r="G503" s="209"/>
      <c r="H503" s="209"/>
      <c r="I503" t="s">
        <v>305</v>
      </c>
      <c r="J503" s="209"/>
      <c r="K503" s="209"/>
      <c r="L503" s="240"/>
    </row>
    <row r="504" spans="1:12" ht="27.95" customHeight="1" thickBot="1">
      <c r="A504" s="25"/>
      <c r="B504" s="1170"/>
      <c r="C504" s="1170"/>
      <c r="D504" s="1170"/>
      <c r="E504" s="1170"/>
      <c r="F504" s="1170"/>
      <c r="G504" s="1170"/>
      <c r="H504" s="1170"/>
      <c r="I504" s="1170"/>
      <c r="J504" s="1170"/>
      <c r="K504" s="1170"/>
      <c r="L504" s="1171"/>
    </row>
    <row r="505" spans="1:12" ht="27.95" customHeight="1">
      <c r="A505" s="74"/>
      <c r="B505" s="75"/>
      <c r="C505" s="75"/>
      <c r="D505" s="75"/>
      <c r="E505" s="75"/>
      <c r="F505" s="75"/>
      <c r="G505" s="75"/>
      <c r="H505" s="75"/>
      <c r="I505" s="79" t="s">
        <v>232</v>
      </c>
      <c r="J505" s="75"/>
      <c r="K505" s="75"/>
      <c r="L505" s="76"/>
    </row>
    <row r="506" spans="1:12">
      <c r="A506" s="13"/>
      <c r="B506" s="1400" t="s">
        <v>287</v>
      </c>
      <c r="C506" s="1400"/>
      <c r="D506" s="1400"/>
      <c r="E506" s="1400"/>
      <c r="F506" s="1400"/>
      <c r="G506" s="1400"/>
      <c r="H506" s="1400"/>
      <c r="I506" s="1400"/>
      <c r="J506" s="1400"/>
      <c r="K506" s="1400"/>
      <c r="L506" s="1401"/>
    </row>
    <row r="507" spans="1:12" ht="23.25">
      <c r="A507" s="13"/>
      <c r="B507" s="209"/>
      <c r="C507" s="209"/>
      <c r="D507" s="217" t="s">
        <v>234</v>
      </c>
      <c r="E507" s="209"/>
      <c r="F507" s="209"/>
      <c r="G507" s="209"/>
      <c r="H507" s="209"/>
      <c r="I507" s="211" t="s">
        <v>288</v>
      </c>
      <c r="J507" s="212"/>
      <c r="K507" s="212"/>
      <c r="L507" s="242"/>
    </row>
    <row r="508" spans="1:12" ht="15.75">
      <c r="A508" s="13"/>
      <c r="B508" s="1"/>
      <c r="C508" s="1" t="s">
        <v>235</v>
      </c>
      <c r="E508" s="1"/>
      <c r="F508" s="1"/>
      <c r="G508" s="1"/>
      <c r="H508" s="1"/>
      <c r="I508" s="210" t="s">
        <v>289</v>
      </c>
      <c r="J508" s="231">
        <f>'04-221Master'!F407</f>
        <v>0</v>
      </c>
      <c r="K508" s="213"/>
      <c r="L508" s="243"/>
    </row>
    <row r="509" spans="1:12">
      <c r="A509" s="13"/>
      <c r="B509" s="218"/>
      <c r="C509" s="187" t="s">
        <v>236</v>
      </c>
      <c r="E509" s="218"/>
      <c r="F509" s="218"/>
      <c r="H509" s="188"/>
      <c r="I509" s="234">
        <f>'04-221Master'!F408</f>
        <v>0</v>
      </c>
      <c r="J509" s="232"/>
      <c r="K509" s="233"/>
      <c r="L509" s="197"/>
    </row>
    <row r="510" spans="1:12">
      <c r="A510" s="13">
        <v>1</v>
      </c>
      <c r="B510" s="214" t="s">
        <v>237</v>
      </c>
      <c r="C510" s="64"/>
      <c r="D510" s="64"/>
      <c r="E510" s="64"/>
      <c r="F510" s="64"/>
      <c r="G510" s="65"/>
      <c r="H510" s="1381"/>
      <c r="I510" s="1382"/>
      <c r="J510" s="1382"/>
      <c r="K510" s="1382"/>
      <c r="L510" s="1383"/>
    </row>
    <row r="511" spans="1:12" ht="15" customHeight="1">
      <c r="A511" s="13">
        <v>2</v>
      </c>
      <c r="B511" s="1402" t="s">
        <v>238</v>
      </c>
      <c r="C511" s="1403"/>
      <c r="D511" s="1403"/>
      <c r="E511" s="1403"/>
      <c r="F511" s="215" t="s">
        <v>239</v>
      </c>
      <c r="G511" s="199"/>
      <c r="H511" s="1404"/>
      <c r="I511" s="1405"/>
      <c r="J511" s="1405"/>
      <c r="K511" s="1405"/>
      <c r="L511" s="1406"/>
    </row>
    <row r="512" spans="1:12">
      <c r="A512" s="13"/>
      <c r="B512" s="200" t="s">
        <v>240</v>
      </c>
      <c r="C512" s="201"/>
      <c r="D512" s="201"/>
      <c r="E512" s="201"/>
      <c r="F512" s="201" t="s">
        <v>233</v>
      </c>
      <c r="G512" s="202"/>
      <c r="H512" s="1407"/>
      <c r="I512" s="1408"/>
      <c r="J512" s="1408"/>
      <c r="K512" s="1408"/>
      <c r="L512" s="1409"/>
    </row>
    <row r="513" spans="1:12">
      <c r="A513" s="13">
        <v>3</v>
      </c>
      <c r="B513" s="216" t="s">
        <v>241</v>
      </c>
      <c r="C513" s="206"/>
      <c r="D513" s="206"/>
      <c r="E513" s="206"/>
      <c r="F513" s="206"/>
      <c r="G513" s="207"/>
      <c r="H513" s="1389">
        <f>'04-221Master'!C138</f>
        <v>0</v>
      </c>
      <c r="I513" s="1390"/>
      <c r="J513" s="1390"/>
      <c r="K513" s="1390"/>
      <c r="L513" s="1391"/>
    </row>
    <row r="514" spans="1:12">
      <c r="A514" s="13">
        <v>4</v>
      </c>
      <c r="B514" s="192" t="s">
        <v>242</v>
      </c>
      <c r="C514" s="64"/>
      <c r="D514" s="64"/>
      <c r="E514" s="64"/>
      <c r="F514" s="64"/>
      <c r="G514" s="65"/>
      <c r="H514" s="1364">
        <f>'04-221Master'!D138</f>
        <v>0</v>
      </c>
      <c r="I514" s="1377"/>
      <c r="J514" s="1377"/>
      <c r="K514" s="1377"/>
      <c r="L514" s="1365"/>
    </row>
    <row r="515" spans="1:12">
      <c r="A515" s="13">
        <v>5</v>
      </c>
      <c r="B515" s="1392" t="s">
        <v>290</v>
      </c>
      <c r="C515" s="1393"/>
      <c r="D515" s="1393"/>
      <c r="E515" s="1393"/>
      <c r="F515" s="1393"/>
      <c r="G515" s="65"/>
      <c r="H515" s="1381" t="s">
        <v>369</v>
      </c>
      <c r="I515" s="1382"/>
      <c r="J515" s="1382"/>
      <c r="K515" s="1382"/>
      <c r="L515" s="1383"/>
    </row>
    <row r="516" spans="1:12">
      <c r="A516" s="13">
        <v>6</v>
      </c>
      <c r="B516" s="205" t="s">
        <v>243</v>
      </c>
      <c r="C516" s="206" t="s">
        <v>244</v>
      </c>
      <c r="D516" s="206"/>
      <c r="E516" s="206"/>
      <c r="F516" s="206"/>
      <c r="G516" s="207"/>
      <c r="H516" s="216"/>
      <c r="I516" s="206"/>
      <c r="J516" s="206"/>
      <c r="K516" s="206"/>
      <c r="L516" s="244"/>
    </row>
    <row r="517" spans="1:12">
      <c r="A517" s="13"/>
      <c r="B517" s="205" t="s">
        <v>245</v>
      </c>
      <c r="C517" s="206" t="s">
        <v>246</v>
      </c>
      <c r="D517" s="206"/>
      <c r="E517" s="206"/>
      <c r="F517" s="206"/>
      <c r="G517" s="207"/>
      <c r="H517" s="216"/>
      <c r="I517" s="198"/>
      <c r="J517" s="198"/>
      <c r="K517" s="206"/>
      <c r="L517" s="244"/>
    </row>
    <row r="518" spans="1:12">
      <c r="A518" s="13">
        <v>7</v>
      </c>
      <c r="B518" s="1389" t="s">
        <v>247</v>
      </c>
      <c r="C518" s="1390"/>
      <c r="D518" s="1390"/>
      <c r="E518" s="1390"/>
      <c r="F518" s="1390"/>
      <c r="G518" s="1394"/>
      <c r="H518" s="220" t="s">
        <v>248</v>
      </c>
      <c r="I518" s="221"/>
      <c r="J518" s="222"/>
      <c r="K518" s="220" t="s">
        <v>249</v>
      </c>
      <c r="L518" s="245"/>
    </row>
    <row r="519" spans="1:12">
      <c r="A519" s="13">
        <v>8</v>
      </c>
      <c r="B519" s="1389" t="s">
        <v>291</v>
      </c>
      <c r="C519" s="1390"/>
      <c r="D519" s="1390"/>
      <c r="E519" s="1390"/>
      <c r="F519" s="1390"/>
      <c r="G519" s="1394"/>
      <c r="H519" s="220" t="s">
        <v>248</v>
      </c>
      <c r="I519" s="221"/>
      <c r="J519" s="222"/>
      <c r="K519" s="220" t="s">
        <v>249</v>
      </c>
      <c r="L519" s="245"/>
    </row>
    <row r="520" spans="1:12">
      <c r="A520" s="13"/>
      <c r="B520" s="192"/>
      <c r="C520" s="224"/>
      <c r="D520" s="224"/>
      <c r="E520" s="224"/>
      <c r="F520" s="224" t="s">
        <v>250</v>
      </c>
      <c r="G520" s="224"/>
      <c r="H520" s="224"/>
      <c r="I520" s="224"/>
      <c r="J520" s="224"/>
      <c r="K520" s="224"/>
      <c r="L520" s="246"/>
    </row>
    <row r="521" spans="1:12">
      <c r="A521" s="13">
        <v>9</v>
      </c>
      <c r="B521" s="205" t="s">
        <v>251</v>
      </c>
      <c r="C521" s="206" t="s">
        <v>252</v>
      </c>
      <c r="D521" s="206"/>
      <c r="E521" s="206"/>
      <c r="F521" s="206"/>
      <c r="G521" s="207"/>
      <c r="H521" s="216"/>
      <c r="I521" s="206"/>
      <c r="J521" s="206"/>
      <c r="K521" s="206"/>
      <c r="L521" s="244"/>
    </row>
    <row r="522" spans="1:12">
      <c r="A522" s="85"/>
      <c r="B522" s="205" t="s">
        <v>253</v>
      </c>
      <c r="C522" s="206" t="s">
        <v>254</v>
      </c>
      <c r="D522" s="206"/>
      <c r="E522" s="206"/>
      <c r="F522" s="206"/>
      <c r="G522" s="207"/>
      <c r="H522" s="216"/>
      <c r="I522" s="206"/>
      <c r="J522" s="206"/>
      <c r="K522" s="206"/>
      <c r="L522" s="244"/>
    </row>
    <row r="523" spans="1:12">
      <c r="A523" s="85"/>
      <c r="B523" s="205" t="s">
        <v>292</v>
      </c>
      <c r="C523" s="206" t="s">
        <v>293</v>
      </c>
      <c r="D523" s="206"/>
      <c r="E523" s="206"/>
      <c r="F523" s="206"/>
      <c r="G523" s="207"/>
      <c r="H523" s="216"/>
      <c r="I523" s="206"/>
      <c r="J523" s="206"/>
      <c r="K523" s="206"/>
      <c r="L523" s="244"/>
    </row>
    <row r="524" spans="1:12">
      <c r="A524" s="85"/>
      <c r="B524" s="205" t="s">
        <v>256</v>
      </c>
      <c r="C524" s="206" t="s">
        <v>257</v>
      </c>
      <c r="D524" s="206"/>
      <c r="E524" s="206"/>
      <c r="F524" s="206"/>
      <c r="G524" s="207"/>
      <c r="H524" s="216"/>
      <c r="I524" s="206"/>
      <c r="J524" s="206"/>
      <c r="K524" s="206"/>
      <c r="L524" s="244"/>
    </row>
    <row r="525" spans="1:12">
      <c r="A525" s="85"/>
      <c r="B525" s="205" t="s">
        <v>258</v>
      </c>
      <c r="C525" s="206" t="s">
        <v>259</v>
      </c>
      <c r="D525" s="206"/>
      <c r="E525" s="206"/>
      <c r="F525" s="206"/>
      <c r="G525" s="207"/>
      <c r="H525" s="216"/>
      <c r="I525" s="206"/>
      <c r="J525" s="206"/>
      <c r="K525" s="206"/>
      <c r="L525" s="244"/>
    </row>
    <row r="526" spans="1:12" ht="27.95" customHeight="1">
      <c r="A526" s="85">
        <v>10</v>
      </c>
      <c r="B526" s="205" t="s">
        <v>251</v>
      </c>
      <c r="C526" s="206" t="s">
        <v>294</v>
      </c>
      <c r="D526" s="206"/>
      <c r="E526" s="206"/>
      <c r="F526" s="206"/>
      <c r="G526" s="207"/>
      <c r="H526" s="220" t="s">
        <v>248</v>
      </c>
      <c r="I526" s="221"/>
      <c r="J526" s="222"/>
      <c r="K526" s="220" t="s">
        <v>249</v>
      </c>
      <c r="L526" s="245"/>
    </row>
    <row r="527" spans="1:12" ht="27.95" customHeight="1">
      <c r="A527" s="85"/>
      <c r="B527" s="205" t="s">
        <v>253</v>
      </c>
      <c r="C527" s="206" t="s">
        <v>295</v>
      </c>
      <c r="D527" s="206"/>
      <c r="E527" s="206"/>
      <c r="F527" s="206"/>
      <c r="G527" s="207"/>
      <c r="H527" s="216"/>
      <c r="I527" s="206"/>
      <c r="J527" s="206"/>
      <c r="K527" s="206"/>
      <c r="L527" s="244"/>
    </row>
    <row r="528" spans="1:12" ht="27.95" customHeight="1">
      <c r="A528" s="85"/>
      <c r="B528" s="205" t="s">
        <v>292</v>
      </c>
      <c r="C528" s="206" t="s">
        <v>260</v>
      </c>
      <c r="D528" s="206"/>
      <c r="E528" s="206"/>
      <c r="F528" s="206"/>
      <c r="G528" s="207"/>
      <c r="H528" s="216"/>
      <c r="I528" s="206"/>
      <c r="J528" s="206"/>
      <c r="K528" s="206"/>
      <c r="L528" s="244"/>
    </row>
    <row r="529" spans="1:12" ht="27.95" customHeight="1">
      <c r="A529" s="85"/>
      <c r="B529" s="205" t="s">
        <v>256</v>
      </c>
      <c r="C529" s="206" t="s">
        <v>296</v>
      </c>
      <c r="D529" s="206"/>
      <c r="E529" s="206"/>
      <c r="F529" s="206"/>
      <c r="G529" s="207"/>
      <c r="H529" s="216"/>
      <c r="I529" s="206"/>
      <c r="J529" s="206"/>
      <c r="K529" s="206"/>
      <c r="L529" s="244"/>
    </row>
    <row r="530" spans="1:12" ht="27.95" customHeight="1">
      <c r="A530" s="13"/>
      <c r="B530" s="192"/>
      <c r="C530" s="224"/>
      <c r="D530" s="224"/>
      <c r="E530" s="224" t="s">
        <v>297</v>
      </c>
      <c r="F530" s="224"/>
      <c r="G530" s="224"/>
      <c r="H530" s="224"/>
      <c r="I530" s="224"/>
      <c r="J530" s="224"/>
      <c r="K530" s="224"/>
      <c r="L530" s="246"/>
    </row>
    <row r="531" spans="1:12" ht="27.95" customHeight="1">
      <c r="A531" s="13">
        <v>11</v>
      </c>
      <c r="B531" s="205" t="s">
        <v>251</v>
      </c>
      <c r="C531" s="206" t="s">
        <v>261</v>
      </c>
      <c r="D531" s="206"/>
      <c r="E531" s="206"/>
      <c r="F531" s="206"/>
      <c r="G531" s="207"/>
      <c r="H531" s="216"/>
      <c r="I531" s="206"/>
      <c r="J531" s="206"/>
      <c r="K531" s="206"/>
      <c r="L531" s="244"/>
    </row>
    <row r="532" spans="1:12" ht="27.95" customHeight="1">
      <c r="A532" s="13"/>
      <c r="B532" s="205" t="s">
        <v>253</v>
      </c>
      <c r="C532" s="206" t="s">
        <v>262</v>
      </c>
      <c r="D532" s="206"/>
      <c r="E532" s="206"/>
      <c r="F532" s="206"/>
      <c r="G532" s="207"/>
      <c r="H532" s="216"/>
      <c r="I532" s="206"/>
      <c r="J532" s="206"/>
      <c r="K532" s="206"/>
      <c r="L532" s="244"/>
    </row>
    <row r="533" spans="1:12" ht="27.95" customHeight="1">
      <c r="A533" s="13"/>
      <c r="B533" s="205" t="s">
        <v>255</v>
      </c>
      <c r="C533" s="206" t="s">
        <v>263</v>
      </c>
      <c r="D533" s="206"/>
      <c r="E533" s="206"/>
      <c r="F533" s="206"/>
      <c r="G533" s="207"/>
      <c r="H533" s="216"/>
      <c r="I533" s="206"/>
      <c r="J533" s="206"/>
      <c r="K533" s="206"/>
      <c r="L533" s="244"/>
    </row>
    <row r="534" spans="1:12" ht="27.95" customHeight="1">
      <c r="A534" s="13"/>
      <c r="B534" s="180"/>
      <c r="C534" s="176"/>
      <c r="D534" s="176"/>
      <c r="E534" s="176"/>
      <c r="F534" s="225" t="s">
        <v>264</v>
      </c>
      <c r="G534" s="176"/>
      <c r="H534" s="165"/>
      <c r="I534" s="165"/>
      <c r="J534" s="165"/>
      <c r="K534" s="165"/>
      <c r="L534" s="183"/>
    </row>
    <row r="535" spans="1:12" ht="27.95" customHeight="1">
      <c r="A535" s="13"/>
      <c r="B535" s="237" t="s">
        <v>265</v>
      </c>
      <c r="C535" s="236" t="s">
        <v>266</v>
      </c>
      <c r="D535" s="176"/>
      <c r="E535" s="176"/>
      <c r="F535" s="176"/>
      <c r="G535" s="176"/>
      <c r="H535" s="165"/>
      <c r="I535" s="165"/>
      <c r="J535" s="166"/>
      <c r="K535" s="165"/>
      <c r="L535" s="183"/>
    </row>
    <row r="536" spans="1:12" ht="27.95" customHeight="1">
      <c r="A536" s="13"/>
      <c r="B536" s="237" t="s">
        <v>267</v>
      </c>
      <c r="C536" s="235" t="s">
        <v>268</v>
      </c>
      <c r="D536" s="165"/>
      <c r="E536" s="166"/>
      <c r="G536" s="1395"/>
      <c r="H536" s="1395"/>
      <c r="I536" s="181"/>
      <c r="J536" s="182"/>
      <c r="K536" s="1395"/>
      <c r="L536" s="1396"/>
    </row>
    <row r="537" spans="1:12" ht="27.95" customHeight="1">
      <c r="A537" s="13"/>
      <c r="B537" s="238" t="s">
        <v>269</v>
      </c>
      <c r="C537" s="1397" t="s">
        <v>298</v>
      </c>
      <c r="D537" s="1397"/>
      <c r="E537" s="1397"/>
      <c r="F537" s="1397"/>
      <c r="G537" s="1397"/>
      <c r="H537" s="1397"/>
      <c r="I537" s="1397"/>
      <c r="J537" s="1397"/>
      <c r="K537" s="1397"/>
      <c r="L537" s="1398"/>
    </row>
    <row r="538" spans="1:12" ht="27.95" customHeight="1">
      <c r="A538" s="13"/>
      <c r="B538" s="237" t="s">
        <v>270</v>
      </c>
      <c r="C538" s="236" t="s">
        <v>271</v>
      </c>
      <c r="D538" s="228"/>
      <c r="E538" s="228"/>
      <c r="F538" s="228"/>
      <c r="G538" s="228"/>
      <c r="H538" s="228"/>
      <c r="I538" s="228"/>
      <c r="J538" s="228"/>
      <c r="K538" s="228"/>
      <c r="L538" s="247"/>
    </row>
    <row r="539" spans="1:12" ht="27.95" customHeight="1">
      <c r="A539" s="13"/>
      <c r="B539" s="180"/>
      <c r="C539" t="s">
        <v>299</v>
      </c>
      <c r="D539" s="2"/>
      <c r="E539" s="2"/>
      <c r="F539" s="2"/>
      <c r="G539" s="2"/>
      <c r="L539" s="14"/>
    </row>
    <row r="540" spans="1:12" ht="27.95" customHeight="1">
      <c r="A540" s="13"/>
      <c r="C540" t="s">
        <v>272</v>
      </c>
      <c r="J540" t="s">
        <v>300</v>
      </c>
      <c r="L540" s="14"/>
    </row>
    <row r="541" spans="1:12" ht="27.95" customHeight="1">
      <c r="A541" s="13"/>
      <c r="F541" s="226" t="s">
        <v>273</v>
      </c>
      <c r="L541" s="14"/>
    </row>
    <row r="542" spans="1:12" ht="27.95" customHeight="1">
      <c r="A542" s="13" t="s">
        <v>301</v>
      </c>
      <c r="B542" t="s">
        <v>274</v>
      </c>
      <c r="E542" s="229">
        <f>'04-221Master'!B417</f>
        <v>0</v>
      </c>
      <c r="H542" s="1399" t="s">
        <v>275</v>
      </c>
      <c r="I542" s="1399"/>
      <c r="J542" s="230">
        <f>'04-221Master'!N417</f>
        <v>0</v>
      </c>
      <c r="K542" t="s">
        <v>276</v>
      </c>
      <c r="L542" s="14"/>
    </row>
    <row r="543" spans="1:12" ht="27.95" customHeight="1">
      <c r="A543" s="13"/>
      <c r="B543" s="1410">
        <f>'04-221Master'!S417</f>
        <v>0</v>
      </c>
      <c r="C543" s="1411"/>
      <c r="D543" s="227"/>
      <c r="E543" s="227"/>
      <c r="F543" s="227"/>
      <c r="G543" s="227"/>
      <c r="H543" s="227"/>
      <c r="I543" s="227"/>
      <c r="J543" s="227"/>
      <c r="K543" s="227"/>
      <c r="L543" s="248"/>
    </row>
    <row r="544" spans="1:12">
      <c r="A544" s="13" t="s">
        <v>303</v>
      </c>
      <c r="B544" s="227" t="s">
        <v>277</v>
      </c>
      <c r="C544" s="227"/>
      <c r="D544" s="227"/>
      <c r="E544" s="227"/>
      <c r="F544" s="227"/>
      <c r="G544" s="227"/>
      <c r="H544" s="227"/>
      <c r="I544" s="227"/>
      <c r="J544" s="227"/>
      <c r="K544" s="227"/>
      <c r="L544" s="248"/>
    </row>
    <row r="545" spans="1:12">
      <c r="A545" s="13"/>
      <c r="B545" s="227" t="s">
        <v>302</v>
      </c>
      <c r="C545" s="227"/>
      <c r="D545" s="227"/>
      <c r="E545" s="227"/>
      <c r="F545" s="227"/>
      <c r="G545" s="227"/>
      <c r="H545" s="227"/>
      <c r="I545" s="227"/>
      <c r="J545" s="227"/>
      <c r="K545" s="227"/>
      <c r="L545" s="248"/>
    </row>
    <row r="546" spans="1:12">
      <c r="A546" s="13"/>
      <c r="B546" t="s">
        <v>278</v>
      </c>
      <c r="L546" s="14"/>
    </row>
    <row r="547" spans="1:12" ht="18.75">
      <c r="A547" s="13"/>
      <c r="B547" s="2" t="s">
        <v>279</v>
      </c>
      <c r="F547" s="179"/>
      <c r="L547" s="14"/>
    </row>
    <row r="548" spans="1:12">
      <c r="A548" s="13"/>
      <c r="B548" s="2" t="s">
        <v>280</v>
      </c>
      <c r="L548" s="14"/>
    </row>
    <row r="549" spans="1:12" ht="15" customHeight="1">
      <c r="A549" s="13"/>
      <c r="B549" t="s">
        <v>281</v>
      </c>
      <c r="L549" s="14"/>
    </row>
    <row r="550" spans="1:12">
      <c r="A550" s="13"/>
      <c r="B550" t="s">
        <v>282</v>
      </c>
      <c r="L550" s="14"/>
    </row>
    <row r="551" spans="1:12">
      <c r="A551" s="13" t="s">
        <v>292</v>
      </c>
      <c r="B551" t="s">
        <v>283</v>
      </c>
      <c r="L551" s="14"/>
    </row>
    <row r="552" spans="1:12">
      <c r="A552" s="13"/>
      <c r="B552" s="239" t="s">
        <v>304</v>
      </c>
      <c r="L552" s="14"/>
    </row>
    <row r="553" spans="1:12">
      <c r="A553" s="13"/>
      <c r="B553" t="s">
        <v>278</v>
      </c>
      <c r="L553" s="14"/>
    </row>
    <row r="554" spans="1:12">
      <c r="A554" s="13"/>
      <c r="B554" t="s">
        <v>284</v>
      </c>
      <c r="L554" s="14"/>
    </row>
    <row r="555" spans="1:12">
      <c r="A555" s="13"/>
      <c r="B555" t="s">
        <v>285</v>
      </c>
      <c r="L555" s="14"/>
    </row>
    <row r="556" spans="1:12">
      <c r="A556" s="13"/>
      <c r="B556" s="1412" t="s">
        <v>286</v>
      </c>
      <c r="C556" s="1412"/>
      <c r="D556" s="1412"/>
      <c r="E556" s="1412"/>
      <c r="F556" s="1412"/>
      <c r="G556" s="1412"/>
      <c r="H556" s="1412"/>
      <c r="I556" s="1412"/>
      <c r="J556" s="1412"/>
      <c r="K556" s="1412"/>
      <c r="L556" s="1413"/>
    </row>
    <row r="557" spans="1:12" ht="23.25">
      <c r="A557" s="13"/>
      <c r="B557" t="s">
        <v>198</v>
      </c>
      <c r="C557" s="209"/>
      <c r="D557" s="209"/>
      <c r="E557" s="209"/>
      <c r="F557" s="209"/>
      <c r="G557" s="209"/>
      <c r="H557" s="209"/>
      <c r="I557" t="s">
        <v>305</v>
      </c>
      <c r="J557" s="209"/>
      <c r="K557" s="209"/>
      <c r="L557" s="240"/>
    </row>
    <row r="558" spans="1:12" ht="16.5" thickBot="1">
      <c r="A558" s="25"/>
      <c r="B558" s="1170"/>
      <c r="C558" s="1170"/>
      <c r="D558" s="1170"/>
      <c r="E558" s="1170"/>
      <c r="F558" s="1170"/>
      <c r="G558" s="1170"/>
      <c r="H558" s="1170"/>
      <c r="I558" s="1170"/>
      <c r="J558" s="1170"/>
      <c r="K558" s="1170"/>
      <c r="L558" s="1171"/>
    </row>
    <row r="559" spans="1:12">
      <c r="A559" s="74"/>
      <c r="B559" s="75"/>
      <c r="C559" s="75"/>
      <c r="D559" s="75"/>
      <c r="E559" s="75"/>
      <c r="F559" s="75"/>
      <c r="G559" s="75"/>
      <c r="H559" s="75"/>
      <c r="I559" s="79" t="s">
        <v>232</v>
      </c>
      <c r="J559" s="75"/>
      <c r="K559" s="75"/>
      <c r="L559" s="76"/>
    </row>
    <row r="560" spans="1:12">
      <c r="A560" s="13"/>
      <c r="B560" s="1400" t="s">
        <v>287</v>
      </c>
      <c r="C560" s="1400"/>
      <c r="D560" s="1400"/>
      <c r="E560" s="1400"/>
      <c r="F560" s="1400"/>
      <c r="G560" s="1400"/>
      <c r="H560" s="1400"/>
      <c r="I560" s="1400"/>
      <c r="J560" s="1400"/>
      <c r="K560" s="1400"/>
      <c r="L560" s="1401"/>
    </row>
    <row r="561" spans="1:12" ht="23.25">
      <c r="A561" s="13"/>
      <c r="B561" s="209"/>
      <c r="C561" s="209"/>
      <c r="D561" s="217" t="s">
        <v>234</v>
      </c>
      <c r="E561" s="209"/>
      <c r="F561" s="209"/>
      <c r="G561" s="209"/>
      <c r="H561" s="209"/>
      <c r="I561" s="211" t="s">
        <v>288</v>
      </c>
      <c r="J561" s="212"/>
      <c r="K561" s="212"/>
      <c r="L561" s="242"/>
    </row>
    <row r="562" spans="1:12" ht="15.75">
      <c r="A562" s="13"/>
      <c r="B562" s="1"/>
      <c r="C562" s="1" t="s">
        <v>235</v>
      </c>
      <c r="E562" s="1"/>
      <c r="F562" s="1"/>
      <c r="G562" s="1"/>
      <c r="H562" s="1"/>
      <c r="I562" s="210" t="s">
        <v>289</v>
      </c>
      <c r="J562" s="231">
        <f>'04-221Master'!F461</f>
        <v>0</v>
      </c>
      <c r="K562" s="213"/>
      <c r="L562" s="243"/>
    </row>
    <row r="563" spans="1:12">
      <c r="A563" s="13"/>
      <c r="B563" s="218"/>
      <c r="C563" s="187" t="s">
        <v>236</v>
      </c>
      <c r="E563" s="218"/>
      <c r="F563" s="218"/>
      <c r="H563" s="188"/>
      <c r="I563" s="234">
        <f>'04-221Master'!F462</f>
        <v>0</v>
      </c>
      <c r="J563" s="232"/>
      <c r="K563" s="233"/>
      <c r="L563" s="197"/>
    </row>
    <row r="564" spans="1:12" ht="23.25" customHeight="1">
      <c r="A564" s="13">
        <v>1</v>
      </c>
      <c r="B564" s="214" t="s">
        <v>237</v>
      </c>
      <c r="C564" s="64"/>
      <c r="D564" s="64"/>
      <c r="E564" s="64"/>
      <c r="F564" s="64"/>
      <c r="G564" s="65"/>
      <c r="H564" s="1381"/>
      <c r="I564" s="1382"/>
      <c r="J564" s="1382"/>
      <c r="K564" s="1382"/>
      <c r="L564" s="1383"/>
    </row>
    <row r="565" spans="1:12" ht="22.5" customHeight="1">
      <c r="A565" s="13">
        <v>2</v>
      </c>
      <c r="B565" s="1402" t="s">
        <v>238</v>
      </c>
      <c r="C565" s="1403"/>
      <c r="D565" s="1403"/>
      <c r="E565" s="1403"/>
      <c r="F565" s="215" t="s">
        <v>239</v>
      </c>
      <c r="G565" s="199"/>
      <c r="H565" s="1404"/>
      <c r="I565" s="1405"/>
      <c r="J565" s="1405"/>
      <c r="K565" s="1405"/>
      <c r="L565" s="1406"/>
    </row>
    <row r="566" spans="1:12" ht="10.5" customHeight="1">
      <c r="A566" s="13"/>
      <c r="B566" s="200" t="s">
        <v>240</v>
      </c>
      <c r="C566" s="201"/>
      <c r="D566" s="201"/>
      <c r="E566" s="201"/>
      <c r="F566" s="201" t="s">
        <v>233</v>
      </c>
      <c r="G566" s="202"/>
      <c r="H566" s="1407"/>
      <c r="I566" s="1408"/>
      <c r="J566" s="1408"/>
      <c r="K566" s="1408"/>
      <c r="L566" s="1409"/>
    </row>
    <row r="567" spans="1:12" ht="24" customHeight="1">
      <c r="A567" s="13">
        <v>3</v>
      </c>
      <c r="B567" s="216" t="s">
        <v>241</v>
      </c>
      <c r="C567" s="206"/>
      <c r="D567" s="206"/>
      <c r="E567" s="206"/>
      <c r="F567" s="206"/>
      <c r="G567" s="207"/>
      <c r="H567" s="216"/>
      <c r="I567" s="206"/>
      <c r="J567" s="206"/>
      <c r="K567" s="206"/>
      <c r="L567" s="244"/>
    </row>
    <row r="568" spans="1:12" ht="27.95" customHeight="1">
      <c r="A568" s="13">
        <v>4</v>
      </c>
      <c r="B568" s="192" t="s">
        <v>242</v>
      </c>
      <c r="C568" s="64"/>
      <c r="D568" s="64"/>
      <c r="E568" s="64"/>
      <c r="F568" s="64"/>
      <c r="G568" s="65"/>
      <c r="H568" s="192"/>
      <c r="I568" s="64"/>
      <c r="J568" s="64"/>
      <c r="K568" s="64"/>
      <c r="L568" s="197"/>
    </row>
    <row r="569" spans="1:12" ht="27.95" customHeight="1">
      <c r="A569" s="13">
        <v>5</v>
      </c>
      <c r="B569" s="1392" t="s">
        <v>290</v>
      </c>
      <c r="C569" s="1393"/>
      <c r="D569" s="1393"/>
      <c r="E569" s="1393"/>
      <c r="F569" s="1393"/>
      <c r="G569" s="65"/>
      <c r="H569" s="1414"/>
      <c r="I569" s="1415"/>
      <c r="J569" s="1415"/>
      <c r="K569" s="1415"/>
      <c r="L569" s="1416"/>
    </row>
    <row r="570" spans="1:12" ht="27.95" customHeight="1">
      <c r="A570" s="13">
        <v>6</v>
      </c>
      <c r="B570" s="205" t="s">
        <v>243</v>
      </c>
      <c r="C570" s="206" t="s">
        <v>244</v>
      </c>
      <c r="D570" s="206"/>
      <c r="E570" s="206"/>
      <c r="F570" s="206"/>
      <c r="G570" s="207"/>
      <c r="H570" s="216"/>
      <c r="I570" s="206"/>
      <c r="J570" s="206"/>
      <c r="K570" s="206"/>
      <c r="L570" s="244"/>
    </row>
    <row r="571" spans="1:12" ht="27.95" customHeight="1">
      <c r="A571" s="13"/>
      <c r="B571" s="205" t="s">
        <v>245</v>
      </c>
      <c r="C571" s="206" t="s">
        <v>246</v>
      </c>
      <c r="D571" s="206"/>
      <c r="E571" s="206"/>
      <c r="F571" s="206"/>
      <c r="G571" s="207"/>
      <c r="H571" s="216"/>
      <c r="I571" s="198"/>
      <c r="J571" s="198"/>
      <c r="K571" s="206"/>
      <c r="L571" s="244"/>
    </row>
    <row r="572" spans="1:12" ht="27.95" customHeight="1">
      <c r="A572" s="13">
        <v>7</v>
      </c>
      <c r="B572" s="1389" t="s">
        <v>247</v>
      </c>
      <c r="C572" s="1390"/>
      <c r="D572" s="1390"/>
      <c r="E572" s="1390"/>
      <c r="F572" s="1390"/>
      <c r="G572" s="1394"/>
      <c r="H572" s="220" t="s">
        <v>248</v>
      </c>
      <c r="I572" s="221"/>
      <c r="J572" s="222"/>
      <c r="K572" s="220" t="s">
        <v>249</v>
      </c>
      <c r="L572" s="245"/>
    </row>
    <row r="573" spans="1:12" ht="27.95" customHeight="1">
      <c r="A573" s="13">
        <v>8</v>
      </c>
      <c r="B573" s="1389" t="s">
        <v>291</v>
      </c>
      <c r="C573" s="1390"/>
      <c r="D573" s="1390"/>
      <c r="E573" s="1390"/>
      <c r="F573" s="1390"/>
      <c r="G573" s="1394"/>
      <c r="H573" s="220" t="s">
        <v>248</v>
      </c>
      <c r="I573" s="221"/>
      <c r="J573" s="222"/>
      <c r="K573" s="220" t="s">
        <v>249</v>
      </c>
      <c r="L573" s="245"/>
    </row>
    <row r="574" spans="1:12" ht="27.95" customHeight="1">
      <c r="A574" s="13"/>
      <c r="B574" s="192"/>
      <c r="C574" s="224"/>
      <c r="D574" s="224"/>
      <c r="E574" s="224"/>
      <c r="F574" s="224" t="s">
        <v>250</v>
      </c>
      <c r="G574" s="224"/>
      <c r="H574" s="224"/>
      <c r="I574" s="224"/>
      <c r="J574" s="224"/>
      <c r="K574" s="224"/>
      <c r="L574" s="246"/>
    </row>
    <row r="575" spans="1:12" ht="27.95" customHeight="1">
      <c r="A575" s="13">
        <v>9</v>
      </c>
      <c r="B575" s="205" t="s">
        <v>251</v>
      </c>
      <c r="C575" s="206" t="s">
        <v>252</v>
      </c>
      <c r="D575" s="206"/>
      <c r="E575" s="206"/>
      <c r="F575" s="206"/>
      <c r="G575" s="207"/>
      <c r="H575" s="216"/>
      <c r="I575" s="206"/>
      <c r="J575" s="206"/>
      <c r="K575" s="206"/>
      <c r="L575" s="244"/>
    </row>
    <row r="576" spans="1:12" ht="24" customHeight="1">
      <c r="A576" s="85"/>
      <c r="B576" s="205" t="s">
        <v>253</v>
      </c>
      <c r="C576" s="206" t="s">
        <v>254</v>
      </c>
      <c r="D576" s="206"/>
      <c r="E576" s="206"/>
      <c r="F576" s="206"/>
      <c r="G576" s="207"/>
      <c r="H576" s="216"/>
      <c r="I576" s="206"/>
      <c r="J576" s="206"/>
      <c r="K576" s="206"/>
      <c r="L576" s="244"/>
    </row>
    <row r="577" spans="1:12" ht="24" customHeight="1">
      <c r="A577" s="85"/>
      <c r="B577" s="205" t="s">
        <v>292</v>
      </c>
      <c r="C577" s="206" t="s">
        <v>293</v>
      </c>
      <c r="D577" s="206"/>
      <c r="E577" s="206"/>
      <c r="F577" s="206"/>
      <c r="G577" s="207"/>
      <c r="H577" s="216"/>
      <c r="I577" s="206"/>
      <c r="J577" s="206"/>
      <c r="K577" s="206"/>
      <c r="L577" s="244"/>
    </row>
    <row r="578" spans="1:12" ht="22.5" customHeight="1">
      <c r="A578" s="85"/>
      <c r="B578" s="205" t="s">
        <v>256</v>
      </c>
      <c r="C578" s="206" t="s">
        <v>257</v>
      </c>
      <c r="D578" s="206"/>
      <c r="E578" s="206"/>
      <c r="F578" s="206"/>
      <c r="G578" s="207"/>
      <c r="H578" s="216"/>
      <c r="I578" s="206"/>
      <c r="J578" s="206"/>
      <c r="K578" s="206"/>
      <c r="L578" s="244"/>
    </row>
    <row r="579" spans="1:12" ht="27.95" customHeight="1">
      <c r="A579" s="85"/>
      <c r="B579" s="205" t="s">
        <v>258</v>
      </c>
      <c r="C579" s="206" t="s">
        <v>259</v>
      </c>
      <c r="D579" s="206"/>
      <c r="E579" s="206"/>
      <c r="F579" s="206"/>
      <c r="G579" s="207"/>
      <c r="H579" s="216"/>
      <c r="I579" s="206"/>
      <c r="J579" s="206"/>
      <c r="K579" s="206"/>
      <c r="L579" s="244"/>
    </row>
    <row r="580" spans="1:12" ht="27.95" customHeight="1">
      <c r="A580" s="85">
        <v>10</v>
      </c>
      <c r="B580" s="205" t="s">
        <v>251</v>
      </c>
      <c r="C580" s="206" t="s">
        <v>294</v>
      </c>
      <c r="D580" s="206"/>
      <c r="E580" s="206"/>
      <c r="F580" s="206"/>
      <c r="G580" s="207"/>
      <c r="H580" s="220" t="s">
        <v>248</v>
      </c>
      <c r="I580" s="221"/>
      <c r="J580" s="222"/>
      <c r="K580" s="220" t="s">
        <v>249</v>
      </c>
      <c r="L580" s="245"/>
    </row>
    <row r="581" spans="1:12" ht="27.95" customHeight="1">
      <c r="A581" s="85"/>
      <c r="B581" s="205" t="s">
        <v>253</v>
      </c>
      <c r="C581" s="206" t="s">
        <v>295</v>
      </c>
      <c r="D581" s="206"/>
      <c r="E581" s="206"/>
      <c r="F581" s="206"/>
      <c r="G581" s="207"/>
      <c r="H581" s="216"/>
      <c r="I581" s="206"/>
      <c r="J581" s="206"/>
      <c r="K581" s="206"/>
      <c r="L581" s="244"/>
    </row>
    <row r="582" spans="1:12">
      <c r="A582" s="85"/>
      <c r="B582" s="205" t="s">
        <v>292</v>
      </c>
      <c r="C582" s="206" t="s">
        <v>260</v>
      </c>
      <c r="D582" s="206"/>
      <c r="E582" s="206"/>
      <c r="F582" s="206"/>
      <c r="G582" s="207"/>
      <c r="H582" s="216"/>
      <c r="I582" s="206"/>
      <c r="J582" s="206"/>
      <c r="K582" s="206"/>
      <c r="L582" s="244"/>
    </row>
    <row r="583" spans="1:12">
      <c r="A583" s="85"/>
      <c r="B583" s="205" t="s">
        <v>256</v>
      </c>
      <c r="C583" s="206" t="s">
        <v>296</v>
      </c>
      <c r="D583" s="206"/>
      <c r="E583" s="206"/>
      <c r="F583" s="206"/>
      <c r="G583" s="207"/>
      <c r="H583" s="216"/>
      <c r="I583" s="206"/>
      <c r="J583" s="206"/>
      <c r="K583" s="206"/>
      <c r="L583" s="244"/>
    </row>
    <row r="584" spans="1:12">
      <c r="A584" s="13"/>
      <c r="B584" s="192"/>
      <c r="C584" s="224"/>
      <c r="D584" s="224"/>
      <c r="E584" s="224" t="s">
        <v>297</v>
      </c>
      <c r="F584" s="224"/>
      <c r="G584" s="224"/>
      <c r="H584" s="224"/>
      <c r="I584" s="224"/>
      <c r="J584" s="224"/>
      <c r="K584" s="224"/>
      <c r="L584" s="246"/>
    </row>
    <row r="585" spans="1:12">
      <c r="A585" s="13">
        <v>11</v>
      </c>
      <c r="B585" s="205" t="s">
        <v>251</v>
      </c>
      <c r="C585" s="206" t="s">
        <v>261</v>
      </c>
      <c r="D585" s="206"/>
      <c r="E585" s="206"/>
      <c r="F585" s="206"/>
      <c r="G585" s="207"/>
      <c r="H585" s="216"/>
      <c r="I585" s="206"/>
      <c r="J585" s="206"/>
      <c r="K585" s="206"/>
      <c r="L585" s="244"/>
    </row>
    <row r="586" spans="1:12">
      <c r="A586" s="13"/>
      <c r="B586" s="205" t="s">
        <v>253</v>
      </c>
      <c r="C586" s="206" t="s">
        <v>262</v>
      </c>
      <c r="D586" s="206"/>
      <c r="E586" s="206"/>
      <c r="F586" s="206"/>
      <c r="G586" s="207"/>
      <c r="H586" s="216"/>
      <c r="I586" s="206"/>
      <c r="J586" s="206"/>
      <c r="K586" s="206"/>
      <c r="L586" s="244"/>
    </row>
    <row r="587" spans="1:12">
      <c r="A587" s="13"/>
      <c r="B587" s="205" t="s">
        <v>255</v>
      </c>
      <c r="C587" s="206" t="s">
        <v>263</v>
      </c>
      <c r="D587" s="206"/>
      <c r="E587" s="206"/>
      <c r="F587" s="206"/>
      <c r="G587" s="207"/>
      <c r="H587" s="216"/>
      <c r="I587" s="206"/>
      <c r="J587" s="206"/>
      <c r="K587" s="206"/>
      <c r="L587" s="244"/>
    </row>
    <row r="588" spans="1:12" ht="15" customHeight="1">
      <c r="A588" s="13"/>
      <c r="B588" s="180"/>
      <c r="C588" s="176"/>
      <c r="D588" s="176"/>
      <c r="E588" s="176"/>
      <c r="F588" s="225" t="s">
        <v>264</v>
      </c>
      <c r="G588" s="176"/>
      <c r="H588" s="165"/>
      <c r="I588" s="165"/>
      <c r="J588" s="165"/>
      <c r="K588" s="165"/>
      <c r="L588" s="183"/>
    </row>
    <row r="589" spans="1:12">
      <c r="A589" s="13"/>
      <c r="B589" s="237" t="s">
        <v>265</v>
      </c>
      <c r="C589" s="236" t="s">
        <v>266</v>
      </c>
      <c r="D589" s="176"/>
      <c r="E589" s="176"/>
      <c r="F589" s="176"/>
      <c r="G589" s="176"/>
      <c r="H589" s="165"/>
      <c r="I589" s="165"/>
      <c r="J589" s="166"/>
      <c r="K589" s="165"/>
      <c r="L589" s="183"/>
    </row>
    <row r="590" spans="1:12">
      <c r="A590" s="13"/>
      <c r="B590" s="237" t="s">
        <v>267</v>
      </c>
      <c r="C590" s="235" t="s">
        <v>268</v>
      </c>
      <c r="D590" s="165"/>
      <c r="E590" s="166"/>
      <c r="G590" s="1395"/>
      <c r="H590" s="1395"/>
      <c r="I590" s="181"/>
      <c r="J590" s="182"/>
      <c r="K590" s="1395"/>
      <c r="L590" s="1396"/>
    </row>
    <row r="591" spans="1:12">
      <c r="A591" s="13"/>
      <c r="B591" s="238" t="s">
        <v>269</v>
      </c>
      <c r="C591" s="1397" t="s">
        <v>298</v>
      </c>
      <c r="D591" s="1397"/>
      <c r="E591" s="1397"/>
      <c r="F591" s="1397"/>
      <c r="G591" s="1397"/>
      <c r="H591" s="1397"/>
      <c r="I591" s="1397"/>
      <c r="J591" s="1397"/>
      <c r="K591" s="1397"/>
      <c r="L591" s="1398"/>
    </row>
    <row r="592" spans="1:12">
      <c r="A592" s="13"/>
      <c r="B592" s="237" t="s">
        <v>270</v>
      </c>
      <c r="C592" s="236" t="s">
        <v>271</v>
      </c>
      <c r="D592" s="228"/>
      <c r="E592" s="228"/>
      <c r="F592" s="228"/>
      <c r="G592" s="228"/>
      <c r="H592" s="228"/>
      <c r="I592" s="228"/>
      <c r="J592" s="228"/>
      <c r="K592" s="228"/>
      <c r="L592" s="247"/>
    </row>
    <row r="593" spans="1:12">
      <c r="A593" s="13"/>
      <c r="B593" s="180"/>
      <c r="C593" t="s">
        <v>299</v>
      </c>
      <c r="D593" s="2"/>
      <c r="E593" s="2"/>
      <c r="F593" s="2"/>
      <c r="G593" s="2"/>
      <c r="L593" s="14"/>
    </row>
    <row r="594" spans="1:12">
      <c r="A594" s="13"/>
      <c r="C594" t="s">
        <v>272</v>
      </c>
      <c r="J594" t="s">
        <v>300</v>
      </c>
      <c r="L594" s="14"/>
    </row>
    <row r="595" spans="1:12">
      <c r="A595" s="13"/>
      <c r="F595" s="226" t="s">
        <v>273</v>
      </c>
      <c r="L595" s="14"/>
    </row>
    <row r="596" spans="1:12">
      <c r="A596" s="13" t="s">
        <v>301</v>
      </c>
      <c r="B596" t="s">
        <v>274</v>
      </c>
      <c r="E596" s="229">
        <f>'04-221Master'!B471</f>
        <v>0</v>
      </c>
      <c r="H596" s="1399" t="s">
        <v>275</v>
      </c>
      <c r="I596" s="1399"/>
      <c r="J596" s="230">
        <f>'04-221Master'!N471</f>
        <v>0</v>
      </c>
      <c r="K596" t="s">
        <v>276</v>
      </c>
      <c r="L596" s="14"/>
    </row>
    <row r="597" spans="1:12">
      <c r="A597" s="13"/>
      <c r="B597" s="1410">
        <f>'04-221Master'!S471</f>
        <v>0</v>
      </c>
      <c r="C597" s="1411"/>
      <c r="D597" s="227"/>
      <c r="E597" s="227"/>
      <c r="F597" s="227"/>
      <c r="G597" s="227"/>
      <c r="H597" s="227"/>
      <c r="I597" s="227"/>
      <c r="J597" s="227"/>
      <c r="K597" s="227"/>
      <c r="L597" s="248"/>
    </row>
    <row r="598" spans="1:12">
      <c r="A598" s="13" t="s">
        <v>303</v>
      </c>
      <c r="B598" s="227" t="s">
        <v>277</v>
      </c>
      <c r="C598" s="227"/>
      <c r="D598" s="227"/>
      <c r="E598" s="227"/>
      <c r="F598" s="227"/>
      <c r="G598" s="227"/>
      <c r="H598" s="227"/>
      <c r="I598" s="227"/>
      <c r="J598" s="227"/>
      <c r="K598" s="227"/>
      <c r="L598" s="248"/>
    </row>
    <row r="599" spans="1:12">
      <c r="A599" s="13"/>
      <c r="B599" s="227" t="s">
        <v>302</v>
      </c>
      <c r="C599" s="227"/>
      <c r="D599" s="227"/>
      <c r="E599" s="227"/>
      <c r="F599" s="227"/>
      <c r="G599" s="227"/>
      <c r="H599" s="227"/>
      <c r="I599" s="227"/>
      <c r="J599" s="227"/>
      <c r="K599" s="227"/>
      <c r="L599" s="248"/>
    </row>
    <row r="600" spans="1:12">
      <c r="A600" s="13"/>
      <c r="B600" t="s">
        <v>278</v>
      </c>
      <c r="L600" s="14"/>
    </row>
    <row r="601" spans="1:12" ht="18.75">
      <c r="A601" s="13"/>
      <c r="B601" s="2" t="s">
        <v>279</v>
      </c>
      <c r="F601" s="179"/>
      <c r="L601" s="14"/>
    </row>
    <row r="602" spans="1:12">
      <c r="A602" s="13"/>
      <c r="B602" s="2" t="s">
        <v>280</v>
      </c>
      <c r="L602" s="14"/>
    </row>
    <row r="603" spans="1:12" ht="21.75" customHeight="1">
      <c r="A603" s="13"/>
      <c r="B603" t="s">
        <v>281</v>
      </c>
      <c r="L603" s="14"/>
    </row>
    <row r="604" spans="1:12" ht="18" customHeight="1">
      <c r="A604" s="13"/>
      <c r="B604" t="s">
        <v>282</v>
      </c>
      <c r="L604" s="14"/>
    </row>
    <row r="605" spans="1:12" ht="17.25" customHeight="1">
      <c r="A605" s="13" t="s">
        <v>292</v>
      </c>
      <c r="B605" t="s">
        <v>283</v>
      </c>
      <c r="L605" s="14"/>
    </row>
    <row r="606" spans="1:12" ht="19.5" customHeight="1">
      <c r="A606" s="13"/>
      <c r="B606" s="239" t="s">
        <v>304</v>
      </c>
      <c r="L606" s="14"/>
    </row>
    <row r="607" spans="1:12" ht="18.75" customHeight="1">
      <c r="A607" s="13"/>
      <c r="B607" t="s">
        <v>278</v>
      </c>
      <c r="L607" s="14"/>
    </row>
    <row r="608" spans="1:12" ht="15" customHeight="1">
      <c r="A608" s="13"/>
      <c r="B608" t="s">
        <v>284</v>
      </c>
      <c r="L608" s="14"/>
    </row>
    <row r="609" spans="1:12" ht="20.25" customHeight="1">
      <c r="A609" s="13"/>
      <c r="B609" t="s">
        <v>285</v>
      </c>
      <c r="L609" s="14"/>
    </row>
    <row r="610" spans="1:12" ht="21" customHeight="1">
      <c r="A610" s="13"/>
      <c r="B610" s="1412" t="s">
        <v>286</v>
      </c>
      <c r="C610" s="1412"/>
      <c r="D610" s="1412"/>
      <c r="E610" s="1412"/>
      <c r="F610" s="1412"/>
      <c r="G610" s="1412"/>
      <c r="H610" s="1412"/>
      <c r="I610" s="1412"/>
      <c r="J610" s="1412"/>
      <c r="K610" s="1412"/>
      <c r="L610" s="1413"/>
    </row>
    <row r="611" spans="1:12" ht="27.95" customHeight="1">
      <c r="A611" s="13"/>
      <c r="B611" t="s">
        <v>198</v>
      </c>
      <c r="C611" s="209"/>
      <c r="D611" s="209"/>
      <c r="E611" s="209"/>
      <c r="F611" s="209"/>
      <c r="G611" s="209"/>
      <c r="H611" s="209"/>
      <c r="I611" t="s">
        <v>305</v>
      </c>
      <c r="J611" s="209"/>
      <c r="K611" s="209"/>
      <c r="L611" s="240"/>
    </row>
    <row r="612" spans="1:12" ht="27.95" customHeight="1" thickBot="1">
      <c r="A612" s="25"/>
      <c r="B612" s="1170"/>
      <c r="C612" s="1170"/>
      <c r="D612" s="1170"/>
      <c r="E612" s="1170"/>
      <c r="F612" s="1170"/>
      <c r="G612" s="1170"/>
      <c r="H612" s="1170"/>
      <c r="I612" s="1170"/>
      <c r="J612" s="1170"/>
      <c r="K612" s="1170"/>
      <c r="L612" s="1171"/>
    </row>
    <row r="613" spans="1:12" ht="27.95" customHeight="1">
      <c r="B613" s="180"/>
      <c r="C613" s="176"/>
      <c r="D613" s="176"/>
      <c r="E613" s="176"/>
      <c r="F613" s="176"/>
      <c r="G613" s="176"/>
      <c r="H613" s="165"/>
      <c r="I613" s="165"/>
      <c r="J613" s="165"/>
      <c r="K613" s="165"/>
      <c r="L613" s="165"/>
    </row>
    <row r="614" spans="1:12" ht="27.95" customHeight="1">
      <c r="B614" s="180"/>
      <c r="C614" s="176"/>
      <c r="D614" s="176"/>
      <c r="E614" s="176"/>
      <c r="F614" s="176"/>
      <c r="G614" s="176"/>
      <c r="H614" s="165"/>
      <c r="I614" s="165"/>
      <c r="J614" s="166"/>
      <c r="K614" s="165"/>
      <c r="L614" s="165"/>
    </row>
    <row r="615" spans="1:12" ht="27.95" customHeight="1">
      <c r="B615" s="180"/>
      <c r="C615" s="176"/>
      <c r="D615" s="176"/>
      <c r="E615" s="176"/>
      <c r="F615" s="176"/>
      <c r="G615" s="176"/>
      <c r="H615" s="165"/>
      <c r="I615" s="165"/>
      <c r="J615" s="165"/>
      <c r="K615" s="165"/>
      <c r="L615" s="165"/>
    </row>
    <row r="616" spans="1:12" ht="27.95" customHeight="1">
      <c r="B616" s="180"/>
      <c r="C616" s="176"/>
      <c r="D616" s="176"/>
      <c r="E616" s="176"/>
      <c r="F616" s="176"/>
      <c r="G616" s="176"/>
      <c r="H616" s="165"/>
      <c r="I616" s="165"/>
      <c r="J616" s="166"/>
      <c r="K616" s="165"/>
      <c r="L616" s="165"/>
    </row>
    <row r="617" spans="1:12" ht="27.95" customHeight="1">
      <c r="B617" s="180"/>
      <c r="C617" s="176"/>
      <c r="D617" s="165"/>
      <c r="E617" s="166"/>
      <c r="F617" s="165"/>
      <c r="G617" s="166"/>
      <c r="H617" s="165"/>
      <c r="I617" s="166"/>
      <c r="J617" s="165"/>
      <c r="K617" s="166"/>
      <c r="L617" s="166"/>
    </row>
    <row r="618" spans="1:12" ht="27.95" customHeight="1">
      <c r="B618" s="180"/>
      <c r="C618" s="176"/>
      <c r="D618" s="176"/>
      <c r="E618" s="176"/>
      <c r="F618" s="176"/>
      <c r="G618" s="176"/>
      <c r="H618" s="165"/>
      <c r="I618" s="165"/>
      <c r="J618" s="250"/>
      <c r="K618" s="165"/>
      <c r="L618" s="165"/>
    </row>
    <row r="619" spans="1:12" ht="27.95" customHeight="1">
      <c r="B619" s="180"/>
      <c r="C619" s="2"/>
      <c r="D619" s="2"/>
      <c r="E619" s="2"/>
      <c r="F619" s="2"/>
      <c r="G619" s="2"/>
    </row>
    <row r="620" spans="1:12" ht="27.95" customHeight="1">
      <c r="B620" s="180"/>
      <c r="C620" s="2"/>
      <c r="D620" s="2"/>
      <c r="E620" s="2"/>
      <c r="F620" s="2"/>
      <c r="G620" s="2"/>
    </row>
    <row r="623" spans="1:12" ht="32.25">
      <c r="B623" s="1357"/>
      <c r="C623" s="1358"/>
      <c r="D623" s="1358"/>
      <c r="E623" s="1358"/>
      <c r="F623" s="1358"/>
      <c r="G623" s="1358"/>
      <c r="H623" s="1358"/>
      <c r="I623" s="1358"/>
      <c r="J623" s="1358"/>
      <c r="K623" s="1358"/>
      <c r="L623" s="1358"/>
    </row>
    <row r="624" spans="1:12" ht="23.25">
      <c r="B624" s="1167"/>
      <c r="C624" s="1167"/>
      <c r="D624" s="1167"/>
      <c r="E624" s="1167"/>
      <c r="F624" s="1167"/>
      <c r="G624" s="1167"/>
      <c r="H624" s="1167"/>
      <c r="I624" s="1167"/>
      <c r="J624" s="1167"/>
      <c r="K624" s="1167"/>
      <c r="L624" s="1167"/>
    </row>
    <row r="625" spans="2:12" ht="15.75">
      <c r="B625" s="1356"/>
      <c r="C625" s="1356"/>
      <c r="D625" s="1356"/>
      <c r="E625" s="1356"/>
      <c r="F625" s="1356"/>
      <c r="G625" s="1356"/>
      <c r="H625" s="1356"/>
      <c r="I625" s="1356"/>
      <c r="J625" s="1356"/>
      <c r="K625" s="1356"/>
      <c r="L625" s="1356"/>
    </row>
    <row r="626" spans="2:12" ht="15" customHeight="1">
      <c r="B626" s="1173"/>
      <c r="C626" s="1173"/>
      <c r="D626" s="1173"/>
      <c r="E626" s="1173"/>
      <c r="F626" s="1173"/>
      <c r="H626" s="1174"/>
      <c r="I626" s="1174"/>
      <c r="J626" s="1174"/>
      <c r="K626" s="1174"/>
      <c r="L626" s="1174"/>
    </row>
    <row r="627" spans="2:12">
      <c r="B627" s="1173"/>
      <c r="C627" s="1173"/>
      <c r="D627" s="1173"/>
      <c r="E627" s="1173"/>
      <c r="F627" s="1173"/>
      <c r="H627" s="1174"/>
      <c r="I627" s="1174"/>
      <c r="J627" s="1174"/>
      <c r="K627" s="1174"/>
      <c r="L627" s="1174"/>
    </row>
    <row r="629" spans="2:12">
      <c r="B629" s="2"/>
      <c r="H629" s="2"/>
    </row>
    <row r="631" spans="2:12">
      <c r="B631" s="2"/>
      <c r="H631" s="2"/>
    </row>
    <row r="634" spans="2:12">
      <c r="B634" s="1177"/>
      <c r="C634" s="1177"/>
      <c r="D634" s="1177"/>
      <c r="E634" s="1177"/>
      <c r="F634" s="1177"/>
      <c r="H634" s="1177"/>
      <c r="I634" s="1177"/>
      <c r="J634" s="1177"/>
      <c r="K634" s="1177"/>
      <c r="L634" s="1177"/>
    </row>
    <row r="636" spans="2:12">
      <c r="H636" s="2"/>
      <c r="I636" s="2"/>
      <c r="J636" s="2"/>
      <c r="K636" s="2"/>
      <c r="L636" s="2"/>
    </row>
    <row r="637" spans="2:12">
      <c r="H637" s="2"/>
      <c r="I637" s="2"/>
      <c r="J637" s="2"/>
      <c r="K637" s="2"/>
      <c r="L637" s="2"/>
    </row>
    <row r="638" spans="2:12">
      <c r="B638" s="2"/>
      <c r="H638" s="2"/>
      <c r="I638" s="2"/>
      <c r="J638" s="2"/>
      <c r="K638" s="2"/>
      <c r="L638" s="2"/>
    </row>
    <row r="639" spans="2:12">
      <c r="H639" s="2"/>
      <c r="I639" s="2"/>
      <c r="J639" s="2"/>
      <c r="K639" s="2"/>
      <c r="L639" s="2"/>
    </row>
    <row r="640" spans="2:12">
      <c r="H640" s="2"/>
      <c r="I640" s="2"/>
      <c r="J640" s="2"/>
      <c r="K640" s="2"/>
      <c r="L640" s="2"/>
    </row>
    <row r="641" spans="1:12" ht="27.95" customHeight="1">
      <c r="A641" s="10"/>
      <c r="B641" s="1353"/>
      <c r="C641" s="1353"/>
      <c r="D641" s="1353"/>
      <c r="E641" s="1353"/>
      <c r="F641" s="1353"/>
      <c r="G641" s="1353"/>
      <c r="H641" s="1351"/>
      <c r="I641" s="1352"/>
      <c r="J641" s="1352"/>
      <c r="K641" s="1352"/>
      <c r="L641" s="1352"/>
    </row>
    <row r="642" spans="1:12" ht="27.95" customHeight="1">
      <c r="A642" s="10"/>
      <c r="B642" s="1174"/>
      <c r="C642" s="1174"/>
      <c r="D642" s="1174"/>
      <c r="E642" s="1174"/>
      <c r="F642" s="1174"/>
      <c r="G642" s="1174"/>
      <c r="H642" s="1351"/>
      <c r="I642" s="1352"/>
      <c r="J642" s="1352"/>
      <c r="K642" s="1352"/>
      <c r="L642" s="1352"/>
    </row>
    <row r="643" spans="1:12" ht="27.95" customHeight="1">
      <c r="A643" s="10"/>
      <c r="B643" s="1353"/>
      <c r="C643" s="1353"/>
      <c r="D643" s="1353"/>
      <c r="E643" s="1353"/>
      <c r="F643" s="1353"/>
      <c r="G643" s="1353"/>
      <c r="H643" s="1351"/>
      <c r="I643" s="1352"/>
      <c r="J643" s="1352"/>
      <c r="K643" s="1352"/>
      <c r="L643" s="1352"/>
    </row>
    <row r="644" spans="1:12" ht="27.95" customHeight="1">
      <c r="A644" s="10"/>
      <c r="B644" s="1353"/>
      <c r="C644" s="1353"/>
      <c r="D644" s="1353"/>
      <c r="E644" s="1353"/>
      <c r="F644" s="1353"/>
      <c r="G644" s="1353"/>
      <c r="H644" s="1355"/>
      <c r="I644" s="1352"/>
      <c r="J644" s="1352"/>
      <c r="K644" s="1352"/>
      <c r="L644" s="1352"/>
    </row>
    <row r="645" spans="1:12" ht="27.95" customHeight="1">
      <c r="A645" s="10"/>
      <c r="B645" s="180"/>
      <c r="C645" s="176"/>
      <c r="D645" s="176"/>
      <c r="E645" s="176"/>
      <c r="F645" s="176"/>
      <c r="G645" s="176"/>
      <c r="H645" s="165"/>
      <c r="I645" s="10"/>
      <c r="J645" s="249"/>
      <c r="K645" s="165"/>
      <c r="L645" s="165"/>
    </row>
    <row r="646" spans="1:12" ht="27.95" customHeight="1">
      <c r="A646" s="10"/>
      <c r="B646" s="180"/>
      <c r="C646" s="176"/>
      <c r="D646" s="176"/>
      <c r="E646" s="176"/>
      <c r="F646" s="176"/>
      <c r="G646" s="176"/>
      <c r="H646" s="165"/>
      <c r="I646" s="165"/>
      <c r="J646" s="249"/>
      <c r="K646" s="165"/>
      <c r="L646" s="165"/>
    </row>
    <row r="647" spans="1:12" ht="27.95" customHeight="1">
      <c r="A647" s="10"/>
      <c r="B647" s="1174"/>
      <c r="C647" s="1174"/>
      <c r="D647" s="1174"/>
      <c r="E647" s="1174"/>
      <c r="F647" s="1174"/>
      <c r="G647" s="1174"/>
      <c r="H647" s="1351"/>
      <c r="I647" s="1352"/>
      <c r="J647" s="1352"/>
      <c r="K647" s="1352"/>
      <c r="L647" s="1352"/>
    </row>
    <row r="648" spans="1:12" ht="27.95" customHeight="1">
      <c r="A648" s="10"/>
      <c r="B648" s="1353"/>
      <c r="C648" s="1353"/>
      <c r="D648" s="1353"/>
      <c r="E648" s="1353"/>
      <c r="F648" s="1353"/>
      <c r="G648" s="1353"/>
      <c r="H648" s="1354"/>
      <c r="I648" s="1352"/>
      <c r="J648" s="1352"/>
      <c r="K648" s="1352"/>
      <c r="L648" s="1352"/>
    </row>
    <row r="649" spans="1:12" ht="27.95" customHeight="1">
      <c r="B649" s="1353"/>
      <c r="C649" s="1353"/>
      <c r="D649" s="1353"/>
      <c r="E649" s="1353"/>
      <c r="F649" s="1353"/>
      <c r="G649" s="1353"/>
      <c r="H649" s="1352"/>
      <c r="I649" s="1352"/>
      <c r="J649" s="1352"/>
      <c r="K649" s="1352"/>
      <c r="L649" s="1352"/>
    </row>
    <row r="650" spans="1:12" ht="27.95" customHeight="1">
      <c r="B650" s="180"/>
      <c r="C650" s="176"/>
      <c r="D650" s="176"/>
      <c r="E650" s="176"/>
      <c r="F650" s="176"/>
      <c r="G650" s="176"/>
      <c r="H650" s="165"/>
      <c r="I650" s="165"/>
      <c r="J650" s="165"/>
      <c r="K650" s="165"/>
      <c r="L650" s="165"/>
    </row>
    <row r="651" spans="1:12" ht="27.95" customHeight="1">
      <c r="B651" s="180"/>
      <c r="C651" s="176"/>
      <c r="D651" s="176"/>
      <c r="E651" s="176"/>
      <c r="F651" s="176"/>
      <c r="G651" s="176"/>
      <c r="H651" s="165"/>
      <c r="I651" s="165"/>
      <c r="J651" s="165"/>
      <c r="K651" s="165"/>
      <c r="L651" s="165"/>
    </row>
    <row r="652" spans="1:12" ht="27.95" customHeight="1">
      <c r="B652" s="180"/>
      <c r="C652" s="176"/>
      <c r="D652" s="176"/>
      <c r="E652" s="176"/>
      <c r="F652" s="176"/>
      <c r="G652" s="176"/>
      <c r="H652" s="165"/>
      <c r="I652" s="165"/>
      <c r="J652" s="166"/>
      <c r="K652" s="165"/>
      <c r="L652" s="165"/>
    </row>
    <row r="653" spans="1:12" ht="27.95" customHeight="1">
      <c r="B653" s="180"/>
      <c r="C653" s="176"/>
      <c r="D653" s="176"/>
      <c r="E653" s="176"/>
      <c r="F653" s="176"/>
      <c r="G653" s="176"/>
      <c r="H653" s="165"/>
      <c r="I653" s="165"/>
      <c r="J653" s="165"/>
      <c r="K653" s="165"/>
      <c r="L653" s="165"/>
    </row>
    <row r="654" spans="1:12" ht="27.95" customHeight="1">
      <c r="B654" s="180"/>
      <c r="C654" s="176"/>
      <c r="D654" s="176"/>
      <c r="E654" s="176"/>
      <c r="F654" s="176"/>
      <c r="G654" s="176"/>
      <c r="H654" s="165"/>
      <c r="I654" s="165"/>
      <c r="J654" s="166"/>
      <c r="K654" s="165"/>
      <c r="L654" s="165"/>
    </row>
    <row r="655" spans="1:12" ht="27.95" customHeight="1">
      <c r="B655" s="180"/>
      <c r="C655" s="176"/>
      <c r="D655" s="165"/>
      <c r="E655" s="166"/>
      <c r="F655" s="165"/>
      <c r="G655" s="166"/>
      <c r="H655" s="165"/>
      <c r="I655" s="166"/>
      <c r="J655" s="165"/>
      <c r="K655" s="166"/>
      <c r="L655" s="166"/>
    </row>
    <row r="656" spans="1:12" ht="27.95" customHeight="1">
      <c r="B656" s="180"/>
      <c r="C656" s="176"/>
      <c r="D656" s="176"/>
      <c r="E656" s="176"/>
      <c r="F656" s="176"/>
      <c r="G656" s="176"/>
      <c r="H656" s="165"/>
      <c r="I656" s="165"/>
      <c r="J656" s="250"/>
      <c r="K656" s="165"/>
      <c r="L656" s="165"/>
    </row>
    <row r="657" spans="2:12" ht="27.95" customHeight="1">
      <c r="B657" s="180"/>
      <c r="C657" s="2"/>
      <c r="D657" s="2"/>
      <c r="E657" s="2"/>
      <c r="F657" s="2"/>
      <c r="G657" s="2"/>
    </row>
    <row r="658" spans="2:12" ht="27.95" customHeight="1">
      <c r="B658" s="180"/>
      <c r="C658" s="2"/>
      <c r="D658" s="2"/>
      <c r="E658" s="2"/>
      <c r="F658" s="2"/>
      <c r="G658" s="2"/>
    </row>
    <row r="662" spans="2:12" ht="32.25">
      <c r="B662" s="1357"/>
      <c r="C662" s="1358"/>
      <c r="D662" s="1358"/>
      <c r="E662" s="1358"/>
      <c r="F662" s="1358"/>
      <c r="G662" s="1358"/>
      <c r="H662" s="1358"/>
      <c r="I662" s="1358"/>
      <c r="J662" s="1358"/>
      <c r="K662" s="1358"/>
      <c r="L662" s="1358"/>
    </row>
    <row r="663" spans="2:12" ht="23.25">
      <c r="B663" s="1167"/>
      <c r="C663" s="1167"/>
      <c r="D663" s="1167"/>
      <c r="E663" s="1167"/>
      <c r="F663" s="1167"/>
      <c r="G663" s="1167"/>
      <c r="H663" s="1167"/>
      <c r="I663" s="1167"/>
      <c r="J663" s="1167"/>
      <c r="K663" s="1167"/>
      <c r="L663" s="1167"/>
    </row>
    <row r="664" spans="2:12" ht="15.75">
      <c r="B664" s="1356"/>
      <c r="C664" s="1356"/>
      <c r="D664" s="1356"/>
      <c r="E664" s="1356"/>
      <c r="F664" s="1356"/>
      <c r="G664" s="1356"/>
      <c r="H664" s="1356"/>
      <c r="I664" s="1356"/>
      <c r="J664" s="1356"/>
      <c r="K664" s="1356"/>
      <c r="L664" s="1356"/>
    </row>
    <row r="665" spans="2:12" ht="15" customHeight="1">
      <c r="B665" s="1173"/>
      <c r="C665" s="1173"/>
      <c r="D665" s="1173"/>
      <c r="E665" s="1173"/>
      <c r="F665" s="1173"/>
      <c r="H665" s="1174"/>
      <c r="I665" s="1174"/>
      <c r="J665" s="1174"/>
      <c r="K665" s="1174"/>
      <c r="L665" s="1174"/>
    </row>
    <row r="666" spans="2:12">
      <c r="B666" s="1173"/>
      <c r="C666" s="1173"/>
      <c r="D666" s="1173"/>
      <c r="E666" s="1173"/>
      <c r="F666" s="1173"/>
      <c r="H666" s="1174"/>
      <c r="I666" s="1174"/>
      <c r="J666" s="1174"/>
      <c r="K666" s="1174"/>
      <c r="L666" s="1174"/>
    </row>
    <row r="668" spans="2:12">
      <c r="B668" s="2"/>
      <c r="H668" s="2"/>
    </row>
    <row r="670" spans="2:12">
      <c r="B670" s="2"/>
      <c r="H670" s="2"/>
    </row>
    <row r="673" spans="1:12">
      <c r="B673" s="1177"/>
      <c r="C673" s="1177"/>
      <c r="D673" s="1177"/>
      <c r="E673" s="1177"/>
      <c r="F673" s="1177"/>
      <c r="H673" s="1177"/>
      <c r="I673" s="1177"/>
      <c r="J673" s="1177"/>
      <c r="K673" s="1177"/>
      <c r="L673" s="1177"/>
    </row>
    <row r="675" spans="1:12">
      <c r="H675" s="2"/>
      <c r="I675" s="2"/>
      <c r="J675" s="2"/>
      <c r="K675" s="2"/>
      <c r="L675" s="2"/>
    </row>
    <row r="676" spans="1:12">
      <c r="H676" s="2"/>
      <c r="I676" s="2"/>
      <c r="J676" s="2"/>
      <c r="K676" s="2"/>
      <c r="L676" s="2"/>
    </row>
    <row r="677" spans="1:12">
      <c r="B677" s="2"/>
      <c r="H677" s="2"/>
      <c r="I677" s="2"/>
      <c r="J677" s="2"/>
      <c r="K677" s="2"/>
      <c r="L677" s="2"/>
    </row>
    <row r="678" spans="1:12">
      <c r="H678" s="2"/>
      <c r="I678" s="2"/>
      <c r="J678" s="2"/>
      <c r="K678" s="2"/>
      <c r="L678" s="2"/>
    </row>
    <row r="679" spans="1:12">
      <c r="H679" s="2"/>
      <c r="I679" s="2"/>
      <c r="J679" s="2"/>
      <c r="K679" s="2"/>
      <c r="L679" s="2"/>
    </row>
    <row r="680" spans="1:12" ht="27.95" customHeight="1">
      <c r="A680" s="10"/>
      <c r="B680" s="1353"/>
      <c r="C680" s="1353"/>
      <c r="D680" s="1353"/>
      <c r="E680" s="1353"/>
      <c r="F680" s="1353"/>
      <c r="G680" s="1353"/>
      <c r="H680" s="1351"/>
      <c r="I680" s="1352"/>
      <c r="J680" s="1352"/>
      <c r="K680" s="1352"/>
      <c r="L680" s="1352"/>
    </row>
    <row r="681" spans="1:12" ht="27.95" customHeight="1">
      <c r="A681" s="10"/>
      <c r="B681" s="1174"/>
      <c r="C681" s="1174"/>
      <c r="D681" s="1174"/>
      <c r="E681" s="1174"/>
      <c r="F681" s="1174"/>
      <c r="G681" s="1174"/>
      <c r="H681" s="1351"/>
      <c r="I681" s="1352"/>
      <c r="J681" s="1352"/>
      <c r="K681" s="1352"/>
      <c r="L681" s="1352"/>
    </row>
    <row r="682" spans="1:12" ht="27.95" customHeight="1">
      <c r="A682" s="10"/>
      <c r="B682" s="1353"/>
      <c r="C682" s="1353"/>
      <c r="D682" s="1353"/>
      <c r="E682" s="1353"/>
      <c r="F682" s="1353"/>
      <c r="G682" s="1353"/>
      <c r="H682" s="1351"/>
      <c r="I682" s="1352"/>
      <c r="J682" s="1352"/>
      <c r="K682" s="1352"/>
      <c r="L682" s="1352"/>
    </row>
    <row r="683" spans="1:12" ht="27.95" customHeight="1">
      <c r="A683" s="10"/>
      <c r="B683" s="1353"/>
      <c r="C683" s="1353"/>
      <c r="D683" s="1353"/>
      <c r="E683" s="1353"/>
      <c r="F683" s="1353"/>
      <c r="G683" s="1353"/>
      <c r="H683" s="1355"/>
      <c r="I683" s="1352"/>
      <c r="J683" s="1352"/>
      <c r="K683" s="1352"/>
      <c r="L683" s="1352"/>
    </row>
    <row r="684" spans="1:12" ht="27.95" customHeight="1">
      <c r="A684" s="10"/>
      <c r="B684" s="180"/>
      <c r="C684" s="176"/>
      <c r="D684" s="176"/>
      <c r="E684" s="176"/>
      <c r="F684" s="176"/>
      <c r="G684" s="176"/>
      <c r="H684" s="165"/>
      <c r="I684" s="10"/>
      <c r="J684" s="249"/>
      <c r="K684" s="165"/>
      <c r="L684" s="165"/>
    </row>
    <row r="685" spans="1:12" ht="27.95" customHeight="1">
      <c r="A685" s="10"/>
      <c r="B685" s="180"/>
      <c r="C685" s="176"/>
      <c r="D685" s="176"/>
      <c r="E685" s="176"/>
      <c r="F685" s="176"/>
      <c r="G685" s="176"/>
      <c r="H685" s="165"/>
      <c r="I685" s="165"/>
      <c r="J685" s="249"/>
      <c r="K685" s="165"/>
      <c r="L685" s="165"/>
    </row>
    <row r="686" spans="1:12" ht="27.95" customHeight="1">
      <c r="A686" s="10"/>
      <c r="B686" s="1174"/>
      <c r="C686" s="1174"/>
      <c r="D686" s="1174"/>
      <c r="E686" s="1174"/>
      <c r="F686" s="1174"/>
      <c r="G686" s="1174"/>
      <c r="H686" s="1351"/>
      <c r="I686" s="1352"/>
      <c r="J686" s="1352"/>
      <c r="K686" s="1352"/>
      <c r="L686" s="1352"/>
    </row>
    <row r="687" spans="1:12" ht="27.95" customHeight="1">
      <c r="A687" s="10"/>
      <c r="B687" s="1353"/>
      <c r="C687" s="1353"/>
      <c r="D687" s="1353"/>
      <c r="E687" s="1353"/>
      <c r="F687" s="1353"/>
      <c r="G687" s="1353"/>
      <c r="H687" s="1354"/>
      <c r="I687" s="1352"/>
      <c r="J687" s="1352"/>
      <c r="K687" s="1352"/>
      <c r="L687" s="1352"/>
    </row>
    <row r="688" spans="1:12" ht="27.95" customHeight="1">
      <c r="B688" s="1353"/>
      <c r="C688" s="1353"/>
      <c r="D688" s="1353"/>
      <c r="E688" s="1353"/>
      <c r="F688" s="1353"/>
      <c r="G688" s="1353"/>
      <c r="H688" s="1352"/>
      <c r="I688" s="1352"/>
      <c r="J688" s="1352"/>
      <c r="K688" s="1352"/>
      <c r="L688" s="1352"/>
    </row>
    <row r="689" spans="2:12" ht="27.95" customHeight="1">
      <c r="B689" s="180"/>
      <c r="C689" s="176"/>
      <c r="D689" s="176"/>
      <c r="E689" s="176"/>
      <c r="F689" s="176"/>
      <c r="G689" s="176"/>
      <c r="H689" s="165"/>
      <c r="I689" s="165"/>
      <c r="J689" s="165"/>
      <c r="K689" s="165"/>
      <c r="L689" s="165"/>
    </row>
    <row r="690" spans="2:12" ht="27.95" customHeight="1">
      <c r="B690" s="180"/>
      <c r="C690" s="176"/>
      <c r="D690" s="176"/>
      <c r="E690" s="176"/>
      <c r="F690" s="176"/>
      <c r="G690" s="176"/>
      <c r="H690" s="165"/>
      <c r="I690" s="165"/>
      <c r="J690" s="165"/>
      <c r="K690" s="165"/>
      <c r="L690" s="165"/>
    </row>
    <row r="691" spans="2:12" ht="27.95" customHeight="1">
      <c r="B691" s="180"/>
      <c r="C691" s="176"/>
      <c r="D691" s="176"/>
      <c r="E691" s="176"/>
      <c r="F691" s="176"/>
      <c r="G691" s="176"/>
      <c r="H691" s="165"/>
      <c r="I691" s="165"/>
      <c r="J691" s="166"/>
      <c r="K691" s="165"/>
      <c r="L691" s="165"/>
    </row>
    <row r="692" spans="2:12" ht="27.95" customHeight="1">
      <c r="B692" s="180"/>
      <c r="C692" s="176"/>
      <c r="D692" s="176"/>
      <c r="E692" s="176"/>
      <c r="F692" s="176"/>
      <c r="G692" s="176"/>
      <c r="H692" s="165"/>
      <c r="I692" s="165"/>
      <c r="J692" s="165"/>
      <c r="K692" s="165"/>
      <c r="L692" s="165"/>
    </row>
    <row r="693" spans="2:12" ht="27.95" customHeight="1">
      <c r="B693" s="180"/>
      <c r="C693" s="176"/>
      <c r="D693" s="176"/>
      <c r="E693" s="176"/>
      <c r="F693" s="176"/>
      <c r="G693" s="176"/>
      <c r="H693" s="165"/>
      <c r="I693" s="165"/>
      <c r="J693" s="166"/>
      <c r="K693" s="165"/>
      <c r="L693" s="165"/>
    </row>
    <row r="694" spans="2:12" ht="27.95" customHeight="1">
      <c r="B694" s="180"/>
      <c r="C694" s="176"/>
      <c r="D694" s="165"/>
      <c r="E694" s="166"/>
      <c r="F694" s="165"/>
      <c r="G694" s="166"/>
      <c r="H694" s="165"/>
      <c r="I694" s="166"/>
      <c r="J694" s="165"/>
      <c r="K694" s="166"/>
      <c r="L694" s="166"/>
    </row>
    <row r="695" spans="2:12" ht="27.95" customHeight="1">
      <c r="B695" s="180"/>
      <c r="C695" s="176"/>
      <c r="D695" s="176"/>
      <c r="E695" s="176"/>
      <c r="F695" s="176"/>
      <c r="G695" s="176"/>
      <c r="H695" s="165"/>
      <c r="I695" s="165"/>
      <c r="J695" s="250"/>
      <c r="K695" s="165"/>
      <c r="L695" s="165"/>
    </row>
    <row r="696" spans="2:12" ht="27.95" customHeight="1">
      <c r="B696" s="180"/>
      <c r="C696" s="2"/>
      <c r="D696" s="2"/>
      <c r="E696" s="2"/>
      <c r="F696" s="2"/>
      <c r="G696" s="2"/>
    </row>
    <row r="697" spans="2:12" ht="27.95" customHeight="1">
      <c r="B697" s="180"/>
      <c r="C697" s="2"/>
      <c r="D697" s="2"/>
      <c r="E697" s="2"/>
      <c r="F697" s="2"/>
      <c r="G697" s="2"/>
    </row>
    <row r="701" spans="2:12" ht="32.25">
      <c r="B701" s="1357"/>
      <c r="C701" s="1358"/>
      <c r="D701" s="1358"/>
      <c r="E701" s="1358"/>
      <c r="F701" s="1358"/>
      <c r="G701" s="1358"/>
      <c r="H701" s="1358"/>
      <c r="I701" s="1358"/>
      <c r="J701" s="1358"/>
      <c r="K701" s="1358"/>
      <c r="L701" s="1358"/>
    </row>
    <row r="702" spans="2:12" ht="23.25">
      <c r="B702" s="1167"/>
      <c r="C702" s="1167"/>
      <c r="D702" s="1167"/>
      <c r="E702" s="1167"/>
      <c r="F702" s="1167"/>
      <c r="G702" s="1167"/>
      <c r="H702" s="1167"/>
      <c r="I702" s="1167"/>
      <c r="J702" s="1167"/>
      <c r="K702" s="1167"/>
      <c r="L702" s="1167"/>
    </row>
    <row r="703" spans="2:12" ht="15.75">
      <c r="B703" s="1356"/>
      <c r="C703" s="1356"/>
      <c r="D703" s="1356"/>
      <c r="E703" s="1356"/>
      <c r="F703" s="1356"/>
      <c r="G703" s="1356"/>
      <c r="H703" s="1356"/>
      <c r="I703" s="1356"/>
      <c r="J703" s="1356"/>
      <c r="K703" s="1356"/>
      <c r="L703" s="1356"/>
    </row>
    <row r="704" spans="2:12" ht="15" customHeight="1">
      <c r="B704" s="1173"/>
      <c r="C704" s="1173"/>
      <c r="D704" s="1173"/>
      <c r="E704" s="1173"/>
      <c r="F704" s="1173"/>
      <c r="H704" s="1174"/>
      <c r="I704" s="1174"/>
      <c r="J704" s="1174"/>
      <c r="K704" s="1174"/>
      <c r="L704" s="1174"/>
    </row>
    <row r="705" spans="1:12">
      <c r="B705" s="1173"/>
      <c r="C705" s="1173"/>
      <c r="D705" s="1173"/>
      <c r="E705" s="1173"/>
      <c r="F705" s="1173"/>
      <c r="H705" s="1174"/>
      <c r="I705" s="1174"/>
      <c r="J705" s="1174"/>
      <c r="K705" s="1174"/>
      <c r="L705" s="1174"/>
    </row>
    <row r="707" spans="1:12">
      <c r="B707" s="2"/>
      <c r="H707" s="2"/>
    </row>
    <row r="709" spans="1:12">
      <c r="B709" s="2"/>
      <c r="H709" s="2"/>
    </row>
    <row r="712" spans="1:12">
      <c r="B712" s="1177"/>
      <c r="C712" s="1177"/>
      <c r="D712" s="1177"/>
      <c r="E712" s="1177"/>
      <c r="F712" s="1177"/>
      <c r="H712" s="1177"/>
      <c r="I712" s="1177"/>
      <c r="J712" s="1177"/>
      <c r="K712" s="1177"/>
      <c r="L712" s="1177"/>
    </row>
    <row r="714" spans="1:12">
      <c r="H714" s="2"/>
      <c r="I714" s="2"/>
      <c r="J714" s="2"/>
      <c r="K714" s="2"/>
      <c r="L714" s="2"/>
    </row>
    <row r="715" spans="1:12">
      <c r="H715" s="2"/>
      <c r="I715" s="2"/>
      <c r="J715" s="2"/>
      <c r="K715" s="2"/>
      <c r="L715" s="2"/>
    </row>
    <row r="716" spans="1:12">
      <c r="B716" s="2"/>
      <c r="H716" s="2"/>
      <c r="I716" s="2"/>
      <c r="J716" s="2"/>
      <c r="K716" s="2"/>
      <c r="L716" s="2"/>
    </row>
    <row r="717" spans="1:12">
      <c r="H717" s="2"/>
      <c r="I717" s="2"/>
      <c r="J717" s="2"/>
      <c r="K717" s="2"/>
      <c r="L717" s="2"/>
    </row>
    <row r="718" spans="1:12">
      <c r="H718" s="2"/>
      <c r="I718" s="2"/>
      <c r="J718" s="2"/>
      <c r="K718" s="2"/>
      <c r="L718" s="2"/>
    </row>
    <row r="719" spans="1:12" ht="27.95" customHeight="1">
      <c r="A719" s="10"/>
      <c r="B719" s="1353"/>
      <c r="C719" s="1353"/>
      <c r="D719" s="1353"/>
      <c r="E719" s="1353"/>
      <c r="F719" s="1353"/>
      <c r="G719" s="1353"/>
      <c r="H719" s="1351"/>
      <c r="I719" s="1352"/>
      <c r="J719" s="1352"/>
      <c r="K719" s="1352"/>
      <c r="L719" s="1352"/>
    </row>
    <row r="720" spans="1:12" ht="27.95" customHeight="1">
      <c r="A720" s="10"/>
      <c r="B720" s="1174"/>
      <c r="C720" s="1174"/>
      <c r="D720" s="1174"/>
      <c r="E720" s="1174"/>
      <c r="F720" s="1174"/>
      <c r="G720" s="1174"/>
      <c r="H720" s="1351"/>
      <c r="I720" s="1352"/>
      <c r="J720" s="1352"/>
      <c r="K720" s="1352"/>
      <c r="L720" s="1352"/>
    </row>
    <row r="721" spans="1:12" ht="27.95" customHeight="1">
      <c r="A721" s="10"/>
      <c r="B721" s="1353"/>
      <c r="C721" s="1353"/>
      <c r="D721" s="1353"/>
      <c r="E721" s="1353"/>
      <c r="F721" s="1353"/>
      <c r="G721" s="1353"/>
      <c r="H721" s="1351"/>
      <c r="I721" s="1352"/>
      <c r="J721" s="1352"/>
      <c r="K721" s="1352"/>
      <c r="L721" s="1352"/>
    </row>
    <row r="722" spans="1:12" ht="27.95" customHeight="1">
      <c r="A722" s="10"/>
      <c r="B722" s="1353"/>
      <c r="C722" s="1353"/>
      <c r="D722" s="1353"/>
      <c r="E722" s="1353"/>
      <c r="F722" s="1353"/>
      <c r="G722" s="1353"/>
      <c r="H722" s="1355"/>
      <c r="I722" s="1352"/>
      <c r="J722" s="1352"/>
      <c r="K722" s="1352"/>
      <c r="L722" s="1352"/>
    </row>
    <row r="723" spans="1:12" ht="27.95" customHeight="1">
      <c r="A723" s="10"/>
      <c r="B723" s="180"/>
      <c r="C723" s="176"/>
      <c r="D723" s="176"/>
      <c r="E723" s="176"/>
      <c r="F723" s="176"/>
      <c r="G723" s="176"/>
      <c r="H723" s="165"/>
      <c r="I723" s="10"/>
      <c r="J723" s="249"/>
      <c r="K723" s="165"/>
      <c r="L723" s="165"/>
    </row>
    <row r="724" spans="1:12" ht="27.95" customHeight="1">
      <c r="A724" s="10"/>
      <c r="B724" s="180"/>
      <c r="C724" s="176"/>
      <c r="D724" s="176"/>
      <c r="E724" s="176"/>
      <c r="F724" s="176"/>
      <c r="G724" s="176"/>
      <c r="H724" s="165"/>
      <c r="I724" s="165"/>
      <c r="J724" s="249"/>
      <c r="K724" s="165"/>
      <c r="L724" s="165"/>
    </row>
    <row r="725" spans="1:12" ht="27.95" customHeight="1">
      <c r="A725" s="10"/>
      <c r="B725" s="1174"/>
      <c r="C725" s="1174"/>
      <c r="D725" s="1174"/>
      <c r="E725" s="1174"/>
      <c r="F725" s="1174"/>
      <c r="G725" s="1174"/>
      <c r="H725" s="1351"/>
      <c r="I725" s="1352"/>
      <c r="J725" s="1352"/>
      <c r="K725" s="1352"/>
      <c r="L725" s="1352"/>
    </row>
    <row r="726" spans="1:12" ht="27.95" customHeight="1">
      <c r="A726" s="10"/>
      <c r="B726" s="1353"/>
      <c r="C726" s="1353"/>
      <c r="D726" s="1353"/>
      <c r="E726" s="1353"/>
      <c r="F726" s="1353"/>
      <c r="G726" s="1353"/>
      <c r="H726" s="1354"/>
      <c r="I726" s="1352"/>
      <c r="J726" s="1352"/>
      <c r="K726" s="1352"/>
      <c r="L726" s="1352"/>
    </row>
    <row r="727" spans="1:12" ht="27.95" customHeight="1">
      <c r="B727" s="1353"/>
      <c r="C727" s="1353"/>
      <c r="D727" s="1353"/>
      <c r="E727" s="1353"/>
      <c r="F727" s="1353"/>
      <c r="G727" s="1353"/>
      <c r="H727" s="1352"/>
      <c r="I727" s="1352"/>
      <c r="J727" s="1352"/>
      <c r="K727" s="1352"/>
      <c r="L727" s="1352"/>
    </row>
    <row r="728" spans="1:12" ht="27.95" customHeight="1">
      <c r="B728" s="180"/>
      <c r="C728" s="176"/>
      <c r="D728" s="176"/>
      <c r="E728" s="176"/>
      <c r="F728" s="176"/>
      <c r="G728" s="176"/>
      <c r="H728" s="165"/>
      <c r="I728" s="165"/>
      <c r="J728" s="165"/>
      <c r="K728" s="165"/>
      <c r="L728" s="165"/>
    </row>
    <row r="729" spans="1:12" ht="27.95" customHeight="1">
      <c r="B729" s="180"/>
      <c r="C729" s="176"/>
      <c r="D729" s="176"/>
      <c r="E729" s="176"/>
      <c r="F729" s="176"/>
      <c r="G729" s="176"/>
      <c r="H729" s="165"/>
      <c r="I729" s="165"/>
      <c r="J729" s="165"/>
      <c r="K729" s="165"/>
      <c r="L729" s="165"/>
    </row>
    <row r="730" spans="1:12" ht="27.95" customHeight="1">
      <c r="B730" s="180"/>
      <c r="C730" s="176"/>
      <c r="D730" s="176"/>
      <c r="E730" s="176"/>
      <c r="F730" s="176"/>
      <c r="G730" s="176"/>
      <c r="H730" s="165"/>
      <c r="I730" s="165"/>
      <c r="J730" s="166"/>
      <c r="K730" s="165"/>
      <c r="L730" s="165"/>
    </row>
    <row r="731" spans="1:12" ht="27.95" customHeight="1">
      <c r="B731" s="180"/>
      <c r="C731" s="176"/>
      <c r="D731" s="176"/>
      <c r="E731" s="176"/>
      <c r="F731" s="176"/>
      <c r="G731" s="176"/>
      <c r="H731" s="165"/>
      <c r="I731" s="165"/>
      <c r="J731" s="165"/>
      <c r="K731" s="165"/>
      <c r="L731" s="165"/>
    </row>
    <row r="732" spans="1:12" ht="27.95" customHeight="1">
      <c r="B732" s="180"/>
      <c r="C732" s="176"/>
      <c r="D732" s="176"/>
      <c r="E732" s="176"/>
      <c r="F732" s="176"/>
      <c r="G732" s="176"/>
      <c r="H732" s="165"/>
      <c r="I732" s="165"/>
      <c r="J732" s="166"/>
      <c r="K732" s="165"/>
      <c r="L732" s="165"/>
    </row>
    <row r="733" spans="1:12" ht="27.95" customHeight="1">
      <c r="B733" s="180"/>
      <c r="C733" s="176"/>
      <c r="D733" s="165"/>
      <c r="E733" s="166"/>
      <c r="F733" s="165"/>
      <c r="G733" s="166"/>
      <c r="H733" s="165"/>
      <c r="I733" s="166"/>
      <c r="J733" s="165"/>
      <c r="K733" s="166"/>
      <c r="L733" s="166"/>
    </row>
    <row r="734" spans="1:12" ht="27.95" customHeight="1">
      <c r="B734" s="180"/>
      <c r="C734" s="176"/>
      <c r="D734" s="176"/>
      <c r="E734" s="176"/>
      <c r="F734" s="176"/>
      <c r="G734" s="176"/>
      <c r="H734" s="165"/>
      <c r="I734" s="165"/>
      <c r="J734" s="250"/>
      <c r="K734" s="165"/>
      <c r="L734" s="165"/>
    </row>
    <row r="735" spans="1:12" ht="27.95" customHeight="1">
      <c r="B735" s="180"/>
      <c r="C735" s="2"/>
      <c r="D735" s="2"/>
      <c r="E735" s="2"/>
      <c r="F735" s="2"/>
      <c r="G735" s="2"/>
    </row>
    <row r="736" spans="1:12" ht="27.95" customHeight="1">
      <c r="B736" s="180"/>
      <c r="C736" s="2"/>
      <c r="D736" s="2"/>
      <c r="E736" s="2"/>
      <c r="F736" s="2"/>
      <c r="G736" s="2"/>
    </row>
    <row r="740" spans="2:12" ht="32.25">
      <c r="B740" s="1357"/>
      <c r="C740" s="1358"/>
      <c r="D740" s="1358"/>
      <c r="E740" s="1358"/>
      <c r="F740" s="1358"/>
      <c r="G740" s="1358"/>
      <c r="H740" s="1358"/>
      <c r="I740" s="1358"/>
      <c r="J740" s="1358"/>
      <c r="K740" s="1358"/>
      <c r="L740" s="1358"/>
    </row>
    <row r="741" spans="2:12" ht="23.25">
      <c r="B741" s="1167"/>
      <c r="C741" s="1167"/>
      <c r="D741" s="1167"/>
      <c r="E741" s="1167"/>
      <c r="F741" s="1167"/>
      <c r="G741" s="1167"/>
      <c r="H741" s="1167"/>
      <c r="I741" s="1167"/>
      <c r="J741" s="1167"/>
      <c r="K741" s="1167"/>
      <c r="L741" s="1167"/>
    </row>
    <row r="742" spans="2:12" ht="15.75">
      <c r="B742" s="1356"/>
      <c r="C742" s="1356"/>
      <c r="D742" s="1356"/>
      <c r="E742" s="1356"/>
      <c r="F742" s="1356"/>
      <c r="G742" s="1356"/>
      <c r="H742" s="1356"/>
      <c r="I742" s="1356"/>
      <c r="J742" s="1356"/>
      <c r="K742" s="1356"/>
      <c r="L742" s="1356"/>
    </row>
    <row r="743" spans="2:12" ht="15" customHeight="1">
      <c r="B743" s="1173"/>
      <c r="C743" s="1173"/>
      <c r="D743" s="1173"/>
      <c r="E743" s="1173"/>
      <c r="F743" s="1173"/>
      <c r="H743" s="1174"/>
      <c r="I743" s="1174"/>
      <c r="J743" s="1174"/>
      <c r="K743" s="1174"/>
      <c r="L743" s="1174"/>
    </row>
    <row r="744" spans="2:12">
      <c r="B744" s="1173"/>
      <c r="C744" s="1173"/>
      <c r="D744" s="1173"/>
      <c r="E744" s="1173"/>
      <c r="F744" s="1173"/>
      <c r="H744" s="1174"/>
      <c r="I744" s="1174"/>
      <c r="J744" s="1174"/>
      <c r="K744" s="1174"/>
      <c r="L744" s="1174"/>
    </row>
    <row r="746" spans="2:12">
      <c r="B746" s="2"/>
      <c r="H746" s="2"/>
    </row>
    <row r="748" spans="2:12">
      <c r="B748" s="2"/>
      <c r="H748" s="2"/>
    </row>
    <row r="749" spans="2:12" ht="15" customHeight="1"/>
    <row r="751" spans="2:12">
      <c r="B751" s="1177"/>
      <c r="C751" s="1177"/>
      <c r="D751" s="1177"/>
      <c r="E751" s="1177"/>
      <c r="F751" s="1177"/>
      <c r="H751" s="1177"/>
      <c r="I751" s="1177"/>
      <c r="J751" s="1177"/>
      <c r="K751" s="1177"/>
      <c r="L751" s="1177"/>
    </row>
    <row r="753" spans="1:12">
      <c r="H753" s="2"/>
      <c r="I753" s="2"/>
      <c r="J753" s="2"/>
      <c r="K753" s="2"/>
      <c r="L753" s="2"/>
    </row>
    <row r="754" spans="1:12">
      <c r="H754" s="2"/>
      <c r="I754" s="2"/>
      <c r="J754" s="2"/>
      <c r="K754" s="2"/>
      <c r="L754" s="2"/>
    </row>
    <row r="755" spans="1:12">
      <c r="B755" s="2"/>
      <c r="H755" s="2"/>
      <c r="I755" s="2"/>
      <c r="J755" s="2"/>
      <c r="K755" s="2"/>
      <c r="L755" s="2"/>
    </row>
    <row r="756" spans="1:12">
      <c r="H756" s="2"/>
      <c r="I756" s="2"/>
      <c r="J756" s="2"/>
      <c r="K756" s="2"/>
      <c r="L756" s="2"/>
    </row>
    <row r="757" spans="1:12">
      <c r="H757" s="2"/>
      <c r="I757" s="2"/>
      <c r="J757" s="2"/>
      <c r="K757" s="2"/>
      <c r="L757" s="2"/>
    </row>
    <row r="758" spans="1:12" ht="27.95" customHeight="1">
      <c r="A758" s="10"/>
      <c r="B758" s="1353"/>
      <c r="C758" s="1353"/>
      <c r="D758" s="1353"/>
      <c r="E758" s="1353"/>
      <c r="F758" s="1353"/>
      <c r="G758" s="1353"/>
      <c r="H758" s="1351"/>
      <c r="I758" s="1352"/>
      <c r="J758" s="1352"/>
      <c r="K758" s="1352"/>
      <c r="L758" s="1352"/>
    </row>
    <row r="759" spans="1:12" ht="27.95" customHeight="1">
      <c r="A759" s="10"/>
      <c r="B759" s="1174"/>
      <c r="C759" s="1174"/>
      <c r="D759" s="1174"/>
      <c r="E759" s="1174"/>
      <c r="F759" s="1174"/>
      <c r="G759" s="1174"/>
      <c r="H759" s="1351"/>
      <c r="I759" s="1352"/>
      <c r="J759" s="1352"/>
      <c r="K759" s="1352"/>
      <c r="L759" s="1352"/>
    </row>
    <row r="760" spans="1:12" ht="27.95" customHeight="1">
      <c r="A760" s="10"/>
      <c r="B760" s="1353"/>
      <c r="C760" s="1353"/>
      <c r="D760" s="1353"/>
      <c r="E760" s="1353"/>
      <c r="F760" s="1353"/>
      <c r="G760" s="1353"/>
      <c r="H760" s="1351"/>
      <c r="I760" s="1352"/>
      <c r="J760" s="1352"/>
      <c r="K760" s="1352"/>
      <c r="L760" s="1352"/>
    </row>
    <row r="761" spans="1:12" ht="27.95" customHeight="1">
      <c r="A761" s="10"/>
      <c r="B761" s="1353"/>
      <c r="C761" s="1353"/>
      <c r="D761" s="1353"/>
      <c r="E761" s="1353"/>
      <c r="F761" s="1353"/>
      <c r="G761" s="1353"/>
      <c r="H761" s="1355"/>
      <c r="I761" s="1352"/>
      <c r="J761" s="1352"/>
      <c r="K761" s="1352"/>
      <c r="L761" s="1352"/>
    </row>
    <row r="762" spans="1:12" ht="27.95" customHeight="1">
      <c r="A762" s="10"/>
      <c r="B762" s="180"/>
      <c r="C762" s="176"/>
      <c r="D762" s="176"/>
      <c r="E762" s="176"/>
      <c r="F762" s="176"/>
      <c r="G762" s="176"/>
      <c r="H762" s="165"/>
      <c r="I762" s="10"/>
      <c r="J762" s="249"/>
      <c r="K762" s="165"/>
      <c r="L762" s="165"/>
    </row>
    <row r="763" spans="1:12" ht="27.95" customHeight="1">
      <c r="A763" s="10"/>
      <c r="B763" s="180"/>
      <c r="C763" s="176"/>
      <c r="D763" s="176"/>
      <c r="E763" s="176"/>
      <c r="F763" s="176"/>
      <c r="G763" s="176"/>
      <c r="H763" s="165"/>
      <c r="I763" s="165"/>
      <c r="J763" s="249"/>
      <c r="K763" s="165"/>
      <c r="L763" s="165"/>
    </row>
    <row r="764" spans="1:12" ht="27.95" customHeight="1">
      <c r="A764" s="10"/>
      <c r="B764" s="1174"/>
      <c r="C764" s="1174"/>
      <c r="D764" s="1174"/>
      <c r="E764" s="1174"/>
      <c r="F764" s="1174"/>
      <c r="G764" s="1174"/>
      <c r="H764" s="1351"/>
      <c r="I764" s="1352"/>
      <c r="J764" s="1352"/>
      <c r="K764" s="1352"/>
      <c r="L764" s="1352"/>
    </row>
    <row r="765" spans="1:12" ht="27.95" customHeight="1">
      <c r="A765" s="10"/>
      <c r="B765" s="1353"/>
      <c r="C765" s="1353"/>
      <c r="D765" s="1353"/>
      <c r="E765" s="1353"/>
      <c r="F765" s="1353"/>
      <c r="G765" s="1353"/>
      <c r="H765" s="1354"/>
      <c r="I765" s="1352"/>
      <c r="J765" s="1352"/>
      <c r="K765" s="1352"/>
      <c r="L765" s="1352"/>
    </row>
    <row r="766" spans="1:12" ht="27.95" customHeight="1">
      <c r="B766" s="1353"/>
      <c r="C766" s="1353"/>
      <c r="D766" s="1353"/>
      <c r="E766" s="1353"/>
      <c r="F766" s="1353"/>
      <c r="G766" s="1353"/>
      <c r="H766" s="1352"/>
      <c r="I766" s="1352"/>
      <c r="J766" s="1352"/>
      <c r="K766" s="1352"/>
      <c r="L766" s="1352"/>
    </row>
    <row r="767" spans="1:12" ht="27.95" customHeight="1">
      <c r="B767" s="180"/>
      <c r="C767" s="176"/>
      <c r="D767" s="176"/>
      <c r="E767" s="176"/>
      <c r="F767" s="176"/>
      <c r="G767" s="176"/>
      <c r="H767" s="165"/>
      <c r="I767" s="165"/>
      <c r="J767" s="165"/>
      <c r="K767" s="165"/>
      <c r="L767" s="165"/>
    </row>
    <row r="768" spans="1:12" ht="27.95" customHeight="1">
      <c r="B768" s="180"/>
      <c r="C768" s="176"/>
      <c r="D768" s="176"/>
      <c r="E768" s="176"/>
      <c r="F768" s="176"/>
      <c r="G768" s="176"/>
      <c r="H768" s="165"/>
      <c r="I768" s="165"/>
      <c r="J768" s="165"/>
      <c r="K768" s="165"/>
      <c r="L768" s="165"/>
    </row>
    <row r="769" spans="2:12" ht="27.95" customHeight="1">
      <c r="B769" s="180"/>
      <c r="C769" s="176"/>
      <c r="D769" s="176"/>
      <c r="E769" s="176"/>
      <c r="F769" s="176"/>
      <c r="G769" s="176"/>
      <c r="H769" s="165"/>
      <c r="I769" s="165"/>
      <c r="J769" s="166"/>
      <c r="K769" s="165"/>
      <c r="L769" s="165"/>
    </row>
    <row r="770" spans="2:12" ht="27.95" customHeight="1">
      <c r="B770" s="180"/>
      <c r="C770" s="176"/>
      <c r="D770" s="176"/>
      <c r="E770" s="176"/>
      <c r="F770" s="176"/>
      <c r="G770" s="176"/>
      <c r="H770" s="165"/>
      <c r="I770" s="165"/>
      <c r="J770" s="165"/>
      <c r="K770" s="165"/>
      <c r="L770" s="165"/>
    </row>
    <row r="771" spans="2:12" ht="27.95" customHeight="1">
      <c r="B771" s="180"/>
      <c r="C771" s="176"/>
      <c r="D771" s="176"/>
      <c r="E771" s="176"/>
      <c r="F771" s="176"/>
      <c r="G771" s="176"/>
      <c r="H771" s="165"/>
      <c r="I771" s="165"/>
      <c r="J771" s="166"/>
      <c r="K771" s="165"/>
      <c r="L771" s="165"/>
    </row>
    <row r="772" spans="2:12" ht="27.95" customHeight="1">
      <c r="B772" s="180"/>
      <c r="C772" s="176"/>
      <c r="D772" s="165"/>
      <c r="E772" s="166"/>
      <c r="F772" s="165"/>
      <c r="G772" s="166"/>
      <c r="H772" s="165"/>
      <c r="I772" s="166"/>
      <c r="J772" s="165"/>
      <c r="K772" s="166"/>
      <c r="L772" s="166"/>
    </row>
    <row r="773" spans="2:12" ht="27.95" customHeight="1">
      <c r="B773" s="180"/>
      <c r="C773" s="176"/>
      <c r="D773" s="176"/>
      <c r="E773" s="176"/>
      <c r="F773" s="176"/>
      <c r="G773" s="176"/>
      <c r="H773" s="165"/>
      <c r="I773" s="165"/>
      <c r="J773" s="250"/>
      <c r="K773" s="165"/>
      <c r="L773" s="165"/>
    </row>
    <row r="774" spans="2:12" ht="27.95" customHeight="1">
      <c r="B774" s="180"/>
      <c r="C774" s="2"/>
      <c r="D774" s="2"/>
      <c r="E774" s="2"/>
      <c r="F774" s="2"/>
      <c r="G774" s="2"/>
    </row>
    <row r="775" spans="2:12" ht="27.95" customHeight="1">
      <c r="B775" s="180"/>
      <c r="C775" s="2"/>
      <c r="D775" s="2"/>
      <c r="E775" s="2"/>
      <c r="F775" s="2"/>
      <c r="G775" s="2"/>
    </row>
  </sheetData>
  <mergeCells count="274">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B127:F127"/>
    <mergeCell ref="H127:L127"/>
    <mergeCell ref="B130:G130"/>
    <mergeCell ref="B131:G131"/>
    <mergeCell ref="G148:H148"/>
    <mergeCell ref="K148:L148"/>
    <mergeCell ref="C149:L149"/>
    <mergeCell ref="H155:I155"/>
    <mergeCell ref="B156:C156"/>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H58:L58"/>
    <mergeCell ref="B13:F13"/>
    <mergeCell ref="H13:L13"/>
    <mergeCell ref="B55:L55"/>
    <mergeCell ref="B57:L57"/>
    <mergeCell ref="B42:C42"/>
    <mergeCell ref="H65:L65"/>
    <mergeCell ref="C92:L92"/>
    <mergeCell ref="H98:I98"/>
    <mergeCell ref="B99:C99"/>
    <mergeCell ref="B115:G115"/>
    <mergeCell ref="H115:L115"/>
    <mergeCell ref="B112:L112"/>
    <mergeCell ref="B114:L114"/>
    <mergeCell ref="B117:L117"/>
    <mergeCell ref="H122:L122"/>
    <mergeCell ref="B123:E123"/>
    <mergeCell ref="H123:L124"/>
    <mergeCell ref="B169:L169"/>
    <mergeCell ref="B171:L171"/>
    <mergeCell ref="B173:L173"/>
    <mergeCell ref="H178:L178"/>
    <mergeCell ref="B179:E179"/>
    <mergeCell ref="H179:L180"/>
    <mergeCell ref="B183:F183"/>
    <mergeCell ref="H183:L183"/>
    <mergeCell ref="B186:G186"/>
    <mergeCell ref="B354:G354"/>
    <mergeCell ref="B355:G355"/>
    <mergeCell ref="B394:L394"/>
    <mergeCell ref="B298:G298"/>
    <mergeCell ref="B299:G299"/>
    <mergeCell ref="G316:H316"/>
    <mergeCell ref="K316:L316"/>
    <mergeCell ref="C317:L317"/>
    <mergeCell ref="H323:I323"/>
    <mergeCell ref="B324:C324"/>
    <mergeCell ref="B337:L337"/>
    <mergeCell ref="B339:L339"/>
    <mergeCell ref="B435:C435"/>
    <mergeCell ref="B448:L448"/>
    <mergeCell ref="B450:L450"/>
    <mergeCell ref="B452:L452"/>
    <mergeCell ref="H456:L456"/>
    <mergeCell ref="B457:E457"/>
    <mergeCell ref="H457:L458"/>
    <mergeCell ref="B461:F461"/>
    <mergeCell ref="H461:L461"/>
    <mergeCell ref="H460:L460"/>
    <mergeCell ref="B464:G464"/>
    <mergeCell ref="B465:G465"/>
    <mergeCell ref="H511:L512"/>
    <mergeCell ref="H510:L510"/>
    <mergeCell ref="B511:E511"/>
    <mergeCell ref="B515:F515"/>
    <mergeCell ref="H515:L515"/>
    <mergeCell ref="B518:G518"/>
    <mergeCell ref="B519:G519"/>
    <mergeCell ref="H513:L513"/>
    <mergeCell ref="H514:L514"/>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65:G765"/>
    <mergeCell ref="H765:L765"/>
    <mergeCell ref="B766:G766"/>
    <mergeCell ref="H766:L766"/>
    <mergeCell ref="B760:G760"/>
    <mergeCell ref="H760:L760"/>
    <mergeCell ref="B761:G761"/>
    <mergeCell ref="H761:L761"/>
    <mergeCell ref="B764:G764"/>
    <mergeCell ref="H764:L76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dimension ref="A1:D744"/>
  <sheetViews>
    <sheetView topLeftCell="A220" workbookViewId="0">
      <selection activeCell="F34" sqref="F34"/>
    </sheetView>
  </sheetViews>
  <sheetFormatPr defaultRowHeight="15"/>
  <cols>
    <col min="1" max="1" width="20.140625" customWidth="1"/>
    <col min="2" max="2" width="30.42578125" customWidth="1"/>
    <col min="3" max="3" width="19.7109375" customWidth="1"/>
    <col min="4" max="4" width="63.28515625" customWidth="1"/>
  </cols>
  <sheetData>
    <row r="1" spans="1:4" ht="20.25">
      <c r="A1" s="1439" t="s">
        <v>306</v>
      </c>
      <c r="B1" s="1440"/>
      <c r="C1" s="1440"/>
      <c r="D1" s="1441"/>
    </row>
    <row r="2" spans="1:4">
      <c r="A2" s="1442" t="s">
        <v>307</v>
      </c>
      <c r="B2" s="1443"/>
      <c r="C2" s="1443"/>
      <c r="D2" s="1444"/>
    </row>
    <row r="3" spans="1:4" ht="18">
      <c r="A3" s="1445" t="s">
        <v>308</v>
      </c>
      <c r="B3" s="1446"/>
      <c r="C3" s="1446"/>
      <c r="D3" s="1447"/>
    </row>
    <row r="4" spans="1:4">
      <c r="A4" s="13" t="s">
        <v>133</v>
      </c>
      <c r="D4" s="14"/>
    </row>
    <row r="5" spans="1:4" ht="18">
      <c r="A5" s="274" t="str">
        <f>'04-221Master'!F5</f>
        <v>Burgeon IT Services Pvt.Ltd.</v>
      </c>
      <c r="B5" s="251"/>
      <c r="D5" s="14"/>
    </row>
    <row r="6" spans="1:4" ht="18">
      <c r="A6" s="274" t="str">
        <f>'04-221Master'!F6</f>
        <v>Siri Mansion LIGB 436 Dr.A S Rao Nagar,Hyderabad</v>
      </c>
      <c r="B6" s="251"/>
      <c r="D6" s="14"/>
    </row>
    <row r="7" spans="1:4" ht="18">
      <c r="A7" s="253"/>
      <c r="B7" s="4"/>
      <c r="D7" s="14"/>
    </row>
    <row r="8" spans="1:4" ht="15.75">
      <c r="A8" s="252" t="s">
        <v>309</v>
      </c>
      <c r="B8" s="275"/>
      <c r="C8" s="276" t="e">
        <f>'04-221Master'!#REF!</f>
        <v>#REF!</v>
      </c>
      <c r="D8" s="81"/>
    </row>
    <row r="9" spans="1:4">
      <c r="A9" s="1448" t="s">
        <v>310</v>
      </c>
      <c r="B9" s="1449"/>
      <c r="C9" s="1449"/>
      <c r="D9" s="1450"/>
    </row>
    <row r="10" spans="1:4">
      <c r="A10" s="13"/>
      <c r="D10" s="14"/>
    </row>
    <row r="11" spans="1:4">
      <c r="A11" s="1448" t="s">
        <v>311</v>
      </c>
      <c r="B11" s="1449"/>
      <c r="C11" s="1449"/>
      <c r="D11" s="1450"/>
    </row>
    <row r="12" spans="1:4">
      <c r="A12" s="254"/>
      <c r="B12" s="255"/>
      <c r="C12" s="255"/>
      <c r="D12" s="256"/>
    </row>
    <row r="13" spans="1:4">
      <c r="A13" s="1431" t="s">
        <v>312</v>
      </c>
      <c r="B13" s="1432"/>
      <c r="C13" s="1432"/>
      <c r="D13" s="1433"/>
    </row>
    <row r="14" spans="1:4">
      <c r="A14" s="13"/>
      <c r="D14" s="14"/>
    </row>
    <row r="15" spans="1:4">
      <c r="A15" s="1431" t="s">
        <v>313</v>
      </c>
      <c r="B15" s="1432"/>
      <c r="C15" s="1432"/>
      <c r="D15" s="1433"/>
    </row>
    <row r="16" spans="1:4">
      <c r="A16" s="1431" t="s">
        <v>314</v>
      </c>
      <c r="B16" s="1432"/>
      <c r="C16" s="1432"/>
      <c r="D16" s="1433"/>
    </row>
    <row r="17" spans="1:4">
      <c r="A17" s="252"/>
      <c r="B17" s="257"/>
      <c r="C17" s="257"/>
      <c r="D17" s="258"/>
    </row>
    <row r="18" spans="1:4">
      <c r="A18" s="1448" t="s">
        <v>315</v>
      </c>
      <c r="B18" s="1449"/>
      <c r="C18" s="1449"/>
      <c r="D18" s="1450"/>
    </row>
    <row r="19" spans="1:4">
      <c r="A19" s="252"/>
      <c r="B19" s="257"/>
      <c r="C19" s="257"/>
      <c r="D19" s="258"/>
    </row>
    <row r="20" spans="1:4">
      <c r="A20" s="1431" t="s">
        <v>316</v>
      </c>
      <c r="B20" s="1432"/>
      <c r="C20" s="1432"/>
      <c r="D20" s="1433"/>
    </row>
    <row r="21" spans="1:4">
      <c r="A21" s="13"/>
      <c r="D21" s="14"/>
    </row>
    <row r="22" spans="1:4">
      <c r="A22" s="1428" t="s">
        <v>317</v>
      </c>
      <c r="B22" s="1429"/>
      <c r="C22" s="1429"/>
      <c r="D22" s="1430"/>
    </row>
    <row r="23" spans="1:4" ht="42.75">
      <c r="A23" s="259" t="s">
        <v>318</v>
      </c>
      <c r="B23" s="260" t="s">
        <v>319</v>
      </c>
      <c r="C23" s="260" t="s">
        <v>320</v>
      </c>
      <c r="D23" s="261" t="s">
        <v>321</v>
      </c>
    </row>
    <row r="24" spans="1:4">
      <c r="A24" s="262">
        <v>1</v>
      </c>
      <c r="B24" s="263">
        <v>2</v>
      </c>
      <c r="C24" s="263">
        <v>3</v>
      </c>
      <c r="D24" s="264">
        <v>4</v>
      </c>
    </row>
    <row r="25" spans="1:4">
      <c r="A25" s="13" t="e">
        <f>'04-221Master'!#REF!</f>
        <v>#REF!</v>
      </c>
      <c r="B25" s="11" t="s">
        <v>363</v>
      </c>
      <c r="C25" s="11" t="s">
        <v>370</v>
      </c>
      <c r="D25" s="296">
        <v>1</v>
      </c>
    </row>
    <row r="26" spans="1:4">
      <c r="A26" s="280"/>
      <c r="B26" s="11"/>
      <c r="C26" s="11"/>
      <c r="D26" s="265"/>
    </row>
    <row r="27" spans="1:4">
      <c r="A27" s="277"/>
      <c r="B27" s="11"/>
      <c r="C27" s="11"/>
      <c r="D27" s="265"/>
    </row>
    <row r="28" spans="1:4">
      <c r="A28" s="13"/>
      <c r="D28" s="14"/>
    </row>
    <row r="29" spans="1:4">
      <c r="A29" s="1428" t="s">
        <v>322</v>
      </c>
      <c r="B29" s="1429"/>
      <c r="C29" s="1429"/>
      <c r="D29" s="1430"/>
    </row>
    <row r="30" spans="1:4">
      <c r="A30" s="168"/>
      <c r="B30" s="5"/>
      <c r="C30" s="5"/>
      <c r="D30" s="169"/>
    </row>
    <row r="31" spans="1:4">
      <c r="A31" s="1417" t="s">
        <v>323</v>
      </c>
      <c r="B31" s="1418"/>
      <c r="C31" s="1419" t="e">
        <f>'04-221Master'!#REF!</f>
        <v>#REF!</v>
      </c>
      <c r="D31" s="1420"/>
    </row>
    <row r="32" spans="1:4">
      <c r="A32" s="1417" t="s">
        <v>324</v>
      </c>
      <c r="B32" s="1418"/>
      <c r="C32" s="1438" t="e">
        <f>'04-221Master'!#REF!</f>
        <v>#REF!</v>
      </c>
      <c r="D32" s="1420"/>
    </row>
    <row r="33" spans="1:4">
      <c r="A33" s="1417" t="s">
        <v>325</v>
      </c>
      <c r="B33" s="1418"/>
      <c r="C33" s="1438" t="s">
        <v>372</v>
      </c>
      <c r="D33" s="1420"/>
    </row>
    <row r="34" spans="1:4">
      <c r="A34" s="1417" t="s">
        <v>326</v>
      </c>
      <c r="B34" s="1418"/>
      <c r="C34" s="1438" t="s">
        <v>369</v>
      </c>
      <c r="D34" s="1420"/>
    </row>
    <row r="35" spans="1:4">
      <c r="A35" s="1417" t="s">
        <v>327</v>
      </c>
      <c r="B35" s="1418"/>
      <c r="C35" s="1419" t="e">
        <f>'04-221Master'!#REF!</f>
        <v>#REF!</v>
      </c>
      <c r="D35" s="1420"/>
    </row>
    <row r="36" spans="1:4">
      <c r="A36" s="1417" t="s">
        <v>328</v>
      </c>
      <c r="B36" s="1418"/>
      <c r="C36" s="1419" t="e">
        <f>'04-221Master'!#REF!</f>
        <v>#REF!</v>
      </c>
      <c r="D36" s="1420"/>
    </row>
    <row r="37" spans="1:4">
      <c r="A37" s="1417" t="s">
        <v>329</v>
      </c>
      <c r="B37" s="1418"/>
      <c r="C37" s="1437" t="e">
        <f>'04-221Master'!#REF!</f>
        <v>#REF!</v>
      </c>
      <c r="D37" s="1420"/>
    </row>
    <row r="38" spans="1:4">
      <c r="A38" s="1417" t="s">
        <v>330</v>
      </c>
      <c r="B38" s="1418"/>
      <c r="C38" s="1438"/>
      <c r="D38" s="1420"/>
    </row>
    <row r="39" spans="1:4">
      <c r="A39" s="1417"/>
      <c r="B39" s="1418"/>
      <c r="C39" s="1419" t="e">
        <f>'04-221Master'!#REF!</f>
        <v>#REF!</v>
      </c>
      <c r="D39" s="1420"/>
    </row>
    <row r="40" spans="1:4">
      <c r="A40" s="1417"/>
      <c r="B40" s="1418"/>
      <c r="C40" s="1419" t="e">
        <f>'04-221Master'!#REF!</f>
        <v>#REF!</v>
      </c>
      <c r="D40" s="1420"/>
    </row>
    <row r="41" spans="1:4">
      <c r="A41" s="1417"/>
      <c r="B41" s="1418"/>
      <c r="C41" s="1419" t="e">
        <f>'04-221Master'!#REF!</f>
        <v>#REF!</v>
      </c>
      <c r="D41" s="1420"/>
    </row>
    <row r="42" spans="1:4">
      <c r="A42" s="252" t="s">
        <v>272</v>
      </c>
      <c r="B42" s="257" t="s">
        <v>361</v>
      </c>
      <c r="C42" s="257"/>
      <c r="D42" s="258"/>
    </row>
    <row r="43" spans="1:4">
      <c r="A43" s="252" t="s">
        <v>331</v>
      </c>
      <c r="B43" s="297" t="e">
        <f>'04-221Master'!#REF!</f>
        <v>#REF!</v>
      </c>
      <c r="C43" s="266" t="s">
        <v>332</v>
      </c>
      <c r="D43" s="258"/>
    </row>
    <row r="44" spans="1:4">
      <c r="A44" s="252"/>
      <c r="B44" s="257"/>
      <c r="C44" s="257"/>
      <c r="D44" s="258"/>
    </row>
    <row r="45" spans="1:4">
      <c r="A45" s="1428" t="s">
        <v>333</v>
      </c>
      <c r="B45" s="1429"/>
      <c r="C45" s="1429"/>
      <c r="D45" s="1430"/>
    </row>
    <row r="46" spans="1:4">
      <c r="A46" s="252" t="s">
        <v>334</v>
      </c>
      <c r="B46" s="257"/>
      <c r="C46" s="257"/>
      <c r="D46" s="258"/>
    </row>
    <row r="47" spans="1:4">
      <c r="A47" s="252"/>
      <c r="B47" s="257"/>
      <c r="C47" s="257"/>
      <c r="D47" s="258"/>
    </row>
    <row r="48" spans="1:4">
      <c r="A48" s="1431" t="s">
        <v>335</v>
      </c>
      <c r="B48" s="1432"/>
      <c r="C48" s="1432" t="s">
        <v>336</v>
      </c>
      <c r="D48" s="1433"/>
    </row>
    <row r="49" spans="1:4">
      <c r="A49" s="1434">
        <v>1</v>
      </c>
      <c r="B49" s="1435"/>
      <c r="C49" s="1435">
        <v>1</v>
      </c>
      <c r="D49" s="1436"/>
    </row>
    <row r="50" spans="1:4">
      <c r="A50" s="1434">
        <v>2</v>
      </c>
      <c r="B50" s="1435"/>
      <c r="C50" s="1435">
        <v>2</v>
      </c>
      <c r="D50" s="1436"/>
    </row>
    <row r="51" spans="1:4">
      <c r="A51" s="267"/>
      <c r="C51" s="1424" t="s">
        <v>341</v>
      </c>
      <c r="D51" s="1425"/>
    </row>
    <row r="52" spans="1:4">
      <c r="A52" s="1421" t="s">
        <v>337</v>
      </c>
      <c r="B52" s="1422"/>
      <c r="C52" s="1422"/>
      <c r="D52" s="1423"/>
    </row>
    <row r="53" spans="1:4">
      <c r="A53" s="270" t="s">
        <v>338</v>
      </c>
      <c r="B53" s="271"/>
      <c r="C53" s="271"/>
      <c r="D53" s="272"/>
    </row>
    <row r="54" spans="1:4">
      <c r="A54" s="270"/>
      <c r="B54" s="271"/>
      <c r="C54" s="271"/>
      <c r="D54" s="272"/>
    </row>
    <row r="55" spans="1:4">
      <c r="A55" s="270"/>
      <c r="B55" s="271"/>
      <c r="C55" s="271" t="s">
        <v>339</v>
      </c>
      <c r="D55" s="272"/>
    </row>
    <row r="56" spans="1:4">
      <c r="A56" s="267"/>
      <c r="B56" s="268"/>
      <c r="C56" s="167" t="s">
        <v>143</v>
      </c>
      <c r="D56" s="269"/>
    </row>
    <row r="57" spans="1:4">
      <c r="A57" s="267"/>
      <c r="C57" t="s">
        <v>340</v>
      </c>
      <c r="D57" s="273"/>
    </row>
    <row r="58" spans="1:4" ht="25.5" customHeight="1">
      <c r="A58" s="267"/>
      <c r="C58" s="1426" t="str">
        <f>'04-221Master'!F5</f>
        <v>Burgeon IT Services Pvt.Ltd.</v>
      </c>
      <c r="D58" s="1427"/>
    </row>
    <row r="59" spans="1:4">
      <c r="A59" s="252" t="s">
        <v>272</v>
      </c>
      <c r="B59" t="str">
        <f>B42</f>
        <v>Hyderabad</v>
      </c>
      <c r="C59" s="2" t="str">
        <f>'04-221Master'!F6</f>
        <v>Siri Mansion LIGB 436 Dr.A S Rao Nagar,Hyderabad</v>
      </c>
      <c r="D59" s="14"/>
    </row>
    <row r="60" spans="1:4" ht="15.75" thickBot="1">
      <c r="A60" s="252" t="s">
        <v>331</v>
      </c>
      <c r="B60" s="289" t="e">
        <f>B43</f>
        <v>#REF!</v>
      </c>
      <c r="C60" s="2"/>
      <c r="D60" s="14"/>
    </row>
    <row r="61" spans="1:4" ht="15.75" thickBot="1">
      <c r="A61" s="278"/>
      <c r="B61" s="279" t="s">
        <v>344</v>
      </c>
      <c r="C61" s="279"/>
      <c r="D61" s="29"/>
    </row>
    <row r="62" spans="1:4">
      <c r="A62" s="252" t="s">
        <v>342</v>
      </c>
      <c r="C62" s="2"/>
      <c r="D62" s="14"/>
    </row>
    <row r="63" spans="1:4">
      <c r="A63" s="252" t="s">
        <v>331</v>
      </c>
      <c r="B63" s="289" t="e">
        <f>B60</f>
        <v>#REF!</v>
      </c>
      <c r="C63" s="2"/>
      <c r="D63" s="14"/>
    </row>
    <row r="64" spans="1:4" ht="15.75" thickBot="1">
      <c r="A64" s="281" t="s">
        <v>343</v>
      </c>
      <c r="B64" s="23"/>
      <c r="C64" s="23"/>
      <c r="D64" s="24" t="s">
        <v>134</v>
      </c>
    </row>
    <row r="68" spans="1:4" ht="15.75" thickBot="1"/>
    <row r="69" spans="1:4" ht="20.25">
      <c r="A69" s="1439" t="s">
        <v>306</v>
      </c>
      <c r="B69" s="1440"/>
      <c r="C69" s="1440"/>
      <c r="D69" s="1441"/>
    </row>
    <row r="70" spans="1:4">
      <c r="A70" s="1442" t="s">
        <v>307</v>
      </c>
      <c r="B70" s="1443"/>
      <c r="C70" s="1443"/>
      <c r="D70" s="1444"/>
    </row>
    <row r="71" spans="1:4" ht="18">
      <c r="A71" s="1445" t="s">
        <v>308</v>
      </c>
      <c r="B71" s="1446"/>
      <c r="C71" s="1446"/>
      <c r="D71" s="1447"/>
    </row>
    <row r="72" spans="1:4">
      <c r="A72" s="13" t="s">
        <v>133</v>
      </c>
      <c r="D72" s="14"/>
    </row>
    <row r="73" spans="1:4" ht="18">
      <c r="A73" s="274" t="str">
        <f>'04-221Master'!F5</f>
        <v>Burgeon IT Services Pvt.Ltd.</v>
      </c>
      <c r="B73" s="251"/>
      <c r="D73" s="14"/>
    </row>
    <row r="74" spans="1:4" ht="18">
      <c r="A74" s="274" t="str">
        <f>'04-221Master'!F6</f>
        <v>Siri Mansion LIGB 436 Dr.A S Rao Nagar,Hyderabad</v>
      </c>
      <c r="B74" s="251"/>
      <c r="D74" s="14"/>
    </row>
    <row r="75" spans="1:4" ht="18">
      <c r="A75" s="253"/>
      <c r="B75" s="4"/>
      <c r="D75" s="14"/>
    </row>
    <row r="76" spans="1:4" ht="15.75">
      <c r="A76" s="252" t="s">
        <v>309</v>
      </c>
      <c r="B76" s="275"/>
      <c r="C76" s="276" t="e">
        <f>'04-221Master'!#REF!</f>
        <v>#REF!</v>
      </c>
      <c r="D76" s="81"/>
    </row>
    <row r="77" spans="1:4">
      <c r="A77" s="1448" t="s">
        <v>310</v>
      </c>
      <c r="B77" s="1449"/>
      <c r="C77" s="1449"/>
      <c r="D77" s="1450"/>
    </row>
    <row r="78" spans="1:4">
      <c r="A78" s="13"/>
      <c r="D78" s="14"/>
    </row>
    <row r="79" spans="1:4">
      <c r="A79" s="1448" t="s">
        <v>311</v>
      </c>
      <c r="B79" s="1449"/>
      <c r="C79" s="1449"/>
      <c r="D79" s="1450"/>
    </row>
    <row r="80" spans="1:4">
      <c r="A80" s="254"/>
      <c r="B80" s="255"/>
      <c r="C80" s="255"/>
      <c r="D80" s="256"/>
    </row>
    <row r="81" spans="1:4">
      <c r="A81" s="1431" t="s">
        <v>312</v>
      </c>
      <c r="B81" s="1432"/>
      <c r="C81" s="1432"/>
      <c r="D81" s="1433"/>
    </row>
    <row r="82" spans="1:4">
      <c r="A82" s="13"/>
      <c r="D82" s="14"/>
    </row>
    <row r="83" spans="1:4">
      <c r="A83" s="1431" t="s">
        <v>313</v>
      </c>
      <c r="B83" s="1432"/>
      <c r="C83" s="1432"/>
      <c r="D83" s="1433"/>
    </row>
    <row r="84" spans="1:4">
      <c r="A84" s="1431" t="s">
        <v>314</v>
      </c>
      <c r="B84" s="1432"/>
      <c r="C84" s="1432"/>
      <c r="D84" s="1433"/>
    </row>
    <row r="85" spans="1:4">
      <c r="A85" s="252"/>
      <c r="B85" s="257"/>
      <c r="C85" s="257"/>
      <c r="D85" s="258"/>
    </row>
    <row r="86" spans="1:4">
      <c r="A86" s="1448" t="s">
        <v>315</v>
      </c>
      <c r="B86" s="1449"/>
      <c r="C86" s="1449"/>
      <c r="D86" s="1450"/>
    </row>
    <row r="87" spans="1:4">
      <c r="A87" s="252"/>
      <c r="B87" s="257"/>
      <c r="C87" s="257"/>
      <c r="D87" s="258"/>
    </row>
    <row r="88" spans="1:4">
      <c r="A88" s="1431" t="s">
        <v>316</v>
      </c>
      <c r="B88" s="1432"/>
      <c r="C88" s="1432"/>
      <c r="D88" s="1433"/>
    </row>
    <row r="89" spans="1:4">
      <c r="A89" s="13"/>
      <c r="D89" s="14"/>
    </row>
    <row r="90" spans="1:4">
      <c r="A90" s="1428" t="s">
        <v>317</v>
      </c>
      <c r="B90" s="1429"/>
      <c r="C90" s="1429"/>
      <c r="D90" s="1430"/>
    </row>
    <row r="91" spans="1:4" ht="42.75">
      <c r="A91" s="259" t="s">
        <v>318</v>
      </c>
      <c r="B91" s="260" t="s">
        <v>319</v>
      </c>
      <c r="C91" s="260" t="s">
        <v>320</v>
      </c>
      <c r="D91" s="261" t="s">
        <v>321</v>
      </c>
    </row>
    <row r="92" spans="1:4">
      <c r="A92" s="262">
        <v>1</v>
      </c>
      <c r="B92" s="263">
        <v>2</v>
      </c>
      <c r="C92" s="263">
        <v>3</v>
      </c>
      <c r="D92" s="264">
        <v>4</v>
      </c>
    </row>
    <row r="93" spans="1:4">
      <c r="A93" s="13" t="e">
        <f>'04-221Master'!#REF!</f>
        <v>#REF!</v>
      </c>
      <c r="B93" s="11" t="s">
        <v>363</v>
      </c>
      <c r="C93" s="11" t="s">
        <v>370</v>
      </c>
      <c r="D93" s="296">
        <v>1</v>
      </c>
    </row>
    <row r="94" spans="1:4">
      <c r="A94" s="280"/>
      <c r="B94" s="11"/>
      <c r="C94" s="11"/>
      <c r="D94" s="265"/>
    </row>
    <row r="95" spans="1:4">
      <c r="A95" s="277"/>
      <c r="B95" s="11"/>
      <c r="C95" s="11"/>
      <c r="D95" s="265"/>
    </row>
    <row r="96" spans="1:4">
      <c r="A96" s="13"/>
      <c r="D96" s="14"/>
    </row>
    <row r="97" spans="1:4">
      <c r="A97" s="1428" t="s">
        <v>322</v>
      </c>
      <c r="B97" s="1429"/>
      <c r="C97" s="1429"/>
      <c r="D97" s="1430"/>
    </row>
    <row r="98" spans="1:4">
      <c r="A98" s="168"/>
      <c r="B98" s="5"/>
      <c r="C98" s="5"/>
      <c r="D98" s="169"/>
    </row>
    <row r="99" spans="1:4">
      <c r="A99" s="1417" t="s">
        <v>323</v>
      </c>
      <c r="B99" s="1418"/>
      <c r="C99" s="1419" t="e">
        <f>'04-221Master'!#REF!</f>
        <v>#REF!</v>
      </c>
      <c r="D99" s="1420"/>
    </row>
    <row r="100" spans="1:4">
      <c r="A100" s="1417" t="s">
        <v>324</v>
      </c>
      <c r="B100" s="1418"/>
      <c r="C100" s="1438" t="e">
        <f>'04-221Master'!#REF!</f>
        <v>#REF!</v>
      </c>
      <c r="D100" s="1420"/>
    </row>
    <row r="101" spans="1:4">
      <c r="A101" s="1417" t="s">
        <v>325</v>
      </c>
      <c r="B101" s="1418"/>
      <c r="C101" s="1438" t="s">
        <v>371</v>
      </c>
      <c r="D101" s="1420"/>
    </row>
    <row r="102" spans="1:4">
      <c r="A102" s="1417" t="s">
        <v>326</v>
      </c>
      <c r="B102" s="1418"/>
      <c r="C102" s="1438" t="s">
        <v>369</v>
      </c>
      <c r="D102" s="1420"/>
    </row>
    <row r="103" spans="1:4">
      <c r="A103" s="1417" t="s">
        <v>327</v>
      </c>
      <c r="B103" s="1418"/>
      <c r="C103" s="1419" t="e">
        <f>'04-221Master'!#REF!</f>
        <v>#REF!</v>
      </c>
      <c r="D103" s="1420"/>
    </row>
    <row r="104" spans="1:4">
      <c r="A104" s="1417" t="s">
        <v>328</v>
      </c>
      <c r="B104" s="1418"/>
      <c r="C104" s="1419" t="e">
        <f>'04-221Master'!#REF!</f>
        <v>#REF!</v>
      </c>
      <c r="D104" s="1420"/>
    </row>
    <row r="105" spans="1:4">
      <c r="A105" s="1417" t="s">
        <v>329</v>
      </c>
      <c r="B105" s="1418"/>
      <c r="C105" s="1437" t="e">
        <f>'04-221Master'!#REF!</f>
        <v>#REF!</v>
      </c>
      <c r="D105" s="1420"/>
    </row>
    <row r="106" spans="1:4">
      <c r="A106" s="1417" t="s">
        <v>330</v>
      </c>
      <c r="B106" s="1418"/>
      <c r="C106" s="1438"/>
      <c r="D106" s="1420"/>
    </row>
    <row r="107" spans="1:4">
      <c r="A107" s="1417"/>
      <c r="B107" s="1418"/>
      <c r="C107" s="1419" t="e">
        <f>'04-221Master'!#REF!</f>
        <v>#REF!</v>
      </c>
      <c r="D107" s="1420"/>
    </row>
    <row r="108" spans="1:4">
      <c r="A108" s="1417"/>
      <c r="B108" s="1418"/>
      <c r="C108" s="1419" t="e">
        <f>'04-221Master'!#REF!</f>
        <v>#REF!</v>
      </c>
      <c r="D108" s="1420"/>
    </row>
    <row r="109" spans="1:4">
      <c r="A109" s="1417"/>
      <c r="B109" s="1418"/>
      <c r="C109" s="1419" t="e">
        <f>'04-221Master'!#REF!</f>
        <v>#REF!</v>
      </c>
      <c r="D109" s="1420"/>
    </row>
    <row r="110" spans="1:4">
      <c r="A110" s="252" t="s">
        <v>272</v>
      </c>
      <c r="B110" s="257" t="s">
        <v>361</v>
      </c>
      <c r="C110" s="257"/>
      <c r="D110" s="258"/>
    </row>
    <row r="111" spans="1:4">
      <c r="A111" s="252" t="s">
        <v>331</v>
      </c>
      <c r="B111" s="297" t="e">
        <f>'04-221Master'!#REF!</f>
        <v>#REF!</v>
      </c>
      <c r="C111" s="266" t="s">
        <v>332</v>
      </c>
      <c r="D111" s="258"/>
    </row>
    <row r="112" spans="1:4">
      <c r="A112" s="252"/>
      <c r="B112" s="257"/>
      <c r="C112" s="257"/>
      <c r="D112" s="258"/>
    </row>
    <row r="113" spans="1:4">
      <c r="A113" s="1428" t="s">
        <v>333</v>
      </c>
      <c r="B113" s="1429"/>
      <c r="C113" s="1429"/>
      <c r="D113" s="1430"/>
    </row>
    <row r="114" spans="1:4">
      <c r="A114" s="252" t="s">
        <v>334</v>
      </c>
      <c r="B114" s="257"/>
      <c r="C114" s="257"/>
      <c r="D114" s="258"/>
    </row>
    <row r="115" spans="1:4">
      <c r="A115" s="252"/>
      <c r="B115" s="257"/>
      <c r="C115" s="257"/>
      <c r="D115" s="258"/>
    </row>
    <row r="116" spans="1:4">
      <c r="A116" s="1431" t="s">
        <v>335</v>
      </c>
      <c r="B116" s="1432"/>
      <c r="C116" s="1432" t="s">
        <v>336</v>
      </c>
      <c r="D116" s="1433"/>
    </row>
    <row r="117" spans="1:4">
      <c r="A117" s="1434">
        <v>1</v>
      </c>
      <c r="B117" s="1435"/>
      <c r="C117" s="1435">
        <v>1</v>
      </c>
      <c r="D117" s="1436"/>
    </row>
    <row r="118" spans="1:4">
      <c r="A118" s="1434">
        <v>2</v>
      </c>
      <c r="B118" s="1435"/>
      <c r="C118" s="1435">
        <v>2</v>
      </c>
      <c r="D118" s="1436"/>
    </row>
    <row r="119" spans="1:4">
      <c r="A119" s="267"/>
      <c r="C119" s="1424" t="s">
        <v>341</v>
      </c>
      <c r="D119" s="1425"/>
    </row>
    <row r="120" spans="1:4">
      <c r="A120" s="1421" t="s">
        <v>337</v>
      </c>
      <c r="B120" s="1422"/>
      <c r="C120" s="1422"/>
      <c r="D120" s="1423"/>
    </row>
    <row r="121" spans="1:4">
      <c r="A121" s="270" t="s">
        <v>338</v>
      </c>
      <c r="B121" s="271"/>
      <c r="C121" s="271"/>
      <c r="D121" s="272"/>
    </row>
    <row r="122" spans="1:4">
      <c r="A122" s="270"/>
      <c r="B122" s="271"/>
      <c r="C122" s="271"/>
      <c r="D122" s="272"/>
    </row>
    <row r="123" spans="1:4">
      <c r="A123" s="270"/>
      <c r="B123" s="271"/>
      <c r="C123" s="271" t="s">
        <v>339</v>
      </c>
      <c r="D123" s="272"/>
    </row>
    <row r="124" spans="1:4">
      <c r="A124" s="267"/>
      <c r="B124" s="268"/>
      <c r="C124" s="167" t="s">
        <v>143</v>
      </c>
      <c r="D124" s="269"/>
    </row>
    <row r="125" spans="1:4">
      <c r="A125" s="267"/>
      <c r="C125" t="s">
        <v>340</v>
      </c>
      <c r="D125" s="273"/>
    </row>
    <row r="126" spans="1:4">
      <c r="A126" s="267"/>
      <c r="C126" s="1426" t="str">
        <f>'04-221Master'!F5</f>
        <v>Burgeon IT Services Pvt.Ltd.</v>
      </c>
      <c r="D126" s="1427"/>
    </row>
    <row r="127" spans="1:4">
      <c r="A127" s="252" t="s">
        <v>272</v>
      </c>
      <c r="B127" t="str">
        <f>B110</f>
        <v>Hyderabad</v>
      </c>
      <c r="C127" s="2" t="str">
        <f>'04-221Master'!F6</f>
        <v>Siri Mansion LIGB 436 Dr.A S Rao Nagar,Hyderabad</v>
      </c>
      <c r="D127" s="14"/>
    </row>
    <row r="128" spans="1:4" ht="15.75" thickBot="1">
      <c r="A128" s="252" t="s">
        <v>331</v>
      </c>
      <c r="B128" s="289" t="e">
        <f>B111</f>
        <v>#REF!</v>
      </c>
      <c r="C128" s="2"/>
      <c r="D128" s="14"/>
    </row>
    <row r="129" spans="1:4" ht="15.75" thickBot="1">
      <c r="A129" s="278"/>
      <c r="B129" s="279" t="s">
        <v>344</v>
      </c>
      <c r="C129" s="279"/>
      <c r="D129" s="29"/>
    </row>
    <row r="130" spans="1:4">
      <c r="A130" s="252" t="s">
        <v>342</v>
      </c>
      <c r="C130" s="2"/>
      <c r="D130" s="14"/>
    </row>
    <row r="131" spans="1:4">
      <c r="A131" s="252" t="s">
        <v>331</v>
      </c>
      <c r="B131" s="289" t="e">
        <f>B128</f>
        <v>#REF!</v>
      </c>
      <c r="C131" s="2"/>
      <c r="D131" s="14"/>
    </row>
    <row r="132" spans="1:4" ht="15.75" thickBot="1">
      <c r="A132" s="281" t="s">
        <v>343</v>
      </c>
      <c r="B132" s="23"/>
      <c r="C132" s="23"/>
      <c r="D132" s="24" t="s">
        <v>134</v>
      </c>
    </row>
    <row r="136" spans="1:4" ht="15.75" thickBot="1"/>
    <row r="137" spans="1:4" ht="20.25">
      <c r="A137" s="1439" t="s">
        <v>306</v>
      </c>
      <c r="B137" s="1440"/>
      <c r="C137" s="1440"/>
      <c r="D137" s="1441"/>
    </row>
    <row r="138" spans="1:4">
      <c r="A138" s="1442" t="s">
        <v>307</v>
      </c>
      <c r="B138" s="1443"/>
      <c r="C138" s="1443"/>
      <c r="D138" s="1444"/>
    </row>
    <row r="139" spans="1:4" ht="18">
      <c r="A139" s="1445" t="s">
        <v>308</v>
      </c>
      <c r="B139" s="1446"/>
      <c r="C139" s="1446"/>
      <c r="D139" s="1447"/>
    </row>
    <row r="140" spans="1:4">
      <c r="A140" s="13" t="s">
        <v>133</v>
      </c>
      <c r="D140" s="14"/>
    </row>
    <row r="141" spans="1:4" ht="18">
      <c r="A141" s="274" t="str">
        <f>'04-221Master'!F5</f>
        <v>Burgeon IT Services Pvt.Ltd.</v>
      </c>
      <c r="B141" s="251"/>
      <c r="D141" s="14"/>
    </row>
    <row r="142" spans="1:4" ht="18">
      <c r="A142" s="274" t="str">
        <f>'04-221Master'!F6</f>
        <v>Siri Mansion LIGB 436 Dr.A S Rao Nagar,Hyderabad</v>
      </c>
      <c r="B142" s="251"/>
      <c r="D142" s="14"/>
    </row>
    <row r="143" spans="1:4" ht="18">
      <c r="A143" s="253"/>
      <c r="B143" s="4"/>
      <c r="D143" s="14"/>
    </row>
    <row r="144" spans="1:4" ht="15.75">
      <c r="A144" s="252" t="s">
        <v>309</v>
      </c>
      <c r="B144" s="275"/>
      <c r="C144" s="276" t="e">
        <f>'04-221Master'!#REF!</f>
        <v>#REF!</v>
      </c>
      <c r="D144" s="81"/>
    </row>
    <row r="145" spans="1:4">
      <c r="A145" s="1448" t="s">
        <v>310</v>
      </c>
      <c r="B145" s="1449"/>
      <c r="C145" s="1449"/>
      <c r="D145" s="1450"/>
    </row>
    <row r="146" spans="1:4">
      <c r="A146" s="13"/>
      <c r="D146" s="14"/>
    </row>
    <row r="147" spans="1:4">
      <c r="A147" s="1448" t="s">
        <v>311</v>
      </c>
      <c r="B147" s="1449"/>
      <c r="C147" s="1449"/>
      <c r="D147" s="1450"/>
    </row>
    <row r="148" spans="1:4">
      <c r="A148" s="254"/>
      <c r="B148" s="255"/>
      <c r="C148" s="255"/>
      <c r="D148" s="256"/>
    </row>
    <row r="149" spans="1:4">
      <c r="A149" s="1431" t="s">
        <v>312</v>
      </c>
      <c r="B149" s="1432"/>
      <c r="C149" s="1432"/>
      <c r="D149" s="1433"/>
    </row>
    <row r="150" spans="1:4">
      <c r="A150" s="13"/>
      <c r="D150" s="14"/>
    </row>
    <row r="151" spans="1:4">
      <c r="A151" s="1431" t="s">
        <v>313</v>
      </c>
      <c r="B151" s="1432"/>
      <c r="C151" s="1432"/>
      <c r="D151" s="1433"/>
    </row>
    <row r="152" spans="1:4">
      <c r="A152" s="1431" t="s">
        <v>314</v>
      </c>
      <c r="B152" s="1432"/>
      <c r="C152" s="1432"/>
      <c r="D152" s="1433"/>
    </row>
    <row r="153" spans="1:4">
      <c r="A153" s="252"/>
      <c r="B153" s="257"/>
      <c r="C153" s="257"/>
      <c r="D153" s="258"/>
    </row>
    <row r="154" spans="1:4">
      <c r="A154" s="1448" t="s">
        <v>315</v>
      </c>
      <c r="B154" s="1449"/>
      <c r="C154" s="1449"/>
      <c r="D154" s="1450"/>
    </row>
    <row r="155" spans="1:4">
      <c r="A155" s="252"/>
      <c r="B155" s="257"/>
      <c r="C155" s="257"/>
      <c r="D155" s="258"/>
    </row>
    <row r="156" spans="1:4">
      <c r="A156" s="1431" t="s">
        <v>316</v>
      </c>
      <c r="B156" s="1432"/>
      <c r="C156" s="1432"/>
      <c r="D156" s="1433"/>
    </row>
    <row r="157" spans="1:4">
      <c r="A157" s="13"/>
      <c r="D157" s="14"/>
    </row>
    <row r="158" spans="1:4">
      <c r="A158" s="1428" t="s">
        <v>317</v>
      </c>
      <c r="B158" s="1429"/>
      <c r="C158" s="1429"/>
      <c r="D158" s="1430"/>
    </row>
    <row r="159" spans="1:4" ht="42.75">
      <c r="A159" s="259" t="s">
        <v>318</v>
      </c>
      <c r="B159" s="260" t="s">
        <v>319</v>
      </c>
      <c r="C159" s="260" t="s">
        <v>320</v>
      </c>
      <c r="D159" s="261" t="s">
        <v>321</v>
      </c>
    </row>
    <row r="160" spans="1:4">
      <c r="A160" s="262">
        <v>1</v>
      </c>
      <c r="B160" s="263">
        <v>2</v>
      </c>
      <c r="C160" s="263">
        <v>3</v>
      </c>
      <c r="D160" s="264">
        <v>4</v>
      </c>
    </row>
    <row r="161" spans="1:4">
      <c r="A161" s="298" t="e">
        <f>'04-221Master'!#REF!</f>
        <v>#REF!</v>
      </c>
      <c r="B161" s="11" t="s">
        <v>363</v>
      </c>
      <c r="C161" s="11" t="s">
        <v>370</v>
      </c>
      <c r="D161" s="296">
        <v>1</v>
      </c>
    </row>
    <row r="162" spans="1:4">
      <c r="A162" s="280"/>
      <c r="B162" s="11"/>
      <c r="C162" s="11"/>
      <c r="D162" s="265"/>
    </row>
    <row r="163" spans="1:4">
      <c r="A163" s="277"/>
      <c r="B163" s="11"/>
      <c r="C163" s="11"/>
      <c r="D163" s="265"/>
    </row>
    <row r="164" spans="1:4">
      <c r="A164" s="13"/>
      <c r="D164" s="14"/>
    </row>
    <row r="165" spans="1:4">
      <c r="A165" s="1428" t="s">
        <v>322</v>
      </c>
      <c r="B165" s="1429"/>
      <c r="C165" s="1429"/>
      <c r="D165" s="1430"/>
    </row>
    <row r="166" spans="1:4">
      <c r="A166" s="168"/>
      <c r="B166" s="5"/>
      <c r="C166" s="5"/>
      <c r="D166" s="169"/>
    </row>
    <row r="167" spans="1:4">
      <c r="A167" s="1417" t="s">
        <v>323</v>
      </c>
      <c r="B167" s="1418"/>
      <c r="C167" s="1419" t="e">
        <f>'04-221Master'!#REF!</f>
        <v>#REF!</v>
      </c>
      <c r="D167" s="1420"/>
    </row>
    <row r="168" spans="1:4">
      <c r="A168" s="1417" t="s">
        <v>324</v>
      </c>
      <c r="B168" s="1418"/>
      <c r="C168" s="1438" t="e">
        <f>'04-221Master'!#REF!</f>
        <v>#REF!</v>
      </c>
      <c r="D168" s="1420"/>
    </row>
    <row r="169" spans="1:4">
      <c r="A169" s="1417" t="s">
        <v>325</v>
      </c>
      <c r="B169" s="1418"/>
      <c r="C169" s="1438" t="s">
        <v>372</v>
      </c>
      <c r="D169" s="1420"/>
    </row>
    <row r="170" spans="1:4">
      <c r="A170" s="1417" t="s">
        <v>326</v>
      </c>
      <c r="B170" s="1418"/>
      <c r="C170" s="1438" t="s">
        <v>369</v>
      </c>
      <c r="D170" s="1420"/>
    </row>
    <row r="171" spans="1:4">
      <c r="A171" s="1417" t="s">
        <v>327</v>
      </c>
      <c r="B171" s="1418"/>
      <c r="C171" s="1419" t="e">
        <f>'04-221Master'!#REF!</f>
        <v>#REF!</v>
      </c>
      <c r="D171" s="1420"/>
    </row>
    <row r="172" spans="1:4">
      <c r="A172" s="1417" t="s">
        <v>328</v>
      </c>
      <c r="B172" s="1418"/>
      <c r="C172" s="1419" t="e">
        <f>'04-221Master'!#REF!</f>
        <v>#REF!</v>
      </c>
      <c r="D172" s="1420"/>
    </row>
    <row r="173" spans="1:4">
      <c r="A173" s="1417" t="s">
        <v>329</v>
      </c>
      <c r="B173" s="1418"/>
      <c r="C173" s="1437" t="e">
        <f>'04-221Master'!#REF!</f>
        <v>#REF!</v>
      </c>
      <c r="D173" s="1420"/>
    </row>
    <row r="174" spans="1:4">
      <c r="A174" s="1417" t="s">
        <v>330</v>
      </c>
      <c r="B174" s="1418"/>
      <c r="C174" s="1438"/>
      <c r="D174" s="1420"/>
    </row>
    <row r="175" spans="1:4">
      <c r="A175" s="1417"/>
      <c r="B175" s="1418"/>
      <c r="C175" s="1419" t="e">
        <f>'04-221Master'!#REF!</f>
        <v>#REF!</v>
      </c>
      <c r="D175" s="1420"/>
    </row>
    <row r="176" spans="1:4">
      <c r="A176" s="1417"/>
      <c r="B176" s="1418"/>
      <c r="C176" s="1419" t="e">
        <f>'04-221Master'!#REF!</f>
        <v>#REF!</v>
      </c>
      <c r="D176" s="1420"/>
    </row>
    <row r="177" spans="1:4">
      <c r="A177" s="1417"/>
      <c r="B177" s="1418"/>
      <c r="C177" s="1419" t="e">
        <f>'04-221Master'!#REF!</f>
        <v>#REF!</v>
      </c>
      <c r="D177" s="1420"/>
    </row>
    <row r="178" spans="1:4">
      <c r="A178" s="252" t="s">
        <v>272</v>
      </c>
      <c r="B178" s="257" t="s">
        <v>361</v>
      </c>
      <c r="C178" s="257"/>
      <c r="D178" s="258"/>
    </row>
    <row r="179" spans="1:4">
      <c r="A179" s="252" t="s">
        <v>331</v>
      </c>
      <c r="B179" s="297" t="e">
        <f>'04-221Master'!#REF!</f>
        <v>#REF!</v>
      </c>
      <c r="C179" s="266" t="s">
        <v>332</v>
      </c>
      <c r="D179" s="258"/>
    </row>
    <row r="180" spans="1:4">
      <c r="A180" s="252"/>
      <c r="B180" s="257"/>
      <c r="C180" s="257"/>
      <c r="D180" s="258"/>
    </row>
    <row r="181" spans="1:4">
      <c r="A181" s="1428" t="s">
        <v>333</v>
      </c>
      <c r="B181" s="1429"/>
      <c r="C181" s="1429"/>
      <c r="D181" s="1430"/>
    </row>
    <row r="182" spans="1:4">
      <c r="A182" s="252" t="s">
        <v>334</v>
      </c>
      <c r="B182" s="257"/>
      <c r="C182" s="257"/>
      <c r="D182" s="258"/>
    </row>
    <row r="183" spans="1:4">
      <c r="A183" s="252"/>
      <c r="B183" s="257"/>
      <c r="C183" s="257"/>
      <c r="D183" s="258"/>
    </row>
    <row r="184" spans="1:4">
      <c r="A184" s="1431" t="s">
        <v>335</v>
      </c>
      <c r="B184" s="1432"/>
      <c r="C184" s="1432" t="s">
        <v>336</v>
      </c>
      <c r="D184" s="1433"/>
    </row>
    <row r="185" spans="1:4">
      <c r="A185" s="1434">
        <v>1</v>
      </c>
      <c r="B185" s="1435"/>
      <c r="C185" s="1435">
        <v>1</v>
      </c>
      <c r="D185" s="1436"/>
    </row>
    <row r="186" spans="1:4">
      <c r="A186" s="1434">
        <v>2</v>
      </c>
      <c r="B186" s="1435"/>
      <c r="C186" s="1435">
        <v>2</v>
      </c>
      <c r="D186" s="1436"/>
    </row>
    <row r="187" spans="1:4">
      <c r="A187" s="267"/>
      <c r="C187" s="1424" t="s">
        <v>341</v>
      </c>
      <c r="D187" s="1425"/>
    </row>
    <row r="188" spans="1:4">
      <c r="A188" s="1421" t="s">
        <v>337</v>
      </c>
      <c r="B188" s="1422"/>
      <c r="C188" s="1422"/>
      <c r="D188" s="1423"/>
    </row>
    <row r="189" spans="1:4">
      <c r="A189" s="270" t="s">
        <v>338</v>
      </c>
      <c r="B189" s="271"/>
      <c r="C189" s="271"/>
      <c r="D189" s="272"/>
    </row>
    <row r="190" spans="1:4">
      <c r="A190" s="270"/>
      <c r="B190" s="271"/>
      <c r="C190" s="271"/>
      <c r="D190" s="272"/>
    </row>
    <row r="191" spans="1:4">
      <c r="A191" s="270"/>
      <c r="B191" s="271"/>
      <c r="C191" s="271" t="s">
        <v>339</v>
      </c>
      <c r="D191" s="272"/>
    </row>
    <row r="192" spans="1:4">
      <c r="A192" s="267"/>
      <c r="B192" s="268"/>
      <c r="C192" s="167" t="s">
        <v>143</v>
      </c>
      <c r="D192" s="269"/>
    </row>
    <row r="193" spans="1:4">
      <c r="A193" s="267"/>
      <c r="C193" t="s">
        <v>340</v>
      </c>
      <c r="D193" s="273"/>
    </row>
    <row r="194" spans="1:4">
      <c r="A194" s="267"/>
      <c r="C194" s="1426" t="str">
        <f>'04-221Master'!F5</f>
        <v>Burgeon IT Services Pvt.Ltd.</v>
      </c>
      <c r="D194" s="1427"/>
    </row>
    <row r="195" spans="1:4">
      <c r="A195" s="252" t="s">
        <v>272</v>
      </c>
      <c r="B195" t="str">
        <f>B178</f>
        <v>Hyderabad</v>
      </c>
      <c r="C195" s="2" t="str">
        <f>'04-221Master'!F6</f>
        <v>Siri Mansion LIGB 436 Dr.A S Rao Nagar,Hyderabad</v>
      </c>
      <c r="D195" s="14"/>
    </row>
    <row r="196" spans="1:4" ht="15.75" thickBot="1">
      <c r="A196" s="252" t="s">
        <v>331</v>
      </c>
      <c r="B196" s="289" t="e">
        <f>B179</f>
        <v>#REF!</v>
      </c>
      <c r="C196" s="2"/>
      <c r="D196" s="14"/>
    </row>
    <row r="197" spans="1:4" ht="15.75" thickBot="1">
      <c r="A197" s="278"/>
      <c r="B197" s="279" t="s">
        <v>344</v>
      </c>
      <c r="C197" s="279"/>
      <c r="D197" s="29"/>
    </row>
    <row r="198" spans="1:4">
      <c r="A198" s="252" t="s">
        <v>342</v>
      </c>
      <c r="C198" s="2"/>
      <c r="D198" s="14"/>
    </row>
    <row r="199" spans="1:4">
      <c r="A199" s="252" t="s">
        <v>331</v>
      </c>
      <c r="B199" s="289" t="e">
        <f>B196</f>
        <v>#REF!</v>
      </c>
      <c r="C199" s="2"/>
      <c r="D199" s="14"/>
    </row>
    <row r="200" spans="1:4" ht="15.75" thickBot="1">
      <c r="A200" s="281" t="s">
        <v>343</v>
      </c>
      <c r="B200" s="23"/>
      <c r="C200" s="23"/>
      <c r="D200" s="24" t="s">
        <v>134</v>
      </c>
    </row>
    <row r="204" spans="1:4" ht="15.75" thickBot="1"/>
    <row r="205" spans="1:4" ht="20.25">
      <c r="A205" s="1439" t="s">
        <v>306</v>
      </c>
      <c r="B205" s="1440"/>
      <c r="C205" s="1440"/>
      <c r="D205" s="1441"/>
    </row>
    <row r="206" spans="1:4">
      <c r="A206" s="1442" t="s">
        <v>307</v>
      </c>
      <c r="B206" s="1443"/>
      <c r="C206" s="1443"/>
      <c r="D206" s="1444"/>
    </row>
    <row r="207" spans="1:4" ht="18">
      <c r="A207" s="1445" t="s">
        <v>308</v>
      </c>
      <c r="B207" s="1446"/>
      <c r="C207" s="1446"/>
      <c r="D207" s="1447"/>
    </row>
    <row r="208" spans="1:4">
      <c r="A208" s="13" t="s">
        <v>133</v>
      </c>
      <c r="D208" s="14"/>
    </row>
    <row r="209" spans="1:4" ht="18">
      <c r="A209" s="274" t="str">
        <f>'04-221Master'!F5</f>
        <v>Burgeon IT Services Pvt.Ltd.</v>
      </c>
      <c r="B209" s="251"/>
      <c r="D209" s="14"/>
    </row>
    <row r="210" spans="1:4" ht="18">
      <c r="A210" s="274" t="str">
        <f>'04-221Master'!F6</f>
        <v>Siri Mansion LIGB 436 Dr.A S Rao Nagar,Hyderabad</v>
      </c>
      <c r="B210" s="251"/>
      <c r="D210" s="14"/>
    </row>
    <row r="211" spans="1:4" ht="18">
      <c r="A211" s="253"/>
      <c r="B211" s="4"/>
      <c r="D211" s="14"/>
    </row>
    <row r="212" spans="1:4" ht="15.75">
      <c r="A212" s="252" t="s">
        <v>309</v>
      </c>
      <c r="B212" s="275"/>
      <c r="C212" s="276" t="e">
        <f>'04-221Master'!#REF!</f>
        <v>#REF!</v>
      </c>
      <c r="D212" s="81"/>
    </row>
    <row r="213" spans="1:4">
      <c r="A213" s="1448" t="s">
        <v>310</v>
      </c>
      <c r="B213" s="1449"/>
      <c r="C213" s="1449"/>
      <c r="D213" s="1450"/>
    </row>
    <row r="214" spans="1:4">
      <c r="A214" s="13"/>
      <c r="D214" s="14"/>
    </row>
    <row r="215" spans="1:4">
      <c r="A215" s="1448" t="s">
        <v>311</v>
      </c>
      <c r="B215" s="1449"/>
      <c r="C215" s="1449"/>
      <c r="D215" s="1450"/>
    </row>
    <row r="216" spans="1:4">
      <c r="A216" s="254"/>
      <c r="B216" s="255"/>
      <c r="C216" s="255"/>
      <c r="D216" s="256"/>
    </row>
    <row r="217" spans="1:4">
      <c r="A217" s="1431" t="s">
        <v>312</v>
      </c>
      <c r="B217" s="1432"/>
      <c r="C217" s="1432"/>
      <c r="D217" s="1433"/>
    </row>
    <row r="218" spans="1:4">
      <c r="A218" s="13"/>
      <c r="D218" s="14"/>
    </row>
    <row r="219" spans="1:4">
      <c r="A219" s="1431" t="s">
        <v>313</v>
      </c>
      <c r="B219" s="1432"/>
      <c r="C219" s="1432"/>
      <c r="D219" s="1433"/>
    </row>
    <row r="220" spans="1:4">
      <c r="A220" s="1431" t="s">
        <v>314</v>
      </c>
      <c r="B220" s="1432"/>
      <c r="C220" s="1432"/>
      <c r="D220" s="1433"/>
    </row>
    <row r="221" spans="1:4">
      <c r="A221" s="252"/>
      <c r="B221" s="257"/>
      <c r="C221" s="257"/>
      <c r="D221" s="258"/>
    </row>
    <row r="222" spans="1:4">
      <c r="A222" s="1448" t="s">
        <v>315</v>
      </c>
      <c r="B222" s="1449"/>
      <c r="C222" s="1449"/>
      <c r="D222" s="1450"/>
    </row>
    <row r="223" spans="1:4">
      <c r="A223" s="252"/>
      <c r="B223" s="257"/>
      <c r="C223" s="257"/>
      <c r="D223" s="258"/>
    </row>
    <row r="224" spans="1:4">
      <c r="A224" s="1431" t="s">
        <v>316</v>
      </c>
      <c r="B224" s="1432"/>
      <c r="C224" s="1432"/>
      <c r="D224" s="1433"/>
    </row>
    <row r="225" spans="1:4">
      <c r="A225" s="13"/>
      <c r="D225" s="14"/>
    </row>
    <row r="226" spans="1:4">
      <c r="A226" s="1428" t="s">
        <v>317</v>
      </c>
      <c r="B226" s="1429"/>
      <c r="C226" s="1429"/>
      <c r="D226" s="1430"/>
    </row>
    <row r="227" spans="1:4" ht="42.75">
      <c r="A227" s="259" t="s">
        <v>318</v>
      </c>
      <c r="B227" s="260" t="s">
        <v>319</v>
      </c>
      <c r="C227" s="260" t="s">
        <v>320</v>
      </c>
      <c r="D227" s="261" t="s">
        <v>321</v>
      </c>
    </row>
    <row r="228" spans="1:4">
      <c r="A228" s="262">
        <v>1</v>
      </c>
      <c r="B228" s="263">
        <v>2</v>
      </c>
      <c r="C228" s="263">
        <v>3</v>
      </c>
      <c r="D228" s="264">
        <v>4</v>
      </c>
    </row>
    <row r="229" spans="1:4">
      <c r="A229" s="13" t="e">
        <f>'04-221Master'!#REF!</f>
        <v>#REF!</v>
      </c>
      <c r="B229" s="11" t="s">
        <v>363</v>
      </c>
      <c r="C229" s="11" t="s">
        <v>370</v>
      </c>
      <c r="D229" s="296">
        <v>1</v>
      </c>
    </row>
    <row r="230" spans="1:4">
      <c r="A230" s="280"/>
      <c r="B230" s="11"/>
      <c r="C230" s="11"/>
      <c r="D230" s="265"/>
    </row>
    <row r="231" spans="1:4">
      <c r="A231" s="277"/>
      <c r="B231" s="11"/>
      <c r="C231" s="11"/>
      <c r="D231" s="265"/>
    </row>
    <row r="232" spans="1:4">
      <c r="A232" s="13"/>
      <c r="D232" s="14"/>
    </row>
    <row r="233" spans="1:4">
      <c r="A233" s="1428" t="s">
        <v>322</v>
      </c>
      <c r="B233" s="1429"/>
      <c r="C233" s="1429"/>
      <c r="D233" s="1430"/>
    </row>
    <row r="234" spans="1:4">
      <c r="A234" s="168"/>
      <c r="B234" s="5"/>
      <c r="C234" s="5"/>
      <c r="D234" s="169"/>
    </row>
    <row r="235" spans="1:4">
      <c r="A235" s="1417" t="s">
        <v>323</v>
      </c>
      <c r="B235" s="1418"/>
      <c r="C235" s="1419" t="e">
        <f>'04-221Master'!#REF!</f>
        <v>#REF!</v>
      </c>
      <c r="D235" s="1420"/>
    </row>
    <row r="236" spans="1:4">
      <c r="A236" s="1417" t="s">
        <v>324</v>
      </c>
      <c r="B236" s="1418"/>
      <c r="C236" s="1438" t="e">
        <f>'04-221Master'!#REF!</f>
        <v>#REF!</v>
      </c>
      <c r="D236" s="1420"/>
    </row>
    <row r="237" spans="1:4">
      <c r="A237" s="1417" t="s">
        <v>325</v>
      </c>
      <c r="B237" s="1418"/>
      <c r="C237" s="1438" t="s">
        <v>371</v>
      </c>
      <c r="D237" s="1420"/>
    </row>
    <row r="238" spans="1:4">
      <c r="A238" s="1417" t="s">
        <v>326</v>
      </c>
      <c r="B238" s="1418"/>
      <c r="C238" s="1438" t="s">
        <v>369</v>
      </c>
      <c r="D238" s="1420"/>
    </row>
    <row r="239" spans="1:4">
      <c r="A239" s="1417" t="s">
        <v>327</v>
      </c>
      <c r="B239" s="1418"/>
      <c r="C239" s="1419" t="e">
        <f>'04-221Master'!#REF!</f>
        <v>#REF!</v>
      </c>
      <c r="D239" s="1420"/>
    </row>
    <row r="240" spans="1:4">
      <c r="A240" s="1417" t="s">
        <v>328</v>
      </c>
      <c r="B240" s="1418"/>
      <c r="C240" s="1419" t="e">
        <f>'04-221Master'!#REF!</f>
        <v>#REF!</v>
      </c>
      <c r="D240" s="1420"/>
    </row>
    <row r="241" spans="1:4">
      <c r="A241" s="1417" t="s">
        <v>329</v>
      </c>
      <c r="B241" s="1418"/>
      <c r="C241" s="1437" t="e">
        <f>'04-221Master'!#REF!</f>
        <v>#REF!</v>
      </c>
      <c r="D241" s="1420"/>
    </row>
    <row r="242" spans="1:4">
      <c r="A242" s="1417" t="s">
        <v>330</v>
      </c>
      <c r="B242" s="1418"/>
      <c r="C242" s="1438"/>
      <c r="D242" s="1420"/>
    </row>
    <row r="243" spans="1:4">
      <c r="A243" s="1417"/>
      <c r="B243" s="1418"/>
      <c r="C243" s="1419" t="e">
        <f>'04-221Master'!#REF!</f>
        <v>#REF!</v>
      </c>
      <c r="D243" s="1420"/>
    </row>
    <row r="244" spans="1:4">
      <c r="A244" s="1417"/>
      <c r="B244" s="1418"/>
      <c r="C244" s="1419" t="e">
        <f>'04-221Master'!#REF!</f>
        <v>#REF!</v>
      </c>
      <c r="D244" s="1420"/>
    </row>
    <row r="245" spans="1:4">
      <c r="A245" s="1417"/>
      <c r="B245" s="1418"/>
      <c r="C245" s="1419" t="e">
        <f>'04-221Master'!#REF!</f>
        <v>#REF!</v>
      </c>
      <c r="D245" s="1420"/>
    </row>
    <row r="246" spans="1:4">
      <c r="A246" s="252" t="s">
        <v>272</v>
      </c>
      <c r="B246" s="257" t="s">
        <v>361</v>
      </c>
      <c r="C246" s="257"/>
      <c r="D246" s="258"/>
    </row>
    <row r="247" spans="1:4">
      <c r="A247" s="252" t="s">
        <v>331</v>
      </c>
      <c r="B247" s="297" t="e">
        <f>'04-221Master'!#REF!</f>
        <v>#REF!</v>
      </c>
      <c r="C247" s="266" t="s">
        <v>332</v>
      </c>
      <c r="D247" s="258"/>
    </row>
    <row r="248" spans="1:4">
      <c r="A248" s="252"/>
      <c r="B248" s="257"/>
      <c r="C248" s="257"/>
      <c r="D248" s="258"/>
    </row>
    <row r="249" spans="1:4">
      <c r="A249" s="1428" t="s">
        <v>333</v>
      </c>
      <c r="B249" s="1429"/>
      <c r="C249" s="1429"/>
      <c r="D249" s="1430"/>
    </row>
    <row r="250" spans="1:4">
      <c r="A250" s="252" t="s">
        <v>334</v>
      </c>
      <c r="B250" s="257"/>
      <c r="C250" s="257"/>
      <c r="D250" s="258"/>
    </row>
    <row r="251" spans="1:4">
      <c r="A251" s="252"/>
      <c r="B251" s="257"/>
      <c r="C251" s="257"/>
      <c r="D251" s="258"/>
    </row>
    <row r="252" spans="1:4">
      <c r="A252" s="1431" t="s">
        <v>335</v>
      </c>
      <c r="B252" s="1432"/>
      <c r="C252" s="1432" t="s">
        <v>336</v>
      </c>
      <c r="D252" s="1433"/>
    </row>
    <row r="253" spans="1:4">
      <c r="A253" s="1434">
        <v>1</v>
      </c>
      <c r="B253" s="1435"/>
      <c r="C253" s="1435">
        <v>1</v>
      </c>
      <c r="D253" s="1436"/>
    </row>
    <row r="254" spans="1:4">
      <c r="A254" s="1434">
        <v>2</v>
      </c>
      <c r="B254" s="1435"/>
      <c r="C254" s="1435">
        <v>2</v>
      </c>
      <c r="D254" s="1436"/>
    </row>
    <row r="255" spans="1:4">
      <c r="A255" s="267"/>
      <c r="C255" s="1424" t="s">
        <v>341</v>
      </c>
      <c r="D255" s="1425"/>
    </row>
    <row r="256" spans="1:4">
      <c r="A256" s="1421" t="s">
        <v>337</v>
      </c>
      <c r="B256" s="1422"/>
      <c r="C256" s="1422"/>
      <c r="D256" s="1423"/>
    </row>
    <row r="257" spans="1:4">
      <c r="A257" s="270" t="s">
        <v>338</v>
      </c>
      <c r="B257" s="271"/>
      <c r="C257" s="271"/>
      <c r="D257" s="272"/>
    </row>
    <row r="258" spans="1:4">
      <c r="A258" s="270"/>
      <c r="B258" s="271"/>
      <c r="C258" s="271"/>
      <c r="D258" s="272"/>
    </row>
    <row r="259" spans="1:4">
      <c r="A259" s="270"/>
      <c r="B259" s="271"/>
      <c r="C259" s="271" t="s">
        <v>339</v>
      </c>
      <c r="D259" s="272"/>
    </row>
    <row r="260" spans="1:4">
      <c r="A260" s="267"/>
      <c r="B260" s="268"/>
      <c r="C260" s="167" t="s">
        <v>143</v>
      </c>
      <c r="D260" s="269"/>
    </row>
    <row r="261" spans="1:4">
      <c r="A261" s="267"/>
      <c r="C261" t="s">
        <v>340</v>
      </c>
      <c r="D261" s="273"/>
    </row>
    <row r="262" spans="1:4">
      <c r="A262" s="267"/>
      <c r="C262" s="1426" t="str">
        <f>'04-221Master'!F5</f>
        <v>Burgeon IT Services Pvt.Ltd.</v>
      </c>
      <c r="D262" s="1427"/>
    </row>
    <row r="263" spans="1:4">
      <c r="A263" s="252" t="s">
        <v>272</v>
      </c>
      <c r="B263" t="str">
        <f>B246</f>
        <v>Hyderabad</v>
      </c>
      <c r="C263" s="2" t="str">
        <f>'04-221Master'!F6</f>
        <v>Siri Mansion LIGB 436 Dr.A S Rao Nagar,Hyderabad</v>
      </c>
      <c r="D263" s="14"/>
    </row>
    <row r="264" spans="1:4" ht="15.75" thickBot="1">
      <c r="A264" s="252" t="s">
        <v>331</v>
      </c>
      <c r="B264" s="289" t="e">
        <f>B247</f>
        <v>#REF!</v>
      </c>
      <c r="C264" s="2"/>
      <c r="D264" s="14"/>
    </row>
    <row r="265" spans="1:4" ht="15.75" thickBot="1">
      <c r="A265" s="278"/>
      <c r="B265" s="279" t="s">
        <v>344</v>
      </c>
      <c r="C265" s="279"/>
      <c r="D265" s="29"/>
    </row>
    <row r="266" spans="1:4">
      <c r="A266" s="252" t="s">
        <v>342</v>
      </c>
      <c r="C266" s="2"/>
      <c r="D266" s="14"/>
    </row>
    <row r="267" spans="1:4">
      <c r="A267" s="252" t="s">
        <v>331</v>
      </c>
      <c r="B267" s="289" t="e">
        <f>B264</f>
        <v>#REF!</v>
      </c>
      <c r="C267" s="2"/>
      <c r="D267" s="14"/>
    </row>
    <row r="268" spans="1:4" ht="15.75" thickBot="1">
      <c r="A268" s="281" t="s">
        <v>343</v>
      </c>
      <c r="B268" s="23"/>
      <c r="C268" s="23"/>
      <c r="D268" s="24" t="s">
        <v>134</v>
      </c>
    </row>
    <row r="272" spans="1:4" ht="15.75" thickBot="1"/>
    <row r="273" spans="1:4" ht="20.25">
      <c r="A273" s="1439" t="s">
        <v>306</v>
      </c>
      <c r="B273" s="1440"/>
      <c r="C273" s="1440"/>
      <c r="D273" s="1441"/>
    </row>
    <row r="274" spans="1:4">
      <c r="A274" s="1442" t="s">
        <v>307</v>
      </c>
      <c r="B274" s="1443"/>
      <c r="C274" s="1443"/>
      <c r="D274" s="1444"/>
    </row>
    <row r="275" spans="1:4" ht="18">
      <c r="A275" s="1445" t="s">
        <v>308</v>
      </c>
      <c r="B275" s="1446"/>
      <c r="C275" s="1446"/>
      <c r="D275" s="1447"/>
    </row>
    <row r="276" spans="1:4">
      <c r="A276" s="13" t="s">
        <v>133</v>
      </c>
      <c r="D276" s="14"/>
    </row>
    <row r="277" spans="1:4" ht="18">
      <c r="A277" s="274" t="str">
        <f>'04-221Master'!F5</f>
        <v>Burgeon IT Services Pvt.Ltd.</v>
      </c>
      <c r="B277" s="251"/>
      <c r="D277" s="14"/>
    </row>
    <row r="278" spans="1:4" ht="18">
      <c r="A278" s="274" t="str">
        <f>'04-221Master'!F6</f>
        <v>Siri Mansion LIGB 436 Dr.A S Rao Nagar,Hyderabad</v>
      </c>
      <c r="B278" s="251"/>
      <c r="D278" s="14"/>
    </row>
    <row r="279" spans="1:4" ht="18">
      <c r="A279" s="253"/>
      <c r="B279" s="4"/>
      <c r="D279" s="14"/>
    </row>
    <row r="280" spans="1:4" ht="15.75">
      <c r="A280" s="252" t="s">
        <v>309</v>
      </c>
      <c r="B280" s="275"/>
      <c r="C280" s="276" t="e">
        <f>'04-221Master'!#REF!</f>
        <v>#REF!</v>
      </c>
      <c r="D280" s="81"/>
    </row>
    <row r="281" spans="1:4">
      <c r="A281" s="1448" t="s">
        <v>310</v>
      </c>
      <c r="B281" s="1449"/>
      <c r="C281" s="1449"/>
      <c r="D281" s="1450"/>
    </row>
    <row r="282" spans="1:4">
      <c r="A282" s="13"/>
      <c r="D282" s="14"/>
    </row>
    <row r="283" spans="1:4">
      <c r="A283" s="1448" t="s">
        <v>311</v>
      </c>
      <c r="B283" s="1449"/>
      <c r="C283" s="1449"/>
      <c r="D283" s="1450"/>
    </row>
    <row r="284" spans="1:4">
      <c r="A284" s="254"/>
      <c r="B284" s="255"/>
      <c r="C284" s="255"/>
      <c r="D284" s="256"/>
    </row>
    <row r="285" spans="1:4">
      <c r="A285" s="1431" t="s">
        <v>312</v>
      </c>
      <c r="B285" s="1432"/>
      <c r="C285" s="1432"/>
      <c r="D285" s="1433"/>
    </row>
    <row r="286" spans="1:4">
      <c r="A286" s="13"/>
      <c r="D286" s="14"/>
    </row>
    <row r="287" spans="1:4">
      <c r="A287" s="1431" t="s">
        <v>313</v>
      </c>
      <c r="B287" s="1432"/>
      <c r="C287" s="1432"/>
      <c r="D287" s="1433"/>
    </row>
    <row r="288" spans="1:4">
      <c r="A288" s="1431" t="s">
        <v>314</v>
      </c>
      <c r="B288" s="1432"/>
      <c r="C288" s="1432"/>
      <c r="D288" s="1433"/>
    </row>
    <row r="289" spans="1:4">
      <c r="A289" s="252"/>
      <c r="B289" s="257"/>
      <c r="C289" s="257"/>
      <c r="D289" s="258"/>
    </row>
    <row r="290" spans="1:4">
      <c r="A290" s="1448" t="s">
        <v>315</v>
      </c>
      <c r="B290" s="1449"/>
      <c r="C290" s="1449"/>
      <c r="D290" s="1450"/>
    </row>
    <row r="291" spans="1:4">
      <c r="A291" s="252"/>
      <c r="B291" s="257"/>
      <c r="C291" s="257"/>
      <c r="D291" s="258"/>
    </row>
    <row r="292" spans="1:4">
      <c r="A292" s="1431" t="s">
        <v>316</v>
      </c>
      <c r="B292" s="1432"/>
      <c r="C292" s="1432"/>
      <c r="D292" s="1433"/>
    </row>
    <row r="293" spans="1:4">
      <c r="A293" s="13"/>
      <c r="D293" s="14"/>
    </row>
    <row r="294" spans="1:4">
      <c r="A294" s="1428" t="s">
        <v>317</v>
      </c>
      <c r="B294" s="1429"/>
      <c r="C294" s="1429"/>
      <c r="D294" s="1430"/>
    </row>
    <row r="295" spans="1:4" ht="42.75">
      <c r="A295" s="259" t="s">
        <v>318</v>
      </c>
      <c r="B295" s="260" t="s">
        <v>319</v>
      </c>
      <c r="C295" s="260" t="s">
        <v>320</v>
      </c>
      <c r="D295" s="261" t="s">
        <v>321</v>
      </c>
    </row>
    <row r="296" spans="1:4">
      <c r="A296" s="262">
        <v>1</v>
      </c>
      <c r="B296" s="263">
        <v>2</v>
      </c>
      <c r="C296" s="263">
        <v>3</v>
      </c>
      <c r="D296" s="264">
        <v>4</v>
      </c>
    </row>
    <row r="297" spans="1:4">
      <c r="A297" s="13" t="e">
        <f>'04-221Master'!#REF!</f>
        <v>#REF!</v>
      </c>
      <c r="B297" s="11" t="s">
        <v>363</v>
      </c>
      <c r="C297" s="11" t="s">
        <v>370</v>
      </c>
      <c r="D297" s="296">
        <v>1</v>
      </c>
    </row>
    <row r="298" spans="1:4">
      <c r="A298" s="280"/>
      <c r="B298" s="11"/>
      <c r="C298" s="11"/>
      <c r="D298" s="265"/>
    </row>
    <row r="299" spans="1:4">
      <c r="A299" s="277"/>
      <c r="B299" s="11"/>
      <c r="C299" s="11"/>
      <c r="D299" s="265"/>
    </row>
    <row r="300" spans="1:4">
      <c r="A300" s="13"/>
      <c r="D300" s="14"/>
    </row>
    <row r="301" spans="1:4">
      <c r="A301" s="1428" t="s">
        <v>322</v>
      </c>
      <c r="B301" s="1429"/>
      <c r="C301" s="1429"/>
      <c r="D301" s="1430"/>
    </row>
    <row r="302" spans="1:4">
      <c r="A302" s="168"/>
      <c r="B302" s="5"/>
      <c r="C302" s="5"/>
      <c r="D302" s="169"/>
    </row>
    <row r="303" spans="1:4">
      <c r="A303" s="1417" t="s">
        <v>323</v>
      </c>
      <c r="B303" s="1418"/>
      <c r="C303" s="1419" t="e">
        <f>'04-221Master'!#REF!</f>
        <v>#REF!</v>
      </c>
      <c r="D303" s="1420"/>
    </row>
    <row r="304" spans="1:4">
      <c r="A304" s="1417" t="s">
        <v>324</v>
      </c>
      <c r="B304" s="1418"/>
      <c r="C304" s="1438" t="e">
        <f>'04-221Master'!#REF!</f>
        <v>#REF!</v>
      </c>
      <c r="D304" s="1420"/>
    </row>
    <row r="305" spans="1:4">
      <c r="A305" s="1417" t="s">
        <v>325</v>
      </c>
      <c r="B305" s="1418"/>
      <c r="C305" s="1438" t="s">
        <v>371</v>
      </c>
      <c r="D305" s="1420"/>
    </row>
    <row r="306" spans="1:4">
      <c r="A306" s="1417" t="s">
        <v>326</v>
      </c>
      <c r="B306" s="1418"/>
      <c r="C306" s="1438" t="s">
        <v>369</v>
      </c>
      <c r="D306" s="1420"/>
    </row>
    <row r="307" spans="1:4">
      <c r="A307" s="1417" t="s">
        <v>327</v>
      </c>
      <c r="B307" s="1418"/>
      <c r="C307" s="1419" t="e">
        <f>'04-221Master'!#REF!</f>
        <v>#REF!</v>
      </c>
      <c r="D307" s="1420"/>
    </row>
    <row r="308" spans="1:4">
      <c r="A308" s="1417" t="s">
        <v>328</v>
      </c>
      <c r="B308" s="1418"/>
      <c r="C308" s="1419" t="e">
        <f>'04-221Master'!#REF!</f>
        <v>#REF!</v>
      </c>
      <c r="D308" s="1420"/>
    </row>
    <row r="309" spans="1:4">
      <c r="A309" s="1417" t="s">
        <v>329</v>
      </c>
      <c r="B309" s="1418"/>
      <c r="C309" s="1437" t="e">
        <f>'04-221Master'!#REF!</f>
        <v>#REF!</v>
      </c>
      <c r="D309" s="1420"/>
    </row>
    <row r="310" spans="1:4">
      <c r="A310" s="1417" t="s">
        <v>330</v>
      </c>
      <c r="B310" s="1418"/>
      <c r="C310" s="1438"/>
      <c r="D310" s="1420"/>
    </row>
    <row r="311" spans="1:4">
      <c r="A311" s="1417"/>
      <c r="B311" s="1418"/>
      <c r="C311" s="1419" t="e">
        <f>'04-221Master'!#REF!</f>
        <v>#REF!</v>
      </c>
      <c r="D311" s="1420"/>
    </row>
    <row r="312" spans="1:4">
      <c r="A312" s="1417"/>
      <c r="B312" s="1418"/>
      <c r="C312" s="1419" t="e">
        <f>'04-221Master'!#REF!</f>
        <v>#REF!</v>
      </c>
      <c r="D312" s="1420"/>
    </row>
    <row r="313" spans="1:4">
      <c r="A313" s="1417"/>
      <c r="B313" s="1418"/>
      <c r="C313" s="1419" t="e">
        <f>'04-221Master'!#REF!</f>
        <v>#REF!</v>
      </c>
      <c r="D313" s="1420"/>
    </row>
    <row r="314" spans="1:4">
      <c r="A314" s="252" t="s">
        <v>272</v>
      </c>
      <c r="B314" s="257" t="s">
        <v>361</v>
      </c>
      <c r="C314" s="257"/>
      <c r="D314" s="258"/>
    </row>
    <row r="315" spans="1:4">
      <c r="A315" s="252" t="s">
        <v>331</v>
      </c>
      <c r="B315" s="297" t="e">
        <f>'04-221Master'!#REF!</f>
        <v>#REF!</v>
      </c>
      <c r="C315" s="266" t="s">
        <v>332</v>
      </c>
      <c r="D315" s="258"/>
    </row>
    <row r="316" spans="1:4">
      <c r="A316" s="252"/>
      <c r="B316" s="257"/>
      <c r="C316" s="257"/>
      <c r="D316" s="258"/>
    </row>
    <row r="317" spans="1:4">
      <c r="A317" s="1428" t="s">
        <v>333</v>
      </c>
      <c r="B317" s="1429"/>
      <c r="C317" s="1429"/>
      <c r="D317" s="1430"/>
    </row>
    <row r="318" spans="1:4">
      <c r="A318" s="252" t="s">
        <v>334</v>
      </c>
      <c r="B318" s="257"/>
      <c r="C318" s="257"/>
      <c r="D318" s="258"/>
    </row>
    <row r="319" spans="1:4">
      <c r="A319" s="252"/>
      <c r="B319" s="257"/>
      <c r="C319" s="257"/>
      <c r="D319" s="258"/>
    </row>
    <row r="320" spans="1:4">
      <c r="A320" s="1431" t="s">
        <v>335</v>
      </c>
      <c r="B320" s="1432"/>
      <c r="C320" s="1432" t="s">
        <v>336</v>
      </c>
      <c r="D320" s="1433"/>
    </row>
    <row r="321" spans="1:4">
      <c r="A321" s="1434">
        <v>1</v>
      </c>
      <c r="B321" s="1435"/>
      <c r="C321" s="1435">
        <v>1</v>
      </c>
      <c r="D321" s="1436"/>
    </row>
    <row r="322" spans="1:4">
      <c r="A322" s="1434">
        <v>2</v>
      </c>
      <c r="B322" s="1435"/>
      <c r="C322" s="1435">
        <v>2</v>
      </c>
      <c r="D322" s="1436"/>
    </row>
    <row r="323" spans="1:4">
      <c r="A323" s="267"/>
      <c r="C323" s="1424" t="s">
        <v>341</v>
      </c>
      <c r="D323" s="1425"/>
    </row>
    <row r="324" spans="1:4">
      <c r="A324" s="1421" t="s">
        <v>337</v>
      </c>
      <c r="B324" s="1422"/>
      <c r="C324" s="1422"/>
      <c r="D324" s="1423"/>
    </row>
    <row r="325" spans="1:4">
      <c r="A325" s="270" t="s">
        <v>338</v>
      </c>
      <c r="B325" s="271"/>
      <c r="C325" s="271"/>
      <c r="D325" s="272"/>
    </row>
    <row r="326" spans="1:4">
      <c r="A326" s="270"/>
      <c r="B326" s="271"/>
      <c r="C326" s="271"/>
      <c r="D326" s="272"/>
    </row>
    <row r="327" spans="1:4">
      <c r="A327" s="270"/>
      <c r="B327" s="271"/>
      <c r="C327" s="271" t="s">
        <v>339</v>
      </c>
      <c r="D327" s="272"/>
    </row>
    <row r="328" spans="1:4">
      <c r="A328" s="267"/>
      <c r="B328" s="268"/>
      <c r="C328" s="167" t="s">
        <v>143</v>
      </c>
      <c r="D328" s="269"/>
    </row>
    <row r="329" spans="1:4">
      <c r="A329" s="267"/>
      <c r="C329" t="s">
        <v>340</v>
      </c>
      <c r="D329" s="273"/>
    </row>
    <row r="330" spans="1:4">
      <c r="A330" s="267"/>
      <c r="C330" s="1426" t="str">
        <f>'04-221Master'!F5</f>
        <v>Burgeon IT Services Pvt.Ltd.</v>
      </c>
      <c r="D330" s="1427"/>
    </row>
    <row r="331" spans="1:4">
      <c r="A331" s="252" t="s">
        <v>272</v>
      </c>
      <c r="B331" t="str">
        <f>B314</f>
        <v>Hyderabad</v>
      </c>
      <c r="C331" s="2" t="str">
        <f>'04-221Master'!F6</f>
        <v>Siri Mansion LIGB 436 Dr.A S Rao Nagar,Hyderabad</v>
      </c>
      <c r="D331" s="14"/>
    </row>
    <row r="332" spans="1:4" ht="15.75" thickBot="1">
      <c r="A332" s="252" t="s">
        <v>331</v>
      </c>
      <c r="B332" s="289" t="e">
        <f>B315</f>
        <v>#REF!</v>
      </c>
      <c r="C332" s="2"/>
      <c r="D332" s="14"/>
    </row>
    <row r="333" spans="1:4" ht="15.75" thickBot="1">
      <c r="A333" s="278"/>
      <c r="B333" s="279" t="s">
        <v>344</v>
      </c>
      <c r="C333" s="279"/>
      <c r="D333" s="29"/>
    </row>
    <row r="334" spans="1:4">
      <c r="A334" s="252" t="s">
        <v>342</v>
      </c>
      <c r="C334" s="2"/>
      <c r="D334" s="14"/>
    </row>
    <row r="335" spans="1:4">
      <c r="A335" s="252" t="s">
        <v>331</v>
      </c>
      <c r="B335" s="289" t="e">
        <f>B332</f>
        <v>#REF!</v>
      </c>
      <c r="C335" s="2"/>
      <c r="D335" s="14"/>
    </row>
    <row r="336" spans="1:4" ht="15.75" thickBot="1">
      <c r="A336" s="281" t="s">
        <v>343</v>
      </c>
      <c r="B336" s="23"/>
      <c r="C336" s="23"/>
      <c r="D336" s="24" t="s">
        <v>134</v>
      </c>
    </row>
    <row r="340" spans="1:4" ht="15.75" thickBot="1"/>
    <row r="341" spans="1:4" ht="20.25">
      <c r="A341" s="1439" t="s">
        <v>306</v>
      </c>
      <c r="B341" s="1440"/>
      <c r="C341" s="1440"/>
      <c r="D341" s="1441"/>
    </row>
    <row r="342" spans="1:4">
      <c r="A342" s="1442" t="s">
        <v>307</v>
      </c>
      <c r="B342" s="1443"/>
      <c r="C342" s="1443"/>
      <c r="D342" s="1444"/>
    </row>
    <row r="343" spans="1:4" ht="18">
      <c r="A343" s="1445" t="s">
        <v>308</v>
      </c>
      <c r="B343" s="1446"/>
      <c r="C343" s="1446"/>
      <c r="D343" s="1447"/>
    </row>
    <row r="344" spans="1:4">
      <c r="A344" s="13" t="s">
        <v>133</v>
      </c>
      <c r="D344" s="14"/>
    </row>
    <row r="345" spans="1:4" ht="18">
      <c r="A345" s="274" t="str">
        <f>'04-221Master'!F5</f>
        <v>Burgeon IT Services Pvt.Ltd.</v>
      </c>
      <c r="B345" s="251"/>
      <c r="D345" s="14"/>
    </row>
    <row r="346" spans="1:4" ht="18">
      <c r="A346" s="274" t="str">
        <f>'04-221Master'!F6</f>
        <v>Siri Mansion LIGB 436 Dr.A S Rao Nagar,Hyderabad</v>
      </c>
      <c r="B346" s="251"/>
      <c r="D346" s="14"/>
    </row>
    <row r="347" spans="1:4" ht="18">
      <c r="A347" s="253"/>
      <c r="B347" s="4"/>
      <c r="D347" s="14"/>
    </row>
    <row r="348" spans="1:4" ht="15.75">
      <c r="A348" s="252" t="s">
        <v>309</v>
      </c>
      <c r="B348" s="275"/>
      <c r="C348" s="276" t="e">
        <f>'04-221Master'!#REF!</f>
        <v>#REF!</v>
      </c>
      <c r="D348" s="81"/>
    </row>
    <row r="349" spans="1:4">
      <c r="A349" s="1448" t="s">
        <v>310</v>
      </c>
      <c r="B349" s="1449"/>
      <c r="C349" s="1449"/>
      <c r="D349" s="1450"/>
    </row>
    <row r="350" spans="1:4">
      <c r="A350" s="13"/>
      <c r="D350" s="14"/>
    </row>
    <row r="351" spans="1:4">
      <c r="A351" s="1448" t="s">
        <v>311</v>
      </c>
      <c r="B351" s="1449"/>
      <c r="C351" s="1449"/>
      <c r="D351" s="1450"/>
    </row>
    <row r="352" spans="1:4">
      <c r="A352" s="254"/>
      <c r="B352" s="255"/>
      <c r="C352" s="255"/>
      <c r="D352" s="256"/>
    </row>
    <row r="353" spans="1:4">
      <c r="A353" s="1431" t="s">
        <v>312</v>
      </c>
      <c r="B353" s="1432"/>
      <c r="C353" s="1432"/>
      <c r="D353" s="1433"/>
    </row>
    <row r="354" spans="1:4">
      <c r="A354" s="13"/>
      <c r="D354" s="14"/>
    </row>
    <row r="355" spans="1:4">
      <c r="A355" s="1431" t="s">
        <v>313</v>
      </c>
      <c r="B355" s="1432"/>
      <c r="C355" s="1432"/>
      <c r="D355" s="1433"/>
    </row>
    <row r="356" spans="1:4">
      <c r="A356" s="1431" t="s">
        <v>314</v>
      </c>
      <c r="B356" s="1432"/>
      <c r="C356" s="1432"/>
      <c r="D356" s="1433"/>
    </row>
    <row r="357" spans="1:4">
      <c r="A357" s="252"/>
      <c r="B357" s="257"/>
      <c r="C357" s="257"/>
      <c r="D357" s="258"/>
    </row>
    <row r="358" spans="1:4">
      <c r="A358" s="1448" t="s">
        <v>315</v>
      </c>
      <c r="B358" s="1449"/>
      <c r="C358" s="1449"/>
      <c r="D358" s="1450"/>
    </row>
    <row r="359" spans="1:4">
      <c r="A359" s="252"/>
      <c r="B359" s="257"/>
      <c r="C359" s="257"/>
      <c r="D359" s="258"/>
    </row>
    <row r="360" spans="1:4">
      <c r="A360" s="1431" t="s">
        <v>316</v>
      </c>
      <c r="B360" s="1432"/>
      <c r="C360" s="1432"/>
      <c r="D360" s="1433"/>
    </row>
    <row r="361" spans="1:4">
      <c r="A361" s="13"/>
      <c r="D361" s="14"/>
    </row>
    <row r="362" spans="1:4">
      <c r="A362" s="1428" t="s">
        <v>317</v>
      </c>
      <c r="B362" s="1429"/>
      <c r="C362" s="1429"/>
      <c r="D362" s="1430"/>
    </row>
    <row r="363" spans="1:4" ht="42.75">
      <c r="A363" s="259" t="s">
        <v>318</v>
      </c>
      <c r="B363" s="260" t="s">
        <v>319</v>
      </c>
      <c r="C363" s="260" t="s">
        <v>320</v>
      </c>
      <c r="D363" s="261" t="s">
        <v>321</v>
      </c>
    </row>
    <row r="364" spans="1:4">
      <c r="A364" s="262">
        <v>1</v>
      </c>
      <c r="B364" s="263">
        <v>2</v>
      </c>
      <c r="C364" s="263">
        <v>3</v>
      </c>
      <c r="D364" s="264">
        <v>4</v>
      </c>
    </row>
    <row r="365" spans="1:4">
      <c r="A365" s="13" t="e">
        <f>'04-221Master'!#REF!</f>
        <v>#REF!</v>
      </c>
      <c r="B365" s="11" t="s">
        <v>363</v>
      </c>
      <c r="C365" s="11" t="s">
        <v>370</v>
      </c>
      <c r="D365" s="296">
        <v>1</v>
      </c>
    </row>
    <row r="366" spans="1:4">
      <c r="A366" s="280"/>
      <c r="B366" s="11"/>
      <c r="C366" s="11"/>
      <c r="D366" s="265"/>
    </row>
    <row r="367" spans="1:4">
      <c r="A367" s="277"/>
      <c r="B367" s="11"/>
      <c r="C367" s="11"/>
      <c r="D367" s="265"/>
    </row>
    <row r="368" spans="1:4">
      <c r="A368" s="13"/>
      <c r="D368" s="14"/>
    </row>
    <row r="369" spans="1:4">
      <c r="A369" s="1428" t="s">
        <v>322</v>
      </c>
      <c r="B369" s="1429"/>
      <c r="C369" s="1429"/>
      <c r="D369" s="1430"/>
    </row>
    <row r="370" spans="1:4">
      <c r="A370" s="168"/>
      <c r="B370" s="5"/>
      <c r="C370" s="5"/>
      <c r="D370" s="169"/>
    </row>
    <row r="371" spans="1:4">
      <c r="A371" s="1417" t="s">
        <v>323</v>
      </c>
      <c r="B371" s="1418"/>
      <c r="C371" s="1419" t="e">
        <f>'04-221Master'!#REF!</f>
        <v>#REF!</v>
      </c>
      <c r="D371" s="1420"/>
    </row>
    <row r="372" spans="1:4">
      <c r="A372" s="1417" t="s">
        <v>324</v>
      </c>
      <c r="B372" s="1418"/>
      <c r="C372" s="1438" t="e">
        <f>'04-221Master'!#REF!</f>
        <v>#REF!</v>
      </c>
      <c r="D372" s="1420"/>
    </row>
    <row r="373" spans="1:4">
      <c r="A373" s="1417" t="s">
        <v>325</v>
      </c>
      <c r="B373" s="1418"/>
      <c r="C373" s="1438" t="s">
        <v>371</v>
      </c>
      <c r="D373" s="1420"/>
    </row>
    <row r="374" spans="1:4">
      <c r="A374" s="1417" t="s">
        <v>326</v>
      </c>
      <c r="B374" s="1418"/>
      <c r="C374" s="1438" t="s">
        <v>369</v>
      </c>
      <c r="D374" s="1420"/>
    </row>
    <row r="375" spans="1:4">
      <c r="A375" s="1417" t="s">
        <v>327</v>
      </c>
      <c r="B375" s="1418"/>
      <c r="C375" s="1419" t="e">
        <f>'04-221Master'!#REF!</f>
        <v>#REF!</v>
      </c>
      <c r="D375" s="1420"/>
    </row>
    <row r="376" spans="1:4">
      <c r="A376" s="1417" t="s">
        <v>328</v>
      </c>
      <c r="B376" s="1418"/>
      <c r="C376" s="1419" t="e">
        <f>'04-221Master'!#REF!</f>
        <v>#REF!</v>
      </c>
      <c r="D376" s="1420"/>
    </row>
    <row r="377" spans="1:4">
      <c r="A377" s="1417" t="s">
        <v>329</v>
      </c>
      <c r="B377" s="1418"/>
      <c r="C377" s="1437" t="e">
        <f>'04-221Master'!#REF!</f>
        <v>#REF!</v>
      </c>
      <c r="D377" s="1420"/>
    </row>
    <row r="378" spans="1:4">
      <c r="A378" s="1417" t="s">
        <v>330</v>
      </c>
      <c r="B378" s="1418"/>
      <c r="C378" s="1438"/>
      <c r="D378" s="1420"/>
    </row>
    <row r="379" spans="1:4">
      <c r="A379" s="1417"/>
      <c r="B379" s="1418"/>
      <c r="C379" s="1419" t="e">
        <f>'04-221Master'!#REF!</f>
        <v>#REF!</v>
      </c>
      <c r="D379" s="1420"/>
    </row>
    <row r="380" spans="1:4">
      <c r="A380" s="1417"/>
      <c r="B380" s="1418"/>
      <c r="C380" s="1419" t="e">
        <f>'04-221Master'!#REF!</f>
        <v>#REF!</v>
      </c>
      <c r="D380" s="1420"/>
    </row>
    <row r="381" spans="1:4">
      <c r="A381" s="1417"/>
      <c r="B381" s="1418"/>
      <c r="C381" s="1419" t="e">
        <f>'04-221Master'!#REF!</f>
        <v>#REF!</v>
      </c>
      <c r="D381" s="1420"/>
    </row>
    <row r="382" spans="1:4">
      <c r="A382" s="252" t="s">
        <v>272</v>
      </c>
      <c r="B382" s="257" t="s">
        <v>361</v>
      </c>
      <c r="C382" s="257"/>
      <c r="D382" s="258"/>
    </row>
    <row r="383" spans="1:4">
      <c r="A383" s="252" t="s">
        <v>331</v>
      </c>
      <c r="B383" s="297" t="e">
        <f>'04-221Master'!#REF!</f>
        <v>#REF!</v>
      </c>
      <c r="C383" s="266" t="s">
        <v>332</v>
      </c>
      <c r="D383" s="258"/>
    </row>
    <row r="384" spans="1:4">
      <c r="A384" s="252"/>
      <c r="B384" s="257"/>
      <c r="C384" s="257"/>
      <c r="D384" s="258"/>
    </row>
    <row r="385" spans="1:4">
      <c r="A385" s="1428" t="s">
        <v>333</v>
      </c>
      <c r="B385" s="1429"/>
      <c r="C385" s="1429"/>
      <c r="D385" s="1430"/>
    </row>
    <row r="386" spans="1:4">
      <c r="A386" s="252" t="s">
        <v>334</v>
      </c>
      <c r="B386" s="257"/>
      <c r="C386" s="257"/>
      <c r="D386" s="258"/>
    </row>
    <row r="387" spans="1:4">
      <c r="A387" s="252"/>
      <c r="B387" s="257"/>
      <c r="C387" s="257"/>
      <c r="D387" s="258"/>
    </row>
    <row r="388" spans="1:4">
      <c r="A388" s="1431" t="s">
        <v>335</v>
      </c>
      <c r="B388" s="1432"/>
      <c r="C388" s="1432" t="s">
        <v>336</v>
      </c>
      <c r="D388" s="1433"/>
    </row>
    <row r="389" spans="1:4">
      <c r="A389" s="1434">
        <v>1</v>
      </c>
      <c r="B389" s="1435"/>
      <c r="C389" s="1435">
        <v>1</v>
      </c>
      <c r="D389" s="1436"/>
    </row>
    <row r="390" spans="1:4">
      <c r="A390" s="1434">
        <v>2</v>
      </c>
      <c r="B390" s="1435"/>
      <c r="C390" s="1435">
        <v>2</v>
      </c>
      <c r="D390" s="1436"/>
    </row>
    <row r="391" spans="1:4">
      <c r="A391" s="267"/>
      <c r="C391" s="1424" t="s">
        <v>341</v>
      </c>
      <c r="D391" s="1425"/>
    </row>
    <row r="392" spans="1:4">
      <c r="A392" s="1421" t="s">
        <v>337</v>
      </c>
      <c r="B392" s="1422"/>
      <c r="C392" s="1422"/>
      <c r="D392" s="1423"/>
    </row>
    <row r="393" spans="1:4">
      <c r="A393" s="270" t="s">
        <v>338</v>
      </c>
      <c r="B393" s="271"/>
      <c r="C393" s="271"/>
      <c r="D393" s="272"/>
    </row>
    <row r="394" spans="1:4">
      <c r="A394" s="270"/>
      <c r="B394" s="271"/>
      <c r="C394" s="271"/>
      <c r="D394" s="272"/>
    </row>
    <row r="395" spans="1:4">
      <c r="A395" s="270"/>
      <c r="B395" s="271"/>
      <c r="C395" s="271" t="s">
        <v>339</v>
      </c>
      <c r="D395" s="272"/>
    </row>
    <row r="396" spans="1:4">
      <c r="A396" s="267"/>
      <c r="B396" s="268"/>
      <c r="C396" s="167" t="s">
        <v>143</v>
      </c>
      <c r="D396" s="269"/>
    </row>
    <row r="397" spans="1:4">
      <c r="A397" s="267"/>
      <c r="C397" t="s">
        <v>340</v>
      </c>
      <c r="D397" s="273"/>
    </row>
    <row r="398" spans="1:4">
      <c r="A398" s="267"/>
      <c r="C398" s="1426" t="str">
        <f>'04-221Master'!F5</f>
        <v>Burgeon IT Services Pvt.Ltd.</v>
      </c>
      <c r="D398" s="1427"/>
    </row>
    <row r="399" spans="1:4">
      <c r="A399" s="252" t="s">
        <v>272</v>
      </c>
      <c r="B399" t="str">
        <f>B382</f>
        <v>Hyderabad</v>
      </c>
      <c r="C399" s="2" t="str">
        <f>'04-221Master'!F6</f>
        <v>Siri Mansion LIGB 436 Dr.A S Rao Nagar,Hyderabad</v>
      </c>
      <c r="D399" s="14"/>
    </row>
    <row r="400" spans="1:4" ht="15.75" thickBot="1">
      <c r="A400" s="252" t="s">
        <v>331</v>
      </c>
      <c r="B400" s="289" t="e">
        <f>B383</f>
        <v>#REF!</v>
      </c>
      <c r="C400" s="2"/>
      <c r="D400" s="14"/>
    </row>
    <row r="401" spans="1:4" ht="15.75" thickBot="1">
      <c r="A401" s="278"/>
      <c r="B401" s="279" t="s">
        <v>344</v>
      </c>
      <c r="C401" s="279"/>
      <c r="D401" s="29"/>
    </row>
    <row r="402" spans="1:4">
      <c r="A402" s="252" t="s">
        <v>342</v>
      </c>
      <c r="C402" s="2"/>
      <c r="D402" s="14"/>
    </row>
    <row r="403" spans="1:4">
      <c r="A403" s="252" t="s">
        <v>331</v>
      </c>
      <c r="B403" s="289" t="e">
        <f>B400</f>
        <v>#REF!</v>
      </c>
      <c r="C403" s="2"/>
      <c r="D403" s="14"/>
    </row>
    <row r="404" spans="1:4" ht="15.75" thickBot="1">
      <c r="A404" s="281" t="s">
        <v>343</v>
      </c>
      <c r="B404" s="23"/>
      <c r="C404" s="23"/>
      <c r="D404" s="24" t="s">
        <v>134</v>
      </c>
    </row>
    <row r="408" spans="1:4" ht="15.75" thickBot="1"/>
    <row r="409" spans="1:4" ht="20.25">
      <c r="A409" s="1439" t="s">
        <v>306</v>
      </c>
      <c r="B409" s="1440"/>
      <c r="C409" s="1440"/>
      <c r="D409" s="1441"/>
    </row>
    <row r="410" spans="1:4">
      <c r="A410" s="1442" t="s">
        <v>307</v>
      </c>
      <c r="B410" s="1443"/>
      <c r="C410" s="1443"/>
      <c r="D410" s="1444"/>
    </row>
    <row r="411" spans="1:4" ht="18">
      <c r="A411" s="1445" t="s">
        <v>308</v>
      </c>
      <c r="B411" s="1446"/>
      <c r="C411" s="1446"/>
      <c r="D411" s="1447"/>
    </row>
    <row r="412" spans="1:4">
      <c r="A412" s="13" t="s">
        <v>133</v>
      </c>
      <c r="D412" s="14"/>
    </row>
    <row r="413" spans="1:4" ht="18">
      <c r="A413" s="274" t="str">
        <f>'04-221Master'!F5</f>
        <v>Burgeon IT Services Pvt.Ltd.</v>
      </c>
      <c r="B413" s="251"/>
      <c r="D413" s="14"/>
    </row>
    <row r="414" spans="1:4" ht="18">
      <c r="A414" s="274" t="str">
        <f>'04-221Master'!F6</f>
        <v>Siri Mansion LIGB 436 Dr.A S Rao Nagar,Hyderabad</v>
      </c>
      <c r="B414" s="251"/>
      <c r="D414" s="14"/>
    </row>
    <row r="415" spans="1:4" ht="18">
      <c r="A415" s="253"/>
      <c r="B415" s="4"/>
      <c r="D415" s="14"/>
    </row>
    <row r="416" spans="1:4" ht="15.75">
      <c r="A416" s="252" t="s">
        <v>309</v>
      </c>
      <c r="B416" s="275"/>
      <c r="C416" s="276" t="e">
        <f>'04-221Master'!#REF!</f>
        <v>#REF!</v>
      </c>
      <c r="D416" s="81"/>
    </row>
    <row r="417" spans="1:4">
      <c r="A417" s="1448" t="s">
        <v>310</v>
      </c>
      <c r="B417" s="1449"/>
      <c r="C417" s="1449"/>
      <c r="D417" s="1450"/>
    </row>
    <row r="418" spans="1:4">
      <c r="A418" s="13"/>
      <c r="D418" s="14"/>
    </row>
    <row r="419" spans="1:4">
      <c r="A419" s="1448" t="s">
        <v>311</v>
      </c>
      <c r="B419" s="1449"/>
      <c r="C419" s="1449"/>
      <c r="D419" s="1450"/>
    </row>
    <row r="420" spans="1:4">
      <c r="A420" s="254"/>
      <c r="B420" s="255"/>
      <c r="C420" s="255"/>
      <c r="D420" s="256"/>
    </row>
    <row r="421" spans="1:4">
      <c r="A421" s="1431" t="s">
        <v>312</v>
      </c>
      <c r="B421" s="1432"/>
      <c r="C421" s="1432"/>
      <c r="D421" s="1433"/>
    </row>
    <row r="422" spans="1:4">
      <c r="A422" s="13"/>
      <c r="D422" s="14"/>
    </row>
    <row r="423" spans="1:4">
      <c r="A423" s="1431" t="s">
        <v>313</v>
      </c>
      <c r="B423" s="1432"/>
      <c r="C423" s="1432"/>
      <c r="D423" s="1433"/>
    </row>
    <row r="424" spans="1:4">
      <c r="A424" s="1431" t="s">
        <v>314</v>
      </c>
      <c r="B424" s="1432"/>
      <c r="C424" s="1432"/>
      <c r="D424" s="1433"/>
    </row>
    <row r="425" spans="1:4">
      <c r="A425" s="252"/>
      <c r="B425" s="257"/>
      <c r="C425" s="257"/>
      <c r="D425" s="258"/>
    </row>
    <row r="426" spans="1:4">
      <c r="A426" s="1448" t="s">
        <v>315</v>
      </c>
      <c r="B426" s="1449"/>
      <c r="C426" s="1449"/>
      <c r="D426" s="1450"/>
    </row>
    <row r="427" spans="1:4">
      <c r="A427" s="252"/>
      <c r="B427" s="257"/>
      <c r="C427" s="257"/>
      <c r="D427" s="258"/>
    </row>
    <row r="428" spans="1:4">
      <c r="A428" s="1431" t="s">
        <v>316</v>
      </c>
      <c r="B428" s="1432"/>
      <c r="C428" s="1432"/>
      <c r="D428" s="1433"/>
    </row>
    <row r="429" spans="1:4">
      <c r="A429" s="13"/>
      <c r="D429" s="14"/>
    </row>
    <row r="430" spans="1:4">
      <c r="A430" s="1428" t="s">
        <v>317</v>
      </c>
      <c r="B430" s="1429"/>
      <c r="C430" s="1429"/>
      <c r="D430" s="1430"/>
    </row>
    <row r="431" spans="1:4" ht="42.75">
      <c r="A431" s="259" t="s">
        <v>318</v>
      </c>
      <c r="B431" s="260" t="s">
        <v>319</v>
      </c>
      <c r="C431" s="260" t="s">
        <v>320</v>
      </c>
      <c r="D431" s="261" t="s">
        <v>321</v>
      </c>
    </row>
    <row r="432" spans="1:4">
      <c r="A432" s="262">
        <v>1</v>
      </c>
      <c r="B432" s="263">
        <v>2</v>
      </c>
      <c r="C432" s="263">
        <v>3</v>
      </c>
      <c r="D432" s="264">
        <v>4</v>
      </c>
    </row>
    <row r="433" spans="1:4">
      <c r="A433" s="13" t="e">
        <f>'04-221Master'!#REF!</f>
        <v>#REF!</v>
      </c>
      <c r="B433" s="11" t="s">
        <v>363</v>
      </c>
      <c r="C433" s="11" t="s">
        <v>370</v>
      </c>
      <c r="D433" s="296">
        <v>1</v>
      </c>
    </row>
    <row r="434" spans="1:4">
      <c r="A434" s="280"/>
      <c r="B434" s="11"/>
      <c r="C434" s="11"/>
      <c r="D434" s="265"/>
    </row>
    <row r="435" spans="1:4">
      <c r="A435" s="277"/>
      <c r="B435" s="11"/>
      <c r="C435" s="11"/>
      <c r="D435" s="265"/>
    </row>
    <row r="436" spans="1:4">
      <c r="A436" s="13"/>
      <c r="D436" s="14"/>
    </row>
    <row r="437" spans="1:4">
      <c r="A437" s="1428" t="s">
        <v>322</v>
      </c>
      <c r="B437" s="1429"/>
      <c r="C437" s="1429"/>
      <c r="D437" s="1430"/>
    </row>
    <row r="438" spans="1:4">
      <c r="A438" s="168"/>
      <c r="B438" s="5"/>
      <c r="C438" s="5"/>
      <c r="D438" s="169"/>
    </row>
    <row r="439" spans="1:4">
      <c r="A439" s="1417" t="s">
        <v>323</v>
      </c>
      <c r="B439" s="1418"/>
      <c r="C439" s="1419" t="e">
        <f>'04-221Master'!#REF!</f>
        <v>#REF!</v>
      </c>
      <c r="D439" s="1420"/>
    </row>
    <row r="440" spans="1:4">
      <c r="A440" s="1417" t="s">
        <v>324</v>
      </c>
      <c r="B440" s="1418"/>
      <c r="C440" s="1438" t="e">
        <f>'04-221Master'!#REF!</f>
        <v>#REF!</v>
      </c>
      <c r="D440" s="1420"/>
    </row>
    <row r="441" spans="1:4">
      <c r="A441" s="1417" t="s">
        <v>325</v>
      </c>
      <c r="B441" s="1418"/>
      <c r="C441" s="1438" t="s">
        <v>371</v>
      </c>
      <c r="D441" s="1420"/>
    </row>
    <row r="442" spans="1:4">
      <c r="A442" s="1417" t="s">
        <v>326</v>
      </c>
      <c r="B442" s="1418"/>
      <c r="C442" s="1438" t="s">
        <v>369</v>
      </c>
      <c r="D442" s="1420"/>
    </row>
    <row r="443" spans="1:4">
      <c r="A443" s="1417" t="s">
        <v>327</v>
      </c>
      <c r="B443" s="1418"/>
      <c r="C443" s="1419" t="e">
        <f>'04-221Master'!#REF!</f>
        <v>#REF!</v>
      </c>
      <c r="D443" s="1420"/>
    </row>
    <row r="444" spans="1:4">
      <c r="A444" s="1417" t="s">
        <v>328</v>
      </c>
      <c r="B444" s="1418"/>
      <c r="C444" s="1419" t="e">
        <f>'04-221Master'!#REF!</f>
        <v>#REF!</v>
      </c>
      <c r="D444" s="1420"/>
    </row>
    <row r="445" spans="1:4">
      <c r="A445" s="1417" t="s">
        <v>329</v>
      </c>
      <c r="B445" s="1418"/>
      <c r="C445" s="1437" t="e">
        <f>'04-221Master'!#REF!</f>
        <v>#REF!</v>
      </c>
      <c r="D445" s="1420"/>
    </row>
    <row r="446" spans="1:4">
      <c r="A446" s="1417" t="s">
        <v>330</v>
      </c>
      <c r="B446" s="1418"/>
      <c r="C446" s="1438"/>
      <c r="D446" s="1420"/>
    </row>
    <row r="447" spans="1:4">
      <c r="A447" s="1417"/>
      <c r="B447" s="1418"/>
      <c r="C447" s="1419" t="e">
        <f>'04-221Master'!#REF!</f>
        <v>#REF!</v>
      </c>
      <c r="D447" s="1420"/>
    </row>
    <row r="448" spans="1:4">
      <c r="A448" s="1417"/>
      <c r="B448" s="1418"/>
      <c r="C448" s="1419" t="e">
        <f>'04-221Master'!#REF!</f>
        <v>#REF!</v>
      </c>
      <c r="D448" s="1420"/>
    </row>
    <row r="449" spans="1:4">
      <c r="A449" s="1417"/>
      <c r="B449" s="1418"/>
      <c r="C449" s="1419" t="e">
        <f>'04-221Master'!#REF!</f>
        <v>#REF!</v>
      </c>
      <c r="D449" s="1420"/>
    </row>
    <row r="450" spans="1:4">
      <c r="A450" s="252" t="s">
        <v>272</v>
      </c>
      <c r="B450" s="257" t="s">
        <v>361</v>
      </c>
      <c r="C450" s="257"/>
      <c r="D450" s="258"/>
    </row>
    <row r="451" spans="1:4">
      <c r="A451" s="252" t="s">
        <v>331</v>
      </c>
      <c r="B451" s="297" t="e">
        <f>'04-221Master'!#REF!</f>
        <v>#REF!</v>
      </c>
      <c r="C451" s="266" t="s">
        <v>332</v>
      </c>
      <c r="D451" s="258"/>
    </row>
    <row r="452" spans="1:4">
      <c r="A452" s="252"/>
      <c r="B452" s="257"/>
      <c r="C452" s="257"/>
      <c r="D452" s="258"/>
    </row>
    <row r="453" spans="1:4">
      <c r="A453" s="1428" t="s">
        <v>333</v>
      </c>
      <c r="B453" s="1429"/>
      <c r="C453" s="1429"/>
      <c r="D453" s="1430"/>
    </row>
    <row r="454" spans="1:4">
      <c r="A454" s="252" t="s">
        <v>334</v>
      </c>
      <c r="B454" s="257"/>
      <c r="C454" s="257"/>
      <c r="D454" s="258"/>
    </row>
    <row r="455" spans="1:4">
      <c r="A455" s="252"/>
      <c r="B455" s="257"/>
      <c r="C455" s="257"/>
      <c r="D455" s="258"/>
    </row>
    <row r="456" spans="1:4">
      <c r="A456" s="1431" t="s">
        <v>335</v>
      </c>
      <c r="B456" s="1432"/>
      <c r="C456" s="1432" t="s">
        <v>336</v>
      </c>
      <c r="D456" s="1433"/>
    </row>
    <row r="457" spans="1:4">
      <c r="A457" s="1434">
        <v>1</v>
      </c>
      <c r="B457" s="1435"/>
      <c r="C457" s="1435">
        <v>1</v>
      </c>
      <c r="D457" s="1436"/>
    </row>
    <row r="458" spans="1:4">
      <c r="A458" s="1434">
        <v>2</v>
      </c>
      <c r="B458" s="1435"/>
      <c r="C458" s="1435">
        <v>2</v>
      </c>
      <c r="D458" s="1436"/>
    </row>
    <row r="459" spans="1:4">
      <c r="A459" s="267"/>
      <c r="C459" s="1424" t="s">
        <v>341</v>
      </c>
      <c r="D459" s="1425"/>
    </row>
    <row r="460" spans="1:4">
      <c r="A460" s="1421" t="s">
        <v>337</v>
      </c>
      <c r="B460" s="1422"/>
      <c r="C460" s="1422"/>
      <c r="D460" s="1423"/>
    </row>
    <row r="461" spans="1:4">
      <c r="A461" s="270" t="s">
        <v>338</v>
      </c>
      <c r="B461" s="271"/>
      <c r="C461" s="271"/>
      <c r="D461" s="272"/>
    </row>
    <row r="462" spans="1:4">
      <c r="A462" s="270"/>
      <c r="B462" s="271"/>
      <c r="C462" s="271"/>
      <c r="D462" s="272"/>
    </row>
    <row r="463" spans="1:4">
      <c r="A463" s="270"/>
      <c r="B463" s="271"/>
      <c r="C463" s="271" t="s">
        <v>339</v>
      </c>
      <c r="D463" s="272"/>
    </row>
    <row r="464" spans="1:4">
      <c r="A464" s="267"/>
      <c r="B464" s="268"/>
      <c r="C464" s="167" t="s">
        <v>143</v>
      </c>
      <c r="D464" s="269"/>
    </row>
    <row r="465" spans="1:4">
      <c r="A465" s="267"/>
      <c r="C465" t="s">
        <v>340</v>
      </c>
      <c r="D465" s="273"/>
    </row>
    <row r="466" spans="1:4">
      <c r="A466" s="267"/>
      <c r="C466" s="1426" t="str">
        <f>'04-221Master'!F5</f>
        <v>Burgeon IT Services Pvt.Ltd.</v>
      </c>
      <c r="D466" s="1427"/>
    </row>
    <row r="467" spans="1:4">
      <c r="A467" s="252" t="s">
        <v>272</v>
      </c>
      <c r="B467" t="str">
        <f>B450</f>
        <v>Hyderabad</v>
      </c>
      <c r="C467" s="2" t="str">
        <f>'04-221Master'!F6</f>
        <v>Siri Mansion LIGB 436 Dr.A S Rao Nagar,Hyderabad</v>
      </c>
      <c r="D467" s="14"/>
    </row>
    <row r="468" spans="1:4" ht="15.75" thickBot="1">
      <c r="A468" s="252" t="s">
        <v>331</v>
      </c>
      <c r="B468" s="289" t="e">
        <f>B451</f>
        <v>#REF!</v>
      </c>
      <c r="C468" s="2"/>
      <c r="D468" s="14"/>
    </row>
    <row r="469" spans="1:4" ht="15.75" thickBot="1">
      <c r="A469" s="278"/>
      <c r="B469" s="279" t="s">
        <v>344</v>
      </c>
      <c r="C469" s="279"/>
      <c r="D469" s="29"/>
    </row>
    <row r="470" spans="1:4">
      <c r="A470" s="252" t="s">
        <v>342</v>
      </c>
      <c r="C470" s="2"/>
      <c r="D470" s="14"/>
    </row>
    <row r="471" spans="1:4">
      <c r="A471" s="252" t="s">
        <v>331</v>
      </c>
      <c r="B471" s="289" t="e">
        <f>B468</f>
        <v>#REF!</v>
      </c>
      <c r="C471" s="2"/>
      <c r="D471" s="14"/>
    </row>
    <row r="472" spans="1:4" ht="15.75" thickBot="1">
      <c r="A472" s="281" t="s">
        <v>343</v>
      </c>
      <c r="B472" s="23"/>
      <c r="C472" s="23"/>
      <c r="D472" s="24" t="s">
        <v>134</v>
      </c>
    </row>
    <row r="476" spans="1:4" ht="15.75" thickBot="1"/>
    <row r="477" spans="1:4" ht="20.25">
      <c r="A477" s="1439" t="s">
        <v>306</v>
      </c>
      <c r="B477" s="1440"/>
      <c r="C477" s="1440"/>
      <c r="D477" s="1441"/>
    </row>
    <row r="478" spans="1:4">
      <c r="A478" s="1442" t="s">
        <v>307</v>
      </c>
      <c r="B478" s="1443"/>
      <c r="C478" s="1443"/>
      <c r="D478" s="1444"/>
    </row>
    <row r="479" spans="1:4" ht="18">
      <c r="A479" s="1445" t="s">
        <v>308</v>
      </c>
      <c r="B479" s="1446"/>
      <c r="C479" s="1446"/>
      <c r="D479" s="1447"/>
    </row>
    <row r="480" spans="1:4">
      <c r="A480" s="13" t="s">
        <v>133</v>
      </c>
      <c r="D480" s="14"/>
    </row>
    <row r="481" spans="1:4" ht="18">
      <c r="A481" s="274" t="str">
        <f>'04-221Master'!F5</f>
        <v>Burgeon IT Services Pvt.Ltd.</v>
      </c>
      <c r="B481" s="251"/>
      <c r="D481" s="14"/>
    </row>
    <row r="482" spans="1:4" ht="18">
      <c r="A482" s="274" t="str">
        <f>'04-221Master'!F6</f>
        <v>Siri Mansion LIGB 436 Dr.A S Rao Nagar,Hyderabad</v>
      </c>
      <c r="B482" s="251"/>
      <c r="D482" s="14"/>
    </row>
    <row r="483" spans="1:4" ht="18">
      <c r="A483" s="253"/>
      <c r="B483" s="4"/>
      <c r="D483" s="14"/>
    </row>
    <row r="484" spans="1:4" ht="15.75">
      <c r="A484" s="252" t="s">
        <v>309</v>
      </c>
      <c r="B484" s="275"/>
      <c r="C484" s="276" t="e">
        <f>'04-221Master'!#REF!</f>
        <v>#REF!</v>
      </c>
      <c r="D484" s="81"/>
    </row>
    <row r="485" spans="1:4">
      <c r="A485" s="1448" t="s">
        <v>310</v>
      </c>
      <c r="B485" s="1449"/>
      <c r="C485" s="1449"/>
      <c r="D485" s="1450"/>
    </row>
    <row r="486" spans="1:4">
      <c r="A486" s="13"/>
      <c r="D486" s="14"/>
    </row>
    <row r="487" spans="1:4">
      <c r="A487" s="1448" t="s">
        <v>311</v>
      </c>
      <c r="B487" s="1449"/>
      <c r="C487" s="1449"/>
      <c r="D487" s="1450"/>
    </row>
    <row r="488" spans="1:4">
      <c r="A488" s="254"/>
      <c r="B488" s="255"/>
      <c r="C488" s="255"/>
      <c r="D488" s="256"/>
    </row>
    <row r="489" spans="1:4">
      <c r="A489" s="1431" t="s">
        <v>312</v>
      </c>
      <c r="B489" s="1432"/>
      <c r="C489" s="1432"/>
      <c r="D489" s="1433"/>
    </row>
    <row r="490" spans="1:4">
      <c r="A490" s="13"/>
      <c r="D490" s="14"/>
    </row>
    <row r="491" spans="1:4">
      <c r="A491" s="1431" t="s">
        <v>313</v>
      </c>
      <c r="B491" s="1432"/>
      <c r="C491" s="1432"/>
      <c r="D491" s="1433"/>
    </row>
    <row r="492" spans="1:4">
      <c r="A492" s="1431" t="s">
        <v>314</v>
      </c>
      <c r="B492" s="1432"/>
      <c r="C492" s="1432"/>
      <c r="D492" s="1433"/>
    </row>
    <row r="493" spans="1:4">
      <c r="A493" s="252"/>
      <c r="B493" s="257"/>
      <c r="C493" s="257"/>
      <c r="D493" s="258"/>
    </row>
    <row r="494" spans="1:4">
      <c r="A494" s="1448" t="s">
        <v>315</v>
      </c>
      <c r="B494" s="1449"/>
      <c r="C494" s="1449"/>
      <c r="D494" s="1450"/>
    </row>
    <row r="495" spans="1:4">
      <c r="A495" s="252"/>
      <c r="B495" s="257"/>
      <c r="C495" s="257"/>
      <c r="D495" s="258"/>
    </row>
    <row r="496" spans="1:4">
      <c r="A496" s="1431" t="s">
        <v>316</v>
      </c>
      <c r="B496" s="1432"/>
      <c r="C496" s="1432"/>
      <c r="D496" s="1433"/>
    </row>
    <row r="497" spans="1:4">
      <c r="A497" s="13"/>
      <c r="D497" s="14"/>
    </row>
    <row r="498" spans="1:4">
      <c r="A498" s="1428" t="s">
        <v>317</v>
      </c>
      <c r="B498" s="1429"/>
      <c r="C498" s="1429"/>
      <c r="D498" s="1430"/>
    </row>
    <row r="499" spans="1:4" ht="42.75">
      <c r="A499" s="259" t="s">
        <v>318</v>
      </c>
      <c r="B499" s="260" t="s">
        <v>319</v>
      </c>
      <c r="C499" s="260" t="s">
        <v>320</v>
      </c>
      <c r="D499" s="261" t="s">
        <v>321</v>
      </c>
    </row>
    <row r="500" spans="1:4">
      <c r="A500" s="262">
        <v>1</v>
      </c>
      <c r="B500" s="263">
        <v>2</v>
      </c>
      <c r="C500" s="263">
        <v>3</v>
      </c>
      <c r="D500" s="264">
        <v>4</v>
      </c>
    </row>
    <row r="501" spans="1:4">
      <c r="A501" s="13" t="e">
        <f>'04-221Master'!#REF!</f>
        <v>#REF!</v>
      </c>
      <c r="B501" s="11" t="s">
        <v>363</v>
      </c>
      <c r="C501" s="11" t="s">
        <v>370</v>
      </c>
      <c r="D501" s="296">
        <v>1</v>
      </c>
    </row>
    <row r="502" spans="1:4">
      <c r="A502" s="280"/>
      <c r="B502" s="11"/>
      <c r="C502" s="11"/>
      <c r="D502" s="265"/>
    </row>
    <row r="503" spans="1:4">
      <c r="A503" s="277"/>
      <c r="B503" s="11"/>
      <c r="C503" s="11"/>
      <c r="D503" s="265"/>
    </row>
    <row r="504" spans="1:4">
      <c r="A504" s="13"/>
      <c r="D504" s="14"/>
    </row>
    <row r="505" spans="1:4">
      <c r="A505" s="1428" t="s">
        <v>322</v>
      </c>
      <c r="B505" s="1429"/>
      <c r="C505" s="1429"/>
      <c r="D505" s="1430"/>
    </row>
    <row r="506" spans="1:4">
      <c r="A506" s="168"/>
      <c r="B506" s="5"/>
      <c r="C506" s="5"/>
      <c r="D506" s="169"/>
    </row>
    <row r="507" spans="1:4">
      <c r="A507" s="1417" t="s">
        <v>323</v>
      </c>
      <c r="B507" s="1418"/>
      <c r="C507" s="1419" t="e">
        <f>'04-221Master'!#REF!</f>
        <v>#REF!</v>
      </c>
      <c r="D507" s="1420"/>
    </row>
    <row r="508" spans="1:4">
      <c r="A508" s="1417" t="s">
        <v>324</v>
      </c>
      <c r="B508" s="1418"/>
      <c r="C508" s="1438" t="e">
        <f>'04-221Master'!#REF!</f>
        <v>#REF!</v>
      </c>
      <c r="D508" s="1420"/>
    </row>
    <row r="509" spans="1:4">
      <c r="A509" s="1417" t="s">
        <v>325</v>
      </c>
      <c r="B509" s="1418"/>
      <c r="C509" s="1438" t="s">
        <v>371</v>
      </c>
      <c r="D509" s="1420"/>
    </row>
    <row r="510" spans="1:4">
      <c r="A510" s="1417" t="s">
        <v>326</v>
      </c>
      <c r="B510" s="1418"/>
      <c r="C510" s="1438" t="s">
        <v>369</v>
      </c>
      <c r="D510" s="1420"/>
    </row>
    <row r="511" spans="1:4">
      <c r="A511" s="1417" t="s">
        <v>327</v>
      </c>
      <c r="B511" s="1418"/>
      <c r="C511" s="1419" t="e">
        <f>'04-221Master'!#REF!</f>
        <v>#REF!</v>
      </c>
      <c r="D511" s="1420"/>
    </row>
    <row r="512" spans="1:4">
      <c r="A512" s="1417" t="s">
        <v>328</v>
      </c>
      <c r="B512" s="1418"/>
      <c r="C512" s="1419" t="e">
        <f>'04-221Master'!#REF!</f>
        <v>#REF!</v>
      </c>
      <c r="D512" s="1420"/>
    </row>
    <row r="513" spans="1:4">
      <c r="A513" s="1417" t="s">
        <v>329</v>
      </c>
      <c r="B513" s="1418"/>
      <c r="C513" s="1437" t="e">
        <f>'04-221Master'!#REF!</f>
        <v>#REF!</v>
      </c>
      <c r="D513" s="1420"/>
    </row>
    <row r="514" spans="1:4">
      <c r="A514" s="1417" t="s">
        <v>330</v>
      </c>
      <c r="B514" s="1418"/>
      <c r="C514" s="1438"/>
      <c r="D514" s="1420"/>
    </row>
    <row r="515" spans="1:4">
      <c r="A515" s="1417"/>
      <c r="B515" s="1418"/>
      <c r="C515" s="1419" t="e">
        <f>'04-221Master'!#REF!</f>
        <v>#REF!</v>
      </c>
      <c r="D515" s="1420"/>
    </row>
    <row r="516" spans="1:4">
      <c r="A516" s="1417"/>
      <c r="B516" s="1418"/>
      <c r="C516" s="1419" t="e">
        <f>'04-221Master'!#REF!</f>
        <v>#REF!</v>
      </c>
      <c r="D516" s="1420"/>
    </row>
    <row r="517" spans="1:4">
      <c r="A517" s="1417"/>
      <c r="B517" s="1418"/>
      <c r="C517" s="1419" t="e">
        <f>'04-221Master'!#REF!</f>
        <v>#REF!</v>
      </c>
      <c r="D517" s="1420"/>
    </row>
    <row r="518" spans="1:4">
      <c r="A518" s="252" t="s">
        <v>272</v>
      </c>
      <c r="B518" s="257" t="s">
        <v>361</v>
      </c>
      <c r="C518" s="257"/>
      <c r="D518" s="258"/>
    </row>
    <row r="519" spans="1:4">
      <c r="A519" s="252" t="s">
        <v>331</v>
      </c>
      <c r="B519" s="297" t="e">
        <f>'04-221Master'!#REF!</f>
        <v>#REF!</v>
      </c>
      <c r="C519" s="266" t="s">
        <v>332</v>
      </c>
      <c r="D519" s="258"/>
    </row>
    <row r="520" spans="1:4">
      <c r="A520" s="252"/>
      <c r="B520" s="257"/>
      <c r="C520" s="257"/>
      <c r="D520" s="258"/>
    </row>
    <row r="521" spans="1:4">
      <c r="A521" s="1428" t="s">
        <v>333</v>
      </c>
      <c r="B521" s="1429"/>
      <c r="C521" s="1429"/>
      <c r="D521" s="1430"/>
    </row>
    <row r="522" spans="1:4">
      <c r="A522" s="252" t="s">
        <v>334</v>
      </c>
      <c r="B522" s="257"/>
      <c r="C522" s="257"/>
      <c r="D522" s="258"/>
    </row>
    <row r="523" spans="1:4">
      <c r="A523" s="252"/>
      <c r="B523" s="257"/>
      <c r="C523" s="257"/>
      <c r="D523" s="258"/>
    </row>
    <row r="524" spans="1:4">
      <c r="A524" s="1431" t="s">
        <v>335</v>
      </c>
      <c r="B524" s="1432"/>
      <c r="C524" s="1432" t="s">
        <v>336</v>
      </c>
      <c r="D524" s="1433"/>
    </row>
    <row r="525" spans="1:4">
      <c r="A525" s="1434">
        <v>1</v>
      </c>
      <c r="B525" s="1435"/>
      <c r="C525" s="1435">
        <v>1</v>
      </c>
      <c r="D525" s="1436"/>
    </row>
    <row r="526" spans="1:4">
      <c r="A526" s="1434">
        <v>2</v>
      </c>
      <c r="B526" s="1435"/>
      <c r="C526" s="1435">
        <v>2</v>
      </c>
      <c r="D526" s="1436"/>
    </row>
    <row r="527" spans="1:4">
      <c r="A527" s="267"/>
      <c r="C527" s="1424" t="s">
        <v>341</v>
      </c>
      <c r="D527" s="1425"/>
    </row>
    <row r="528" spans="1:4">
      <c r="A528" s="1421" t="s">
        <v>337</v>
      </c>
      <c r="B528" s="1422"/>
      <c r="C528" s="1422"/>
      <c r="D528" s="1423"/>
    </row>
    <row r="529" spans="1:4">
      <c r="A529" s="270" t="s">
        <v>338</v>
      </c>
      <c r="B529" s="271"/>
      <c r="C529" s="271"/>
      <c r="D529" s="272"/>
    </row>
    <row r="530" spans="1:4">
      <c r="A530" s="270"/>
      <c r="B530" s="271"/>
      <c r="C530" s="271"/>
      <c r="D530" s="272"/>
    </row>
    <row r="531" spans="1:4">
      <c r="A531" s="270"/>
      <c r="B531" s="271"/>
      <c r="C531" s="271" t="s">
        <v>339</v>
      </c>
      <c r="D531" s="272"/>
    </row>
    <row r="532" spans="1:4">
      <c r="A532" s="267"/>
      <c r="B532" s="268"/>
      <c r="C532" s="167" t="s">
        <v>143</v>
      </c>
      <c r="D532" s="269"/>
    </row>
    <row r="533" spans="1:4">
      <c r="A533" s="267"/>
      <c r="C533" t="s">
        <v>340</v>
      </c>
      <c r="D533" s="273"/>
    </row>
    <row r="534" spans="1:4">
      <c r="A534" s="267"/>
      <c r="C534" s="1426" t="str">
        <f>'04-221Master'!F5</f>
        <v>Burgeon IT Services Pvt.Ltd.</v>
      </c>
      <c r="D534" s="1427"/>
    </row>
    <row r="535" spans="1:4">
      <c r="A535" s="252" t="s">
        <v>272</v>
      </c>
      <c r="B535" t="str">
        <f>B518</f>
        <v>Hyderabad</v>
      </c>
      <c r="C535" s="2" t="str">
        <f>'04-221Master'!F6</f>
        <v>Siri Mansion LIGB 436 Dr.A S Rao Nagar,Hyderabad</v>
      </c>
      <c r="D535" s="14"/>
    </row>
    <row r="536" spans="1:4" ht="15.75" thickBot="1">
      <c r="A536" s="252" t="s">
        <v>331</v>
      </c>
      <c r="B536" s="289" t="e">
        <f>B519</f>
        <v>#REF!</v>
      </c>
      <c r="C536" s="2"/>
      <c r="D536" s="14"/>
    </row>
    <row r="537" spans="1:4" ht="15.75" thickBot="1">
      <c r="A537" s="278"/>
      <c r="B537" s="279" t="s">
        <v>344</v>
      </c>
      <c r="C537" s="279"/>
      <c r="D537" s="29"/>
    </row>
    <row r="538" spans="1:4">
      <c r="A538" s="252" t="s">
        <v>342</v>
      </c>
      <c r="C538" s="2"/>
      <c r="D538" s="14"/>
    </row>
    <row r="539" spans="1:4">
      <c r="A539" s="252" t="s">
        <v>331</v>
      </c>
      <c r="B539" s="289" t="e">
        <f>B536</f>
        <v>#REF!</v>
      </c>
      <c r="C539" s="2"/>
      <c r="D539" s="14"/>
    </row>
    <row r="540" spans="1:4" ht="15.75" thickBot="1">
      <c r="A540" s="281" t="s">
        <v>343</v>
      </c>
      <c r="B540" s="23"/>
      <c r="C540" s="23"/>
      <c r="D540" s="24" t="s">
        <v>134</v>
      </c>
    </row>
    <row r="544" spans="1:4" ht="15.75" thickBot="1"/>
    <row r="545" spans="1:4" ht="20.25">
      <c r="A545" s="1439" t="s">
        <v>306</v>
      </c>
      <c r="B545" s="1440"/>
      <c r="C545" s="1440"/>
      <c r="D545" s="1441"/>
    </row>
    <row r="546" spans="1:4">
      <c r="A546" s="1442" t="s">
        <v>307</v>
      </c>
      <c r="B546" s="1443"/>
      <c r="C546" s="1443"/>
      <c r="D546" s="1444"/>
    </row>
    <row r="547" spans="1:4" ht="18">
      <c r="A547" s="1445" t="s">
        <v>308</v>
      </c>
      <c r="B547" s="1446"/>
      <c r="C547" s="1446"/>
      <c r="D547" s="1447"/>
    </row>
    <row r="548" spans="1:4">
      <c r="A548" s="13" t="s">
        <v>133</v>
      </c>
      <c r="D548" s="14"/>
    </row>
    <row r="549" spans="1:4" ht="18">
      <c r="A549" s="274" t="str">
        <f>'04-221Master'!F5</f>
        <v>Burgeon IT Services Pvt.Ltd.</v>
      </c>
      <c r="B549" s="251"/>
      <c r="D549" s="14"/>
    </row>
    <row r="550" spans="1:4" ht="18">
      <c r="A550" s="274" t="str">
        <f>'04-221Master'!F6</f>
        <v>Siri Mansion LIGB 436 Dr.A S Rao Nagar,Hyderabad</v>
      </c>
      <c r="B550" s="251"/>
      <c r="D550" s="14"/>
    </row>
    <row r="551" spans="1:4" ht="18">
      <c r="A551" s="253"/>
      <c r="B551" s="4"/>
      <c r="D551" s="14"/>
    </row>
    <row r="552" spans="1:4" ht="15.75">
      <c r="A552" s="252" t="s">
        <v>309</v>
      </c>
      <c r="B552" s="275"/>
      <c r="C552" s="276" t="e">
        <f>'04-221Master'!#REF!</f>
        <v>#REF!</v>
      </c>
      <c r="D552" s="81"/>
    </row>
    <row r="553" spans="1:4">
      <c r="A553" s="1448" t="s">
        <v>310</v>
      </c>
      <c r="B553" s="1449"/>
      <c r="C553" s="1449"/>
      <c r="D553" s="1450"/>
    </row>
    <row r="554" spans="1:4">
      <c r="A554" s="13"/>
      <c r="D554" s="14"/>
    </row>
    <row r="555" spans="1:4">
      <c r="A555" s="1448" t="s">
        <v>311</v>
      </c>
      <c r="B555" s="1449"/>
      <c r="C555" s="1449"/>
      <c r="D555" s="1450"/>
    </row>
    <row r="556" spans="1:4">
      <c r="A556" s="254"/>
      <c r="B556" s="255"/>
      <c r="C556" s="255"/>
      <c r="D556" s="256"/>
    </row>
    <row r="557" spans="1:4">
      <c r="A557" s="1431" t="s">
        <v>312</v>
      </c>
      <c r="B557" s="1432"/>
      <c r="C557" s="1432"/>
      <c r="D557" s="1433"/>
    </row>
    <row r="558" spans="1:4">
      <c r="A558" s="13"/>
      <c r="D558" s="14"/>
    </row>
    <row r="559" spans="1:4">
      <c r="A559" s="1431" t="s">
        <v>313</v>
      </c>
      <c r="B559" s="1432"/>
      <c r="C559" s="1432"/>
      <c r="D559" s="1433"/>
    </row>
    <row r="560" spans="1:4">
      <c r="A560" s="1431" t="s">
        <v>314</v>
      </c>
      <c r="B560" s="1432"/>
      <c r="C560" s="1432"/>
      <c r="D560" s="1433"/>
    </row>
    <row r="561" spans="1:4">
      <c r="A561" s="252"/>
      <c r="B561" s="257"/>
      <c r="C561" s="257"/>
      <c r="D561" s="258"/>
    </row>
    <row r="562" spans="1:4">
      <c r="A562" s="1448" t="s">
        <v>315</v>
      </c>
      <c r="B562" s="1449"/>
      <c r="C562" s="1449"/>
      <c r="D562" s="1450"/>
    </row>
    <row r="563" spans="1:4">
      <c r="A563" s="252"/>
      <c r="B563" s="257"/>
      <c r="C563" s="257"/>
      <c r="D563" s="258"/>
    </row>
    <row r="564" spans="1:4">
      <c r="A564" s="1431" t="s">
        <v>316</v>
      </c>
      <c r="B564" s="1432"/>
      <c r="C564" s="1432"/>
      <c r="D564" s="1433"/>
    </row>
    <row r="565" spans="1:4">
      <c r="A565" s="13"/>
      <c r="D565" s="14"/>
    </row>
    <row r="566" spans="1:4">
      <c r="A566" s="1428" t="s">
        <v>317</v>
      </c>
      <c r="B566" s="1429"/>
      <c r="C566" s="1429"/>
      <c r="D566" s="1430"/>
    </row>
    <row r="567" spans="1:4" ht="42.75">
      <c r="A567" s="259" t="s">
        <v>318</v>
      </c>
      <c r="B567" s="260" t="s">
        <v>319</v>
      </c>
      <c r="C567" s="260" t="s">
        <v>320</v>
      </c>
      <c r="D567" s="261" t="s">
        <v>321</v>
      </c>
    </row>
    <row r="568" spans="1:4">
      <c r="A568" s="262">
        <v>1</v>
      </c>
      <c r="B568" s="263">
        <v>2</v>
      </c>
      <c r="C568" s="263">
        <v>3</v>
      </c>
      <c r="D568" s="264">
        <v>4</v>
      </c>
    </row>
    <row r="569" spans="1:4">
      <c r="A569" s="13" t="e">
        <f>'04-221Master'!#REF!</f>
        <v>#REF!</v>
      </c>
      <c r="B569" s="11" t="s">
        <v>363</v>
      </c>
      <c r="C569" s="11" t="s">
        <v>370</v>
      </c>
      <c r="D569" s="296">
        <v>1</v>
      </c>
    </row>
    <row r="570" spans="1:4">
      <c r="A570" s="280"/>
      <c r="B570" s="11"/>
      <c r="C570" s="11"/>
      <c r="D570" s="265"/>
    </row>
    <row r="571" spans="1:4">
      <c r="A571" s="277"/>
      <c r="B571" s="11"/>
      <c r="C571" s="11"/>
      <c r="D571" s="265"/>
    </row>
    <row r="572" spans="1:4">
      <c r="A572" s="13"/>
      <c r="D572" s="14"/>
    </row>
    <row r="573" spans="1:4">
      <c r="A573" s="1428" t="s">
        <v>322</v>
      </c>
      <c r="B573" s="1429"/>
      <c r="C573" s="1429"/>
      <c r="D573" s="1430"/>
    </row>
    <row r="574" spans="1:4">
      <c r="A574" s="168"/>
      <c r="B574" s="5"/>
      <c r="C574" s="5"/>
      <c r="D574" s="169"/>
    </row>
    <row r="575" spans="1:4">
      <c r="A575" s="1417" t="s">
        <v>323</v>
      </c>
      <c r="B575" s="1418"/>
      <c r="C575" s="1419" t="e">
        <f>'04-221Master'!#REF!</f>
        <v>#REF!</v>
      </c>
      <c r="D575" s="1420"/>
    </row>
    <row r="576" spans="1:4">
      <c r="A576" s="1417" t="s">
        <v>324</v>
      </c>
      <c r="B576" s="1418"/>
      <c r="C576" s="1438" t="e">
        <f>'04-221Master'!#REF!</f>
        <v>#REF!</v>
      </c>
      <c r="D576" s="1420"/>
    </row>
    <row r="577" spans="1:4">
      <c r="A577" s="1417" t="s">
        <v>325</v>
      </c>
      <c r="B577" s="1418"/>
      <c r="C577" s="1438" t="s">
        <v>371</v>
      </c>
      <c r="D577" s="1420"/>
    </row>
    <row r="578" spans="1:4">
      <c r="A578" s="1417" t="s">
        <v>326</v>
      </c>
      <c r="B578" s="1418"/>
      <c r="C578" s="1438" t="s">
        <v>369</v>
      </c>
      <c r="D578" s="1420"/>
    </row>
    <row r="579" spans="1:4">
      <c r="A579" s="1417" t="s">
        <v>327</v>
      </c>
      <c r="B579" s="1418"/>
      <c r="C579" s="1419" t="e">
        <f>'04-221Master'!#REF!</f>
        <v>#REF!</v>
      </c>
      <c r="D579" s="1420"/>
    </row>
    <row r="580" spans="1:4">
      <c r="A580" s="1417" t="s">
        <v>328</v>
      </c>
      <c r="B580" s="1418"/>
      <c r="C580" s="1419" t="e">
        <f>'04-221Master'!#REF!</f>
        <v>#REF!</v>
      </c>
      <c r="D580" s="1420"/>
    </row>
    <row r="581" spans="1:4">
      <c r="A581" s="1417" t="s">
        <v>329</v>
      </c>
      <c r="B581" s="1418"/>
      <c r="C581" s="1437" t="e">
        <f>'04-221Master'!#REF!</f>
        <v>#REF!</v>
      </c>
      <c r="D581" s="1420"/>
    </row>
    <row r="582" spans="1:4">
      <c r="A582" s="1417" t="s">
        <v>330</v>
      </c>
      <c r="B582" s="1418"/>
      <c r="C582" s="1438"/>
      <c r="D582" s="1420"/>
    </row>
    <row r="583" spans="1:4">
      <c r="A583" s="1417"/>
      <c r="B583" s="1418"/>
      <c r="C583" s="1419" t="e">
        <f>'04-221Master'!#REF!</f>
        <v>#REF!</v>
      </c>
      <c r="D583" s="1420"/>
    </row>
    <row r="584" spans="1:4">
      <c r="A584" s="1417"/>
      <c r="B584" s="1418"/>
      <c r="C584" s="1419" t="e">
        <f>'04-221Master'!#REF!</f>
        <v>#REF!</v>
      </c>
      <c r="D584" s="1420"/>
    </row>
    <row r="585" spans="1:4">
      <c r="A585" s="1417"/>
      <c r="B585" s="1418"/>
      <c r="C585" s="1419" t="e">
        <f>'04-221Master'!#REF!</f>
        <v>#REF!</v>
      </c>
      <c r="D585" s="1420"/>
    </row>
    <row r="586" spans="1:4">
      <c r="A586" s="252" t="s">
        <v>272</v>
      </c>
      <c r="B586" s="257" t="s">
        <v>361</v>
      </c>
      <c r="C586" s="257"/>
      <c r="D586" s="258"/>
    </row>
    <row r="587" spans="1:4">
      <c r="A587" s="252" t="s">
        <v>331</v>
      </c>
      <c r="B587" s="297" t="e">
        <f>'04-221Master'!#REF!</f>
        <v>#REF!</v>
      </c>
      <c r="C587" s="266" t="s">
        <v>332</v>
      </c>
      <c r="D587" s="258"/>
    </row>
    <row r="588" spans="1:4">
      <c r="A588" s="252"/>
      <c r="B588" s="257"/>
      <c r="C588" s="257"/>
      <c r="D588" s="258"/>
    </row>
    <row r="589" spans="1:4">
      <c r="A589" s="1428" t="s">
        <v>333</v>
      </c>
      <c r="B589" s="1429"/>
      <c r="C589" s="1429"/>
      <c r="D589" s="1430"/>
    </row>
    <row r="590" spans="1:4">
      <c r="A590" s="252" t="s">
        <v>334</v>
      </c>
      <c r="B590" s="257"/>
      <c r="C590" s="257"/>
      <c r="D590" s="258"/>
    </row>
    <row r="591" spans="1:4">
      <c r="A591" s="252"/>
      <c r="B591" s="257"/>
      <c r="C591" s="257"/>
      <c r="D591" s="258"/>
    </row>
    <row r="592" spans="1:4">
      <c r="A592" s="1431" t="s">
        <v>335</v>
      </c>
      <c r="B592" s="1432"/>
      <c r="C592" s="1432" t="s">
        <v>336</v>
      </c>
      <c r="D592" s="1433"/>
    </row>
    <row r="593" spans="1:4">
      <c r="A593" s="1434">
        <v>1</v>
      </c>
      <c r="B593" s="1435"/>
      <c r="C593" s="1435">
        <v>1</v>
      </c>
      <c r="D593" s="1436"/>
    </row>
    <row r="594" spans="1:4">
      <c r="A594" s="1434">
        <v>2</v>
      </c>
      <c r="B594" s="1435"/>
      <c r="C594" s="1435">
        <v>2</v>
      </c>
      <c r="D594" s="1436"/>
    </row>
    <row r="595" spans="1:4">
      <c r="A595" s="267"/>
      <c r="C595" s="1424" t="s">
        <v>341</v>
      </c>
      <c r="D595" s="1425"/>
    </row>
    <row r="596" spans="1:4">
      <c r="A596" s="1421" t="s">
        <v>337</v>
      </c>
      <c r="B596" s="1422"/>
      <c r="C596" s="1422"/>
      <c r="D596" s="1423"/>
    </row>
    <row r="597" spans="1:4">
      <c r="A597" s="270" t="s">
        <v>338</v>
      </c>
      <c r="B597" s="271"/>
      <c r="C597" s="271"/>
      <c r="D597" s="272"/>
    </row>
    <row r="598" spans="1:4">
      <c r="A598" s="270"/>
      <c r="B598" s="271"/>
      <c r="C598" s="271"/>
      <c r="D598" s="272"/>
    </row>
    <row r="599" spans="1:4">
      <c r="A599" s="270"/>
      <c r="B599" s="271"/>
      <c r="C599" s="271" t="s">
        <v>339</v>
      </c>
      <c r="D599" s="272"/>
    </row>
    <row r="600" spans="1:4">
      <c r="A600" s="267"/>
      <c r="B600" s="268"/>
      <c r="C600" s="167" t="s">
        <v>143</v>
      </c>
      <c r="D600" s="269"/>
    </row>
    <row r="601" spans="1:4">
      <c r="A601" s="267"/>
      <c r="C601" t="s">
        <v>340</v>
      </c>
      <c r="D601" s="273"/>
    </row>
    <row r="602" spans="1:4">
      <c r="A602" s="267"/>
      <c r="C602" s="1426">
        <f>'04-221Master'!F447</f>
        <v>0</v>
      </c>
      <c r="D602" s="1427"/>
    </row>
    <row r="603" spans="1:4">
      <c r="A603" s="252" t="s">
        <v>272</v>
      </c>
      <c r="B603" t="str">
        <f>B586</f>
        <v>Hyderabad</v>
      </c>
      <c r="C603" s="2">
        <f>'04-221Master'!F448</f>
        <v>0</v>
      </c>
      <c r="D603" s="14"/>
    </row>
    <row r="604" spans="1:4" ht="15.75" thickBot="1">
      <c r="A604" s="252" t="s">
        <v>331</v>
      </c>
      <c r="B604" s="289" t="e">
        <f>B587</f>
        <v>#REF!</v>
      </c>
      <c r="C604" s="2"/>
      <c r="D604" s="14"/>
    </row>
    <row r="605" spans="1:4" ht="15.75" thickBot="1">
      <c r="A605" s="278"/>
      <c r="B605" s="279" t="s">
        <v>344</v>
      </c>
      <c r="C605" s="279"/>
      <c r="D605" s="29"/>
    </row>
    <row r="606" spans="1:4">
      <c r="A606" s="252" t="s">
        <v>342</v>
      </c>
      <c r="C606" s="2"/>
      <c r="D606" s="14"/>
    </row>
    <row r="607" spans="1:4">
      <c r="A607" s="252" t="s">
        <v>331</v>
      </c>
      <c r="B607" s="289" t="e">
        <f>B604</f>
        <v>#REF!</v>
      </c>
      <c r="C607" s="2"/>
      <c r="D607" s="14"/>
    </row>
    <row r="608" spans="1:4" ht="15.75" thickBot="1">
      <c r="A608" s="281" t="s">
        <v>343</v>
      </c>
      <c r="B608" s="23"/>
      <c r="C608" s="23"/>
      <c r="D608" s="24" t="s">
        <v>134</v>
      </c>
    </row>
    <row r="612" spans="1:4" ht="15.75" thickBot="1"/>
    <row r="613" spans="1:4" ht="20.25">
      <c r="A613" s="1439" t="s">
        <v>306</v>
      </c>
      <c r="B613" s="1440"/>
      <c r="C613" s="1440"/>
      <c r="D613" s="1441"/>
    </row>
    <row r="614" spans="1:4">
      <c r="A614" s="1442" t="s">
        <v>307</v>
      </c>
      <c r="B614" s="1443"/>
      <c r="C614" s="1443"/>
      <c r="D614" s="1444"/>
    </row>
    <row r="615" spans="1:4" ht="18">
      <c r="A615" s="1445" t="s">
        <v>308</v>
      </c>
      <c r="B615" s="1446"/>
      <c r="C615" s="1446"/>
      <c r="D615" s="1447"/>
    </row>
    <row r="616" spans="1:4">
      <c r="A616" s="13" t="s">
        <v>133</v>
      </c>
      <c r="D616" s="14"/>
    </row>
    <row r="617" spans="1:4" ht="18">
      <c r="A617" s="274">
        <f>'04-221Master'!F515</f>
        <v>0</v>
      </c>
      <c r="B617" s="251"/>
      <c r="D617" s="14"/>
    </row>
    <row r="618" spans="1:4" ht="18">
      <c r="A618" s="274">
        <f>'04-221Master'!F516</f>
        <v>0</v>
      </c>
      <c r="B618" s="251"/>
      <c r="D618" s="14"/>
    </row>
    <row r="619" spans="1:4" ht="18">
      <c r="A619" s="253"/>
      <c r="B619" s="4"/>
      <c r="D619" s="14"/>
    </row>
    <row r="620" spans="1:4" ht="15.75">
      <c r="A620" s="252" t="s">
        <v>309</v>
      </c>
      <c r="B620" s="275"/>
      <c r="C620" s="276">
        <f>'04-221Master'!B525</f>
        <v>0</v>
      </c>
      <c r="D620" s="81"/>
    </row>
    <row r="621" spans="1:4">
      <c r="A621" s="1448" t="s">
        <v>310</v>
      </c>
      <c r="B621" s="1449"/>
      <c r="C621" s="1449"/>
      <c r="D621" s="1450"/>
    </row>
    <row r="622" spans="1:4">
      <c r="A622" s="13"/>
      <c r="D622" s="14"/>
    </row>
    <row r="623" spans="1:4">
      <c r="A623" s="1448" t="s">
        <v>311</v>
      </c>
      <c r="B623" s="1449"/>
      <c r="C623" s="1449"/>
      <c r="D623" s="1450"/>
    </row>
    <row r="624" spans="1:4">
      <c r="A624" s="254"/>
      <c r="B624" s="255"/>
      <c r="C624" s="255"/>
      <c r="D624" s="256"/>
    </row>
    <row r="625" spans="1:4">
      <c r="A625" s="1431" t="s">
        <v>312</v>
      </c>
      <c r="B625" s="1432"/>
      <c r="C625" s="1432"/>
      <c r="D625" s="1433"/>
    </row>
    <row r="626" spans="1:4">
      <c r="A626" s="13"/>
      <c r="D626" s="14"/>
    </row>
    <row r="627" spans="1:4">
      <c r="A627" s="1431" t="s">
        <v>313</v>
      </c>
      <c r="B627" s="1432"/>
      <c r="C627" s="1432"/>
      <c r="D627" s="1433"/>
    </row>
    <row r="628" spans="1:4">
      <c r="A628" s="1431" t="s">
        <v>314</v>
      </c>
      <c r="B628" s="1432"/>
      <c r="C628" s="1432"/>
      <c r="D628" s="1433"/>
    </row>
    <row r="629" spans="1:4">
      <c r="A629" s="252"/>
      <c r="B629" s="257"/>
      <c r="C629" s="257"/>
      <c r="D629" s="258"/>
    </row>
    <row r="630" spans="1:4">
      <c r="A630" s="1448" t="s">
        <v>315</v>
      </c>
      <c r="B630" s="1449"/>
      <c r="C630" s="1449"/>
      <c r="D630" s="1450"/>
    </row>
    <row r="631" spans="1:4">
      <c r="A631" s="252"/>
      <c r="B631" s="257"/>
      <c r="C631" s="257"/>
      <c r="D631" s="258"/>
    </row>
    <row r="632" spans="1:4">
      <c r="A632" s="1431" t="s">
        <v>316</v>
      </c>
      <c r="B632" s="1432"/>
      <c r="C632" s="1432"/>
      <c r="D632" s="1433"/>
    </row>
    <row r="633" spans="1:4">
      <c r="A633" s="13"/>
      <c r="D633" s="14"/>
    </row>
    <row r="634" spans="1:4">
      <c r="A634" s="1428" t="s">
        <v>317</v>
      </c>
      <c r="B634" s="1429"/>
      <c r="C634" s="1429"/>
      <c r="D634" s="1430"/>
    </row>
    <row r="635" spans="1:4" ht="42.75">
      <c r="A635" s="259" t="s">
        <v>318</v>
      </c>
      <c r="B635" s="260" t="s">
        <v>319</v>
      </c>
      <c r="C635" s="260" t="s">
        <v>320</v>
      </c>
      <c r="D635" s="261" t="s">
        <v>321</v>
      </c>
    </row>
    <row r="636" spans="1:4">
      <c r="A636" s="262">
        <v>1</v>
      </c>
      <c r="B636" s="263">
        <v>2</v>
      </c>
      <c r="C636" s="263">
        <v>3</v>
      </c>
      <c r="D636" s="264">
        <v>4</v>
      </c>
    </row>
    <row r="637" spans="1:4">
      <c r="A637" s="13"/>
      <c r="B637" s="11" t="s">
        <v>363</v>
      </c>
      <c r="C637" s="11" t="s">
        <v>370</v>
      </c>
      <c r="D637" s="296">
        <v>1</v>
      </c>
    </row>
    <row r="638" spans="1:4">
      <c r="A638" s="280"/>
      <c r="B638" s="11"/>
      <c r="C638" s="11"/>
      <c r="D638" s="265"/>
    </row>
    <row r="639" spans="1:4">
      <c r="A639" s="277"/>
      <c r="B639" s="11"/>
      <c r="C639" s="11"/>
      <c r="D639" s="265"/>
    </row>
    <row r="640" spans="1:4">
      <c r="A640" s="13"/>
      <c r="D640" s="14"/>
    </row>
    <row r="641" spans="1:4">
      <c r="A641" s="1428" t="s">
        <v>322</v>
      </c>
      <c r="B641" s="1429"/>
      <c r="C641" s="1429"/>
      <c r="D641" s="1430"/>
    </row>
    <row r="642" spans="1:4">
      <c r="A642" s="168"/>
      <c r="B642" s="5"/>
      <c r="C642" s="5"/>
      <c r="D642" s="169"/>
    </row>
    <row r="643" spans="1:4">
      <c r="A643" s="1417" t="s">
        <v>323</v>
      </c>
      <c r="B643" s="1418"/>
      <c r="C643" s="1438"/>
      <c r="D643" s="1420"/>
    </row>
    <row r="644" spans="1:4">
      <c r="A644" s="1417" t="s">
        <v>324</v>
      </c>
      <c r="B644" s="1418"/>
      <c r="C644" s="1438"/>
      <c r="D644" s="1420"/>
    </row>
    <row r="645" spans="1:4">
      <c r="A645" s="1417" t="s">
        <v>325</v>
      </c>
      <c r="B645" s="1418"/>
      <c r="C645" s="1438"/>
      <c r="D645" s="1420"/>
    </row>
    <row r="646" spans="1:4">
      <c r="A646" s="1417" t="s">
        <v>326</v>
      </c>
      <c r="B646" s="1418"/>
      <c r="C646" s="1438"/>
      <c r="D646" s="1420"/>
    </row>
    <row r="647" spans="1:4">
      <c r="A647" s="1417" t="s">
        <v>327</v>
      </c>
      <c r="B647" s="1418"/>
      <c r="C647" s="1438"/>
      <c r="D647" s="1420"/>
    </row>
    <row r="648" spans="1:4">
      <c r="A648" s="1417" t="s">
        <v>328</v>
      </c>
      <c r="B648" s="1418"/>
      <c r="C648" s="1438"/>
      <c r="D648" s="1420"/>
    </row>
    <row r="649" spans="1:4">
      <c r="A649" s="1417" t="s">
        <v>329</v>
      </c>
      <c r="B649" s="1418"/>
      <c r="C649" s="1438"/>
      <c r="D649" s="1420"/>
    </row>
    <row r="650" spans="1:4">
      <c r="A650" s="1417" t="s">
        <v>330</v>
      </c>
      <c r="B650" s="1418"/>
      <c r="C650" s="1438"/>
      <c r="D650" s="1420"/>
    </row>
    <row r="651" spans="1:4">
      <c r="A651" s="1417"/>
      <c r="B651" s="1418"/>
      <c r="C651" s="1438"/>
      <c r="D651" s="1420"/>
    </row>
    <row r="652" spans="1:4">
      <c r="A652" s="1417"/>
      <c r="B652" s="1418"/>
      <c r="C652" s="1438"/>
      <c r="D652" s="1420"/>
    </row>
    <row r="653" spans="1:4">
      <c r="A653" s="1417"/>
      <c r="B653" s="1418"/>
      <c r="C653" s="1438"/>
      <c r="D653" s="1420"/>
    </row>
    <row r="654" spans="1:4">
      <c r="A654" s="252" t="s">
        <v>272</v>
      </c>
      <c r="B654" s="257"/>
      <c r="C654" s="257"/>
      <c r="D654" s="258"/>
    </row>
    <row r="655" spans="1:4">
      <c r="A655" s="252" t="s">
        <v>331</v>
      </c>
      <c r="B655" s="257"/>
      <c r="C655" s="266" t="s">
        <v>332</v>
      </c>
      <c r="D655" s="258"/>
    </row>
    <row r="656" spans="1:4">
      <c r="A656" s="252"/>
      <c r="B656" s="257"/>
      <c r="C656" s="257"/>
      <c r="D656" s="258"/>
    </row>
    <row r="657" spans="1:4">
      <c r="A657" s="1428" t="s">
        <v>333</v>
      </c>
      <c r="B657" s="1429"/>
      <c r="C657" s="1429"/>
      <c r="D657" s="1430"/>
    </row>
    <row r="658" spans="1:4">
      <c r="A658" s="252" t="s">
        <v>334</v>
      </c>
      <c r="B658" s="257"/>
      <c r="C658" s="257"/>
      <c r="D658" s="258"/>
    </row>
    <row r="659" spans="1:4">
      <c r="A659" s="252"/>
      <c r="B659" s="257"/>
      <c r="C659" s="257"/>
      <c r="D659" s="258"/>
    </row>
    <row r="660" spans="1:4">
      <c r="A660" s="1431" t="s">
        <v>335</v>
      </c>
      <c r="B660" s="1432"/>
      <c r="C660" s="1432" t="s">
        <v>336</v>
      </c>
      <c r="D660" s="1433"/>
    </row>
    <row r="661" spans="1:4">
      <c r="A661" s="1434">
        <v>1</v>
      </c>
      <c r="B661" s="1435"/>
      <c r="C661" s="1435">
        <v>1</v>
      </c>
      <c r="D661" s="1436"/>
    </row>
    <row r="662" spans="1:4">
      <c r="A662" s="1434">
        <v>2</v>
      </c>
      <c r="B662" s="1435"/>
      <c r="C662" s="1435">
        <v>2</v>
      </c>
      <c r="D662" s="1436"/>
    </row>
    <row r="663" spans="1:4">
      <c r="A663" s="267"/>
      <c r="C663" s="1424" t="s">
        <v>341</v>
      </c>
      <c r="D663" s="1425"/>
    </row>
    <row r="664" spans="1:4">
      <c r="A664" s="1421" t="s">
        <v>337</v>
      </c>
      <c r="B664" s="1422"/>
      <c r="C664" s="1422"/>
      <c r="D664" s="1423"/>
    </row>
    <row r="665" spans="1:4">
      <c r="A665" s="270" t="s">
        <v>338</v>
      </c>
      <c r="B665" s="271"/>
      <c r="C665" s="271"/>
      <c r="D665" s="272"/>
    </row>
    <row r="666" spans="1:4">
      <c r="A666" s="270"/>
      <c r="B666" s="271"/>
      <c r="C666" s="271"/>
      <c r="D666" s="272"/>
    </row>
    <row r="667" spans="1:4">
      <c r="A667" s="270"/>
      <c r="B667" s="271"/>
      <c r="C667" s="271" t="s">
        <v>339</v>
      </c>
      <c r="D667" s="272"/>
    </row>
    <row r="668" spans="1:4">
      <c r="A668" s="267"/>
      <c r="B668" s="268"/>
      <c r="C668" s="167" t="s">
        <v>143</v>
      </c>
      <c r="D668" s="269"/>
    </row>
    <row r="669" spans="1:4">
      <c r="A669" s="267"/>
      <c r="C669" t="s">
        <v>340</v>
      </c>
      <c r="D669" s="273"/>
    </row>
    <row r="670" spans="1:4">
      <c r="A670" s="267"/>
      <c r="C670" s="1426">
        <f>'04-221Master'!F515</f>
        <v>0</v>
      </c>
      <c r="D670" s="1427"/>
    </row>
    <row r="671" spans="1:4">
      <c r="A671" s="252" t="s">
        <v>272</v>
      </c>
      <c r="C671" s="2">
        <f>'04-221Master'!F516</f>
        <v>0</v>
      </c>
      <c r="D671" s="14"/>
    </row>
    <row r="672" spans="1:4" ht="15.75" thickBot="1">
      <c r="A672" s="252" t="s">
        <v>331</v>
      </c>
      <c r="C672" s="2"/>
      <c r="D672" s="14"/>
    </row>
    <row r="673" spans="1:4" ht="15.75" thickBot="1">
      <c r="A673" s="278"/>
      <c r="B673" s="279" t="s">
        <v>344</v>
      </c>
      <c r="C673" s="279"/>
      <c r="D673" s="29"/>
    </row>
    <row r="674" spans="1:4">
      <c r="A674" s="252" t="s">
        <v>342</v>
      </c>
      <c r="C674" s="2"/>
      <c r="D674" s="14"/>
    </row>
    <row r="675" spans="1:4">
      <c r="A675" s="252" t="s">
        <v>331</v>
      </c>
      <c r="C675" s="2"/>
      <c r="D675" s="14"/>
    </row>
    <row r="676" spans="1:4" ht="15.75" thickBot="1">
      <c r="A676" s="281" t="s">
        <v>343</v>
      </c>
      <c r="B676" s="23"/>
      <c r="C676" s="23"/>
      <c r="D676" s="24" t="s">
        <v>134</v>
      </c>
    </row>
    <row r="680" spans="1:4" ht="15.75" thickBot="1"/>
    <row r="681" spans="1:4" ht="20.25">
      <c r="A681" s="1439" t="s">
        <v>306</v>
      </c>
      <c r="B681" s="1440"/>
      <c r="C681" s="1440"/>
      <c r="D681" s="1441"/>
    </row>
    <row r="682" spans="1:4">
      <c r="A682" s="1442" t="s">
        <v>307</v>
      </c>
      <c r="B682" s="1443"/>
      <c r="C682" s="1443"/>
      <c r="D682" s="1444"/>
    </row>
    <row r="683" spans="1:4" ht="18">
      <c r="A683" s="1445" t="s">
        <v>308</v>
      </c>
      <c r="B683" s="1446"/>
      <c r="C683" s="1446"/>
      <c r="D683" s="1447"/>
    </row>
    <row r="684" spans="1:4">
      <c r="A684" s="13" t="s">
        <v>133</v>
      </c>
      <c r="D684" s="14"/>
    </row>
    <row r="685" spans="1:4" ht="18">
      <c r="A685" s="274">
        <f>'04-221Master'!F583</f>
        <v>0</v>
      </c>
      <c r="B685" s="251"/>
      <c r="D685" s="14"/>
    </row>
    <row r="686" spans="1:4" ht="18">
      <c r="A686" s="274">
        <f>'04-221Master'!F584</f>
        <v>0</v>
      </c>
      <c r="B686" s="251"/>
      <c r="D686" s="14"/>
    </row>
    <row r="687" spans="1:4" ht="18">
      <c r="A687" s="253"/>
      <c r="B687" s="4"/>
      <c r="D687" s="14"/>
    </row>
    <row r="688" spans="1:4" ht="15.75">
      <c r="A688" s="252" t="s">
        <v>309</v>
      </c>
      <c r="B688" s="275"/>
      <c r="C688" s="276">
        <f>'04-221Master'!B593</f>
        <v>0</v>
      </c>
      <c r="D688" s="81"/>
    </row>
    <row r="689" spans="1:4">
      <c r="A689" s="1448" t="s">
        <v>310</v>
      </c>
      <c r="B689" s="1449"/>
      <c r="C689" s="1449"/>
      <c r="D689" s="1450"/>
    </row>
    <row r="690" spans="1:4">
      <c r="A690" s="13"/>
      <c r="D690" s="14"/>
    </row>
    <row r="691" spans="1:4">
      <c r="A691" s="1448" t="s">
        <v>311</v>
      </c>
      <c r="B691" s="1449"/>
      <c r="C691" s="1449"/>
      <c r="D691" s="1450"/>
    </row>
    <row r="692" spans="1:4">
      <c r="A692" s="254"/>
      <c r="B692" s="255"/>
      <c r="C692" s="255"/>
      <c r="D692" s="256"/>
    </row>
    <row r="693" spans="1:4">
      <c r="A693" s="1431" t="s">
        <v>312</v>
      </c>
      <c r="B693" s="1432"/>
      <c r="C693" s="1432"/>
      <c r="D693" s="1433"/>
    </row>
    <row r="694" spans="1:4">
      <c r="A694" s="13"/>
      <c r="D694" s="14"/>
    </row>
    <row r="695" spans="1:4">
      <c r="A695" s="1431" t="s">
        <v>313</v>
      </c>
      <c r="B695" s="1432"/>
      <c r="C695" s="1432"/>
      <c r="D695" s="1433"/>
    </row>
    <row r="696" spans="1:4">
      <c r="A696" s="1431" t="s">
        <v>314</v>
      </c>
      <c r="B696" s="1432"/>
      <c r="C696" s="1432"/>
      <c r="D696" s="1433"/>
    </row>
    <row r="697" spans="1:4">
      <c r="A697" s="252"/>
      <c r="B697" s="257"/>
      <c r="C697" s="257"/>
      <c r="D697" s="258"/>
    </row>
    <row r="698" spans="1:4">
      <c r="A698" s="1448" t="s">
        <v>315</v>
      </c>
      <c r="B698" s="1449"/>
      <c r="C698" s="1449"/>
      <c r="D698" s="1450"/>
    </row>
    <row r="699" spans="1:4">
      <c r="A699" s="252"/>
      <c r="B699" s="257"/>
      <c r="C699" s="257"/>
      <c r="D699" s="258"/>
    </row>
    <row r="700" spans="1:4">
      <c r="A700" s="1431" t="s">
        <v>316</v>
      </c>
      <c r="B700" s="1432"/>
      <c r="C700" s="1432"/>
      <c r="D700" s="1433"/>
    </row>
    <row r="701" spans="1:4">
      <c r="A701" s="13"/>
      <c r="D701" s="14"/>
    </row>
    <row r="702" spans="1:4">
      <c r="A702" s="1428" t="s">
        <v>317</v>
      </c>
      <c r="B702" s="1429"/>
      <c r="C702" s="1429"/>
      <c r="D702" s="1430"/>
    </row>
    <row r="703" spans="1:4" ht="42.75">
      <c r="A703" s="259" t="s">
        <v>318</v>
      </c>
      <c r="B703" s="260" t="s">
        <v>319</v>
      </c>
      <c r="C703" s="260" t="s">
        <v>320</v>
      </c>
      <c r="D703" s="261" t="s">
        <v>321</v>
      </c>
    </row>
    <row r="704" spans="1:4">
      <c r="A704" s="262">
        <v>1</v>
      </c>
      <c r="B704" s="263">
        <v>2</v>
      </c>
      <c r="C704" s="263">
        <v>3</v>
      </c>
      <c r="D704" s="264">
        <v>4</v>
      </c>
    </row>
    <row r="705" spans="1:4">
      <c r="A705" s="13"/>
      <c r="B705" s="11" t="s">
        <v>363</v>
      </c>
      <c r="C705" s="11" t="s">
        <v>370</v>
      </c>
      <c r="D705" s="296">
        <v>1</v>
      </c>
    </row>
    <row r="706" spans="1:4">
      <c r="A706" s="280"/>
      <c r="B706" s="11"/>
      <c r="C706" s="11"/>
      <c r="D706" s="265"/>
    </row>
    <row r="707" spans="1:4">
      <c r="A707" s="277"/>
      <c r="B707" s="11"/>
      <c r="C707" s="11"/>
      <c r="D707" s="265"/>
    </row>
    <row r="708" spans="1:4">
      <c r="A708" s="13"/>
      <c r="D708" s="14"/>
    </row>
    <row r="709" spans="1:4">
      <c r="A709" s="1428" t="s">
        <v>322</v>
      </c>
      <c r="B709" s="1429"/>
      <c r="C709" s="1429"/>
      <c r="D709" s="1430"/>
    </row>
    <row r="710" spans="1:4">
      <c r="A710" s="168"/>
      <c r="B710" s="5"/>
      <c r="C710" s="5"/>
      <c r="D710" s="169"/>
    </row>
    <row r="711" spans="1:4">
      <c r="A711" s="1417" t="s">
        <v>323</v>
      </c>
      <c r="B711" s="1418"/>
      <c r="C711" s="1438"/>
      <c r="D711" s="1420"/>
    </row>
    <row r="712" spans="1:4">
      <c r="A712" s="1417" t="s">
        <v>324</v>
      </c>
      <c r="B712" s="1418"/>
      <c r="C712" s="1438"/>
      <c r="D712" s="1420"/>
    </row>
    <row r="713" spans="1:4">
      <c r="A713" s="1417" t="s">
        <v>325</v>
      </c>
      <c r="B713" s="1418"/>
      <c r="C713" s="1438"/>
      <c r="D713" s="1420"/>
    </row>
    <row r="714" spans="1:4">
      <c r="A714" s="1417" t="s">
        <v>326</v>
      </c>
      <c r="B714" s="1418"/>
      <c r="C714" s="1438"/>
      <c r="D714" s="1420"/>
    </row>
    <row r="715" spans="1:4">
      <c r="A715" s="1417" t="s">
        <v>327</v>
      </c>
      <c r="B715" s="1418"/>
      <c r="C715" s="1438"/>
      <c r="D715" s="1420"/>
    </row>
    <row r="716" spans="1:4">
      <c r="A716" s="1417" t="s">
        <v>328</v>
      </c>
      <c r="B716" s="1418"/>
      <c r="C716" s="1438"/>
      <c r="D716" s="1420"/>
    </row>
    <row r="717" spans="1:4">
      <c r="A717" s="1417" t="s">
        <v>329</v>
      </c>
      <c r="B717" s="1418"/>
      <c r="C717" s="1438"/>
      <c r="D717" s="1420"/>
    </row>
    <row r="718" spans="1:4">
      <c r="A718" s="1417" t="s">
        <v>330</v>
      </c>
      <c r="B718" s="1418"/>
      <c r="C718" s="1438"/>
      <c r="D718" s="1420"/>
    </row>
    <row r="719" spans="1:4">
      <c r="A719" s="1417"/>
      <c r="B719" s="1418"/>
      <c r="C719" s="1438"/>
      <c r="D719" s="1420"/>
    </row>
    <row r="720" spans="1:4">
      <c r="A720" s="1417"/>
      <c r="B720" s="1418"/>
      <c r="C720" s="1438"/>
      <c r="D720" s="1420"/>
    </row>
    <row r="721" spans="1:4">
      <c r="A721" s="1417"/>
      <c r="B721" s="1418"/>
      <c r="C721" s="1438"/>
      <c r="D721" s="1420"/>
    </row>
    <row r="722" spans="1:4">
      <c r="A722" s="252" t="s">
        <v>272</v>
      </c>
      <c r="B722" s="257"/>
      <c r="C722" s="257"/>
      <c r="D722" s="258"/>
    </row>
    <row r="723" spans="1:4">
      <c r="A723" s="252" t="s">
        <v>331</v>
      </c>
      <c r="B723" s="257"/>
      <c r="C723" s="266" t="s">
        <v>332</v>
      </c>
      <c r="D723" s="258"/>
    </row>
    <row r="724" spans="1:4">
      <c r="A724" s="252"/>
      <c r="B724" s="257"/>
      <c r="C724" s="257"/>
      <c r="D724" s="258"/>
    </row>
    <row r="725" spans="1:4">
      <c r="A725" s="1428" t="s">
        <v>333</v>
      </c>
      <c r="B725" s="1429"/>
      <c r="C725" s="1429"/>
      <c r="D725" s="1430"/>
    </row>
    <row r="726" spans="1:4">
      <c r="A726" s="252" t="s">
        <v>334</v>
      </c>
      <c r="B726" s="257"/>
      <c r="C726" s="257"/>
      <c r="D726" s="258"/>
    </row>
    <row r="727" spans="1:4">
      <c r="A727" s="252"/>
      <c r="B727" s="257"/>
      <c r="C727" s="257"/>
      <c r="D727" s="258"/>
    </row>
    <row r="728" spans="1:4">
      <c r="A728" s="1431" t="s">
        <v>335</v>
      </c>
      <c r="B728" s="1432"/>
      <c r="C728" s="1432" t="s">
        <v>336</v>
      </c>
      <c r="D728" s="1433"/>
    </row>
    <row r="729" spans="1:4">
      <c r="A729" s="1434">
        <v>1</v>
      </c>
      <c r="B729" s="1435"/>
      <c r="C729" s="1435">
        <v>1</v>
      </c>
      <c r="D729" s="1436"/>
    </row>
    <row r="730" spans="1:4">
      <c r="A730" s="1434">
        <v>2</v>
      </c>
      <c r="B730" s="1435"/>
      <c r="C730" s="1435">
        <v>2</v>
      </c>
      <c r="D730" s="1436"/>
    </row>
    <row r="731" spans="1:4">
      <c r="A731" s="267"/>
      <c r="C731" s="1424" t="s">
        <v>341</v>
      </c>
      <c r="D731" s="1425"/>
    </row>
    <row r="732" spans="1:4">
      <c r="A732" s="1421" t="s">
        <v>337</v>
      </c>
      <c r="B732" s="1422"/>
      <c r="C732" s="1422"/>
      <c r="D732" s="1423"/>
    </row>
    <row r="733" spans="1:4">
      <c r="A733" s="270" t="s">
        <v>338</v>
      </c>
      <c r="B733" s="271"/>
      <c r="C733" s="271"/>
      <c r="D733" s="272"/>
    </row>
    <row r="734" spans="1:4">
      <c r="A734" s="270"/>
      <c r="B734" s="271"/>
      <c r="C734" s="271"/>
      <c r="D734" s="272"/>
    </row>
    <row r="735" spans="1:4">
      <c r="A735" s="270"/>
      <c r="B735" s="271"/>
      <c r="C735" s="271" t="s">
        <v>339</v>
      </c>
      <c r="D735" s="272"/>
    </row>
    <row r="736" spans="1:4">
      <c r="A736" s="267"/>
      <c r="B736" s="268"/>
      <c r="C736" s="167" t="s">
        <v>143</v>
      </c>
      <c r="D736" s="269"/>
    </row>
    <row r="737" spans="1:4">
      <c r="A737" s="267"/>
      <c r="C737" t="s">
        <v>340</v>
      </c>
      <c r="D737" s="273"/>
    </row>
    <row r="738" spans="1:4">
      <c r="A738" s="267"/>
      <c r="C738" s="1426">
        <f>'04-221Master'!F583</f>
        <v>0</v>
      </c>
      <c r="D738" s="1427"/>
    </row>
    <row r="739" spans="1:4">
      <c r="A739" s="252" t="s">
        <v>272</v>
      </c>
      <c r="C739" s="2">
        <f>'04-221Master'!F584</f>
        <v>0</v>
      </c>
      <c r="D739" s="14"/>
    </row>
    <row r="740" spans="1:4" ht="15.75" thickBot="1">
      <c r="A740" s="252" t="s">
        <v>331</v>
      </c>
      <c r="C740" s="2"/>
      <c r="D740" s="14"/>
    </row>
    <row r="741" spans="1:4" ht="15.75" thickBot="1">
      <c r="A741" s="278"/>
      <c r="B741" s="279" t="s">
        <v>344</v>
      </c>
      <c r="C741" s="279"/>
      <c r="D741" s="29"/>
    </row>
    <row r="742" spans="1:4">
      <c r="A742" s="252" t="s">
        <v>342</v>
      </c>
      <c r="C742" s="2"/>
      <c r="D742" s="14"/>
    </row>
    <row r="743" spans="1:4">
      <c r="A743" s="252" t="s">
        <v>331</v>
      </c>
      <c r="C743" s="2"/>
      <c r="D743" s="14"/>
    </row>
    <row r="744" spans="1:4" ht="15.75" thickBot="1">
      <c r="A744" s="281" t="s">
        <v>343</v>
      </c>
      <c r="B744" s="23"/>
      <c r="C744" s="23"/>
      <c r="D744" s="24" t="s">
        <v>134</v>
      </c>
    </row>
  </sheetData>
  <mergeCells count="484">
    <mergeCell ref="A730:B730"/>
    <mergeCell ref="C730:D730"/>
    <mergeCell ref="C731:D731"/>
    <mergeCell ref="A732:D732"/>
    <mergeCell ref="C738:D738"/>
    <mergeCell ref="A725:D725"/>
    <mergeCell ref="A728:B728"/>
    <mergeCell ref="C728:D728"/>
    <mergeCell ref="A729:B729"/>
    <mergeCell ref="C729:D729"/>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13:B713"/>
    <mergeCell ref="C713:D713"/>
    <mergeCell ref="A714:B714"/>
    <mergeCell ref="C714:D714"/>
    <mergeCell ref="A715:B715"/>
    <mergeCell ref="C715:D715"/>
    <mergeCell ref="A702:D702"/>
    <mergeCell ref="A709:D709"/>
    <mergeCell ref="A711:B711"/>
    <mergeCell ref="C711:D711"/>
    <mergeCell ref="A712:B712"/>
    <mergeCell ref="C712:D712"/>
    <mergeCell ref="A693:D693"/>
    <mergeCell ref="A695:D695"/>
    <mergeCell ref="A696:D696"/>
    <mergeCell ref="A698:D698"/>
    <mergeCell ref="A700:D700"/>
    <mergeCell ref="A681:D681"/>
    <mergeCell ref="A682:D682"/>
    <mergeCell ref="A683:D683"/>
    <mergeCell ref="A689:D689"/>
    <mergeCell ref="A691:D691"/>
    <mergeCell ref="A662:B662"/>
    <mergeCell ref="C662:D662"/>
    <mergeCell ref="C663:D663"/>
    <mergeCell ref="A664:D664"/>
    <mergeCell ref="C670:D670"/>
    <mergeCell ref="A657:D657"/>
    <mergeCell ref="A660:B660"/>
    <mergeCell ref="C660:D660"/>
    <mergeCell ref="A661:B661"/>
    <mergeCell ref="C661:D661"/>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25:D625"/>
    <mergeCell ref="A627:D627"/>
    <mergeCell ref="A628:D628"/>
    <mergeCell ref="A630:D630"/>
    <mergeCell ref="A632:D632"/>
    <mergeCell ref="A613:D613"/>
    <mergeCell ref="A614:D614"/>
    <mergeCell ref="A615:D615"/>
    <mergeCell ref="A621:D621"/>
    <mergeCell ref="A623:D623"/>
    <mergeCell ref="A594:B594"/>
    <mergeCell ref="C594:D594"/>
    <mergeCell ref="C595:D595"/>
    <mergeCell ref="A596:D596"/>
    <mergeCell ref="C602:D602"/>
    <mergeCell ref="A589:D589"/>
    <mergeCell ref="A592:B592"/>
    <mergeCell ref="C592:D592"/>
    <mergeCell ref="A593:B593"/>
    <mergeCell ref="C593:D593"/>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57:D557"/>
    <mergeCell ref="A559:D559"/>
    <mergeCell ref="A560:D560"/>
    <mergeCell ref="A562:D562"/>
    <mergeCell ref="A564:D564"/>
    <mergeCell ref="A545:D545"/>
    <mergeCell ref="A546:D546"/>
    <mergeCell ref="A547:D547"/>
    <mergeCell ref="A553:D553"/>
    <mergeCell ref="A555:D555"/>
    <mergeCell ref="A526:B526"/>
    <mergeCell ref="C526:D526"/>
    <mergeCell ref="C527:D527"/>
    <mergeCell ref="A528:D528"/>
    <mergeCell ref="C534:D534"/>
    <mergeCell ref="A521:D521"/>
    <mergeCell ref="A524:B524"/>
    <mergeCell ref="C524:D524"/>
    <mergeCell ref="A525:B525"/>
    <mergeCell ref="C525:D525"/>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09:B509"/>
    <mergeCell ref="C509:D509"/>
    <mergeCell ref="A510:B510"/>
    <mergeCell ref="C510:D510"/>
    <mergeCell ref="A511:B511"/>
    <mergeCell ref="C511:D511"/>
    <mergeCell ref="A498:D498"/>
    <mergeCell ref="A505:D505"/>
    <mergeCell ref="A507:B507"/>
    <mergeCell ref="C507:D507"/>
    <mergeCell ref="A508:B508"/>
    <mergeCell ref="C508:D508"/>
    <mergeCell ref="A489:D489"/>
    <mergeCell ref="A491:D491"/>
    <mergeCell ref="A492:D492"/>
    <mergeCell ref="A494:D494"/>
    <mergeCell ref="A496:D496"/>
    <mergeCell ref="A477:D477"/>
    <mergeCell ref="A478:D478"/>
    <mergeCell ref="A479:D479"/>
    <mergeCell ref="A485:D485"/>
    <mergeCell ref="A487:D487"/>
    <mergeCell ref="A458:B458"/>
    <mergeCell ref="C458:D458"/>
    <mergeCell ref="C459:D459"/>
    <mergeCell ref="A460:D460"/>
    <mergeCell ref="C466:D466"/>
    <mergeCell ref="A453:D453"/>
    <mergeCell ref="A456:B456"/>
    <mergeCell ref="C456:D456"/>
    <mergeCell ref="A457:B457"/>
    <mergeCell ref="C457:D457"/>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21:D421"/>
    <mergeCell ref="A423:D423"/>
    <mergeCell ref="A424:D424"/>
    <mergeCell ref="A426:D426"/>
    <mergeCell ref="A428:D428"/>
    <mergeCell ref="A409:D409"/>
    <mergeCell ref="A410:D410"/>
    <mergeCell ref="A411:D411"/>
    <mergeCell ref="A417:D417"/>
    <mergeCell ref="A419:D419"/>
    <mergeCell ref="A390:B390"/>
    <mergeCell ref="C390:D390"/>
    <mergeCell ref="C391:D391"/>
    <mergeCell ref="A392:D392"/>
    <mergeCell ref="C398:D398"/>
    <mergeCell ref="A385:D385"/>
    <mergeCell ref="A388:B388"/>
    <mergeCell ref="C388:D388"/>
    <mergeCell ref="A389:B389"/>
    <mergeCell ref="C389:D389"/>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53:D353"/>
    <mergeCell ref="A355:D355"/>
    <mergeCell ref="A356:D356"/>
    <mergeCell ref="A358:D358"/>
    <mergeCell ref="A360:D360"/>
    <mergeCell ref="A341:D341"/>
    <mergeCell ref="A342:D342"/>
    <mergeCell ref="A343:D343"/>
    <mergeCell ref="A349:D349"/>
    <mergeCell ref="A351:D351"/>
    <mergeCell ref="A322:B322"/>
    <mergeCell ref="C322:D322"/>
    <mergeCell ref="C323:D323"/>
    <mergeCell ref="A324:D324"/>
    <mergeCell ref="C330:D330"/>
    <mergeCell ref="A317:D317"/>
    <mergeCell ref="A320:B320"/>
    <mergeCell ref="C320:D320"/>
    <mergeCell ref="A321:B321"/>
    <mergeCell ref="C321:D321"/>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05:B305"/>
    <mergeCell ref="C305:D305"/>
    <mergeCell ref="A306:B306"/>
    <mergeCell ref="C306:D306"/>
    <mergeCell ref="A307:B307"/>
    <mergeCell ref="C307:D307"/>
    <mergeCell ref="A294:D294"/>
    <mergeCell ref="A301:D301"/>
    <mergeCell ref="A303:B303"/>
    <mergeCell ref="C303:D303"/>
    <mergeCell ref="A304:B304"/>
    <mergeCell ref="C304:D304"/>
    <mergeCell ref="A285:D285"/>
    <mergeCell ref="A287:D287"/>
    <mergeCell ref="A288:D288"/>
    <mergeCell ref="A290:D290"/>
    <mergeCell ref="A292:D292"/>
    <mergeCell ref="A273:D273"/>
    <mergeCell ref="A274:D274"/>
    <mergeCell ref="A275:D275"/>
    <mergeCell ref="A281:D281"/>
    <mergeCell ref="A283:D283"/>
    <mergeCell ref="A254:B254"/>
    <mergeCell ref="C254:D254"/>
    <mergeCell ref="C255:D255"/>
    <mergeCell ref="A256:D256"/>
    <mergeCell ref="C262:D262"/>
    <mergeCell ref="A249:D249"/>
    <mergeCell ref="A252:B252"/>
    <mergeCell ref="C252:D252"/>
    <mergeCell ref="A253:B253"/>
    <mergeCell ref="C253:D253"/>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17:D217"/>
    <mergeCell ref="A219:D219"/>
    <mergeCell ref="A220:D220"/>
    <mergeCell ref="A222:D222"/>
    <mergeCell ref="A224:D224"/>
    <mergeCell ref="A205:D205"/>
    <mergeCell ref="A206:D206"/>
    <mergeCell ref="A207:D207"/>
    <mergeCell ref="A213:D213"/>
    <mergeCell ref="A215:D215"/>
    <mergeCell ref="A186:B186"/>
    <mergeCell ref="C186:D186"/>
    <mergeCell ref="C187:D187"/>
    <mergeCell ref="A188:D188"/>
    <mergeCell ref="C194:D194"/>
    <mergeCell ref="A181:D181"/>
    <mergeCell ref="A184:B184"/>
    <mergeCell ref="C184:D184"/>
    <mergeCell ref="A185:B185"/>
    <mergeCell ref="C185:D185"/>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49:D149"/>
    <mergeCell ref="A151:D151"/>
    <mergeCell ref="A152:D152"/>
    <mergeCell ref="A154:D154"/>
    <mergeCell ref="A156:D156"/>
    <mergeCell ref="A137:D137"/>
    <mergeCell ref="A138:D138"/>
    <mergeCell ref="A139:D139"/>
    <mergeCell ref="A145:D145"/>
    <mergeCell ref="A147:D147"/>
    <mergeCell ref="A118:B118"/>
    <mergeCell ref="C118:D118"/>
    <mergeCell ref="C119:D119"/>
    <mergeCell ref="A120:D120"/>
    <mergeCell ref="C126:D126"/>
    <mergeCell ref="A113:D113"/>
    <mergeCell ref="A116:B116"/>
    <mergeCell ref="C116:D116"/>
    <mergeCell ref="A117:B117"/>
    <mergeCell ref="C117:D117"/>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01:B101"/>
    <mergeCell ref="C101:D101"/>
    <mergeCell ref="A102:B102"/>
    <mergeCell ref="C102:D102"/>
    <mergeCell ref="A103:B103"/>
    <mergeCell ref="C103:D103"/>
    <mergeCell ref="A90:D90"/>
    <mergeCell ref="A97:D97"/>
    <mergeCell ref="A99:B99"/>
    <mergeCell ref="C99:D99"/>
    <mergeCell ref="A100:B100"/>
    <mergeCell ref="C100:D100"/>
    <mergeCell ref="A81:D81"/>
    <mergeCell ref="A83:D83"/>
    <mergeCell ref="A84:D84"/>
    <mergeCell ref="A86:D86"/>
    <mergeCell ref="A88:D88"/>
    <mergeCell ref="A69:D69"/>
    <mergeCell ref="A70:D70"/>
    <mergeCell ref="A71:D71"/>
    <mergeCell ref="A77:D77"/>
    <mergeCell ref="A79:D79"/>
    <mergeCell ref="A22:D22"/>
    <mergeCell ref="A1:D1"/>
    <mergeCell ref="A2:D2"/>
    <mergeCell ref="A3:D3"/>
    <mergeCell ref="A9:D9"/>
    <mergeCell ref="A11:D11"/>
    <mergeCell ref="A13:D13"/>
    <mergeCell ref="A15:D15"/>
    <mergeCell ref="A16:D16"/>
    <mergeCell ref="A18:D18"/>
    <mergeCell ref="A20:D20"/>
    <mergeCell ref="A29:D29"/>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s>
  <pageMargins left="0.78" right="0.70866141732283472" top="0.74803149606299213" bottom="0.74803149606299213" header="0.31496062992125984" footer="0.31496062992125984"/>
  <pageSetup scale="6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0"/>
  <dimension ref="A3:K56"/>
  <sheetViews>
    <sheetView topLeftCell="A43" workbookViewId="0">
      <selection activeCell="F13" sqref="F13"/>
    </sheetView>
  </sheetViews>
  <sheetFormatPr defaultRowHeight="15"/>
  <cols>
    <col min="1" max="1" width="5.140625" customWidth="1"/>
    <col min="5" max="5" width="22" customWidth="1"/>
    <col min="10" max="10" width="22.140625" customWidth="1"/>
    <col min="11" max="11" width="16.85546875" customWidth="1"/>
  </cols>
  <sheetData>
    <row r="3" spans="1:11" ht="15.75" thickBot="1"/>
    <row r="4" spans="1:11" ht="26.25">
      <c r="A4" s="74"/>
      <c r="B4" s="1461" t="s">
        <v>345</v>
      </c>
      <c r="C4" s="1461"/>
      <c r="D4" s="1461"/>
      <c r="E4" s="1461"/>
      <c r="F4" s="1461"/>
      <c r="G4" s="1461"/>
      <c r="H4" s="1461"/>
      <c r="I4" s="1461"/>
      <c r="J4" s="1461"/>
      <c r="K4" s="76"/>
    </row>
    <row r="5" spans="1:11">
      <c r="A5" s="13"/>
      <c r="B5" s="1358" t="s">
        <v>346</v>
      </c>
      <c r="C5" s="1358"/>
      <c r="D5" s="1358"/>
      <c r="E5" s="1358"/>
      <c r="F5" s="1358"/>
      <c r="G5" s="1358"/>
      <c r="H5" s="1358"/>
      <c r="I5" s="1358"/>
      <c r="J5" s="1358"/>
      <c r="K5" s="14"/>
    </row>
    <row r="6" spans="1:11">
      <c r="A6" s="13"/>
      <c r="B6" s="5"/>
      <c r="C6" s="5"/>
      <c r="D6" s="5"/>
      <c r="E6" s="5"/>
      <c r="F6" s="5"/>
      <c r="G6" s="5"/>
      <c r="H6" s="5"/>
      <c r="I6" s="5"/>
      <c r="J6" s="5"/>
      <c r="K6" s="14"/>
    </row>
    <row r="7" spans="1:11" ht="23.25">
      <c r="A7" s="13"/>
      <c r="B7" s="1462" t="s">
        <v>347</v>
      </c>
      <c r="C7" s="1462"/>
      <c r="D7" s="1462"/>
      <c r="E7" s="1462"/>
      <c r="F7" s="1462"/>
      <c r="G7" s="1462"/>
      <c r="H7" s="1462"/>
      <c r="I7" s="1462"/>
      <c r="J7" s="1462"/>
      <c r="K7" s="14"/>
    </row>
    <row r="8" spans="1:11">
      <c r="A8" s="13"/>
      <c r="B8" s="1358"/>
      <c r="C8" s="1358"/>
      <c r="D8" s="1358"/>
      <c r="E8" s="1358"/>
      <c r="F8" s="1358"/>
      <c r="G8" s="1358"/>
      <c r="H8" s="1358"/>
      <c r="I8" s="1358"/>
      <c r="J8" s="1358"/>
      <c r="K8" s="14"/>
    </row>
    <row r="9" spans="1:11" ht="15.75" thickBot="1">
      <c r="A9" s="13"/>
      <c r="B9" s="1459" t="s">
        <v>160</v>
      </c>
      <c r="C9" s="1459"/>
      <c r="D9" s="1459"/>
      <c r="E9" s="1459"/>
      <c r="F9" s="282"/>
      <c r="G9" s="1460" t="s">
        <v>348</v>
      </c>
      <c r="H9" s="1460"/>
      <c r="I9" s="1460"/>
      <c r="J9" s="1460"/>
      <c r="K9" s="14"/>
    </row>
    <row r="10" spans="1:11">
      <c r="A10" s="13"/>
      <c r="B10" s="74"/>
      <c r="C10" s="75"/>
      <c r="D10" s="75"/>
      <c r="E10" s="76"/>
      <c r="F10" s="5"/>
      <c r="G10" s="74"/>
      <c r="H10" s="75"/>
      <c r="I10" s="75"/>
      <c r="J10" s="76"/>
      <c r="K10" s="14"/>
    </row>
    <row r="11" spans="1:11">
      <c r="A11" s="13"/>
      <c r="B11" s="13" t="str">
        <f>'04-221Master'!F5</f>
        <v>Burgeon IT Services Pvt.Ltd.</v>
      </c>
      <c r="E11" s="14"/>
      <c r="F11" s="5"/>
      <c r="G11" s="13" t="str">
        <f>'04-221Master'!AP5</f>
        <v>Burgeon IT Services Pvt.Ltd.</v>
      </c>
      <c r="J11" s="14"/>
      <c r="K11" s="14"/>
    </row>
    <row r="12" spans="1:11">
      <c r="A12" s="13"/>
      <c r="B12" s="13"/>
      <c r="E12" s="14"/>
      <c r="F12" s="5"/>
      <c r="G12" s="13"/>
      <c r="J12" s="14"/>
      <c r="K12" s="14"/>
    </row>
    <row r="13" spans="1:11">
      <c r="A13" s="13"/>
      <c r="B13" s="13" t="str">
        <f>'04-221Master'!F6</f>
        <v>Siri Mansion LIGB 436 Dr.A S Rao Nagar,Hyderabad</v>
      </c>
      <c r="E13" s="14"/>
      <c r="F13" s="5"/>
      <c r="G13" s="13" t="str">
        <f>'04-221Master'!AP6</f>
        <v>Siri Mansion LIGB 436 Dr.A S Rao Nagar,Hyderabad</v>
      </c>
      <c r="J13" s="14"/>
      <c r="K13" s="14"/>
    </row>
    <row r="14" spans="1:11">
      <c r="A14" s="13"/>
      <c r="B14" s="13"/>
      <c r="E14" s="14"/>
      <c r="F14" s="5"/>
      <c r="G14" s="13"/>
      <c r="J14" s="14"/>
      <c r="K14" s="14"/>
    </row>
    <row r="15" spans="1:11" ht="15.75" thickBot="1">
      <c r="A15" s="13"/>
      <c r="B15" s="25"/>
      <c r="C15" s="23"/>
      <c r="D15" s="23"/>
      <c r="E15" s="24"/>
      <c r="F15" s="5"/>
      <c r="G15" s="25"/>
      <c r="H15" s="23"/>
      <c r="I15" s="23"/>
      <c r="J15" s="24"/>
      <c r="K15" s="14"/>
    </row>
    <row r="16" spans="1:11">
      <c r="A16" s="13"/>
      <c r="K16" s="14"/>
    </row>
    <row r="17" spans="1:11" ht="15.75" thickBot="1">
      <c r="A17" s="13"/>
      <c r="B17" s="1459" t="s">
        <v>349</v>
      </c>
      <c r="C17" s="1459"/>
      <c r="D17" s="1459"/>
      <c r="E17" s="1459"/>
      <c r="F17" s="282"/>
      <c r="G17" s="1460" t="s">
        <v>350</v>
      </c>
      <c r="H17" s="1460"/>
      <c r="I17" s="1460"/>
      <c r="J17" s="1460"/>
      <c r="K17" s="14"/>
    </row>
    <row r="18" spans="1:11">
      <c r="A18" s="13"/>
      <c r="B18" s="74"/>
      <c r="C18" s="75"/>
      <c r="D18" s="75"/>
      <c r="E18" s="76"/>
      <c r="F18" s="5"/>
      <c r="G18" s="74"/>
      <c r="H18" s="75"/>
      <c r="I18" s="75"/>
      <c r="J18" s="76"/>
      <c r="K18" s="14"/>
    </row>
    <row r="19" spans="1:11">
      <c r="A19" s="13"/>
      <c r="B19" s="13"/>
      <c r="E19" s="14"/>
      <c r="F19" s="5"/>
      <c r="G19" s="13" t="str">
        <f>'04-221Master'!AP10</f>
        <v>INFOSYS  LTD.IL Pune SEZ Unit-I,Plot No. 24/3</v>
      </c>
      <c r="J19" s="14"/>
      <c r="K19" s="14"/>
    </row>
    <row r="20" spans="1:11">
      <c r="A20" s="13"/>
      <c r="B20" s="13"/>
      <c r="E20" s="14"/>
      <c r="F20" s="5"/>
      <c r="G20" s="13"/>
      <c r="J20" s="14"/>
      <c r="K20" s="14"/>
    </row>
    <row r="21" spans="1:11">
      <c r="A21" s="13"/>
      <c r="B21" s="13" t="str">
        <f>'04-221Master'!F8</f>
        <v>IT SUPPORTIVE SERVICES&amp; Pune SEZ Unit-1</v>
      </c>
      <c r="E21" s="14"/>
      <c r="F21" s="5"/>
      <c r="G21" s="13" t="str">
        <f>'04-221Master'!AP11</f>
        <v>Rajiv gandhi Info tech park,Village Mann,Pune,Maharashtra 411057</v>
      </c>
      <c r="J21" s="14"/>
      <c r="K21" s="14"/>
    </row>
    <row r="22" spans="1:11">
      <c r="A22" s="13"/>
      <c r="B22" s="13"/>
      <c r="E22" s="14"/>
      <c r="F22" s="5"/>
      <c r="G22" s="13"/>
      <c r="J22" s="14"/>
      <c r="K22" s="14"/>
    </row>
    <row r="23" spans="1:11" ht="15.75" thickBot="1">
      <c r="A23" s="13"/>
      <c r="B23" s="25"/>
      <c r="C23" s="23"/>
      <c r="D23" s="23"/>
      <c r="E23" s="24"/>
      <c r="F23" s="5"/>
      <c r="G23" s="25"/>
      <c r="H23" s="23"/>
      <c r="I23" s="23"/>
      <c r="J23" s="24"/>
      <c r="K23" s="14"/>
    </row>
    <row r="24" spans="1:11">
      <c r="A24" s="13"/>
      <c r="K24" s="14"/>
    </row>
    <row r="25" spans="1:11">
      <c r="A25" s="13"/>
      <c r="K25" s="14"/>
    </row>
    <row r="26" spans="1:11">
      <c r="A26" s="13"/>
      <c r="B26" s="1456" t="s">
        <v>351</v>
      </c>
      <c r="C26" s="1456"/>
      <c r="D26" s="1456"/>
      <c r="E26" s="1456"/>
      <c r="F26" s="17"/>
      <c r="G26" s="17"/>
      <c r="H26" s="17"/>
      <c r="I26" s="17"/>
      <c r="J26" s="17"/>
      <c r="K26" s="14"/>
    </row>
    <row r="27" spans="1:11">
      <c r="A27" s="13"/>
      <c r="B27" s="283"/>
      <c r="C27" s="283"/>
      <c r="D27" s="283"/>
      <c r="E27" s="283"/>
      <c r="F27" s="64"/>
      <c r="G27" s="64"/>
      <c r="H27" s="64"/>
      <c r="I27" s="64"/>
      <c r="J27" s="64"/>
      <c r="K27" s="14"/>
    </row>
    <row r="28" spans="1:11">
      <c r="A28" s="13"/>
      <c r="B28" s="283"/>
      <c r="C28" s="283"/>
      <c r="D28" s="283"/>
      <c r="E28" s="283"/>
      <c r="F28" s="17"/>
      <c r="G28" s="17"/>
      <c r="H28" s="17"/>
      <c r="I28" s="17"/>
      <c r="J28" s="17"/>
      <c r="K28" s="14"/>
    </row>
    <row r="29" spans="1:11">
      <c r="A29" s="13"/>
      <c r="B29" s="283"/>
      <c r="C29" s="283"/>
      <c r="D29" s="283"/>
      <c r="E29" s="283"/>
      <c r="F29" s="64"/>
      <c r="G29" s="64"/>
      <c r="H29" s="64"/>
      <c r="I29" s="64"/>
      <c r="J29" s="64"/>
      <c r="K29" s="14"/>
    </row>
    <row r="30" spans="1:11">
      <c r="A30" s="13"/>
      <c r="B30" s="283"/>
      <c r="C30" s="283"/>
      <c r="D30" s="283"/>
      <c r="E30" s="283"/>
      <c r="K30" s="14"/>
    </row>
    <row r="31" spans="1:11">
      <c r="A31" s="13"/>
      <c r="B31" s="1456" t="s">
        <v>352</v>
      </c>
      <c r="C31" s="1456"/>
      <c r="D31" s="1456"/>
      <c r="E31" s="1456"/>
      <c r="F31" s="17"/>
      <c r="G31" s="17"/>
      <c r="H31" s="17"/>
      <c r="I31" s="17"/>
      <c r="J31" s="17"/>
      <c r="K31" s="14"/>
    </row>
    <row r="32" spans="1:11">
      <c r="A32" s="13"/>
      <c r="B32" s="283"/>
      <c r="C32" s="283"/>
      <c r="D32" s="283"/>
      <c r="E32" s="283"/>
      <c r="K32" s="14"/>
    </row>
    <row r="33" spans="1:11">
      <c r="A33" s="13"/>
      <c r="B33" s="1456" t="s">
        <v>353</v>
      </c>
      <c r="C33" s="1456"/>
      <c r="D33" s="1456"/>
      <c r="E33" s="1456"/>
      <c r="F33" s="17"/>
      <c r="G33" s="17"/>
      <c r="H33" s="17"/>
      <c r="I33" s="17"/>
      <c r="J33" s="17"/>
      <c r="K33" s="14"/>
    </row>
    <row r="34" spans="1:11">
      <c r="A34" s="13"/>
      <c r="B34" s="283"/>
      <c r="C34" s="283"/>
      <c r="D34" s="283"/>
      <c r="E34" s="283"/>
      <c r="K34" s="14"/>
    </row>
    <row r="35" spans="1:11">
      <c r="A35" s="13"/>
      <c r="B35" s="1456" t="s">
        <v>354</v>
      </c>
      <c r="C35" s="1456"/>
      <c r="D35" s="1456"/>
      <c r="E35" s="1456"/>
      <c r="F35" s="17"/>
      <c r="G35" s="17"/>
      <c r="H35" s="17"/>
      <c r="I35" s="17"/>
      <c r="J35" s="17"/>
      <c r="K35" s="14"/>
    </row>
    <row r="36" spans="1:11">
      <c r="A36" s="13"/>
      <c r="B36" s="283"/>
      <c r="C36" s="283"/>
      <c r="D36" s="283"/>
      <c r="E36" s="283"/>
      <c r="K36" s="14"/>
    </row>
    <row r="37" spans="1:11" ht="15.75" thickBot="1">
      <c r="A37" s="13"/>
      <c r="K37" s="14"/>
    </row>
    <row r="38" spans="1:11">
      <c r="A38" s="13"/>
      <c r="B38" s="1457" t="s">
        <v>355</v>
      </c>
      <c r="C38" s="1451" t="s">
        <v>356</v>
      </c>
      <c r="D38" s="1451"/>
      <c r="E38" s="1451" t="s">
        <v>357</v>
      </c>
      <c r="F38" s="1451"/>
      <c r="G38" s="1451" t="s">
        <v>358</v>
      </c>
      <c r="H38" s="1451"/>
      <c r="I38" s="1451"/>
      <c r="J38" s="1453" t="s">
        <v>40</v>
      </c>
      <c r="K38" s="14"/>
    </row>
    <row r="39" spans="1:11">
      <c r="A39" s="13"/>
      <c r="B39" s="1458"/>
      <c r="C39" s="1452"/>
      <c r="D39" s="1452"/>
      <c r="E39" s="1452"/>
      <c r="F39" s="1452"/>
      <c r="G39" s="1452"/>
      <c r="H39" s="1452"/>
      <c r="I39" s="1452"/>
      <c r="J39" s="1454"/>
      <c r="K39" s="14"/>
    </row>
    <row r="40" spans="1:11">
      <c r="A40" s="13"/>
      <c r="B40" s="1458"/>
      <c r="C40" s="284" t="s">
        <v>359</v>
      </c>
      <c r="D40" s="284" t="s">
        <v>133</v>
      </c>
      <c r="E40" s="1452"/>
      <c r="F40" s="1452"/>
      <c r="G40" s="1452"/>
      <c r="H40" s="1452"/>
      <c r="I40" s="1452"/>
      <c r="J40" s="1454"/>
      <c r="K40" s="14"/>
    </row>
    <row r="41" spans="1:11">
      <c r="A41" s="13"/>
      <c r="B41" s="285">
        <v>1</v>
      </c>
      <c r="C41" s="286">
        <v>2</v>
      </c>
      <c r="D41" s="286">
        <v>3</v>
      </c>
      <c r="E41" s="1455">
        <v>4</v>
      </c>
      <c r="F41" s="1455"/>
      <c r="G41" s="1455">
        <v>5</v>
      </c>
      <c r="H41" s="1455"/>
      <c r="I41" s="1455"/>
      <c r="J41" s="287">
        <v>6</v>
      </c>
      <c r="K41" s="14"/>
    </row>
    <row r="42" spans="1:11">
      <c r="A42" s="13"/>
      <c r="B42" s="286"/>
      <c r="C42" s="286"/>
      <c r="D42" s="286"/>
      <c r="E42" s="1438"/>
      <c r="F42" s="1438"/>
      <c r="G42" s="1438"/>
      <c r="H42" s="1438"/>
      <c r="I42" s="1438"/>
      <c r="J42" s="286"/>
      <c r="K42" s="14"/>
    </row>
    <row r="43" spans="1:11">
      <c r="A43" s="13"/>
      <c r="B43" s="286"/>
      <c r="C43" s="286"/>
      <c r="D43" s="286"/>
      <c r="E43" s="1438"/>
      <c r="F43" s="1438"/>
      <c r="G43" s="1438"/>
      <c r="H43" s="1438"/>
      <c r="I43" s="1438"/>
      <c r="J43" s="286"/>
      <c r="K43" s="14"/>
    </row>
    <row r="44" spans="1:11">
      <c r="A44" s="13"/>
      <c r="B44" s="286"/>
      <c r="C44" s="286"/>
      <c r="D44" s="286"/>
      <c r="E44" s="1438"/>
      <c r="F44" s="1438"/>
      <c r="G44" s="1438"/>
      <c r="H44" s="1438"/>
      <c r="I44" s="1438"/>
      <c r="J44" s="286"/>
      <c r="K44" s="14"/>
    </row>
    <row r="45" spans="1:11">
      <c r="A45" s="13"/>
      <c r="B45" s="11"/>
      <c r="C45" s="11"/>
      <c r="D45" s="11"/>
      <c r="E45" s="1438"/>
      <c r="F45" s="1438"/>
      <c r="G45" s="1438"/>
      <c r="H45" s="1438"/>
      <c r="I45" s="1438"/>
      <c r="J45" s="11"/>
      <c r="K45" s="14"/>
    </row>
    <row r="46" spans="1:11">
      <c r="A46" s="13"/>
      <c r="B46" s="11"/>
      <c r="C46" s="11"/>
      <c r="D46" s="11"/>
      <c r="E46" s="1438"/>
      <c r="F46" s="1438"/>
      <c r="G46" s="1438"/>
      <c r="H46" s="1438"/>
      <c r="I46" s="1438"/>
      <c r="J46" s="11"/>
      <c r="K46" s="14"/>
    </row>
    <row r="47" spans="1:11">
      <c r="A47" s="13"/>
      <c r="B47" s="11"/>
      <c r="C47" s="11"/>
      <c r="D47" s="11"/>
      <c r="E47" s="1438"/>
      <c r="F47" s="1438"/>
      <c r="G47" s="1438"/>
      <c r="H47" s="1438"/>
      <c r="I47" s="1438"/>
      <c r="J47" s="11"/>
      <c r="K47" s="14"/>
    </row>
    <row r="48" spans="1:11">
      <c r="A48" s="13"/>
      <c r="B48" s="11"/>
      <c r="C48" s="11"/>
      <c r="D48" s="11"/>
      <c r="E48" s="1438"/>
      <c r="F48" s="1438"/>
      <c r="G48" s="1438"/>
      <c r="H48" s="1438"/>
      <c r="I48" s="1438"/>
      <c r="J48" s="11"/>
      <c r="K48" s="14"/>
    </row>
    <row r="49" spans="1:11">
      <c r="A49" s="13"/>
      <c r="B49" s="11"/>
      <c r="C49" s="11"/>
      <c r="D49" s="11"/>
      <c r="E49" s="1438"/>
      <c r="F49" s="1438"/>
      <c r="G49" s="1438"/>
      <c r="H49" s="1438"/>
      <c r="I49" s="1438"/>
      <c r="J49" s="11"/>
      <c r="K49" s="14"/>
    </row>
    <row r="50" spans="1:11">
      <c r="A50" s="13"/>
      <c r="B50" s="11"/>
      <c r="C50" s="11"/>
      <c r="D50" s="11"/>
      <c r="E50" s="1438"/>
      <c r="F50" s="1438"/>
      <c r="G50" s="1438"/>
      <c r="H50" s="1438"/>
      <c r="I50" s="1438"/>
      <c r="J50" s="11"/>
      <c r="K50" s="14"/>
    </row>
    <row r="51" spans="1:11">
      <c r="A51" s="13"/>
      <c r="B51" s="11"/>
      <c r="C51" s="11"/>
      <c r="D51" s="11"/>
      <c r="E51" s="1438"/>
      <c r="F51" s="1438"/>
      <c r="G51" s="1438"/>
      <c r="H51" s="1438"/>
      <c r="I51" s="1438"/>
      <c r="J51" s="11"/>
      <c r="K51" s="14"/>
    </row>
    <row r="52" spans="1:11">
      <c r="A52" s="13"/>
      <c r="B52" s="11"/>
      <c r="C52" s="11"/>
      <c r="D52" s="11"/>
      <c r="E52" s="1438"/>
      <c r="F52" s="1438"/>
      <c r="G52" s="1438"/>
      <c r="H52" s="1438"/>
      <c r="I52" s="1438"/>
      <c r="J52" s="11"/>
      <c r="K52" s="14"/>
    </row>
    <row r="53" spans="1:11">
      <c r="A53" s="13"/>
      <c r="K53" s="14"/>
    </row>
    <row r="54" spans="1:11">
      <c r="A54" s="13"/>
      <c r="K54" s="14"/>
    </row>
    <row r="55" spans="1:11" ht="15.75" thickBot="1">
      <c r="A55" s="13"/>
      <c r="H55" s="1235"/>
      <c r="I55" s="1235"/>
      <c r="J55" s="1235"/>
      <c r="K55" s="14"/>
    </row>
    <row r="56" spans="1:11" ht="15.75" thickBot="1">
      <c r="A56" s="25"/>
      <c r="B56" s="23"/>
      <c r="C56" s="23"/>
      <c r="D56" s="23"/>
      <c r="E56" s="23"/>
      <c r="F56" s="23"/>
      <c r="G56" s="23"/>
      <c r="H56" s="288" t="s">
        <v>360</v>
      </c>
      <c r="I56" s="28"/>
      <c r="J56" s="28"/>
      <c r="K56" s="24"/>
    </row>
  </sheetData>
  <mergeCells count="42">
    <mergeCell ref="B17:E17"/>
    <mergeCell ref="G17:J17"/>
    <mergeCell ref="B4:J4"/>
    <mergeCell ref="B5:J5"/>
    <mergeCell ref="B7:J7"/>
    <mergeCell ref="B8:J8"/>
    <mergeCell ref="B9:E9"/>
    <mergeCell ref="G9:J9"/>
    <mergeCell ref="B26:E26"/>
    <mergeCell ref="B31:E31"/>
    <mergeCell ref="B33:E33"/>
    <mergeCell ref="B35:E35"/>
    <mergeCell ref="B38:B40"/>
    <mergeCell ref="C38:D39"/>
    <mergeCell ref="E38:F40"/>
    <mergeCell ref="G38:I40"/>
    <mergeCell ref="J38:J40"/>
    <mergeCell ref="E41:F41"/>
    <mergeCell ref="G41:I41"/>
    <mergeCell ref="E45:F45"/>
    <mergeCell ref="G45:I45"/>
    <mergeCell ref="G46:I46"/>
    <mergeCell ref="E47:F47"/>
    <mergeCell ref="G47:I47"/>
    <mergeCell ref="E48:F48"/>
    <mergeCell ref="G48:I48"/>
    <mergeCell ref="E52:F52"/>
    <mergeCell ref="G52:I52"/>
    <mergeCell ref="H55:J55"/>
    <mergeCell ref="E42:F42"/>
    <mergeCell ref="E43:F43"/>
    <mergeCell ref="E44:F44"/>
    <mergeCell ref="G42:I42"/>
    <mergeCell ref="G43:I43"/>
    <mergeCell ref="G44:I44"/>
    <mergeCell ref="E49:F49"/>
    <mergeCell ref="G49:I49"/>
    <mergeCell ref="E50:F50"/>
    <mergeCell ref="G50:I50"/>
    <mergeCell ref="E51:F51"/>
    <mergeCell ref="G51:I51"/>
    <mergeCell ref="E46:F46"/>
  </mergeCells>
  <pageMargins left="0.94488188976377963" right="0.70866141732283472" top="0.74803149606299213" bottom="0.74803149606299213" header="0.31496062992125984" footer="0.31496062992125984"/>
  <pageSetup scale="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PUNE SEZ UNIt-1-APRIL22WM Reg</vt:lpstr>
      <vt:lpstr>04-221Master</vt:lpstr>
      <vt:lpstr>04-22 eq ren</vt:lpstr>
      <vt:lpstr>MH_Must Roll</vt:lpstr>
      <vt:lpstr>Form M Lea Reg</vt:lpstr>
      <vt:lpstr>MH_Regr of Wages</vt:lpstr>
      <vt:lpstr>Empl Cards</vt:lpstr>
      <vt:lpstr>wage sllips</vt:lpstr>
      <vt:lpstr>04-22Bonus</vt:lpstr>
      <vt:lpstr>Deductions</vt:lpstr>
      <vt:lpstr>Fines</vt:lpstr>
      <vt:lpstr>Advances</vt:lpstr>
      <vt:lpstr>Overtime</vt:lpstr>
      <vt:lpstr>Accident</vt:lpstr>
      <vt:lpstr>FORM A</vt:lpstr>
      <vt:lpstr>FORM B</vt:lpstr>
      <vt:lpstr>FORM C</vt:lpstr>
      <vt:lpstr>FORM D</vt:lpstr>
      <vt:lpstr>ESI cards Reg</vt:lpstr>
      <vt:lpstr>Form-I</vt:lpstr>
      <vt:lpstr>Form-2</vt:lpstr>
      <vt:lpstr>Form 11</vt:lpstr>
      <vt:lpstr>Form-F</vt:lpstr>
      <vt:lpstr>Serive Certificate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2021-12-21T12:06:56Z</cp:lastPrinted>
  <dcterms:created xsi:type="dcterms:W3CDTF">2018-12-21T09:44:49Z</dcterms:created>
  <dcterms:modified xsi:type="dcterms:W3CDTF">2022-06-08T09:21:29Z</dcterms:modified>
</cp:coreProperties>
</file>